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1 Internship\PROJECTS\MS EXCEL\"/>
    </mc:Choice>
  </mc:AlternateContent>
  <xr:revisionPtr revIDLastSave="0" documentId="13_ncr:1_{8123F12E-FA3A-4040-90C2-C9FCA5D1CEE5}" xr6:coauthVersionLast="47" xr6:coauthVersionMax="47" xr10:uidLastSave="{00000000-0000-0000-0000-000000000000}"/>
  <bookViews>
    <workbookView xWindow="-120" yWindow="-120" windowWidth="20730" windowHeight="11040" tabRatio="922" xr2:uid="{40219DC8-0DAE-4E6D-A930-7858EF7F6C92}"/>
  </bookViews>
  <sheets>
    <sheet name="Sephora Skincare Dataset" sheetId="12" r:id="rId1"/>
    <sheet name="1 En Tier ; RB" sheetId="13" r:id="rId2"/>
    <sheet name="1.1 En - High, R - High" sheetId="22" r:id="rId3"/>
    <sheet name="1.2 En- High, R - Low" sheetId="21" r:id="rId4"/>
    <sheet name="1.3.2 En - Very Low, R- High" sheetId="20" r:id="rId5"/>
    <sheet name="1.3.1 En-Low,R-High" sheetId="19" r:id="rId6"/>
    <sheet name="En - Very Low, R- Low" sheetId="24" r:id="rId7"/>
    <sheet name="En - Low, R- Low" sheetId="23" r:id="rId8"/>
    <sheet name="2 Category - En Tier" sheetId="26" r:id="rId9"/>
    <sheet name="3 Price Tier - En Tier" sheetId="29" r:id="rId10"/>
    <sheet name="4 Dashboard" sheetId="30" r:id="rId11"/>
    <sheet name="Count of Enganement Range" sheetId="7" r:id="rId12"/>
  </sheets>
  <definedNames>
    <definedName name="_xlnm._FilterDatabase" localSheetId="0" hidden="1">'Sephora Skincare Dataset'!$A$1:$P$1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21" i="12" l="1"/>
  <c r="K2421" i="12"/>
  <c r="J2421" i="12"/>
  <c r="H2421" i="12"/>
  <c r="G2421" i="12"/>
  <c r="N2420" i="12"/>
  <c r="K2420" i="12"/>
  <c r="J2420" i="12"/>
  <c r="H2420" i="12"/>
  <c r="G2420" i="12"/>
  <c r="N2419" i="12"/>
  <c r="K2419" i="12"/>
  <c r="J2419" i="12"/>
  <c r="H2419" i="12"/>
  <c r="G2419" i="12"/>
  <c r="N2418" i="12"/>
  <c r="K2418" i="12"/>
  <c r="J2418" i="12"/>
  <c r="H2418" i="12"/>
  <c r="G2418" i="12"/>
  <c r="N2417" i="12"/>
  <c r="K2417" i="12"/>
  <c r="J2417" i="12"/>
  <c r="H2417" i="12"/>
  <c r="G2417" i="12"/>
  <c r="N2416" i="12"/>
  <c r="K2416" i="12"/>
  <c r="J2416" i="12"/>
  <c r="H2416" i="12"/>
  <c r="G2416" i="12"/>
  <c r="N2415" i="12"/>
  <c r="K2415" i="12"/>
  <c r="J2415" i="12"/>
  <c r="H2415" i="12"/>
  <c r="G2415" i="12"/>
  <c r="N2414" i="12"/>
  <c r="K2414" i="12"/>
  <c r="J2414" i="12"/>
  <c r="H2414" i="12"/>
  <c r="G2414" i="12"/>
  <c r="N2413" i="12"/>
  <c r="K2413" i="12"/>
  <c r="J2413" i="12"/>
  <c r="H2413" i="12"/>
  <c r="G2413" i="12"/>
  <c r="N2412" i="12"/>
  <c r="K2412" i="12"/>
  <c r="J2412" i="12"/>
  <c r="H2412" i="12"/>
  <c r="G2412" i="12"/>
  <c r="N2411" i="12"/>
  <c r="K2411" i="12"/>
  <c r="J2411" i="12"/>
  <c r="H2411" i="12"/>
  <c r="G2411" i="12"/>
  <c r="N2410" i="12"/>
  <c r="K2410" i="12"/>
  <c r="J2410" i="12"/>
  <c r="H2410" i="12"/>
  <c r="G2410" i="12"/>
  <c r="N2409" i="12"/>
  <c r="K2409" i="12"/>
  <c r="J2409" i="12"/>
  <c r="H2409" i="12"/>
  <c r="G2409" i="12"/>
  <c r="N2408" i="12"/>
  <c r="K2408" i="12"/>
  <c r="J2408" i="12"/>
  <c r="H2408" i="12"/>
  <c r="G2408" i="12"/>
  <c r="N2407" i="12"/>
  <c r="K2407" i="12"/>
  <c r="J2407" i="12"/>
  <c r="H2407" i="12"/>
  <c r="G2407" i="12"/>
  <c r="N2406" i="12"/>
  <c r="K2406" i="12"/>
  <c r="J2406" i="12"/>
  <c r="H2406" i="12"/>
  <c r="G2406" i="12"/>
  <c r="N2405" i="12"/>
  <c r="K2405" i="12"/>
  <c r="J2405" i="12"/>
  <c r="H2405" i="12"/>
  <c r="G2405" i="12"/>
  <c r="N2404" i="12"/>
  <c r="K2404" i="12"/>
  <c r="J2404" i="12"/>
  <c r="H2404" i="12"/>
  <c r="G2404" i="12"/>
  <c r="N2403" i="12"/>
  <c r="K2403" i="12"/>
  <c r="J2403" i="12"/>
  <c r="H2403" i="12"/>
  <c r="G2403" i="12"/>
  <c r="N2402" i="12"/>
  <c r="K2402" i="12"/>
  <c r="J2402" i="12"/>
  <c r="H2402" i="12"/>
  <c r="G2402" i="12"/>
  <c r="N2401" i="12"/>
  <c r="K2401" i="12"/>
  <c r="J2401" i="12"/>
  <c r="H2401" i="12"/>
  <c r="G2401" i="12"/>
  <c r="N2400" i="12"/>
  <c r="K2400" i="12"/>
  <c r="J2400" i="12"/>
  <c r="H2400" i="12"/>
  <c r="G2400" i="12"/>
  <c r="N2399" i="12"/>
  <c r="K2399" i="12"/>
  <c r="J2399" i="12"/>
  <c r="H2399" i="12"/>
  <c r="G2399" i="12"/>
  <c r="N2398" i="12"/>
  <c r="K2398" i="12"/>
  <c r="J2398" i="12"/>
  <c r="H2398" i="12"/>
  <c r="G2398" i="12"/>
  <c r="N2397" i="12"/>
  <c r="K2397" i="12"/>
  <c r="J2397" i="12"/>
  <c r="H2397" i="12"/>
  <c r="G2397" i="12"/>
  <c r="N2396" i="12"/>
  <c r="K2396" i="12"/>
  <c r="J2396" i="12"/>
  <c r="H2396" i="12"/>
  <c r="G2396" i="12"/>
  <c r="N2395" i="12"/>
  <c r="K2395" i="12"/>
  <c r="J2395" i="12"/>
  <c r="H2395" i="12"/>
  <c r="G2395" i="12"/>
  <c r="N2394" i="12"/>
  <c r="K2394" i="12"/>
  <c r="J2394" i="12"/>
  <c r="H2394" i="12"/>
  <c r="G2394" i="12"/>
  <c r="N2393" i="12"/>
  <c r="K2393" i="12"/>
  <c r="J2393" i="12"/>
  <c r="H2393" i="12"/>
  <c r="G2393" i="12"/>
  <c r="N2392" i="12"/>
  <c r="K2392" i="12"/>
  <c r="J2392" i="12"/>
  <c r="H2392" i="12"/>
  <c r="G2392" i="12"/>
  <c r="N2391" i="12"/>
  <c r="K2391" i="12"/>
  <c r="J2391" i="12"/>
  <c r="H2391" i="12"/>
  <c r="G2391" i="12"/>
  <c r="N2390" i="12"/>
  <c r="K2390" i="12"/>
  <c r="J2390" i="12"/>
  <c r="H2390" i="12"/>
  <c r="G2390" i="12"/>
  <c r="N2389" i="12"/>
  <c r="K2389" i="12"/>
  <c r="J2389" i="12"/>
  <c r="H2389" i="12"/>
  <c r="G2389" i="12"/>
  <c r="N2388" i="12"/>
  <c r="K2388" i="12"/>
  <c r="J2388" i="12"/>
  <c r="H2388" i="12"/>
  <c r="G2388" i="12"/>
  <c r="N2387" i="12"/>
  <c r="K2387" i="12"/>
  <c r="J2387" i="12"/>
  <c r="H2387" i="12"/>
  <c r="G2387" i="12"/>
  <c r="N2386" i="12"/>
  <c r="K2386" i="12"/>
  <c r="J2386" i="12"/>
  <c r="H2386" i="12"/>
  <c r="G2386" i="12"/>
  <c r="N2385" i="12"/>
  <c r="K2385" i="12"/>
  <c r="J2385" i="12"/>
  <c r="H2385" i="12"/>
  <c r="G2385" i="12"/>
  <c r="N2384" i="12"/>
  <c r="K2384" i="12"/>
  <c r="J2384" i="12"/>
  <c r="H2384" i="12"/>
  <c r="G2384" i="12"/>
  <c r="N2383" i="12"/>
  <c r="K2383" i="12"/>
  <c r="J2383" i="12"/>
  <c r="H2383" i="12"/>
  <c r="G2383" i="12"/>
  <c r="N2382" i="12"/>
  <c r="K2382" i="12"/>
  <c r="J2382" i="12"/>
  <c r="H2382" i="12"/>
  <c r="G2382" i="12"/>
  <c r="N2381" i="12"/>
  <c r="K2381" i="12"/>
  <c r="J2381" i="12"/>
  <c r="H2381" i="12"/>
  <c r="G2381" i="12"/>
  <c r="N2380" i="12"/>
  <c r="K2380" i="12"/>
  <c r="J2380" i="12"/>
  <c r="H2380" i="12"/>
  <c r="G2380" i="12"/>
  <c r="N2379" i="12"/>
  <c r="K2379" i="12"/>
  <c r="J2379" i="12"/>
  <c r="H2379" i="12"/>
  <c r="G2379" i="12"/>
  <c r="N2378" i="12"/>
  <c r="K2378" i="12"/>
  <c r="J2378" i="12"/>
  <c r="H2378" i="12"/>
  <c r="G2378" i="12"/>
  <c r="N2377" i="12"/>
  <c r="K2377" i="12"/>
  <c r="J2377" i="12"/>
  <c r="H2377" i="12"/>
  <c r="G2377" i="12"/>
  <c r="N2376" i="12"/>
  <c r="K2376" i="12"/>
  <c r="J2376" i="12"/>
  <c r="H2376" i="12"/>
  <c r="G2376" i="12"/>
  <c r="N2375" i="12"/>
  <c r="K2375" i="12"/>
  <c r="J2375" i="12"/>
  <c r="H2375" i="12"/>
  <c r="G2375" i="12"/>
  <c r="N2374" i="12"/>
  <c r="K2374" i="12"/>
  <c r="J2374" i="12"/>
  <c r="H2374" i="12"/>
  <c r="G2374" i="12"/>
  <c r="N2373" i="12"/>
  <c r="K2373" i="12"/>
  <c r="J2373" i="12"/>
  <c r="H2373" i="12"/>
  <c r="G2373" i="12"/>
  <c r="N2372" i="12"/>
  <c r="K2372" i="12"/>
  <c r="J2372" i="12"/>
  <c r="H2372" i="12"/>
  <c r="G2372" i="12"/>
  <c r="N2371" i="12"/>
  <c r="K2371" i="12"/>
  <c r="J2371" i="12"/>
  <c r="H2371" i="12"/>
  <c r="G2371" i="12"/>
  <c r="N2370" i="12"/>
  <c r="K2370" i="12"/>
  <c r="J2370" i="12"/>
  <c r="H2370" i="12"/>
  <c r="G2370" i="12"/>
  <c r="N2369" i="12"/>
  <c r="K2369" i="12"/>
  <c r="J2369" i="12"/>
  <c r="H2369" i="12"/>
  <c r="G2369" i="12"/>
  <c r="N2368" i="12"/>
  <c r="K2368" i="12"/>
  <c r="J2368" i="12"/>
  <c r="H2368" i="12"/>
  <c r="G2368" i="12"/>
  <c r="N2367" i="12"/>
  <c r="K2367" i="12"/>
  <c r="J2367" i="12"/>
  <c r="H2367" i="12"/>
  <c r="G2367" i="12"/>
  <c r="N2366" i="12"/>
  <c r="K2366" i="12"/>
  <c r="J2366" i="12"/>
  <c r="H2366" i="12"/>
  <c r="G2366" i="12"/>
  <c r="N2365" i="12"/>
  <c r="K2365" i="12"/>
  <c r="J2365" i="12"/>
  <c r="H2365" i="12"/>
  <c r="G2365" i="12"/>
  <c r="N2364" i="12"/>
  <c r="K2364" i="12"/>
  <c r="J2364" i="12"/>
  <c r="H2364" i="12"/>
  <c r="G2364" i="12"/>
  <c r="N2363" i="12"/>
  <c r="K2363" i="12"/>
  <c r="J2363" i="12"/>
  <c r="H2363" i="12"/>
  <c r="G2363" i="12"/>
  <c r="N2362" i="12"/>
  <c r="K2362" i="12"/>
  <c r="J2362" i="12"/>
  <c r="H2362" i="12"/>
  <c r="G2362" i="12"/>
  <c r="N2361" i="12"/>
  <c r="K2361" i="12"/>
  <c r="J2361" i="12"/>
  <c r="H2361" i="12"/>
  <c r="G2361" i="12"/>
  <c r="N2360" i="12"/>
  <c r="K2360" i="12"/>
  <c r="J2360" i="12"/>
  <c r="H2360" i="12"/>
  <c r="G2360" i="12"/>
  <c r="N2359" i="12"/>
  <c r="K2359" i="12"/>
  <c r="J2359" i="12"/>
  <c r="H2359" i="12"/>
  <c r="G2359" i="12"/>
  <c r="N2358" i="12"/>
  <c r="K2358" i="12"/>
  <c r="J2358" i="12"/>
  <c r="H2358" i="12"/>
  <c r="G2358" i="12"/>
  <c r="N2357" i="12"/>
  <c r="K2357" i="12"/>
  <c r="J2357" i="12"/>
  <c r="H2357" i="12"/>
  <c r="G2357" i="12"/>
  <c r="N2356" i="12"/>
  <c r="K2356" i="12"/>
  <c r="J2356" i="12"/>
  <c r="H2356" i="12"/>
  <c r="G2356" i="12"/>
  <c r="N2355" i="12"/>
  <c r="K2355" i="12"/>
  <c r="J2355" i="12"/>
  <c r="H2355" i="12"/>
  <c r="G2355" i="12"/>
  <c r="N2354" i="12"/>
  <c r="K2354" i="12"/>
  <c r="J2354" i="12"/>
  <c r="H2354" i="12"/>
  <c r="G2354" i="12"/>
  <c r="N2353" i="12"/>
  <c r="K2353" i="12"/>
  <c r="J2353" i="12"/>
  <c r="H2353" i="12"/>
  <c r="G2353" i="12"/>
  <c r="N2352" i="12"/>
  <c r="K2352" i="12"/>
  <c r="J2352" i="12"/>
  <c r="H2352" i="12"/>
  <c r="G2352" i="12"/>
  <c r="N2351" i="12"/>
  <c r="K2351" i="12"/>
  <c r="J2351" i="12"/>
  <c r="H2351" i="12"/>
  <c r="G2351" i="12"/>
  <c r="N2350" i="12"/>
  <c r="K2350" i="12"/>
  <c r="J2350" i="12"/>
  <c r="H2350" i="12"/>
  <c r="G2350" i="12"/>
  <c r="N2349" i="12"/>
  <c r="K2349" i="12"/>
  <c r="J2349" i="12"/>
  <c r="H2349" i="12"/>
  <c r="G2349" i="12"/>
  <c r="N2348" i="12"/>
  <c r="K2348" i="12"/>
  <c r="J2348" i="12"/>
  <c r="H2348" i="12"/>
  <c r="G2348" i="12"/>
  <c r="N2347" i="12"/>
  <c r="K2347" i="12"/>
  <c r="J2347" i="12"/>
  <c r="H2347" i="12"/>
  <c r="G2347" i="12"/>
  <c r="N2346" i="12"/>
  <c r="K2346" i="12"/>
  <c r="J2346" i="12"/>
  <c r="H2346" i="12"/>
  <c r="G2346" i="12"/>
  <c r="N2345" i="12"/>
  <c r="K2345" i="12"/>
  <c r="J2345" i="12"/>
  <c r="H2345" i="12"/>
  <c r="G2345" i="12"/>
  <c r="N2344" i="12"/>
  <c r="K2344" i="12"/>
  <c r="J2344" i="12"/>
  <c r="H2344" i="12"/>
  <c r="G2344" i="12"/>
  <c r="N2343" i="12"/>
  <c r="K2343" i="12"/>
  <c r="J2343" i="12"/>
  <c r="H2343" i="12"/>
  <c r="G2343" i="12"/>
  <c r="N2342" i="12"/>
  <c r="K2342" i="12"/>
  <c r="J2342" i="12"/>
  <c r="H2342" i="12"/>
  <c r="G2342" i="12"/>
  <c r="N2341" i="12"/>
  <c r="K2341" i="12"/>
  <c r="J2341" i="12"/>
  <c r="H2341" i="12"/>
  <c r="G2341" i="12"/>
  <c r="N2340" i="12"/>
  <c r="K2340" i="12"/>
  <c r="J2340" i="12"/>
  <c r="H2340" i="12"/>
  <c r="G2340" i="12"/>
  <c r="N2339" i="12"/>
  <c r="K2339" i="12"/>
  <c r="J2339" i="12"/>
  <c r="H2339" i="12"/>
  <c r="G2339" i="12"/>
  <c r="N2338" i="12"/>
  <c r="K2338" i="12"/>
  <c r="J2338" i="12"/>
  <c r="H2338" i="12"/>
  <c r="G2338" i="12"/>
  <c r="N2337" i="12"/>
  <c r="K2337" i="12"/>
  <c r="J2337" i="12"/>
  <c r="H2337" i="12"/>
  <c r="G2337" i="12"/>
  <c r="N2336" i="12"/>
  <c r="K2336" i="12"/>
  <c r="J2336" i="12"/>
  <c r="H2336" i="12"/>
  <c r="G2336" i="12"/>
  <c r="N2335" i="12"/>
  <c r="K2335" i="12"/>
  <c r="J2335" i="12"/>
  <c r="H2335" i="12"/>
  <c r="G2335" i="12"/>
  <c r="N2334" i="12"/>
  <c r="K2334" i="12"/>
  <c r="J2334" i="12"/>
  <c r="H2334" i="12"/>
  <c r="G2334" i="12"/>
  <c r="N2333" i="12"/>
  <c r="K2333" i="12"/>
  <c r="J2333" i="12"/>
  <c r="H2333" i="12"/>
  <c r="G2333" i="12"/>
  <c r="N2332" i="12"/>
  <c r="K2332" i="12"/>
  <c r="J2332" i="12"/>
  <c r="H2332" i="12"/>
  <c r="G2332" i="12"/>
  <c r="N2331" i="12"/>
  <c r="K2331" i="12"/>
  <c r="J2331" i="12"/>
  <c r="H2331" i="12"/>
  <c r="G2331" i="12"/>
  <c r="N2330" i="12"/>
  <c r="K2330" i="12"/>
  <c r="J2330" i="12"/>
  <c r="H2330" i="12"/>
  <c r="G2330" i="12"/>
  <c r="N2329" i="12"/>
  <c r="K2329" i="12"/>
  <c r="J2329" i="12"/>
  <c r="H2329" i="12"/>
  <c r="G2329" i="12"/>
  <c r="N2328" i="12"/>
  <c r="K2328" i="12"/>
  <c r="J2328" i="12"/>
  <c r="H2328" i="12"/>
  <c r="G2328" i="12"/>
  <c r="N2327" i="12"/>
  <c r="K2327" i="12"/>
  <c r="J2327" i="12"/>
  <c r="H2327" i="12"/>
  <c r="G2327" i="12"/>
  <c r="N2326" i="12"/>
  <c r="K2326" i="12"/>
  <c r="J2326" i="12"/>
  <c r="H2326" i="12"/>
  <c r="G2326" i="12"/>
  <c r="N2325" i="12"/>
  <c r="K2325" i="12"/>
  <c r="J2325" i="12"/>
  <c r="H2325" i="12"/>
  <c r="G2325" i="12"/>
  <c r="N2324" i="12"/>
  <c r="K2324" i="12"/>
  <c r="J2324" i="12"/>
  <c r="H2324" i="12"/>
  <c r="G2324" i="12"/>
  <c r="N2323" i="12"/>
  <c r="K2323" i="12"/>
  <c r="J2323" i="12"/>
  <c r="H2323" i="12"/>
  <c r="G2323" i="12"/>
  <c r="N2322" i="12"/>
  <c r="K2322" i="12"/>
  <c r="J2322" i="12"/>
  <c r="H2322" i="12"/>
  <c r="G2322" i="12"/>
  <c r="N2321" i="12"/>
  <c r="K2321" i="12"/>
  <c r="J2321" i="12"/>
  <c r="H2321" i="12"/>
  <c r="G2321" i="12"/>
  <c r="N2320" i="12"/>
  <c r="K2320" i="12"/>
  <c r="J2320" i="12"/>
  <c r="H2320" i="12"/>
  <c r="G2320" i="12"/>
  <c r="N2319" i="12"/>
  <c r="K2319" i="12"/>
  <c r="J2319" i="12"/>
  <c r="H2319" i="12"/>
  <c r="G2319" i="12"/>
  <c r="N2318" i="12"/>
  <c r="K2318" i="12"/>
  <c r="J2318" i="12"/>
  <c r="H2318" i="12"/>
  <c r="G2318" i="12"/>
  <c r="N2317" i="12"/>
  <c r="K2317" i="12"/>
  <c r="J2317" i="12"/>
  <c r="H2317" i="12"/>
  <c r="G2317" i="12"/>
  <c r="N2316" i="12"/>
  <c r="K2316" i="12"/>
  <c r="J2316" i="12"/>
  <c r="H2316" i="12"/>
  <c r="G2316" i="12"/>
  <c r="N2315" i="12"/>
  <c r="K2315" i="12"/>
  <c r="J2315" i="12"/>
  <c r="H2315" i="12"/>
  <c r="G2315" i="12"/>
  <c r="N2314" i="12"/>
  <c r="K2314" i="12"/>
  <c r="J2314" i="12"/>
  <c r="H2314" i="12"/>
  <c r="G2314" i="12"/>
  <c r="N2313" i="12"/>
  <c r="K2313" i="12"/>
  <c r="J2313" i="12"/>
  <c r="H2313" i="12"/>
  <c r="G2313" i="12"/>
  <c r="N2312" i="12"/>
  <c r="K2312" i="12"/>
  <c r="J2312" i="12"/>
  <c r="H2312" i="12"/>
  <c r="G2312" i="12"/>
  <c r="N2311" i="12"/>
  <c r="K2311" i="12"/>
  <c r="J2311" i="12"/>
  <c r="H2311" i="12"/>
  <c r="G2311" i="12"/>
  <c r="N2310" i="12"/>
  <c r="K2310" i="12"/>
  <c r="J2310" i="12"/>
  <c r="H2310" i="12"/>
  <c r="G2310" i="12"/>
  <c r="N2309" i="12"/>
  <c r="K2309" i="12"/>
  <c r="J2309" i="12"/>
  <c r="H2309" i="12"/>
  <c r="G2309" i="12"/>
  <c r="N2308" i="12"/>
  <c r="K2308" i="12"/>
  <c r="J2308" i="12"/>
  <c r="H2308" i="12"/>
  <c r="G2308" i="12"/>
  <c r="N2307" i="12"/>
  <c r="K2307" i="12"/>
  <c r="J2307" i="12"/>
  <c r="H2307" i="12"/>
  <c r="G2307" i="12"/>
  <c r="N2306" i="12"/>
  <c r="K2306" i="12"/>
  <c r="J2306" i="12"/>
  <c r="H2306" i="12"/>
  <c r="G2306" i="12"/>
  <c r="N2305" i="12"/>
  <c r="K2305" i="12"/>
  <c r="J2305" i="12"/>
  <c r="H2305" i="12"/>
  <c r="G2305" i="12"/>
  <c r="N2304" i="12"/>
  <c r="K2304" i="12"/>
  <c r="J2304" i="12"/>
  <c r="H2304" i="12"/>
  <c r="G2304" i="12"/>
  <c r="N2303" i="12"/>
  <c r="K2303" i="12"/>
  <c r="J2303" i="12"/>
  <c r="H2303" i="12"/>
  <c r="G2303" i="12"/>
  <c r="N2302" i="12"/>
  <c r="K2302" i="12"/>
  <c r="J2302" i="12"/>
  <c r="H2302" i="12"/>
  <c r="G2302" i="12"/>
  <c r="N2301" i="12"/>
  <c r="K2301" i="12"/>
  <c r="J2301" i="12"/>
  <c r="H2301" i="12"/>
  <c r="G2301" i="12"/>
  <c r="N2300" i="12"/>
  <c r="K2300" i="12"/>
  <c r="J2300" i="12"/>
  <c r="H2300" i="12"/>
  <c r="G2300" i="12"/>
  <c r="N2299" i="12"/>
  <c r="K2299" i="12"/>
  <c r="J2299" i="12"/>
  <c r="H2299" i="12"/>
  <c r="G2299" i="12"/>
  <c r="N2298" i="12"/>
  <c r="K2298" i="12"/>
  <c r="J2298" i="12"/>
  <c r="H2298" i="12"/>
  <c r="G2298" i="12"/>
  <c r="N2297" i="12"/>
  <c r="K2297" i="12"/>
  <c r="J2297" i="12"/>
  <c r="H2297" i="12"/>
  <c r="G2297" i="12"/>
  <c r="N2296" i="12"/>
  <c r="K2296" i="12"/>
  <c r="J2296" i="12"/>
  <c r="H2296" i="12"/>
  <c r="G2296" i="12"/>
  <c r="N2295" i="12"/>
  <c r="K2295" i="12"/>
  <c r="J2295" i="12"/>
  <c r="H2295" i="12"/>
  <c r="G2295" i="12"/>
  <c r="N2294" i="12"/>
  <c r="K2294" i="12"/>
  <c r="J2294" i="12"/>
  <c r="H2294" i="12"/>
  <c r="G2294" i="12"/>
  <c r="N2293" i="12"/>
  <c r="K2293" i="12"/>
  <c r="J2293" i="12"/>
  <c r="H2293" i="12"/>
  <c r="G2293" i="12"/>
  <c r="N2292" i="12"/>
  <c r="K2292" i="12"/>
  <c r="J2292" i="12"/>
  <c r="H2292" i="12"/>
  <c r="G2292" i="12"/>
  <c r="N2291" i="12"/>
  <c r="K2291" i="12"/>
  <c r="J2291" i="12"/>
  <c r="H2291" i="12"/>
  <c r="G2291" i="12"/>
  <c r="N2290" i="12"/>
  <c r="K2290" i="12"/>
  <c r="J2290" i="12"/>
  <c r="H2290" i="12"/>
  <c r="G2290" i="12"/>
  <c r="N2289" i="12"/>
  <c r="K2289" i="12"/>
  <c r="J2289" i="12"/>
  <c r="H2289" i="12"/>
  <c r="G2289" i="12"/>
  <c r="N2288" i="12"/>
  <c r="K2288" i="12"/>
  <c r="J2288" i="12"/>
  <c r="H2288" i="12"/>
  <c r="G2288" i="12"/>
  <c r="N2287" i="12"/>
  <c r="K2287" i="12"/>
  <c r="J2287" i="12"/>
  <c r="H2287" i="12"/>
  <c r="G2287" i="12"/>
  <c r="N2286" i="12"/>
  <c r="K2286" i="12"/>
  <c r="J2286" i="12"/>
  <c r="H2286" i="12"/>
  <c r="G2286" i="12"/>
  <c r="N2285" i="12"/>
  <c r="K2285" i="12"/>
  <c r="J2285" i="12"/>
  <c r="H2285" i="12"/>
  <c r="G2285" i="12"/>
  <c r="N2284" i="12"/>
  <c r="K2284" i="12"/>
  <c r="J2284" i="12"/>
  <c r="H2284" i="12"/>
  <c r="G2284" i="12"/>
  <c r="N2283" i="12"/>
  <c r="K2283" i="12"/>
  <c r="J2283" i="12"/>
  <c r="H2283" i="12"/>
  <c r="G2283" i="12"/>
  <c r="N2282" i="12"/>
  <c r="K2282" i="12"/>
  <c r="J2282" i="12"/>
  <c r="H2282" i="12"/>
  <c r="G2282" i="12"/>
  <c r="N2281" i="12"/>
  <c r="K2281" i="12"/>
  <c r="J2281" i="12"/>
  <c r="H2281" i="12"/>
  <c r="G2281" i="12"/>
  <c r="N2280" i="12"/>
  <c r="K2280" i="12"/>
  <c r="J2280" i="12"/>
  <c r="H2280" i="12"/>
  <c r="G2280" i="12"/>
  <c r="N2279" i="12"/>
  <c r="K2279" i="12"/>
  <c r="J2279" i="12"/>
  <c r="H2279" i="12"/>
  <c r="G2279" i="12"/>
  <c r="N2278" i="12"/>
  <c r="K2278" i="12"/>
  <c r="J2278" i="12"/>
  <c r="H2278" i="12"/>
  <c r="G2278" i="12"/>
  <c r="N2277" i="12"/>
  <c r="K2277" i="12"/>
  <c r="J2277" i="12"/>
  <c r="H2277" i="12"/>
  <c r="G2277" i="12"/>
  <c r="N2276" i="12"/>
  <c r="K2276" i="12"/>
  <c r="J2276" i="12"/>
  <c r="H2276" i="12"/>
  <c r="G2276" i="12"/>
  <c r="N2275" i="12"/>
  <c r="K2275" i="12"/>
  <c r="J2275" i="12"/>
  <c r="H2275" i="12"/>
  <c r="G2275" i="12"/>
  <c r="N2274" i="12"/>
  <c r="K2274" i="12"/>
  <c r="J2274" i="12"/>
  <c r="H2274" i="12"/>
  <c r="G2274" i="12"/>
  <c r="N2273" i="12"/>
  <c r="K2273" i="12"/>
  <c r="J2273" i="12"/>
  <c r="H2273" i="12"/>
  <c r="G2273" i="12"/>
  <c r="N2272" i="12"/>
  <c r="K2272" i="12"/>
  <c r="J2272" i="12"/>
  <c r="H2272" i="12"/>
  <c r="G2272" i="12"/>
  <c r="N2271" i="12"/>
  <c r="K2271" i="12"/>
  <c r="J2271" i="12"/>
  <c r="H2271" i="12"/>
  <c r="G2271" i="12"/>
  <c r="N2270" i="12"/>
  <c r="K2270" i="12"/>
  <c r="J2270" i="12"/>
  <c r="H2270" i="12"/>
  <c r="G2270" i="12"/>
  <c r="N2269" i="12"/>
  <c r="K2269" i="12"/>
  <c r="J2269" i="12"/>
  <c r="H2269" i="12"/>
  <c r="G2269" i="12"/>
  <c r="N2268" i="12"/>
  <c r="K2268" i="12"/>
  <c r="J2268" i="12"/>
  <c r="H2268" i="12"/>
  <c r="G2268" i="12"/>
  <c r="N2267" i="12"/>
  <c r="K2267" i="12"/>
  <c r="J2267" i="12"/>
  <c r="H2267" i="12"/>
  <c r="G2267" i="12"/>
  <c r="N2266" i="12"/>
  <c r="K2266" i="12"/>
  <c r="J2266" i="12"/>
  <c r="H2266" i="12"/>
  <c r="G2266" i="12"/>
  <c r="N2265" i="12"/>
  <c r="K2265" i="12"/>
  <c r="J2265" i="12"/>
  <c r="H2265" i="12"/>
  <c r="G2265" i="12"/>
  <c r="N2264" i="12"/>
  <c r="K2264" i="12"/>
  <c r="J2264" i="12"/>
  <c r="H2264" i="12"/>
  <c r="G2264" i="12"/>
  <c r="N2263" i="12"/>
  <c r="K2263" i="12"/>
  <c r="J2263" i="12"/>
  <c r="H2263" i="12"/>
  <c r="G2263" i="12"/>
  <c r="N2262" i="12"/>
  <c r="K2262" i="12"/>
  <c r="J2262" i="12"/>
  <c r="H2262" i="12"/>
  <c r="G2262" i="12"/>
  <c r="N2261" i="12"/>
  <c r="K2261" i="12"/>
  <c r="J2261" i="12"/>
  <c r="H2261" i="12"/>
  <c r="G2261" i="12"/>
  <c r="N2260" i="12"/>
  <c r="K2260" i="12"/>
  <c r="J2260" i="12"/>
  <c r="H2260" i="12"/>
  <c r="G2260" i="12"/>
  <c r="N2259" i="12"/>
  <c r="K2259" i="12"/>
  <c r="J2259" i="12"/>
  <c r="H2259" i="12"/>
  <c r="G2259" i="12"/>
  <c r="N2258" i="12"/>
  <c r="K2258" i="12"/>
  <c r="J2258" i="12"/>
  <c r="H2258" i="12"/>
  <c r="G2258" i="12"/>
  <c r="N2257" i="12"/>
  <c r="K2257" i="12"/>
  <c r="J2257" i="12"/>
  <c r="H2257" i="12"/>
  <c r="G2257" i="12"/>
  <c r="N2256" i="12"/>
  <c r="K2256" i="12"/>
  <c r="J2256" i="12"/>
  <c r="H2256" i="12"/>
  <c r="G2256" i="12"/>
  <c r="N2255" i="12"/>
  <c r="K2255" i="12"/>
  <c r="J2255" i="12"/>
  <c r="H2255" i="12"/>
  <c r="G2255" i="12"/>
  <c r="N2254" i="12"/>
  <c r="K2254" i="12"/>
  <c r="J2254" i="12"/>
  <c r="H2254" i="12"/>
  <c r="G2254" i="12"/>
  <c r="N2253" i="12"/>
  <c r="K2253" i="12"/>
  <c r="J2253" i="12"/>
  <c r="H2253" i="12"/>
  <c r="G2253" i="12"/>
  <c r="N2252" i="12"/>
  <c r="K2252" i="12"/>
  <c r="J2252" i="12"/>
  <c r="H2252" i="12"/>
  <c r="G2252" i="12"/>
  <c r="N2251" i="12"/>
  <c r="K2251" i="12"/>
  <c r="J2251" i="12"/>
  <c r="H2251" i="12"/>
  <c r="G2251" i="12"/>
  <c r="N2250" i="12"/>
  <c r="K2250" i="12"/>
  <c r="J2250" i="12"/>
  <c r="H2250" i="12"/>
  <c r="G2250" i="12"/>
  <c r="N2249" i="12"/>
  <c r="K2249" i="12"/>
  <c r="J2249" i="12"/>
  <c r="H2249" i="12"/>
  <c r="G2249" i="12"/>
  <c r="N2248" i="12"/>
  <c r="K2248" i="12"/>
  <c r="J2248" i="12"/>
  <c r="H2248" i="12"/>
  <c r="G2248" i="12"/>
  <c r="N2247" i="12"/>
  <c r="K2247" i="12"/>
  <c r="J2247" i="12"/>
  <c r="H2247" i="12"/>
  <c r="G2247" i="12"/>
  <c r="N2246" i="12"/>
  <c r="K2246" i="12"/>
  <c r="J2246" i="12"/>
  <c r="H2246" i="12"/>
  <c r="G2246" i="12"/>
  <c r="N2245" i="12"/>
  <c r="K2245" i="12"/>
  <c r="J2245" i="12"/>
  <c r="H2245" i="12"/>
  <c r="G2245" i="12"/>
  <c r="N2244" i="12"/>
  <c r="K2244" i="12"/>
  <c r="J2244" i="12"/>
  <c r="H2244" i="12"/>
  <c r="G2244" i="12"/>
  <c r="N2243" i="12"/>
  <c r="K2243" i="12"/>
  <c r="J2243" i="12"/>
  <c r="H2243" i="12"/>
  <c r="G2243" i="12"/>
  <c r="N2242" i="12"/>
  <c r="K2242" i="12"/>
  <c r="J2242" i="12"/>
  <c r="H2242" i="12"/>
  <c r="G2242" i="12"/>
  <c r="N2241" i="12"/>
  <c r="K2241" i="12"/>
  <c r="J2241" i="12"/>
  <c r="H2241" i="12"/>
  <c r="G2241" i="12"/>
  <c r="N2240" i="12"/>
  <c r="K2240" i="12"/>
  <c r="J2240" i="12"/>
  <c r="H2240" i="12"/>
  <c r="G2240" i="12"/>
  <c r="N2239" i="12"/>
  <c r="K2239" i="12"/>
  <c r="J2239" i="12"/>
  <c r="H2239" i="12"/>
  <c r="G2239" i="12"/>
  <c r="N2238" i="12"/>
  <c r="K2238" i="12"/>
  <c r="J2238" i="12"/>
  <c r="H2238" i="12"/>
  <c r="G2238" i="12"/>
  <c r="N2237" i="12"/>
  <c r="K2237" i="12"/>
  <c r="J2237" i="12"/>
  <c r="H2237" i="12"/>
  <c r="G2237" i="12"/>
  <c r="N2236" i="12"/>
  <c r="K2236" i="12"/>
  <c r="J2236" i="12"/>
  <c r="H2236" i="12"/>
  <c r="G2236" i="12"/>
  <c r="N2235" i="12"/>
  <c r="K2235" i="12"/>
  <c r="J2235" i="12"/>
  <c r="H2235" i="12"/>
  <c r="G2235" i="12"/>
  <c r="N2234" i="12"/>
  <c r="K2234" i="12"/>
  <c r="J2234" i="12"/>
  <c r="H2234" i="12"/>
  <c r="G2234" i="12"/>
  <c r="N2233" i="12"/>
  <c r="K2233" i="12"/>
  <c r="J2233" i="12"/>
  <c r="H2233" i="12"/>
  <c r="G2233" i="12"/>
  <c r="N2232" i="12"/>
  <c r="K2232" i="12"/>
  <c r="J2232" i="12"/>
  <c r="H2232" i="12"/>
  <c r="G2232" i="12"/>
  <c r="N2231" i="12"/>
  <c r="K2231" i="12"/>
  <c r="J2231" i="12"/>
  <c r="H2231" i="12"/>
  <c r="G2231" i="12"/>
  <c r="N2230" i="12"/>
  <c r="K2230" i="12"/>
  <c r="J2230" i="12"/>
  <c r="H2230" i="12"/>
  <c r="G2230" i="12"/>
  <c r="N2229" i="12"/>
  <c r="K2229" i="12"/>
  <c r="J2229" i="12"/>
  <c r="H2229" i="12"/>
  <c r="G2229" i="12"/>
  <c r="N2228" i="12"/>
  <c r="K2228" i="12"/>
  <c r="J2228" i="12"/>
  <c r="H2228" i="12"/>
  <c r="G2228" i="12"/>
  <c r="N2227" i="12"/>
  <c r="K2227" i="12"/>
  <c r="J2227" i="12"/>
  <c r="H2227" i="12"/>
  <c r="G2227" i="12"/>
  <c r="N2226" i="12"/>
  <c r="K2226" i="12"/>
  <c r="J2226" i="12"/>
  <c r="H2226" i="12"/>
  <c r="G2226" i="12"/>
  <c r="N2225" i="12"/>
  <c r="K2225" i="12"/>
  <c r="J2225" i="12"/>
  <c r="H2225" i="12"/>
  <c r="G2225" i="12"/>
  <c r="N2224" i="12"/>
  <c r="K2224" i="12"/>
  <c r="J2224" i="12"/>
  <c r="H2224" i="12"/>
  <c r="G2224" i="12"/>
  <c r="N2223" i="12"/>
  <c r="K2223" i="12"/>
  <c r="J2223" i="12"/>
  <c r="H2223" i="12"/>
  <c r="G2223" i="12"/>
  <c r="N2222" i="12"/>
  <c r="K2222" i="12"/>
  <c r="J2222" i="12"/>
  <c r="H2222" i="12"/>
  <c r="G2222" i="12"/>
  <c r="N2221" i="12"/>
  <c r="K2221" i="12"/>
  <c r="J2221" i="12"/>
  <c r="H2221" i="12"/>
  <c r="G2221" i="12"/>
  <c r="N2220" i="12"/>
  <c r="K2220" i="12"/>
  <c r="J2220" i="12"/>
  <c r="H2220" i="12"/>
  <c r="G2220" i="12"/>
  <c r="N2219" i="12"/>
  <c r="K2219" i="12"/>
  <c r="J2219" i="12"/>
  <c r="H2219" i="12"/>
  <c r="G2219" i="12"/>
  <c r="N2218" i="12"/>
  <c r="K2218" i="12"/>
  <c r="J2218" i="12"/>
  <c r="H2218" i="12"/>
  <c r="G2218" i="12"/>
  <c r="N2217" i="12"/>
  <c r="K2217" i="12"/>
  <c r="J2217" i="12"/>
  <c r="H2217" i="12"/>
  <c r="G2217" i="12"/>
  <c r="N2216" i="12"/>
  <c r="K2216" i="12"/>
  <c r="J2216" i="12"/>
  <c r="H2216" i="12"/>
  <c r="G2216" i="12"/>
  <c r="N2215" i="12"/>
  <c r="K2215" i="12"/>
  <c r="J2215" i="12"/>
  <c r="H2215" i="12"/>
  <c r="G2215" i="12"/>
  <c r="N2214" i="12"/>
  <c r="K2214" i="12"/>
  <c r="J2214" i="12"/>
  <c r="H2214" i="12"/>
  <c r="G2214" i="12"/>
  <c r="N2213" i="12"/>
  <c r="K2213" i="12"/>
  <c r="J2213" i="12"/>
  <c r="H2213" i="12"/>
  <c r="G2213" i="12"/>
  <c r="N2212" i="12"/>
  <c r="K2212" i="12"/>
  <c r="J2212" i="12"/>
  <c r="H2212" i="12"/>
  <c r="G2212" i="12"/>
  <c r="N2211" i="12"/>
  <c r="K2211" i="12"/>
  <c r="J2211" i="12"/>
  <c r="H2211" i="12"/>
  <c r="G2211" i="12"/>
  <c r="N2210" i="12"/>
  <c r="K2210" i="12"/>
  <c r="J2210" i="12"/>
  <c r="H2210" i="12"/>
  <c r="G2210" i="12"/>
  <c r="N2209" i="12"/>
  <c r="K2209" i="12"/>
  <c r="J2209" i="12"/>
  <c r="H2209" i="12"/>
  <c r="G2209" i="12"/>
  <c r="N2208" i="12"/>
  <c r="K2208" i="12"/>
  <c r="J2208" i="12"/>
  <c r="H2208" i="12"/>
  <c r="G2208" i="12"/>
  <c r="N2207" i="12"/>
  <c r="K2207" i="12"/>
  <c r="J2207" i="12"/>
  <c r="H2207" i="12"/>
  <c r="G2207" i="12"/>
  <c r="N2206" i="12"/>
  <c r="K2206" i="12"/>
  <c r="J2206" i="12"/>
  <c r="H2206" i="12"/>
  <c r="G2206" i="12"/>
  <c r="N2205" i="12"/>
  <c r="K2205" i="12"/>
  <c r="J2205" i="12"/>
  <c r="H2205" i="12"/>
  <c r="G2205" i="12"/>
  <c r="N2204" i="12"/>
  <c r="K2204" i="12"/>
  <c r="J2204" i="12"/>
  <c r="H2204" i="12"/>
  <c r="G2204" i="12"/>
  <c r="N2203" i="12"/>
  <c r="K2203" i="12"/>
  <c r="J2203" i="12"/>
  <c r="H2203" i="12"/>
  <c r="G2203" i="12"/>
  <c r="N2202" i="12"/>
  <c r="K2202" i="12"/>
  <c r="J2202" i="12"/>
  <c r="H2202" i="12"/>
  <c r="G2202" i="12"/>
  <c r="N2201" i="12"/>
  <c r="K2201" i="12"/>
  <c r="J2201" i="12"/>
  <c r="H2201" i="12"/>
  <c r="G2201" i="12"/>
  <c r="N2200" i="12"/>
  <c r="K2200" i="12"/>
  <c r="J2200" i="12"/>
  <c r="H2200" i="12"/>
  <c r="G2200" i="12"/>
  <c r="N2199" i="12"/>
  <c r="K2199" i="12"/>
  <c r="J2199" i="12"/>
  <c r="H2199" i="12"/>
  <c r="G2199" i="12"/>
  <c r="N2198" i="12"/>
  <c r="K2198" i="12"/>
  <c r="J2198" i="12"/>
  <c r="H2198" i="12"/>
  <c r="G2198" i="12"/>
  <c r="N2197" i="12"/>
  <c r="K2197" i="12"/>
  <c r="J2197" i="12"/>
  <c r="H2197" i="12"/>
  <c r="G2197" i="12"/>
  <c r="N2196" i="12"/>
  <c r="K2196" i="12"/>
  <c r="J2196" i="12"/>
  <c r="H2196" i="12"/>
  <c r="G2196" i="12"/>
  <c r="N2195" i="12"/>
  <c r="K2195" i="12"/>
  <c r="J2195" i="12"/>
  <c r="H2195" i="12"/>
  <c r="G2195" i="12"/>
  <c r="N2194" i="12"/>
  <c r="K2194" i="12"/>
  <c r="J2194" i="12"/>
  <c r="H2194" i="12"/>
  <c r="G2194" i="12"/>
  <c r="N2193" i="12"/>
  <c r="K2193" i="12"/>
  <c r="J2193" i="12"/>
  <c r="H2193" i="12"/>
  <c r="G2193" i="12"/>
  <c r="N2192" i="12"/>
  <c r="K2192" i="12"/>
  <c r="J2192" i="12"/>
  <c r="H2192" i="12"/>
  <c r="G2192" i="12"/>
  <c r="N2191" i="12"/>
  <c r="K2191" i="12"/>
  <c r="J2191" i="12"/>
  <c r="H2191" i="12"/>
  <c r="G2191" i="12"/>
  <c r="N2190" i="12"/>
  <c r="K2190" i="12"/>
  <c r="J2190" i="12"/>
  <c r="H2190" i="12"/>
  <c r="G2190" i="12"/>
  <c r="N2189" i="12"/>
  <c r="K2189" i="12"/>
  <c r="J2189" i="12"/>
  <c r="H2189" i="12"/>
  <c r="G2189" i="12"/>
  <c r="N2188" i="12"/>
  <c r="K2188" i="12"/>
  <c r="J2188" i="12"/>
  <c r="H2188" i="12"/>
  <c r="G2188" i="12"/>
  <c r="N2187" i="12"/>
  <c r="K2187" i="12"/>
  <c r="J2187" i="12"/>
  <c r="H2187" i="12"/>
  <c r="G2187" i="12"/>
  <c r="N2186" i="12"/>
  <c r="K2186" i="12"/>
  <c r="J2186" i="12"/>
  <c r="H2186" i="12"/>
  <c r="G2186" i="12"/>
  <c r="N2185" i="12"/>
  <c r="K2185" i="12"/>
  <c r="J2185" i="12"/>
  <c r="H2185" i="12"/>
  <c r="G2185" i="12"/>
  <c r="N2184" i="12"/>
  <c r="K2184" i="12"/>
  <c r="J2184" i="12"/>
  <c r="H2184" i="12"/>
  <c r="G2184" i="12"/>
  <c r="N2183" i="12"/>
  <c r="K2183" i="12"/>
  <c r="J2183" i="12"/>
  <c r="H2183" i="12"/>
  <c r="G2183" i="12"/>
  <c r="N2182" i="12"/>
  <c r="K2182" i="12"/>
  <c r="J2182" i="12"/>
  <c r="H2182" i="12"/>
  <c r="G2182" i="12"/>
  <c r="N2181" i="12"/>
  <c r="K2181" i="12"/>
  <c r="J2181" i="12"/>
  <c r="H2181" i="12"/>
  <c r="G2181" i="12"/>
  <c r="N2180" i="12"/>
  <c r="K2180" i="12"/>
  <c r="J2180" i="12"/>
  <c r="H2180" i="12"/>
  <c r="G2180" i="12"/>
  <c r="N2179" i="12"/>
  <c r="K2179" i="12"/>
  <c r="J2179" i="12"/>
  <c r="H2179" i="12"/>
  <c r="G2179" i="12"/>
  <c r="N2178" i="12"/>
  <c r="K2178" i="12"/>
  <c r="J2178" i="12"/>
  <c r="H2178" i="12"/>
  <c r="G2178" i="12"/>
  <c r="N2177" i="12"/>
  <c r="K2177" i="12"/>
  <c r="J2177" i="12"/>
  <c r="H2177" i="12"/>
  <c r="G2177" i="12"/>
  <c r="N2176" i="12"/>
  <c r="K2176" i="12"/>
  <c r="J2176" i="12"/>
  <c r="H2176" i="12"/>
  <c r="G2176" i="12"/>
  <c r="N2175" i="12"/>
  <c r="K2175" i="12"/>
  <c r="J2175" i="12"/>
  <c r="H2175" i="12"/>
  <c r="G2175" i="12"/>
  <c r="N2174" i="12"/>
  <c r="K2174" i="12"/>
  <c r="J2174" i="12"/>
  <c r="H2174" i="12"/>
  <c r="G2174" i="12"/>
  <c r="N2173" i="12"/>
  <c r="K2173" i="12"/>
  <c r="J2173" i="12"/>
  <c r="H2173" i="12"/>
  <c r="G2173" i="12"/>
  <c r="N2172" i="12"/>
  <c r="K2172" i="12"/>
  <c r="J2172" i="12"/>
  <c r="H2172" i="12"/>
  <c r="G2172" i="12"/>
  <c r="N2171" i="12"/>
  <c r="K2171" i="12"/>
  <c r="J2171" i="12"/>
  <c r="H2171" i="12"/>
  <c r="G2171" i="12"/>
  <c r="N2170" i="12"/>
  <c r="K2170" i="12"/>
  <c r="J2170" i="12"/>
  <c r="H2170" i="12"/>
  <c r="G2170" i="12"/>
  <c r="N2169" i="12"/>
  <c r="K2169" i="12"/>
  <c r="J2169" i="12"/>
  <c r="H2169" i="12"/>
  <c r="G2169" i="12"/>
  <c r="N2168" i="12"/>
  <c r="K2168" i="12"/>
  <c r="J2168" i="12"/>
  <c r="H2168" i="12"/>
  <c r="G2168" i="12"/>
  <c r="N2167" i="12"/>
  <c r="K2167" i="12"/>
  <c r="J2167" i="12"/>
  <c r="H2167" i="12"/>
  <c r="G2167" i="12"/>
  <c r="N2166" i="12"/>
  <c r="K2166" i="12"/>
  <c r="J2166" i="12"/>
  <c r="H2166" i="12"/>
  <c r="G2166" i="12"/>
  <c r="N2165" i="12"/>
  <c r="K2165" i="12"/>
  <c r="J2165" i="12"/>
  <c r="H2165" i="12"/>
  <c r="G2165" i="12"/>
  <c r="N2164" i="12"/>
  <c r="K2164" i="12"/>
  <c r="J2164" i="12"/>
  <c r="H2164" i="12"/>
  <c r="G2164" i="12"/>
  <c r="N2163" i="12"/>
  <c r="K2163" i="12"/>
  <c r="J2163" i="12"/>
  <c r="H2163" i="12"/>
  <c r="G2163" i="12"/>
  <c r="N2162" i="12"/>
  <c r="K2162" i="12"/>
  <c r="J2162" i="12"/>
  <c r="H2162" i="12"/>
  <c r="G2162" i="12"/>
  <c r="N2161" i="12"/>
  <c r="K2161" i="12"/>
  <c r="J2161" i="12"/>
  <c r="H2161" i="12"/>
  <c r="G2161" i="12"/>
  <c r="N2160" i="12"/>
  <c r="K2160" i="12"/>
  <c r="J2160" i="12"/>
  <c r="H2160" i="12"/>
  <c r="G2160" i="12"/>
  <c r="N2159" i="12"/>
  <c r="K2159" i="12"/>
  <c r="J2159" i="12"/>
  <c r="H2159" i="12"/>
  <c r="G2159" i="12"/>
  <c r="N2158" i="12"/>
  <c r="K2158" i="12"/>
  <c r="J2158" i="12"/>
  <c r="H2158" i="12"/>
  <c r="G2158" i="12"/>
  <c r="N2157" i="12"/>
  <c r="K2157" i="12"/>
  <c r="J2157" i="12"/>
  <c r="H2157" i="12"/>
  <c r="G2157" i="12"/>
  <c r="N2156" i="12"/>
  <c r="K2156" i="12"/>
  <c r="J2156" i="12"/>
  <c r="H2156" i="12"/>
  <c r="G2156" i="12"/>
  <c r="N2155" i="12"/>
  <c r="K2155" i="12"/>
  <c r="J2155" i="12"/>
  <c r="H2155" i="12"/>
  <c r="G2155" i="12"/>
  <c r="N2154" i="12"/>
  <c r="K2154" i="12"/>
  <c r="J2154" i="12"/>
  <c r="H2154" i="12"/>
  <c r="G2154" i="12"/>
  <c r="N2153" i="12"/>
  <c r="K2153" i="12"/>
  <c r="J2153" i="12"/>
  <c r="H2153" i="12"/>
  <c r="G2153" i="12"/>
  <c r="N2152" i="12"/>
  <c r="K2152" i="12"/>
  <c r="J2152" i="12"/>
  <c r="H2152" i="12"/>
  <c r="G2152" i="12"/>
  <c r="N2151" i="12"/>
  <c r="K2151" i="12"/>
  <c r="J2151" i="12"/>
  <c r="H2151" i="12"/>
  <c r="G2151" i="12"/>
  <c r="N2150" i="12"/>
  <c r="K2150" i="12"/>
  <c r="J2150" i="12"/>
  <c r="H2150" i="12"/>
  <c r="G2150" i="12"/>
  <c r="N2149" i="12"/>
  <c r="K2149" i="12"/>
  <c r="J2149" i="12"/>
  <c r="H2149" i="12"/>
  <c r="G2149" i="12"/>
  <c r="N2148" i="12"/>
  <c r="K2148" i="12"/>
  <c r="J2148" i="12"/>
  <c r="H2148" i="12"/>
  <c r="G2148" i="12"/>
  <c r="N2147" i="12"/>
  <c r="K2147" i="12"/>
  <c r="J2147" i="12"/>
  <c r="H2147" i="12"/>
  <c r="G2147" i="12"/>
  <c r="N2146" i="12"/>
  <c r="K2146" i="12"/>
  <c r="J2146" i="12"/>
  <c r="H2146" i="12"/>
  <c r="G2146" i="12"/>
  <c r="N2145" i="12"/>
  <c r="K2145" i="12"/>
  <c r="J2145" i="12"/>
  <c r="H2145" i="12"/>
  <c r="G2145" i="12"/>
  <c r="N2144" i="12"/>
  <c r="K2144" i="12"/>
  <c r="J2144" i="12"/>
  <c r="H2144" i="12"/>
  <c r="G2144" i="12"/>
  <c r="N2143" i="12"/>
  <c r="K2143" i="12"/>
  <c r="J2143" i="12"/>
  <c r="H2143" i="12"/>
  <c r="G2143" i="12"/>
  <c r="N2142" i="12"/>
  <c r="K2142" i="12"/>
  <c r="J2142" i="12"/>
  <c r="H2142" i="12"/>
  <c r="G2142" i="12"/>
  <c r="N2141" i="12"/>
  <c r="K2141" i="12"/>
  <c r="J2141" i="12"/>
  <c r="H2141" i="12"/>
  <c r="G2141" i="12"/>
  <c r="N2140" i="12"/>
  <c r="K2140" i="12"/>
  <c r="J2140" i="12"/>
  <c r="H2140" i="12"/>
  <c r="G2140" i="12"/>
  <c r="N2139" i="12"/>
  <c r="K2139" i="12"/>
  <c r="J2139" i="12"/>
  <c r="H2139" i="12"/>
  <c r="G2139" i="12"/>
  <c r="N2138" i="12"/>
  <c r="K2138" i="12"/>
  <c r="J2138" i="12"/>
  <c r="H2138" i="12"/>
  <c r="G2138" i="12"/>
  <c r="N2137" i="12"/>
  <c r="K2137" i="12"/>
  <c r="J2137" i="12"/>
  <c r="H2137" i="12"/>
  <c r="G2137" i="12"/>
  <c r="N2136" i="12"/>
  <c r="K2136" i="12"/>
  <c r="J2136" i="12"/>
  <c r="H2136" i="12"/>
  <c r="G2136" i="12"/>
  <c r="N2135" i="12"/>
  <c r="K2135" i="12"/>
  <c r="J2135" i="12"/>
  <c r="H2135" i="12"/>
  <c r="G2135" i="12"/>
  <c r="N2134" i="12"/>
  <c r="K2134" i="12"/>
  <c r="J2134" i="12"/>
  <c r="H2134" i="12"/>
  <c r="G2134" i="12"/>
  <c r="N2133" i="12"/>
  <c r="K2133" i="12"/>
  <c r="J2133" i="12"/>
  <c r="H2133" i="12"/>
  <c r="G2133" i="12"/>
  <c r="N2132" i="12"/>
  <c r="K2132" i="12"/>
  <c r="J2132" i="12"/>
  <c r="H2132" i="12"/>
  <c r="G2132" i="12"/>
  <c r="N2131" i="12"/>
  <c r="K2131" i="12"/>
  <c r="J2131" i="12"/>
  <c r="H2131" i="12"/>
  <c r="G2131" i="12"/>
  <c r="N2130" i="12"/>
  <c r="K2130" i="12"/>
  <c r="J2130" i="12"/>
  <c r="H2130" i="12"/>
  <c r="G2130" i="12"/>
  <c r="N2129" i="12"/>
  <c r="K2129" i="12"/>
  <c r="J2129" i="12"/>
  <c r="H2129" i="12"/>
  <c r="G2129" i="12"/>
  <c r="N2128" i="12"/>
  <c r="K2128" i="12"/>
  <c r="J2128" i="12"/>
  <c r="H2128" i="12"/>
  <c r="G2128" i="12"/>
  <c r="N2127" i="12"/>
  <c r="K2127" i="12"/>
  <c r="J2127" i="12"/>
  <c r="H2127" i="12"/>
  <c r="G2127" i="12"/>
  <c r="N2126" i="12"/>
  <c r="K2126" i="12"/>
  <c r="J2126" i="12"/>
  <c r="H2126" i="12"/>
  <c r="G2126" i="12"/>
  <c r="N2125" i="12"/>
  <c r="K2125" i="12"/>
  <c r="J2125" i="12"/>
  <c r="H2125" i="12"/>
  <c r="G2125" i="12"/>
  <c r="N2124" i="12"/>
  <c r="K2124" i="12"/>
  <c r="J2124" i="12"/>
  <c r="H2124" i="12"/>
  <c r="G2124" i="12"/>
  <c r="N2123" i="12"/>
  <c r="K2123" i="12"/>
  <c r="J2123" i="12"/>
  <c r="H2123" i="12"/>
  <c r="G2123" i="12"/>
  <c r="N2122" i="12"/>
  <c r="K2122" i="12"/>
  <c r="J2122" i="12"/>
  <c r="H2122" i="12"/>
  <c r="G2122" i="12"/>
  <c r="N2121" i="12"/>
  <c r="K2121" i="12"/>
  <c r="J2121" i="12"/>
  <c r="H2121" i="12"/>
  <c r="G2121" i="12"/>
  <c r="N2120" i="12"/>
  <c r="K2120" i="12"/>
  <c r="J2120" i="12"/>
  <c r="H2120" i="12"/>
  <c r="G2120" i="12"/>
  <c r="N2119" i="12"/>
  <c r="K2119" i="12"/>
  <c r="J2119" i="12"/>
  <c r="H2119" i="12"/>
  <c r="G2119" i="12"/>
  <c r="N2118" i="12"/>
  <c r="K2118" i="12"/>
  <c r="J2118" i="12"/>
  <c r="H2118" i="12"/>
  <c r="G2118" i="12"/>
  <c r="N2117" i="12"/>
  <c r="K2117" i="12"/>
  <c r="J2117" i="12"/>
  <c r="H2117" i="12"/>
  <c r="G2117" i="12"/>
  <c r="N2116" i="12"/>
  <c r="K2116" i="12"/>
  <c r="J2116" i="12"/>
  <c r="H2116" i="12"/>
  <c r="G2116" i="12"/>
  <c r="N2115" i="12"/>
  <c r="K2115" i="12"/>
  <c r="J2115" i="12"/>
  <c r="H2115" i="12"/>
  <c r="G2115" i="12"/>
  <c r="N2114" i="12"/>
  <c r="K2114" i="12"/>
  <c r="J2114" i="12"/>
  <c r="H2114" i="12"/>
  <c r="G2114" i="12"/>
  <c r="N2113" i="12"/>
  <c r="K2113" i="12"/>
  <c r="J2113" i="12"/>
  <c r="H2113" i="12"/>
  <c r="G2113" i="12"/>
  <c r="N2112" i="12"/>
  <c r="K2112" i="12"/>
  <c r="J2112" i="12"/>
  <c r="H2112" i="12"/>
  <c r="G2112" i="12"/>
  <c r="N2111" i="12"/>
  <c r="K2111" i="12"/>
  <c r="J2111" i="12"/>
  <c r="H2111" i="12"/>
  <c r="G2111" i="12"/>
  <c r="N2110" i="12"/>
  <c r="K2110" i="12"/>
  <c r="J2110" i="12"/>
  <c r="H2110" i="12"/>
  <c r="G2110" i="12"/>
  <c r="N2109" i="12"/>
  <c r="K2109" i="12"/>
  <c r="J2109" i="12"/>
  <c r="H2109" i="12"/>
  <c r="G2109" i="12"/>
  <c r="N2108" i="12"/>
  <c r="K2108" i="12"/>
  <c r="J2108" i="12"/>
  <c r="H2108" i="12"/>
  <c r="G2108" i="12"/>
  <c r="N2107" i="12"/>
  <c r="K2107" i="12"/>
  <c r="J2107" i="12"/>
  <c r="H2107" i="12"/>
  <c r="G2107" i="12"/>
  <c r="N2106" i="12"/>
  <c r="K2106" i="12"/>
  <c r="J2106" i="12"/>
  <c r="H2106" i="12"/>
  <c r="G2106" i="12"/>
  <c r="N2105" i="12"/>
  <c r="K2105" i="12"/>
  <c r="J2105" i="12"/>
  <c r="H2105" i="12"/>
  <c r="G2105" i="12"/>
  <c r="N2104" i="12"/>
  <c r="K2104" i="12"/>
  <c r="J2104" i="12"/>
  <c r="H2104" i="12"/>
  <c r="G2104" i="12"/>
  <c r="N2103" i="12"/>
  <c r="K2103" i="12"/>
  <c r="J2103" i="12"/>
  <c r="H2103" i="12"/>
  <c r="G2103" i="12"/>
  <c r="N2102" i="12"/>
  <c r="K2102" i="12"/>
  <c r="J2102" i="12"/>
  <c r="H2102" i="12"/>
  <c r="G2102" i="12"/>
  <c r="N2101" i="12"/>
  <c r="K2101" i="12"/>
  <c r="J2101" i="12"/>
  <c r="H2101" i="12"/>
  <c r="G2101" i="12"/>
  <c r="N2100" i="12"/>
  <c r="K2100" i="12"/>
  <c r="J2100" i="12"/>
  <c r="H2100" i="12"/>
  <c r="G2100" i="12"/>
  <c r="N2099" i="12"/>
  <c r="K2099" i="12"/>
  <c r="J2099" i="12"/>
  <c r="H2099" i="12"/>
  <c r="G2099" i="12"/>
  <c r="N2098" i="12"/>
  <c r="K2098" i="12"/>
  <c r="J2098" i="12"/>
  <c r="H2098" i="12"/>
  <c r="G2098" i="12"/>
  <c r="N2097" i="12"/>
  <c r="K2097" i="12"/>
  <c r="J2097" i="12"/>
  <c r="H2097" i="12"/>
  <c r="G2097" i="12"/>
  <c r="N2096" i="12"/>
  <c r="K2096" i="12"/>
  <c r="J2096" i="12"/>
  <c r="H2096" i="12"/>
  <c r="G2096" i="12"/>
  <c r="N2095" i="12"/>
  <c r="K2095" i="12"/>
  <c r="J2095" i="12"/>
  <c r="H2095" i="12"/>
  <c r="G2095" i="12"/>
  <c r="N2094" i="12"/>
  <c r="K2094" i="12"/>
  <c r="J2094" i="12"/>
  <c r="H2094" i="12"/>
  <c r="G2094" i="12"/>
  <c r="N2093" i="12"/>
  <c r="K2093" i="12"/>
  <c r="J2093" i="12"/>
  <c r="H2093" i="12"/>
  <c r="G2093" i="12"/>
  <c r="N2092" i="12"/>
  <c r="K2092" i="12"/>
  <c r="J2092" i="12"/>
  <c r="H2092" i="12"/>
  <c r="G2092" i="12"/>
  <c r="N2091" i="12"/>
  <c r="K2091" i="12"/>
  <c r="J2091" i="12"/>
  <c r="H2091" i="12"/>
  <c r="G2091" i="12"/>
  <c r="N2090" i="12"/>
  <c r="K2090" i="12"/>
  <c r="J2090" i="12"/>
  <c r="H2090" i="12"/>
  <c r="G2090" i="12"/>
  <c r="N2089" i="12"/>
  <c r="K2089" i="12"/>
  <c r="J2089" i="12"/>
  <c r="H2089" i="12"/>
  <c r="G2089" i="12"/>
  <c r="N2088" i="12"/>
  <c r="K2088" i="12"/>
  <c r="J2088" i="12"/>
  <c r="H2088" i="12"/>
  <c r="G2088" i="12"/>
  <c r="N2087" i="12"/>
  <c r="K2087" i="12"/>
  <c r="J2087" i="12"/>
  <c r="H2087" i="12"/>
  <c r="G2087" i="12"/>
  <c r="N2086" i="12"/>
  <c r="K2086" i="12"/>
  <c r="J2086" i="12"/>
  <c r="H2086" i="12"/>
  <c r="G2086" i="12"/>
  <c r="N2085" i="12"/>
  <c r="K2085" i="12"/>
  <c r="J2085" i="12"/>
  <c r="H2085" i="12"/>
  <c r="G2085" i="12"/>
  <c r="N2084" i="12"/>
  <c r="K2084" i="12"/>
  <c r="J2084" i="12"/>
  <c r="H2084" i="12"/>
  <c r="G2084" i="12"/>
  <c r="N2083" i="12"/>
  <c r="K2083" i="12"/>
  <c r="J2083" i="12"/>
  <c r="H2083" i="12"/>
  <c r="G2083" i="12"/>
  <c r="N2082" i="12"/>
  <c r="K2082" i="12"/>
  <c r="J2082" i="12"/>
  <c r="H2082" i="12"/>
  <c r="G2082" i="12"/>
  <c r="N2081" i="12"/>
  <c r="K2081" i="12"/>
  <c r="J2081" i="12"/>
  <c r="H2081" i="12"/>
  <c r="G2081" i="12"/>
  <c r="N2080" i="12"/>
  <c r="K2080" i="12"/>
  <c r="J2080" i="12"/>
  <c r="H2080" i="12"/>
  <c r="G2080" i="12"/>
  <c r="N2079" i="12"/>
  <c r="K2079" i="12"/>
  <c r="J2079" i="12"/>
  <c r="H2079" i="12"/>
  <c r="G2079" i="12"/>
  <c r="N2078" i="12"/>
  <c r="K2078" i="12"/>
  <c r="J2078" i="12"/>
  <c r="H2078" i="12"/>
  <c r="G2078" i="12"/>
  <c r="N2077" i="12"/>
  <c r="K2077" i="12"/>
  <c r="J2077" i="12"/>
  <c r="H2077" i="12"/>
  <c r="G2077" i="12"/>
  <c r="N2076" i="12"/>
  <c r="K2076" i="12"/>
  <c r="J2076" i="12"/>
  <c r="H2076" i="12"/>
  <c r="G2076" i="12"/>
  <c r="N2075" i="12"/>
  <c r="K2075" i="12"/>
  <c r="J2075" i="12"/>
  <c r="H2075" i="12"/>
  <c r="G2075" i="12"/>
  <c r="N2074" i="12"/>
  <c r="K2074" i="12"/>
  <c r="J2074" i="12"/>
  <c r="H2074" i="12"/>
  <c r="G2074" i="12"/>
  <c r="N2073" i="12"/>
  <c r="K2073" i="12"/>
  <c r="J2073" i="12"/>
  <c r="H2073" i="12"/>
  <c r="G2073" i="12"/>
  <c r="N2072" i="12"/>
  <c r="K2072" i="12"/>
  <c r="J2072" i="12"/>
  <c r="H2072" i="12"/>
  <c r="G2072" i="12"/>
  <c r="N2071" i="12"/>
  <c r="K2071" i="12"/>
  <c r="J2071" i="12"/>
  <c r="H2071" i="12"/>
  <c r="G2071" i="12"/>
  <c r="N2070" i="12"/>
  <c r="K2070" i="12"/>
  <c r="J2070" i="12"/>
  <c r="H2070" i="12"/>
  <c r="G2070" i="12"/>
  <c r="N2069" i="12"/>
  <c r="K2069" i="12"/>
  <c r="J2069" i="12"/>
  <c r="H2069" i="12"/>
  <c r="G2069" i="12"/>
  <c r="N2068" i="12"/>
  <c r="K2068" i="12"/>
  <c r="J2068" i="12"/>
  <c r="H2068" i="12"/>
  <c r="G2068" i="12"/>
  <c r="N2067" i="12"/>
  <c r="K2067" i="12"/>
  <c r="J2067" i="12"/>
  <c r="H2067" i="12"/>
  <c r="G2067" i="12"/>
  <c r="N2066" i="12"/>
  <c r="K2066" i="12"/>
  <c r="J2066" i="12"/>
  <c r="H2066" i="12"/>
  <c r="G2066" i="12"/>
  <c r="N2065" i="12"/>
  <c r="K2065" i="12"/>
  <c r="J2065" i="12"/>
  <c r="H2065" i="12"/>
  <c r="G2065" i="12"/>
  <c r="N2064" i="12"/>
  <c r="K2064" i="12"/>
  <c r="J2064" i="12"/>
  <c r="H2064" i="12"/>
  <c r="G2064" i="12"/>
  <c r="N2063" i="12"/>
  <c r="K2063" i="12"/>
  <c r="J2063" i="12"/>
  <c r="H2063" i="12"/>
  <c r="G2063" i="12"/>
  <c r="N2062" i="12"/>
  <c r="K2062" i="12"/>
  <c r="J2062" i="12"/>
  <c r="H2062" i="12"/>
  <c r="G2062" i="12"/>
  <c r="N2061" i="12"/>
  <c r="K2061" i="12"/>
  <c r="J2061" i="12"/>
  <c r="H2061" i="12"/>
  <c r="G2061" i="12"/>
  <c r="N2060" i="12"/>
  <c r="K2060" i="12"/>
  <c r="J2060" i="12"/>
  <c r="H2060" i="12"/>
  <c r="G2060" i="12"/>
  <c r="N2059" i="12"/>
  <c r="K2059" i="12"/>
  <c r="J2059" i="12"/>
  <c r="H2059" i="12"/>
  <c r="G2059" i="12"/>
  <c r="N2058" i="12"/>
  <c r="K2058" i="12"/>
  <c r="J2058" i="12"/>
  <c r="H2058" i="12"/>
  <c r="G2058" i="12"/>
  <c r="N2057" i="12"/>
  <c r="K2057" i="12"/>
  <c r="J2057" i="12"/>
  <c r="H2057" i="12"/>
  <c r="G2057" i="12"/>
  <c r="N2056" i="12"/>
  <c r="K2056" i="12"/>
  <c r="J2056" i="12"/>
  <c r="H2056" i="12"/>
  <c r="G2056" i="12"/>
  <c r="N2055" i="12"/>
  <c r="K2055" i="12"/>
  <c r="J2055" i="12"/>
  <c r="H2055" i="12"/>
  <c r="G2055" i="12"/>
  <c r="N2054" i="12"/>
  <c r="K2054" i="12"/>
  <c r="J2054" i="12"/>
  <c r="H2054" i="12"/>
  <c r="G2054" i="12"/>
  <c r="N2053" i="12"/>
  <c r="K2053" i="12"/>
  <c r="J2053" i="12"/>
  <c r="H2053" i="12"/>
  <c r="G2053" i="12"/>
  <c r="N2052" i="12"/>
  <c r="K2052" i="12"/>
  <c r="J2052" i="12"/>
  <c r="H2052" i="12"/>
  <c r="G2052" i="12"/>
  <c r="N2051" i="12"/>
  <c r="K2051" i="12"/>
  <c r="J2051" i="12"/>
  <c r="H2051" i="12"/>
  <c r="G2051" i="12"/>
  <c r="N2050" i="12"/>
  <c r="K2050" i="12"/>
  <c r="J2050" i="12"/>
  <c r="H2050" i="12"/>
  <c r="G2050" i="12"/>
  <c r="N2049" i="12"/>
  <c r="K2049" i="12"/>
  <c r="J2049" i="12"/>
  <c r="H2049" i="12"/>
  <c r="G2049" i="12"/>
  <c r="N2048" i="12"/>
  <c r="K2048" i="12"/>
  <c r="J2048" i="12"/>
  <c r="H2048" i="12"/>
  <c r="G2048" i="12"/>
  <c r="N2047" i="12"/>
  <c r="K2047" i="12"/>
  <c r="J2047" i="12"/>
  <c r="H2047" i="12"/>
  <c r="G2047" i="12"/>
  <c r="N2046" i="12"/>
  <c r="K2046" i="12"/>
  <c r="J2046" i="12"/>
  <c r="H2046" i="12"/>
  <c r="G2046" i="12"/>
  <c r="N2045" i="12"/>
  <c r="K2045" i="12"/>
  <c r="J2045" i="12"/>
  <c r="H2045" i="12"/>
  <c r="G2045" i="12"/>
  <c r="N2044" i="12"/>
  <c r="K2044" i="12"/>
  <c r="J2044" i="12"/>
  <c r="H2044" i="12"/>
  <c r="G2044" i="12"/>
  <c r="N2043" i="12"/>
  <c r="K2043" i="12"/>
  <c r="J2043" i="12"/>
  <c r="H2043" i="12"/>
  <c r="G2043" i="12"/>
  <c r="N2042" i="12"/>
  <c r="K2042" i="12"/>
  <c r="J2042" i="12"/>
  <c r="H2042" i="12"/>
  <c r="G2042" i="12"/>
  <c r="N2041" i="12"/>
  <c r="K2041" i="12"/>
  <c r="J2041" i="12"/>
  <c r="H2041" i="12"/>
  <c r="G2041" i="12"/>
  <c r="N2040" i="12"/>
  <c r="K2040" i="12"/>
  <c r="J2040" i="12"/>
  <c r="H2040" i="12"/>
  <c r="G2040" i="12"/>
  <c r="N2039" i="12"/>
  <c r="K2039" i="12"/>
  <c r="J2039" i="12"/>
  <c r="H2039" i="12"/>
  <c r="G2039" i="12"/>
  <c r="N2038" i="12"/>
  <c r="K2038" i="12"/>
  <c r="J2038" i="12"/>
  <c r="H2038" i="12"/>
  <c r="G2038" i="12"/>
  <c r="N2037" i="12"/>
  <c r="K2037" i="12"/>
  <c r="J2037" i="12"/>
  <c r="H2037" i="12"/>
  <c r="G2037" i="12"/>
  <c r="N2036" i="12"/>
  <c r="K2036" i="12"/>
  <c r="J2036" i="12"/>
  <c r="H2036" i="12"/>
  <c r="G2036" i="12"/>
  <c r="N2035" i="12"/>
  <c r="K2035" i="12"/>
  <c r="J2035" i="12"/>
  <c r="H2035" i="12"/>
  <c r="G2035" i="12"/>
  <c r="N2034" i="12"/>
  <c r="K2034" i="12"/>
  <c r="J2034" i="12"/>
  <c r="H2034" i="12"/>
  <c r="G2034" i="12"/>
  <c r="N2033" i="12"/>
  <c r="K2033" i="12"/>
  <c r="J2033" i="12"/>
  <c r="H2033" i="12"/>
  <c r="G2033" i="12"/>
  <c r="N2032" i="12"/>
  <c r="K2032" i="12"/>
  <c r="J2032" i="12"/>
  <c r="H2032" i="12"/>
  <c r="G2032" i="12"/>
  <c r="N2031" i="12"/>
  <c r="K2031" i="12"/>
  <c r="J2031" i="12"/>
  <c r="H2031" i="12"/>
  <c r="G2031" i="12"/>
  <c r="N2030" i="12"/>
  <c r="K2030" i="12"/>
  <c r="J2030" i="12"/>
  <c r="H2030" i="12"/>
  <c r="G2030" i="12"/>
  <c r="N2029" i="12"/>
  <c r="K2029" i="12"/>
  <c r="J2029" i="12"/>
  <c r="H2029" i="12"/>
  <c r="G2029" i="12"/>
  <c r="N2028" i="12"/>
  <c r="K2028" i="12"/>
  <c r="J2028" i="12"/>
  <c r="H2028" i="12"/>
  <c r="G2028" i="12"/>
  <c r="N2027" i="12"/>
  <c r="K2027" i="12"/>
  <c r="J2027" i="12"/>
  <c r="H2027" i="12"/>
  <c r="G2027" i="12"/>
  <c r="N2026" i="12"/>
  <c r="K2026" i="12"/>
  <c r="J2026" i="12"/>
  <c r="H2026" i="12"/>
  <c r="G2026" i="12"/>
  <c r="N2025" i="12"/>
  <c r="K2025" i="12"/>
  <c r="J2025" i="12"/>
  <c r="H2025" i="12"/>
  <c r="G2025" i="12"/>
  <c r="N2024" i="12"/>
  <c r="K2024" i="12"/>
  <c r="J2024" i="12"/>
  <c r="H2024" i="12"/>
  <c r="G2024" i="12"/>
  <c r="N2023" i="12"/>
  <c r="K2023" i="12"/>
  <c r="J2023" i="12"/>
  <c r="H2023" i="12"/>
  <c r="G2023" i="12"/>
  <c r="N2022" i="12"/>
  <c r="K2022" i="12"/>
  <c r="J2022" i="12"/>
  <c r="H2022" i="12"/>
  <c r="G2022" i="12"/>
  <c r="N2021" i="12"/>
  <c r="K2021" i="12"/>
  <c r="J2021" i="12"/>
  <c r="H2021" i="12"/>
  <c r="G2021" i="12"/>
  <c r="N2020" i="12"/>
  <c r="K2020" i="12"/>
  <c r="J2020" i="12"/>
  <c r="H2020" i="12"/>
  <c r="G2020" i="12"/>
  <c r="N2019" i="12"/>
  <c r="K2019" i="12"/>
  <c r="J2019" i="12"/>
  <c r="H2019" i="12"/>
  <c r="G2019" i="12"/>
  <c r="N2018" i="12"/>
  <c r="K2018" i="12"/>
  <c r="J2018" i="12"/>
  <c r="H2018" i="12"/>
  <c r="G2018" i="12"/>
  <c r="N2017" i="12"/>
  <c r="K2017" i="12"/>
  <c r="J2017" i="12"/>
  <c r="H2017" i="12"/>
  <c r="G2017" i="12"/>
  <c r="N2016" i="12"/>
  <c r="K2016" i="12"/>
  <c r="J2016" i="12"/>
  <c r="H2016" i="12"/>
  <c r="G2016" i="12"/>
  <c r="N2015" i="12"/>
  <c r="K2015" i="12"/>
  <c r="J2015" i="12"/>
  <c r="H2015" i="12"/>
  <c r="G2015" i="12"/>
  <c r="N2014" i="12"/>
  <c r="K2014" i="12"/>
  <c r="J2014" i="12"/>
  <c r="H2014" i="12"/>
  <c r="G2014" i="12"/>
  <c r="N2013" i="12"/>
  <c r="K2013" i="12"/>
  <c r="J2013" i="12"/>
  <c r="H2013" i="12"/>
  <c r="G2013" i="12"/>
  <c r="N2012" i="12"/>
  <c r="K2012" i="12"/>
  <c r="J2012" i="12"/>
  <c r="H2012" i="12"/>
  <c r="G2012" i="12"/>
  <c r="N2011" i="12"/>
  <c r="K2011" i="12"/>
  <c r="J2011" i="12"/>
  <c r="H2011" i="12"/>
  <c r="G2011" i="12"/>
  <c r="N2010" i="12"/>
  <c r="K2010" i="12"/>
  <c r="J2010" i="12"/>
  <c r="H2010" i="12"/>
  <c r="G2010" i="12"/>
  <c r="N2009" i="12"/>
  <c r="K2009" i="12"/>
  <c r="J2009" i="12"/>
  <c r="H2009" i="12"/>
  <c r="G2009" i="12"/>
  <c r="N2008" i="12"/>
  <c r="K2008" i="12"/>
  <c r="J2008" i="12"/>
  <c r="H2008" i="12"/>
  <c r="G2008" i="12"/>
  <c r="N2007" i="12"/>
  <c r="K2007" i="12"/>
  <c r="J2007" i="12"/>
  <c r="H2007" i="12"/>
  <c r="G2007" i="12"/>
  <c r="N2006" i="12"/>
  <c r="K2006" i="12"/>
  <c r="J2006" i="12"/>
  <c r="H2006" i="12"/>
  <c r="G2006" i="12"/>
  <c r="N2005" i="12"/>
  <c r="K2005" i="12"/>
  <c r="J2005" i="12"/>
  <c r="H2005" i="12"/>
  <c r="G2005" i="12"/>
  <c r="N2004" i="12"/>
  <c r="K2004" i="12"/>
  <c r="J2004" i="12"/>
  <c r="H2004" i="12"/>
  <c r="G2004" i="12"/>
  <c r="N2003" i="12"/>
  <c r="K2003" i="12"/>
  <c r="J2003" i="12"/>
  <c r="H2003" i="12"/>
  <c r="G2003" i="12"/>
  <c r="N2002" i="12"/>
  <c r="K2002" i="12"/>
  <c r="J2002" i="12"/>
  <c r="H2002" i="12"/>
  <c r="G2002" i="12"/>
  <c r="N2001" i="12"/>
  <c r="K2001" i="12"/>
  <c r="J2001" i="12"/>
  <c r="H2001" i="12"/>
  <c r="G2001" i="12"/>
  <c r="N2000" i="12"/>
  <c r="K2000" i="12"/>
  <c r="J2000" i="12"/>
  <c r="H2000" i="12"/>
  <c r="G2000" i="12"/>
  <c r="N1999" i="12"/>
  <c r="K1999" i="12"/>
  <c r="J1999" i="12"/>
  <c r="H1999" i="12"/>
  <c r="G1999" i="12"/>
  <c r="N1998" i="12"/>
  <c r="K1998" i="12"/>
  <c r="J1998" i="12"/>
  <c r="H1998" i="12"/>
  <c r="G1998" i="12"/>
  <c r="N1997" i="12"/>
  <c r="K1997" i="12"/>
  <c r="J1997" i="12"/>
  <c r="H1997" i="12"/>
  <c r="G1997" i="12"/>
  <c r="N1996" i="12"/>
  <c r="K1996" i="12"/>
  <c r="J1996" i="12"/>
  <c r="H1996" i="12"/>
  <c r="G1996" i="12"/>
  <c r="N1995" i="12"/>
  <c r="K1995" i="12"/>
  <c r="J1995" i="12"/>
  <c r="H1995" i="12"/>
  <c r="G1995" i="12"/>
  <c r="N1994" i="12"/>
  <c r="K1994" i="12"/>
  <c r="J1994" i="12"/>
  <c r="H1994" i="12"/>
  <c r="G1994" i="12"/>
  <c r="N1993" i="12"/>
  <c r="K1993" i="12"/>
  <c r="J1993" i="12"/>
  <c r="H1993" i="12"/>
  <c r="G1993" i="12"/>
  <c r="N1992" i="12"/>
  <c r="K1992" i="12"/>
  <c r="J1992" i="12"/>
  <c r="H1992" i="12"/>
  <c r="G1992" i="12"/>
  <c r="N1991" i="12"/>
  <c r="K1991" i="12"/>
  <c r="J1991" i="12"/>
  <c r="H1991" i="12"/>
  <c r="G1991" i="12"/>
  <c r="N1990" i="12"/>
  <c r="K1990" i="12"/>
  <c r="J1990" i="12"/>
  <c r="H1990" i="12"/>
  <c r="G1990" i="12"/>
  <c r="N1989" i="12"/>
  <c r="K1989" i="12"/>
  <c r="J1989" i="12"/>
  <c r="H1989" i="12"/>
  <c r="G1989" i="12"/>
  <c r="N1988" i="12"/>
  <c r="K1988" i="12"/>
  <c r="J1988" i="12"/>
  <c r="H1988" i="12"/>
  <c r="G1988" i="12"/>
  <c r="N1987" i="12"/>
  <c r="K1987" i="12"/>
  <c r="J1987" i="12"/>
  <c r="H1987" i="12"/>
  <c r="G1987" i="12"/>
  <c r="N1986" i="12"/>
  <c r="K1986" i="12"/>
  <c r="J1986" i="12"/>
  <c r="H1986" i="12"/>
  <c r="G1986" i="12"/>
  <c r="N1985" i="12"/>
  <c r="K1985" i="12"/>
  <c r="J1985" i="12"/>
  <c r="H1985" i="12"/>
  <c r="G1985" i="12"/>
  <c r="N1984" i="12"/>
  <c r="K1984" i="12"/>
  <c r="J1984" i="12"/>
  <c r="H1984" i="12"/>
  <c r="G1984" i="12"/>
  <c r="N1983" i="12"/>
  <c r="K1983" i="12"/>
  <c r="J1983" i="12"/>
  <c r="H1983" i="12"/>
  <c r="G1983" i="12"/>
  <c r="N1982" i="12"/>
  <c r="K1982" i="12"/>
  <c r="J1982" i="12"/>
  <c r="H1982" i="12"/>
  <c r="G1982" i="12"/>
  <c r="N1981" i="12"/>
  <c r="K1981" i="12"/>
  <c r="J1981" i="12"/>
  <c r="H1981" i="12"/>
  <c r="G1981" i="12"/>
  <c r="N1980" i="12"/>
  <c r="K1980" i="12"/>
  <c r="J1980" i="12"/>
  <c r="H1980" i="12"/>
  <c r="G1980" i="12"/>
  <c r="N1979" i="12"/>
  <c r="K1979" i="12"/>
  <c r="J1979" i="12"/>
  <c r="H1979" i="12"/>
  <c r="G1979" i="12"/>
  <c r="N1978" i="12"/>
  <c r="K1978" i="12"/>
  <c r="J1978" i="12"/>
  <c r="H1978" i="12"/>
  <c r="G1978" i="12"/>
  <c r="N1977" i="12"/>
  <c r="K1977" i="12"/>
  <c r="J1977" i="12"/>
  <c r="H1977" i="12"/>
  <c r="G1977" i="12"/>
  <c r="N1976" i="12"/>
  <c r="K1976" i="12"/>
  <c r="J1976" i="12"/>
  <c r="H1976" i="12"/>
  <c r="G1976" i="12"/>
  <c r="N1975" i="12"/>
  <c r="K1975" i="12"/>
  <c r="J1975" i="12"/>
  <c r="H1975" i="12"/>
  <c r="G1975" i="12"/>
  <c r="N1974" i="12"/>
  <c r="K1974" i="12"/>
  <c r="J1974" i="12"/>
  <c r="H1974" i="12"/>
  <c r="G1974" i="12"/>
  <c r="N1973" i="12"/>
  <c r="K1973" i="12"/>
  <c r="J1973" i="12"/>
  <c r="H1973" i="12"/>
  <c r="G1973" i="12"/>
  <c r="N1972" i="12"/>
  <c r="K1972" i="12"/>
  <c r="J1972" i="12"/>
  <c r="H1972" i="12"/>
  <c r="G1972" i="12"/>
  <c r="N1971" i="12"/>
  <c r="K1971" i="12"/>
  <c r="J1971" i="12"/>
  <c r="H1971" i="12"/>
  <c r="G1971" i="12"/>
  <c r="N1970" i="12"/>
  <c r="K1970" i="12"/>
  <c r="J1970" i="12"/>
  <c r="H1970" i="12"/>
  <c r="G1970" i="12"/>
  <c r="N1969" i="12"/>
  <c r="K1969" i="12"/>
  <c r="J1969" i="12"/>
  <c r="H1969" i="12"/>
  <c r="G1969" i="12"/>
  <c r="N1968" i="12"/>
  <c r="K1968" i="12"/>
  <c r="J1968" i="12"/>
  <c r="H1968" i="12"/>
  <c r="G1968" i="12"/>
  <c r="N1967" i="12"/>
  <c r="K1967" i="12"/>
  <c r="J1967" i="12"/>
  <c r="H1967" i="12"/>
  <c r="G1967" i="12"/>
  <c r="N1966" i="12"/>
  <c r="K1966" i="12"/>
  <c r="J1966" i="12"/>
  <c r="H1966" i="12"/>
  <c r="G1966" i="12"/>
  <c r="N1965" i="12"/>
  <c r="K1965" i="12"/>
  <c r="J1965" i="12"/>
  <c r="H1965" i="12"/>
  <c r="G1965" i="12"/>
  <c r="N1964" i="12"/>
  <c r="K1964" i="12"/>
  <c r="J1964" i="12"/>
  <c r="H1964" i="12"/>
  <c r="G1964" i="12"/>
  <c r="N1963" i="12"/>
  <c r="K1963" i="12"/>
  <c r="J1963" i="12"/>
  <c r="H1963" i="12"/>
  <c r="G1963" i="12"/>
  <c r="N1962" i="12"/>
  <c r="K1962" i="12"/>
  <c r="J1962" i="12"/>
  <c r="H1962" i="12"/>
  <c r="G1962" i="12"/>
  <c r="N1961" i="12"/>
  <c r="K1961" i="12"/>
  <c r="J1961" i="12"/>
  <c r="H1961" i="12"/>
  <c r="G1961" i="12"/>
  <c r="N1960" i="12"/>
  <c r="K1960" i="12"/>
  <c r="J1960" i="12"/>
  <c r="H1960" i="12"/>
  <c r="G1960" i="12"/>
  <c r="N1959" i="12"/>
  <c r="K1959" i="12"/>
  <c r="J1959" i="12"/>
  <c r="H1959" i="12"/>
  <c r="G1959" i="12"/>
  <c r="N1958" i="12"/>
  <c r="K1958" i="12"/>
  <c r="J1958" i="12"/>
  <c r="H1958" i="12"/>
  <c r="G1958" i="12"/>
  <c r="N1957" i="12"/>
  <c r="K1957" i="12"/>
  <c r="J1957" i="12"/>
  <c r="H1957" i="12"/>
  <c r="G1957" i="12"/>
  <c r="N1956" i="12"/>
  <c r="K1956" i="12"/>
  <c r="J1956" i="12"/>
  <c r="H1956" i="12"/>
  <c r="G1956" i="12"/>
  <c r="N1955" i="12"/>
  <c r="K1955" i="12"/>
  <c r="J1955" i="12"/>
  <c r="H1955" i="12"/>
  <c r="G1955" i="12"/>
  <c r="N1954" i="12"/>
  <c r="K1954" i="12"/>
  <c r="J1954" i="12"/>
  <c r="H1954" i="12"/>
  <c r="G1954" i="12"/>
  <c r="N1953" i="12"/>
  <c r="K1953" i="12"/>
  <c r="J1953" i="12"/>
  <c r="H1953" i="12"/>
  <c r="G1953" i="12"/>
  <c r="N1952" i="12"/>
  <c r="K1952" i="12"/>
  <c r="J1952" i="12"/>
  <c r="H1952" i="12"/>
  <c r="G1952" i="12"/>
  <c r="N1951" i="12"/>
  <c r="K1951" i="12"/>
  <c r="J1951" i="12"/>
  <c r="H1951" i="12"/>
  <c r="G1951" i="12"/>
  <c r="N1950" i="12"/>
  <c r="K1950" i="12"/>
  <c r="J1950" i="12"/>
  <c r="H1950" i="12"/>
  <c r="G1950" i="12"/>
  <c r="N1949" i="12"/>
  <c r="K1949" i="12"/>
  <c r="J1949" i="12"/>
  <c r="H1949" i="12"/>
  <c r="G1949" i="12"/>
  <c r="N1948" i="12"/>
  <c r="K1948" i="12"/>
  <c r="J1948" i="12"/>
  <c r="H1948" i="12"/>
  <c r="G1948" i="12"/>
  <c r="N1947" i="12"/>
  <c r="K1947" i="12"/>
  <c r="J1947" i="12"/>
  <c r="H1947" i="12"/>
  <c r="G1947" i="12"/>
  <c r="N1946" i="12"/>
  <c r="K1946" i="12"/>
  <c r="J1946" i="12"/>
  <c r="H1946" i="12"/>
  <c r="G1946" i="12"/>
  <c r="N1945" i="12"/>
  <c r="K1945" i="12"/>
  <c r="J1945" i="12"/>
  <c r="H1945" i="12"/>
  <c r="G1945" i="12"/>
  <c r="N1944" i="12"/>
  <c r="K1944" i="12"/>
  <c r="J1944" i="12"/>
  <c r="H1944" i="12"/>
  <c r="G1944" i="12"/>
  <c r="N1943" i="12"/>
  <c r="K1943" i="12"/>
  <c r="J1943" i="12"/>
  <c r="H1943" i="12"/>
  <c r="G1943" i="12"/>
  <c r="N1942" i="12"/>
  <c r="K1942" i="12"/>
  <c r="J1942" i="12"/>
  <c r="H1942" i="12"/>
  <c r="G1942" i="12"/>
  <c r="N1941" i="12"/>
  <c r="K1941" i="12"/>
  <c r="J1941" i="12"/>
  <c r="H1941" i="12"/>
  <c r="G1941" i="12"/>
  <c r="N1940" i="12"/>
  <c r="K1940" i="12"/>
  <c r="J1940" i="12"/>
  <c r="H1940" i="12"/>
  <c r="G1940" i="12"/>
  <c r="N1939" i="12"/>
  <c r="K1939" i="12"/>
  <c r="J1939" i="12"/>
  <c r="H1939" i="12"/>
  <c r="G1939" i="12"/>
  <c r="N1938" i="12"/>
  <c r="K1938" i="12"/>
  <c r="J1938" i="12"/>
  <c r="H1938" i="12"/>
  <c r="G1938" i="12"/>
  <c r="N1937" i="12"/>
  <c r="K1937" i="12"/>
  <c r="J1937" i="12"/>
  <c r="H1937" i="12"/>
  <c r="G1937" i="12"/>
  <c r="N1936" i="12"/>
  <c r="K1936" i="12"/>
  <c r="J1936" i="12"/>
  <c r="H1936" i="12"/>
  <c r="G1936" i="12"/>
  <c r="N1935" i="12"/>
  <c r="K1935" i="12"/>
  <c r="J1935" i="12"/>
  <c r="H1935" i="12"/>
  <c r="G1935" i="12"/>
  <c r="N1934" i="12"/>
  <c r="K1934" i="12"/>
  <c r="J1934" i="12"/>
  <c r="H1934" i="12"/>
  <c r="G1934" i="12"/>
  <c r="N1933" i="12"/>
  <c r="K1933" i="12"/>
  <c r="J1933" i="12"/>
  <c r="H1933" i="12"/>
  <c r="G1933" i="12"/>
  <c r="N1932" i="12"/>
  <c r="K1932" i="12"/>
  <c r="J1932" i="12"/>
  <c r="H1932" i="12"/>
  <c r="G1932" i="12"/>
  <c r="N1931" i="12"/>
  <c r="K1931" i="12"/>
  <c r="J1931" i="12"/>
  <c r="H1931" i="12"/>
  <c r="G1931" i="12"/>
  <c r="N1930" i="12"/>
  <c r="K1930" i="12"/>
  <c r="J1930" i="12"/>
  <c r="H1930" i="12"/>
  <c r="G1930" i="12"/>
  <c r="N1929" i="12"/>
  <c r="K1929" i="12"/>
  <c r="J1929" i="12"/>
  <c r="H1929" i="12"/>
  <c r="G1929" i="12"/>
  <c r="N1928" i="12"/>
  <c r="K1928" i="12"/>
  <c r="J1928" i="12"/>
  <c r="H1928" i="12"/>
  <c r="G1928" i="12"/>
  <c r="N1927" i="12"/>
  <c r="K1927" i="12"/>
  <c r="J1927" i="12"/>
  <c r="H1927" i="12"/>
  <c r="G1927" i="12"/>
  <c r="N1926" i="12"/>
  <c r="K1926" i="12"/>
  <c r="J1926" i="12"/>
  <c r="H1926" i="12"/>
  <c r="G1926" i="12"/>
  <c r="N1925" i="12"/>
  <c r="K1925" i="12"/>
  <c r="J1925" i="12"/>
  <c r="H1925" i="12"/>
  <c r="G1925" i="12"/>
  <c r="N1924" i="12"/>
  <c r="K1924" i="12"/>
  <c r="J1924" i="12"/>
  <c r="H1924" i="12"/>
  <c r="G1924" i="12"/>
  <c r="N1923" i="12"/>
  <c r="K1923" i="12"/>
  <c r="J1923" i="12"/>
  <c r="H1923" i="12"/>
  <c r="G1923" i="12"/>
  <c r="N1922" i="12"/>
  <c r="K1922" i="12"/>
  <c r="J1922" i="12"/>
  <c r="H1922" i="12"/>
  <c r="G1922" i="12"/>
  <c r="N1921" i="12"/>
  <c r="K1921" i="12"/>
  <c r="J1921" i="12"/>
  <c r="H1921" i="12"/>
  <c r="G1921" i="12"/>
  <c r="N1920" i="12"/>
  <c r="K1920" i="12"/>
  <c r="J1920" i="12"/>
  <c r="H1920" i="12"/>
  <c r="G1920" i="12"/>
  <c r="N1919" i="12"/>
  <c r="K1919" i="12"/>
  <c r="J1919" i="12"/>
  <c r="H1919" i="12"/>
  <c r="G1919" i="12"/>
  <c r="N1918" i="12"/>
  <c r="K1918" i="12"/>
  <c r="J1918" i="12"/>
  <c r="H1918" i="12"/>
  <c r="G1918" i="12"/>
  <c r="N1917" i="12"/>
  <c r="K1917" i="12"/>
  <c r="J1917" i="12"/>
  <c r="H1917" i="12"/>
  <c r="G1917" i="12"/>
  <c r="N1916" i="12"/>
  <c r="K1916" i="12"/>
  <c r="J1916" i="12"/>
  <c r="H1916" i="12"/>
  <c r="G1916" i="12"/>
  <c r="N1915" i="12"/>
  <c r="K1915" i="12"/>
  <c r="J1915" i="12"/>
  <c r="H1915" i="12"/>
  <c r="G1915" i="12"/>
  <c r="N1914" i="12"/>
  <c r="K1914" i="12"/>
  <c r="J1914" i="12"/>
  <c r="H1914" i="12"/>
  <c r="G1914" i="12"/>
  <c r="N1913" i="12"/>
  <c r="K1913" i="12"/>
  <c r="J1913" i="12"/>
  <c r="H1913" i="12"/>
  <c r="G1913" i="12"/>
  <c r="N1912" i="12"/>
  <c r="K1912" i="12"/>
  <c r="J1912" i="12"/>
  <c r="H1912" i="12"/>
  <c r="G1912" i="12"/>
  <c r="N1911" i="12"/>
  <c r="K1911" i="12"/>
  <c r="J1911" i="12"/>
  <c r="H1911" i="12"/>
  <c r="G1911" i="12"/>
  <c r="N1910" i="12"/>
  <c r="K1910" i="12"/>
  <c r="J1910" i="12"/>
  <c r="H1910" i="12"/>
  <c r="G1910" i="12"/>
  <c r="N1909" i="12"/>
  <c r="K1909" i="12"/>
  <c r="J1909" i="12"/>
  <c r="H1909" i="12"/>
  <c r="G1909" i="12"/>
  <c r="N1908" i="12"/>
  <c r="K1908" i="12"/>
  <c r="J1908" i="12"/>
  <c r="H1908" i="12"/>
  <c r="G1908" i="12"/>
  <c r="N1907" i="12"/>
  <c r="K1907" i="12"/>
  <c r="J1907" i="12"/>
  <c r="H1907" i="12"/>
  <c r="G1907" i="12"/>
  <c r="N1906" i="12"/>
  <c r="K1906" i="12"/>
  <c r="J1906" i="12"/>
  <c r="H1906" i="12"/>
  <c r="G1906" i="12"/>
  <c r="N1905" i="12"/>
  <c r="K1905" i="12"/>
  <c r="J1905" i="12"/>
  <c r="H1905" i="12"/>
  <c r="G1905" i="12"/>
  <c r="N1904" i="12"/>
  <c r="K1904" i="12"/>
  <c r="J1904" i="12"/>
  <c r="H1904" i="12"/>
  <c r="G1904" i="12"/>
  <c r="N1903" i="12"/>
  <c r="K1903" i="12"/>
  <c r="J1903" i="12"/>
  <c r="H1903" i="12"/>
  <c r="G1903" i="12"/>
  <c r="N1902" i="12"/>
  <c r="K1902" i="12"/>
  <c r="J1902" i="12"/>
  <c r="H1902" i="12"/>
  <c r="G1902" i="12"/>
  <c r="N1901" i="12"/>
  <c r="K1901" i="12"/>
  <c r="J1901" i="12"/>
  <c r="H1901" i="12"/>
  <c r="G1901" i="12"/>
  <c r="N1900" i="12"/>
  <c r="K1900" i="12"/>
  <c r="J1900" i="12"/>
  <c r="H1900" i="12"/>
  <c r="G1900" i="12"/>
  <c r="N1899" i="12"/>
  <c r="K1899" i="12"/>
  <c r="J1899" i="12"/>
  <c r="H1899" i="12"/>
  <c r="G1899" i="12"/>
  <c r="N1898" i="12"/>
  <c r="K1898" i="12"/>
  <c r="J1898" i="12"/>
  <c r="H1898" i="12"/>
  <c r="G1898" i="12"/>
  <c r="N1897" i="12"/>
  <c r="K1897" i="12"/>
  <c r="J1897" i="12"/>
  <c r="H1897" i="12"/>
  <c r="G1897" i="12"/>
  <c r="N1896" i="12"/>
  <c r="K1896" i="12"/>
  <c r="J1896" i="12"/>
  <c r="H1896" i="12"/>
  <c r="G1896" i="12"/>
  <c r="N1895" i="12"/>
  <c r="K1895" i="12"/>
  <c r="J1895" i="12"/>
  <c r="H1895" i="12"/>
  <c r="G1895" i="12"/>
  <c r="N1894" i="12"/>
  <c r="K1894" i="12"/>
  <c r="J1894" i="12"/>
  <c r="H1894" i="12"/>
  <c r="G1894" i="12"/>
  <c r="N1893" i="12"/>
  <c r="K1893" i="12"/>
  <c r="J1893" i="12"/>
  <c r="H1893" i="12"/>
  <c r="G1893" i="12"/>
  <c r="N1892" i="12"/>
  <c r="K1892" i="12"/>
  <c r="J1892" i="12"/>
  <c r="H1892" i="12"/>
  <c r="G1892" i="12"/>
  <c r="N1891" i="12"/>
  <c r="K1891" i="12"/>
  <c r="J1891" i="12"/>
  <c r="H1891" i="12"/>
  <c r="G1891" i="12"/>
  <c r="N1890" i="12"/>
  <c r="K1890" i="12"/>
  <c r="J1890" i="12"/>
  <c r="H1890" i="12"/>
  <c r="G1890" i="12"/>
  <c r="N1889" i="12"/>
  <c r="K1889" i="12"/>
  <c r="J1889" i="12"/>
  <c r="H1889" i="12"/>
  <c r="G1889" i="12"/>
  <c r="N1888" i="12"/>
  <c r="K1888" i="12"/>
  <c r="J1888" i="12"/>
  <c r="H1888" i="12"/>
  <c r="G1888" i="12"/>
  <c r="N1887" i="12"/>
  <c r="K1887" i="12"/>
  <c r="J1887" i="12"/>
  <c r="H1887" i="12"/>
  <c r="G1887" i="12"/>
  <c r="N1886" i="12"/>
  <c r="K1886" i="12"/>
  <c r="J1886" i="12"/>
  <c r="H1886" i="12"/>
  <c r="G1886" i="12"/>
  <c r="N1885" i="12"/>
  <c r="K1885" i="12"/>
  <c r="J1885" i="12"/>
  <c r="H1885" i="12"/>
  <c r="G1885" i="12"/>
  <c r="N1884" i="12"/>
  <c r="K1884" i="12"/>
  <c r="J1884" i="12"/>
  <c r="H1884" i="12"/>
  <c r="G1884" i="12"/>
  <c r="N1883" i="12"/>
  <c r="K1883" i="12"/>
  <c r="J1883" i="12"/>
  <c r="H1883" i="12"/>
  <c r="G1883" i="12"/>
  <c r="N1882" i="12"/>
  <c r="K1882" i="12"/>
  <c r="J1882" i="12"/>
  <c r="H1882" i="12"/>
  <c r="G1882" i="12"/>
  <c r="N1881" i="12"/>
  <c r="K1881" i="12"/>
  <c r="J1881" i="12"/>
  <c r="H1881" i="12"/>
  <c r="G1881" i="12"/>
  <c r="N1880" i="12"/>
  <c r="K1880" i="12"/>
  <c r="J1880" i="12"/>
  <c r="H1880" i="12"/>
  <c r="G1880" i="12"/>
  <c r="N1879" i="12"/>
  <c r="K1879" i="12"/>
  <c r="J1879" i="12"/>
  <c r="H1879" i="12"/>
  <c r="G1879" i="12"/>
  <c r="N1878" i="12"/>
  <c r="K1878" i="12"/>
  <c r="J1878" i="12"/>
  <c r="H1878" i="12"/>
  <c r="G1878" i="12"/>
  <c r="N1877" i="12"/>
  <c r="K1877" i="12"/>
  <c r="J1877" i="12"/>
  <c r="H1877" i="12"/>
  <c r="G1877" i="12"/>
  <c r="N1876" i="12"/>
  <c r="K1876" i="12"/>
  <c r="J1876" i="12"/>
  <c r="H1876" i="12"/>
  <c r="G1876" i="12"/>
  <c r="N1875" i="12"/>
  <c r="K1875" i="12"/>
  <c r="J1875" i="12"/>
  <c r="H1875" i="12"/>
  <c r="G1875" i="12"/>
  <c r="N1874" i="12"/>
  <c r="K1874" i="12"/>
  <c r="J1874" i="12"/>
  <c r="H1874" i="12"/>
  <c r="G1874" i="12"/>
  <c r="N1873" i="12"/>
  <c r="K1873" i="12"/>
  <c r="J1873" i="12"/>
  <c r="H1873" i="12"/>
  <c r="G1873" i="12"/>
  <c r="N1872" i="12"/>
  <c r="K1872" i="12"/>
  <c r="J1872" i="12"/>
  <c r="H1872" i="12"/>
  <c r="G1872" i="12"/>
  <c r="N1871" i="12"/>
  <c r="K1871" i="12"/>
  <c r="J1871" i="12"/>
  <c r="H1871" i="12"/>
  <c r="G1871" i="12"/>
  <c r="N1870" i="12"/>
  <c r="K1870" i="12"/>
  <c r="J1870" i="12"/>
  <c r="H1870" i="12"/>
  <c r="G1870" i="12"/>
  <c r="N1869" i="12"/>
  <c r="K1869" i="12"/>
  <c r="J1869" i="12"/>
  <c r="H1869" i="12"/>
  <c r="G1869" i="12"/>
  <c r="N1868" i="12"/>
  <c r="K1868" i="12"/>
  <c r="J1868" i="12"/>
  <c r="H1868" i="12"/>
  <c r="G1868" i="12"/>
  <c r="N1867" i="12"/>
  <c r="K1867" i="12"/>
  <c r="J1867" i="12"/>
  <c r="H1867" i="12"/>
  <c r="G1867" i="12"/>
  <c r="N1866" i="12"/>
  <c r="K1866" i="12"/>
  <c r="J1866" i="12"/>
  <c r="H1866" i="12"/>
  <c r="G1866" i="12"/>
  <c r="N1865" i="12"/>
  <c r="K1865" i="12"/>
  <c r="J1865" i="12"/>
  <c r="H1865" i="12"/>
  <c r="G1865" i="12"/>
  <c r="N1864" i="12"/>
  <c r="K1864" i="12"/>
  <c r="J1864" i="12"/>
  <c r="H1864" i="12"/>
  <c r="G1864" i="12"/>
  <c r="N1863" i="12"/>
  <c r="K1863" i="12"/>
  <c r="J1863" i="12"/>
  <c r="H1863" i="12"/>
  <c r="G1863" i="12"/>
  <c r="N1862" i="12"/>
  <c r="K1862" i="12"/>
  <c r="J1862" i="12"/>
  <c r="H1862" i="12"/>
  <c r="G1862" i="12"/>
  <c r="N1861" i="12"/>
  <c r="K1861" i="12"/>
  <c r="J1861" i="12"/>
  <c r="H1861" i="12"/>
  <c r="G1861" i="12"/>
  <c r="N1860" i="12"/>
  <c r="K1860" i="12"/>
  <c r="J1860" i="12"/>
  <c r="H1860" i="12"/>
  <c r="G1860" i="12"/>
  <c r="N1859" i="12"/>
  <c r="K1859" i="12"/>
  <c r="J1859" i="12"/>
  <c r="H1859" i="12"/>
  <c r="G1859" i="12"/>
  <c r="N1858" i="12"/>
  <c r="K1858" i="12"/>
  <c r="J1858" i="12"/>
  <c r="H1858" i="12"/>
  <c r="G1858" i="12"/>
  <c r="N1857" i="12"/>
  <c r="K1857" i="12"/>
  <c r="J1857" i="12"/>
  <c r="H1857" i="12"/>
  <c r="G1857" i="12"/>
  <c r="N1856" i="12"/>
  <c r="K1856" i="12"/>
  <c r="J1856" i="12"/>
  <c r="H1856" i="12"/>
  <c r="G1856" i="12"/>
  <c r="N1855" i="12"/>
  <c r="K1855" i="12"/>
  <c r="J1855" i="12"/>
  <c r="H1855" i="12"/>
  <c r="G1855" i="12"/>
  <c r="N1854" i="12"/>
  <c r="K1854" i="12"/>
  <c r="J1854" i="12"/>
  <c r="H1854" i="12"/>
  <c r="G1854" i="12"/>
  <c r="N1853" i="12"/>
  <c r="K1853" i="12"/>
  <c r="J1853" i="12"/>
  <c r="H1853" i="12"/>
  <c r="G1853" i="12"/>
  <c r="N1852" i="12"/>
  <c r="K1852" i="12"/>
  <c r="J1852" i="12"/>
  <c r="H1852" i="12"/>
  <c r="G1852" i="12"/>
  <c r="N1851" i="12"/>
  <c r="K1851" i="12"/>
  <c r="J1851" i="12"/>
  <c r="H1851" i="12"/>
  <c r="G1851" i="12"/>
  <c r="N1850" i="12"/>
  <c r="K1850" i="12"/>
  <c r="J1850" i="12"/>
  <c r="H1850" i="12"/>
  <c r="G1850" i="12"/>
  <c r="N1849" i="12"/>
  <c r="K1849" i="12"/>
  <c r="J1849" i="12"/>
  <c r="H1849" i="12"/>
  <c r="G1849" i="12"/>
  <c r="N1848" i="12"/>
  <c r="K1848" i="12"/>
  <c r="J1848" i="12"/>
  <c r="H1848" i="12"/>
  <c r="G1848" i="12"/>
  <c r="N1847" i="12"/>
  <c r="K1847" i="12"/>
  <c r="J1847" i="12"/>
  <c r="H1847" i="12"/>
  <c r="G1847" i="12"/>
  <c r="N1846" i="12"/>
  <c r="K1846" i="12"/>
  <c r="J1846" i="12"/>
  <c r="H1846" i="12"/>
  <c r="G1846" i="12"/>
  <c r="N1845" i="12"/>
  <c r="K1845" i="12"/>
  <c r="J1845" i="12"/>
  <c r="H1845" i="12"/>
  <c r="G1845" i="12"/>
  <c r="N1844" i="12"/>
  <c r="K1844" i="12"/>
  <c r="J1844" i="12"/>
  <c r="H1844" i="12"/>
  <c r="G1844" i="12"/>
  <c r="N1843" i="12"/>
  <c r="K1843" i="12"/>
  <c r="J1843" i="12"/>
  <c r="H1843" i="12"/>
  <c r="G1843" i="12"/>
  <c r="N1842" i="12"/>
  <c r="K1842" i="12"/>
  <c r="J1842" i="12"/>
  <c r="H1842" i="12"/>
  <c r="G1842" i="12"/>
  <c r="N1841" i="12"/>
  <c r="K1841" i="12"/>
  <c r="J1841" i="12"/>
  <c r="H1841" i="12"/>
  <c r="G1841" i="12"/>
  <c r="N1840" i="12"/>
  <c r="K1840" i="12"/>
  <c r="J1840" i="12"/>
  <c r="H1840" i="12"/>
  <c r="G1840" i="12"/>
  <c r="N1839" i="12"/>
  <c r="K1839" i="12"/>
  <c r="J1839" i="12"/>
  <c r="H1839" i="12"/>
  <c r="G1839" i="12"/>
  <c r="N1838" i="12"/>
  <c r="K1838" i="12"/>
  <c r="J1838" i="12"/>
  <c r="H1838" i="12"/>
  <c r="G1838" i="12"/>
  <c r="N1837" i="12"/>
  <c r="K1837" i="12"/>
  <c r="J1837" i="12"/>
  <c r="H1837" i="12"/>
  <c r="G1837" i="12"/>
  <c r="N1836" i="12"/>
  <c r="K1836" i="12"/>
  <c r="J1836" i="12"/>
  <c r="H1836" i="12"/>
  <c r="G1836" i="12"/>
  <c r="N1835" i="12"/>
  <c r="K1835" i="12"/>
  <c r="J1835" i="12"/>
  <c r="H1835" i="12"/>
  <c r="G1835" i="12"/>
  <c r="N1834" i="12"/>
  <c r="K1834" i="12"/>
  <c r="J1834" i="12"/>
  <c r="H1834" i="12"/>
  <c r="G1834" i="12"/>
  <c r="N1833" i="12"/>
  <c r="K1833" i="12"/>
  <c r="J1833" i="12"/>
  <c r="H1833" i="12"/>
  <c r="G1833" i="12"/>
  <c r="N1832" i="12"/>
  <c r="K1832" i="12"/>
  <c r="J1832" i="12"/>
  <c r="H1832" i="12"/>
  <c r="G1832" i="12"/>
  <c r="N1831" i="12"/>
  <c r="K1831" i="12"/>
  <c r="J1831" i="12"/>
  <c r="H1831" i="12"/>
  <c r="G1831" i="12"/>
  <c r="N1830" i="12"/>
  <c r="K1830" i="12"/>
  <c r="J1830" i="12"/>
  <c r="H1830" i="12"/>
  <c r="G1830" i="12"/>
  <c r="N1829" i="12"/>
  <c r="K1829" i="12"/>
  <c r="J1829" i="12"/>
  <c r="H1829" i="12"/>
  <c r="G1829" i="12"/>
  <c r="N1828" i="12"/>
  <c r="K1828" i="12"/>
  <c r="J1828" i="12"/>
  <c r="H1828" i="12"/>
  <c r="G1828" i="12"/>
  <c r="N1827" i="12"/>
  <c r="K1827" i="12"/>
  <c r="J1827" i="12"/>
  <c r="H1827" i="12"/>
  <c r="G1827" i="12"/>
  <c r="N1826" i="12"/>
  <c r="K1826" i="12"/>
  <c r="J1826" i="12"/>
  <c r="H1826" i="12"/>
  <c r="G1826" i="12"/>
  <c r="N1825" i="12"/>
  <c r="K1825" i="12"/>
  <c r="J1825" i="12"/>
  <c r="H1825" i="12"/>
  <c r="G1825" i="12"/>
  <c r="N1824" i="12"/>
  <c r="K1824" i="12"/>
  <c r="J1824" i="12"/>
  <c r="H1824" i="12"/>
  <c r="G1824" i="12"/>
  <c r="N1823" i="12"/>
  <c r="K1823" i="12"/>
  <c r="J1823" i="12"/>
  <c r="H1823" i="12"/>
  <c r="G1823" i="12"/>
  <c r="N1822" i="12"/>
  <c r="K1822" i="12"/>
  <c r="J1822" i="12"/>
  <c r="H1822" i="12"/>
  <c r="G1822" i="12"/>
  <c r="N1821" i="12"/>
  <c r="K1821" i="12"/>
  <c r="J1821" i="12"/>
  <c r="H1821" i="12"/>
  <c r="G1821" i="12"/>
  <c r="N1820" i="12"/>
  <c r="K1820" i="12"/>
  <c r="J1820" i="12"/>
  <c r="H1820" i="12"/>
  <c r="G1820" i="12"/>
  <c r="N1819" i="12"/>
  <c r="K1819" i="12"/>
  <c r="J1819" i="12"/>
  <c r="H1819" i="12"/>
  <c r="G1819" i="12"/>
  <c r="N1818" i="12"/>
  <c r="K1818" i="12"/>
  <c r="J1818" i="12"/>
  <c r="H1818" i="12"/>
  <c r="G1818" i="12"/>
  <c r="N1817" i="12"/>
  <c r="K1817" i="12"/>
  <c r="J1817" i="12"/>
  <c r="H1817" i="12"/>
  <c r="G1817" i="12"/>
  <c r="N1816" i="12"/>
  <c r="K1816" i="12"/>
  <c r="J1816" i="12"/>
  <c r="H1816" i="12"/>
  <c r="G1816" i="12"/>
  <c r="N1815" i="12"/>
  <c r="K1815" i="12"/>
  <c r="J1815" i="12"/>
  <c r="H1815" i="12"/>
  <c r="G1815" i="12"/>
  <c r="N1814" i="12"/>
  <c r="K1814" i="12"/>
  <c r="J1814" i="12"/>
  <c r="H1814" i="12"/>
  <c r="G1814" i="12"/>
  <c r="N1813" i="12"/>
  <c r="K1813" i="12"/>
  <c r="J1813" i="12"/>
  <c r="H1813" i="12"/>
  <c r="G1813" i="12"/>
  <c r="N1812" i="12"/>
  <c r="K1812" i="12"/>
  <c r="J1812" i="12"/>
  <c r="H1812" i="12"/>
  <c r="G1812" i="12"/>
  <c r="N1811" i="12"/>
  <c r="K1811" i="12"/>
  <c r="J1811" i="12"/>
  <c r="H1811" i="12"/>
  <c r="G1811" i="12"/>
  <c r="N1810" i="12"/>
  <c r="K1810" i="12"/>
  <c r="J1810" i="12"/>
  <c r="H1810" i="12"/>
  <c r="G1810" i="12"/>
  <c r="N1809" i="12"/>
  <c r="K1809" i="12"/>
  <c r="J1809" i="12"/>
  <c r="H1809" i="12"/>
  <c r="G1809" i="12"/>
  <c r="N1808" i="12"/>
  <c r="K1808" i="12"/>
  <c r="J1808" i="12"/>
  <c r="H1808" i="12"/>
  <c r="G1808" i="12"/>
  <c r="N1807" i="12"/>
  <c r="K1807" i="12"/>
  <c r="J1807" i="12"/>
  <c r="H1807" i="12"/>
  <c r="G1807" i="12"/>
  <c r="N1806" i="12"/>
  <c r="K1806" i="12"/>
  <c r="J1806" i="12"/>
  <c r="H1806" i="12"/>
  <c r="G1806" i="12"/>
  <c r="N1805" i="12"/>
  <c r="K1805" i="12"/>
  <c r="J1805" i="12"/>
  <c r="H1805" i="12"/>
  <c r="G1805" i="12"/>
  <c r="N1804" i="12"/>
  <c r="K1804" i="12"/>
  <c r="J1804" i="12"/>
  <c r="H1804" i="12"/>
  <c r="G1804" i="12"/>
  <c r="N1803" i="12"/>
  <c r="K1803" i="12"/>
  <c r="J1803" i="12"/>
  <c r="H1803" i="12"/>
  <c r="G1803" i="12"/>
  <c r="N1802" i="12"/>
  <c r="K1802" i="12"/>
  <c r="J1802" i="12"/>
  <c r="H1802" i="12"/>
  <c r="G1802" i="12"/>
  <c r="N1801" i="12"/>
  <c r="K1801" i="12"/>
  <c r="J1801" i="12"/>
  <c r="H1801" i="12"/>
  <c r="G1801" i="12"/>
  <c r="N1800" i="12"/>
  <c r="K1800" i="12"/>
  <c r="J1800" i="12"/>
  <c r="H1800" i="12"/>
  <c r="G1800" i="12"/>
  <c r="N1799" i="12"/>
  <c r="K1799" i="12"/>
  <c r="J1799" i="12"/>
  <c r="H1799" i="12"/>
  <c r="G1799" i="12"/>
  <c r="N1798" i="12"/>
  <c r="K1798" i="12"/>
  <c r="J1798" i="12"/>
  <c r="H1798" i="12"/>
  <c r="G1798" i="12"/>
  <c r="N1797" i="12"/>
  <c r="K1797" i="12"/>
  <c r="J1797" i="12"/>
  <c r="H1797" i="12"/>
  <c r="G1797" i="12"/>
  <c r="N1796" i="12"/>
  <c r="K1796" i="12"/>
  <c r="J1796" i="12"/>
  <c r="H1796" i="12"/>
  <c r="G1796" i="12"/>
  <c r="N1795" i="12"/>
  <c r="K1795" i="12"/>
  <c r="J1795" i="12"/>
  <c r="H1795" i="12"/>
  <c r="G1795" i="12"/>
  <c r="N1794" i="12"/>
  <c r="K1794" i="12"/>
  <c r="J1794" i="12"/>
  <c r="H1794" i="12"/>
  <c r="G1794" i="12"/>
  <c r="N1793" i="12"/>
  <c r="K1793" i="12"/>
  <c r="J1793" i="12"/>
  <c r="H1793" i="12"/>
  <c r="G1793" i="12"/>
  <c r="N1792" i="12"/>
  <c r="K1792" i="12"/>
  <c r="J1792" i="12"/>
  <c r="H1792" i="12"/>
  <c r="G1792" i="12"/>
  <c r="N1791" i="12"/>
  <c r="K1791" i="12"/>
  <c r="J1791" i="12"/>
  <c r="H1791" i="12"/>
  <c r="G1791" i="12"/>
  <c r="N1790" i="12"/>
  <c r="K1790" i="12"/>
  <c r="J1790" i="12"/>
  <c r="H1790" i="12"/>
  <c r="G1790" i="12"/>
  <c r="N1789" i="12"/>
  <c r="K1789" i="12"/>
  <c r="J1789" i="12"/>
  <c r="H1789" i="12"/>
  <c r="G1789" i="12"/>
  <c r="N1788" i="12"/>
  <c r="K1788" i="12"/>
  <c r="J1788" i="12"/>
  <c r="H1788" i="12"/>
  <c r="G1788" i="12"/>
  <c r="N1787" i="12"/>
  <c r="K1787" i="12"/>
  <c r="J1787" i="12"/>
  <c r="H1787" i="12"/>
  <c r="G1787" i="12"/>
  <c r="N1786" i="12"/>
  <c r="K1786" i="12"/>
  <c r="J1786" i="12"/>
  <c r="H1786" i="12"/>
  <c r="G1786" i="12"/>
  <c r="N1785" i="12"/>
  <c r="K1785" i="12"/>
  <c r="J1785" i="12"/>
  <c r="H1785" i="12"/>
  <c r="G1785" i="12"/>
  <c r="N1784" i="12"/>
  <c r="K1784" i="12"/>
  <c r="J1784" i="12"/>
  <c r="H1784" i="12"/>
  <c r="G1784" i="12"/>
  <c r="N1783" i="12"/>
  <c r="K1783" i="12"/>
  <c r="J1783" i="12"/>
  <c r="H1783" i="12"/>
  <c r="G1783" i="12"/>
  <c r="N1782" i="12"/>
  <c r="K1782" i="12"/>
  <c r="J1782" i="12"/>
  <c r="H1782" i="12"/>
  <c r="G1782" i="12"/>
  <c r="N1781" i="12"/>
  <c r="K1781" i="12"/>
  <c r="J1781" i="12"/>
  <c r="H1781" i="12"/>
  <c r="G1781" i="12"/>
  <c r="N1780" i="12"/>
  <c r="K1780" i="12"/>
  <c r="J1780" i="12"/>
  <c r="H1780" i="12"/>
  <c r="G1780" i="12"/>
  <c r="N1779" i="12"/>
  <c r="K1779" i="12"/>
  <c r="J1779" i="12"/>
  <c r="H1779" i="12"/>
  <c r="G1779" i="12"/>
  <c r="N1778" i="12"/>
  <c r="K1778" i="12"/>
  <c r="J1778" i="12"/>
  <c r="H1778" i="12"/>
  <c r="G1778" i="12"/>
  <c r="N1777" i="12"/>
  <c r="K1777" i="12"/>
  <c r="J1777" i="12"/>
  <c r="H1777" i="12"/>
  <c r="G1777" i="12"/>
  <c r="N1776" i="12"/>
  <c r="K1776" i="12"/>
  <c r="J1776" i="12"/>
  <c r="H1776" i="12"/>
  <c r="G1776" i="12"/>
  <c r="N1775" i="12"/>
  <c r="K1775" i="12"/>
  <c r="J1775" i="12"/>
  <c r="H1775" i="12"/>
  <c r="G1775" i="12"/>
  <c r="N1774" i="12"/>
  <c r="K1774" i="12"/>
  <c r="J1774" i="12"/>
  <c r="H1774" i="12"/>
  <c r="G1774" i="12"/>
  <c r="N1773" i="12"/>
  <c r="K1773" i="12"/>
  <c r="J1773" i="12"/>
  <c r="H1773" i="12"/>
  <c r="G1773" i="12"/>
  <c r="N1772" i="12"/>
  <c r="K1772" i="12"/>
  <c r="J1772" i="12"/>
  <c r="H1772" i="12"/>
  <c r="G1772" i="12"/>
  <c r="N1771" i="12"/>
  <c r="K1771" i="12"/>
  <c r="J1771" i="12"/>
  <c r="H1771" i="12"/>
  <c r="G1771" i="12"/>
  <c r="N1770" i="12"/>
  <c r="K1770" i="12"/>
  <c r="J1770" i="12"/>
  <c r="H1770" i="12"/>
  <c r="G1770" i="12"/>
  <c r="N1769" i="12"/>
  <c r="K1769" i="12"/>
  <c r="J1769" i="12"/>
  <c r="H1769" i="12"/>
  <c r="G1769" i="12"/>
  <c r="N1768" i="12"/>
  <c r="K1768" i="12"/>
  <c r="J1768" i="12"/>
  <c r="H1768" i="12"/>
  <c r="G1768" i="12"/>
  <c r="N1767" i="12"/>
  <c r="K1767" i="12"/>
  <c r="J1767" i="12"/>
  <c r="H1767" i="12"/>
  <c r="G1767" i="12"/>
  <c r="N1766" i="12"/>
  <c r="K1766" i="12"/>
  <c r="J1766" i="12"/>
  <c r="H1766" i="12"/>
  <c r="G1766" i="12"/>
  <c r="N1765" i="12"/>
  <c r="K1765" i="12"/>
  <c r="J1765" i="12"/>
  <c r="H1765" i="12"/>
  <c r="G1765" i="12"/>
  <c r="N1764" i="12"/>
  <c r="K1764" i="12"/>
  <c r="J1764" i="12"/>
  <c r="H1764" i="12"/>
  <c r="G1764" i="12"/>
  <c r="N1763" i="12"/>
  <c r="K1763" i="12"/>
  <c r="J1763" i="12"/>
  <c r="H1763" i="12"/>
  <c r="G1763" i="12"/>
  <c r="N1762" i="12"/>
  <c r="K1762" i="12"/>
  <c r="J1762" i="12"/>
  <c r="H1762" i="12"/>
  <c r="G1762" i="12"/>
  <c r="N1761" i="12"/>
  <c r="K1761" i="12"/>
  <c r="J1761" i="12"/>
  <c r="H1761" i="12"/>
  <c r="G1761" i="12"/>
  <c r="N1760" i="12"/>
  <c r="K1760" i="12"/>
  <c r="J1760" i="12"/>
  <c r="H1760" i="12"/>
  <c r="G1760" i="12"/>
  <c r="N1759" i="12"/>
  <c r="K1759" i="12"/>
  <c r="J1759" i="12"/>
  <c r="H1759" i="12"/>
  <c r="G1759" i="12"/>
  <c r="N1758" i="12"/>
  <c r="K1758" i="12"/>
  <c r="J1758" i="12"/>
  <c r="H1758" i="12"/>
  <c r="G1758" i="12"/>
  <c r="N1757" i="12"/>
  <c r="K1757" i="12"/>
  <c r="J1757" i="12"/>
  <c r="H1757" i="12"/>
  <c r="G1757" i="12"/>
  <c r="N1756" i="12"/>
  <c r="K1756" i="12"/>
  <c r="J1756" i="12"/>
  <c r="H1756" i="12"/>
  <c r="G1756" i="12"/>
  <c r="N1755" i="12"/>
  <c r="K1755" i="12"/>
  <c r="J1755" i="12"/>
  <c r="H1755" i="12"/>
  <c r="G1755" i="12"/>
  <c r="N1754" i="12"/>
  <c r="K1754" i="12"/>
  <c r="J1754" i="12"/>
  <c r="H1754" i="12"/>
  <c r="G1754" i="12"/>
  <c r="N1753" i="12"/>
  <c r="K1753" i="12"/>
  <c r="J1753" i="12"/>
  <c r="H1753" i="12"/>
  <c r="G1753" i="12"/>
  <c r="N1752" i="12"/>
  <c r="K1752" i="12"/>
  <c r="J1752" i="12"/>
  <c r="H1752" i="12"/>
  <c r="G1752" i="12"/>
  <c r="N1751" i="12"/>
  <c r="K1751" i="12"/>
  <c r="J1751" i="12"/>
  <c r="H1751" i="12"/>
  <c r="G1751" i="12"/>
  <c r="N1750" i="12"/>
  <c r="K1750" i="12"/>
  <c r="J1750" i="12"/>
  <c r="H1750" i="12"/>
  <c r="G1750" i="12"/>
  <c r="N1749" i="12"/>
  <c r="K1749" i="12"/>
  <c r="J1749" i="12"/>
  <c r="H1749" i="12"/>
  <c r="G1749" i="12"/>
  <c r="N1748" i="12"/>
  <c r="K1748" i="12"/>
  <c r="J1748" i="12"/>
  <c r="H1748" i="12"/>
  <c r="G1748" i="12"/>
  <c r="N1747" i="12"/>
  <c r="K1747" i="12"/>
  <c r="J1747" i="12"/>
  <c r="H1747" i="12"/>
  <c r="G1747" i="12"/>
  <c r="N1746" i="12"/>
  <c r="K1746" i="12"/>
  <c r="J1746" i="12"/>
  <c r="H1746" i="12"/>
  <c r="G1746" i="12"/>
  <c r="N1745" i="12"/>
  <c r="K1745" i="12"/>
  <c r="J1745" i="12"/>
  <c r="H1745" i="12"/>
  <c r="G1745" i="12"/>
  <c r="N1744" i="12"/>
  <c r="K1744" i="12"/>
  <c r="J1744" i="12"/>
  <c r="H1744" i="12"/>
  <c r="G1744" i="12"/>
  <c r="N1743" i="12"/>
  <c r="K1743" i="12"/>
  <c r="J1743" i="12"/>
  <c r="H1743" i="12"/>
  <c r="G1743" i="12"/>
  <c r="N1742" i="12"/>
  <c r="K1742" i="12"/>
  <c r="J1742" i="12"/>
  <c r="H1742" i="12"/>
  <c r="G1742" i="12"/>
  <c r="N1741" i="12"/>
  <c r="K1741" i="12"/>
  <c r="J1741" i="12"/>
  <c r="H1741" i="12"/>
  <c r="G1741" i="12"/>
  <c r="N1740" i="12"/>
  <c r="K1740" i="12"/>
  <c r="J1740" i="12"/>
  <c r="H1740" i="12"/>
  <c r="G1740" i="12"/>
  <c r="N1739" i="12"/>
  <c r="K1739" i="12"/>
  <c r="J1739" i="12"/>
  <c r="H1739" i="12"/>
  <c r="G1739" i="12"/>
  <c r="N1738" i="12"/>
  <c r="K1738" i="12"/>
  <c r="J1738" i="12"/>
  <c r="H1738" i="12"/>
  <c r="G1738" i="12"/>
  <c r="N1737" i="12"/>
  <c r="K1737" i="12"/>
  <c r="J1737" i="12"/>
  <c r="H1737" i="12"/>
  <c r="G1737" i="12"/>
  <c r="N1736" i="12"/>
  <c r="K1736" i="12"/>
  <c r="J1736" i="12"/>
  <c r="H1736" i="12"/>
  <c r="G1736" i="12"/>
  <c r="N1735" i="12"/>
  <c r="K1735" i="12"/>
  <c r="J1735" i="12"/>
  <c r="H1735" i="12"/>
  <c r="G1735" i="12"/>
  <c r="N1734" i="12"/>
  <c r="K1734" i="12"/>
  <c r="J1734" i="12"/>
  <c r="H1734" i="12"/>
  <c r="G1734" i="12"/>
  <c r="N1733" i="12"/>
  <c r="K1733" i="12"/>
  <c r="J1733" i="12"/>
  <c r="H1733" i="12"/>
  <c r="G1733" i="12"/>
  <c r="N1732" i="12"/>
  <c r="K1732" i="12"/>
  <c r="J1732" i="12"/>
  <c r="H1732" i="12"/>
  <c r="G1732" i="12"/>
  <c r="N1731" i="12"/>
  <c r="K1731" i="12"/>
  <c r="J1731" i="12"/>
  <c r="H1731" i="12"/>
  <c r="G1731" i="12"/>
  <c r="N1730" i="12"/>
  <c r="K1730" i="12"/>
  <c r="J1730" i="12"/>
  <c r="H1730" i="12"/>
  <c r="G1730" i="12"/>
  <c r="N1729" i="12"/>
  <c r="K1729" i="12"/>
  <c r="J1729" i="12"/>
  <c r="H1729" i="12"/>
  <c r="G1729" i="12"/>
  <c r="N1728" i="12"/>
  <c r="K1728" i="12"/>
  <c r="J1728" i="12"/>
  <c r="H1728" i="12"/>
  <c r="G1728" i="12"/>
  <c r="N1727" i="12"/>
  <c r="K1727" i="12"/>
  <c r="J1727" i="12"/>
  <c r="H1727" i="12"/>
  <c r="G1727" i="12"/>
  <c r="N1726" i="12"/>
  <c r="K1726" i="12"/>
  <c r="J1726" i="12"/>
  <c r="H1726" i="12"/>
  <c r="G1726" i="12"/>
  <c r="N1725" i="12"/>
  <c r="K1725" i="12"/>
  <c r="J1725" i="12"/>
  <c r="H1725" i="12"/>
  <c r="G1725" i="12"/>
  <c r="N1724" i="12"/>
  <c r="K1724" i="12"/>
  <c r="J1724" i="12"/>
  <c r="H1724" i="12"/>
  <c r="G1724" i="12"/>
  <c r="N1723" i="12"/>
  <c r="K1723" i="12"/>
  <c r="J1723" i="12"/>
  <c r="H1723" i="12"/>
  <c r="G1723" i="12"/>
  <c r="N1722" i="12"/>
  <c r="K1722" i="12"/>
  <c r="J1722" i="12"/>
  <c r="H1722" i="12"/>
  <c r="G1722" i="12"/>
  <c r="N1721" i="12"/>
  <c r="K1721" i="12"/>
  <c r="J1721" i="12"/>
  <c r="H1721" i="12"/>
  <c r="G1721" i="12"/>
  <c r="N1720" i="12"/>
  <c r="K1720" i="12"/>
  <c r="J1720" i="12"/>
  <c r="H1720" i="12"/>
  <c r="G1720" i="12"/>
  <c r="N1719" i="12"/>
  <c r="K1719" i="12"/>
  <c r="J1719" i="12"/>
  <c r="H1719" i="12"/>
  <c r="G1719" i="12"/>
  <c r="N1718" i="12"/>
  <c r="K1718" i="12"/>
  <c r="J1718" i="12"/>
  <c r="H1718" i="12"/>
  <c r="G1718" i="12"/>
  <c r="N1717" i="12"/>
  <c r="K1717" i="12"/>
  <c r="J1717" i="12"/>
  <c r="H1717" i="12"/>
  <c r="G1717" i="12"/>
  <c r="N1716" i="12"/>
  <c r="K1716" i="12"/>
  <c r="J1716" i="12"/>
  <c r="H1716" i="12"/>
  <c r="G1716" i="12"/>
  <c r="N1715" i="12"/>
  <c r="K1715" i="12"/>
  <c r="J1715" i="12"/>
  <c r="H1715" i="12"/>
  <c r="G1715" i="12"/>
  <c r="N1714" i="12"/>
  <c r="K1714" i="12"/>
  <c r="J1714" i="12"/>
  <c r="H1714" i="12"/>
  <c r="G1714" i="12"/>
  <c r="N1713" i="12"/>
  <c r="K1713" i="12"/>
  <c r="J1713" i="12"/>
  <c r="H1713" i="12"/>
  <c r="G1713" i="12"/>
  <c r="N1712" i="12"/>
  <c r="K1712" i="12"/>
  <c r="J1712" i="12"/>
  <c r="H1712" i="12"/>
  <c r="G1712" i="12"/>
  <c r="N1711" i="12"/>
  <c r="K1711" i="12"/>
  <c r="J1711" i="12"/>
  <c r="H1711" i="12"/>
  <c r="G1711" i="12"/>
  <c r="N1710" i="12"/>
  <c r="K1710" i="12"/>
  <c r="J1710" i="12"/>
  <c r="H1710" i="12"/>
  <c r="G1710" i="12"/>
  <c r="N1709" i="12"/>
  <c r="K1709" i="12"/>
  <c r="J1709" i="12"/>
  <c r="H1709" i="12"/>
  <c r="G1709" i="12"/>
  <c r="N1708" i="12"/>
  <c r="K1708" i="12"/>
  <c r="J1708" i="12"/>
  <c r="H1708" i="12"/>
  <c r="G1708" i="12"/>
  <c r="N1707" i="12"/>
  <c r="K1707" i="12"/>
  <c r="J1707" i="12"/>
  <c r="H1707" i="12"/>
  <c r="G1707" i="12"/>
  <c r="N1706" i="12"/>
  <c r="K1706" i="12"/>
  <c r="J1706" i="12"/>
  <c r="H1706" i="12"/>
  <c r="G1706" i="12"/>
  <c r="N1705" i="12"/>
  <c r="K1705" i="12"/>
  <c r="J1705" i="12"/>
  <c r="H1705" i="12"/>
  <c r="G1705" i="12"/>
  <c r="N1704" i="12"/>
  <c r="K1704" i="12"/>
  <c r="J1704" i="12"/>
  <c r="H1704" i="12"/>
  <c r="G1704" i="12"/>
  <c r="N1703" i="12"/>
  <c r="K1703" i="12"/>
  <c r="J1703" i="12"/>
  <c r="H1703" i="12"/>
  <c r="G1703" i="12"/>
  <c r="N1702" i="12"/>
  <c r="K1702" i="12"/>
  <c r="J1702" i="12"/>
  <c r="H1702" i="12"/>
  <c r="G1702" i="12"/>
  <c r="N1701" i="12"/>
  <c r="K1701" i="12"/>
  <c r="J1701" i="12"/>
  <c r="H1701" i="12"/>
  <c r="G1701" i="12"/>
  <c r="N1700" i="12"/>
  <c r="K1700" i="12"/>
  <c r="J1700" i="12"/>
  <c r="H1700" i="12"/>
  <c r="G1700" i="12"/>
  <c r="N1699" i="12"/>
  <c r="K1699" i="12"/>
  <c r="J1699" i="12"/>
  <c r="H1699" i="12"/>
  <c r="G1699" i="12"/>
  <c r="N1698" i="12"/>
  <c r="K1698" i="12"/>
  <c r="J1698" i="12"/>
  <c r="H1698" i="12"/>
  <c r="G1698" i="12"/>
  <c r="N1697" i="12"/>
  <c r="K1697" i="12"/>
  <c r="J1697" i="12"/>
  <c r="H1697" i="12"/>
  <c r="G1697" i="12"/>
  <c r="N1696" i="12"/>
  <c r="K1696" i="12"/>
  <c r="J1696" i="12"/>
  <c r="H1696" i="12"/>
  <c r="G1696" i="12"/>
  <c r="N1695" i="12"/>
  <c r="K1695" i="12"/>
  <c r="J1695" i="12"/>
  <c r="H1695" i="12"/>
  <c r="G1695" i="12"/>
  <c r="N1694" i="12"/>
  <c r="K1694" i="12"/>
  <c r="J1694" i="12"/>
  <c r="H1694" i="12"/>
  <c r="G1694" i="12"/>
  <c r="N1693" i="12"/>
  <c r="K1693" i="12"/>
  <c r="J1693" i="12"/>
  <c r="H1693" i="12"/>
  <c r="G1693" i="12"/>
  <c r="N1692" i="12"/>
  <c r="K1692" i="12"/>
  <c r="J1692" i="12"/>
  <c r="H1692" i="12"/>
  <c r="G1692" i="12"/>
  <c r="N1691" i="12"/>
  <c r="K1691" i="12"/>
  <c r="J1691" i="12"/>
  <c r="H1691" i="12"/>
  <c r="G1691" i="12"/>
  <c r="N1690" i="12"/>
  <c r="K1690" i="12"/>
  <c r="J1690" i="12"/>
  <c r="H1690" i="12"/>
  <c r="G1690" i="12"/>
  <c r="N1689" i="12"/>
  <c r="K1689" i="12"/>
  <c r="J1689" i="12"/>
  <c r="H1689" i="12"/>
  <c r="G1689" i="12"/>
  <c r="N1688" i="12"/>
  <c r="K1688" i="12"/>
  <c r="J1688" i="12"/>
  <c r="H1688" i="12"/>
  <c r="G1688" i="12"/>
  <c r="N1687" i="12"/>
  <c r="K1687" i="12"/>
  <c r="J1687" i="12"/>
  <c r="H1687" i="12"/>
  <c r="G1687" i="12"/>
  <c r="N1686" i="12"/>
  <c r="K1686" i="12"/>
  <c r="J1686" i="12"/>
  <c r="H1686" i="12"/>
  <c r="G1686" i="12"/>
  <c r="N1685" i="12"/>
  <c r="K1685" i="12"/>
  <c r="J1685" i="12"/>
  <c r="H1685" i="12"/>
  <c r="G1685" i="12"/>
  <c r="N1684" i="12"/>
  <c r="K1684" i="12"/>
  <c r="J1684" i="12"/>
  <c r="H1684" i="12"/>
  <c r="G1684" i="12"/>
  <c r="N1683" i="12"/>
  <c r="K1683" i="12"/>
  <c r="J1683" i="12"/>
  <c r="H1683" i="12"/>
  <c r="G1683" i="12"/>
  <c r="N1682" i="12"/>
  <c r="K1682" i="12"/>
  <c r="J1682" i="12"/>
  <c r="H1682" i="12"/>
  <c r="G1682" i="12"/>
  <c r="N1681" i="12"/>
  <c r="K1681" i="12"/>
  <c r="J1681" i="12"/>
  <c r="H1681" i="12"/>
  <c r="G1681" i="12"/>
  <c r="N1680" i="12"/>
  <c r="K1680" i="12"/>
  <c r="J1680" i="12"/>
  <c r="H1680" i="12"/>
  <c r="G1680" i="12"/>
  <c r="N1679" i="12"/>
  <c r="K1679" i="12"/>
  <c r="J1679" i="12"/>
  <c r="H1679" i="12"/>
  <c r="G1679" i="12"/>
  <c r="N1678" i="12"/>
  <c r="K1678" i="12"/>
  <c r="J1678" i="12"/>
  <c r="H1678" i="12"/>
  <c r="G1678" i="12"/>
  <c r="N1677" i="12"/>
  <c r="K1677" i="12"/>
  <c r="J1677" i="12"/>
  <c r="H1677" i="12"/>
  <c r="G1677" i="12"/>
  <c r="N1676" i="12"/>
  <c r="K1676" i="12"/>
  <c r="J1676" i="12"/>
  <c r="H1676" i="12"/>
  <c r="G1676" i="12"/>
  <c r="N1675" i="12"/>
  <c r="K1675" i="12"/>
  <c r="J1675" i="12"/>
  <c r="H1675" i="12"/>
  <c r="G1675" i="12"/>
  <c r="N1674" i="12"/>
  <c r="K1674" i="12"/>
  <c r="J1674" i="12"/>
  <c r="H1674" i="12"/>
  <c r="G1674" i="12"/>
  <c r="N1673" i="12"/>
  <c r="K1673" i="12"/>
  <c r="J1673" i="12"/>
  <c r="H1673" i="12"/>
  <c r="G1673" i="12"/>
  <c r="N1672" i="12"/>
  <c r="K1672" i="12"/>
  <c r="J1672" i="12"/>
  <c r="H1672" i="12"/>
  <c r="G1672" i="12"/>
  <c r="N1671" i="12"/>
  <c r="K1671" i="12"/>
  <c r="J1671" i="12"/>
  <c r="H1671" i="12"/>
  <c r="G1671" i="12"/>
  <c r="N1670" i="12"/>
  <c r="K1670" i="12"/>
  <c r="J1670" i="12"/>
  <c r="H1670" i="12"/>
  <c r="G1670" i="12"/>
  <c r="N1669" i="12"/>
  <c r="K1669" i="12"/>
  <c r="J1669" i="12"/>
  <c r="H1669" i="12"/>
  <c r="G1669" i="12"/>
  <c r="N1668" i="12"/>
  <c r="K1668" i="12"/>
  <c r="J1668" i="12"/>
  <c r="H1668" i="12"/>
  <c r="G1668" i="12"/>
  <c r="N1667" i="12"/>
  <c r="K1667" i="12"/>
  <c r="J1667" i="12"/>
  <c r="H1667" i="12"/>
  <c r="G1667" i="12"/>
  <c r="N1666" i="12"/>
  <c r="K1666" i="12"/>
  <c r="J1666" i="12"/>
  <c r="H1666" i="12"/>
  <c r="G1666" i="12"/>
  <c r="N1665" i="12"/>
  <c r="K1665" i="12"/>
  <c r="J1665" i="12"/>
  <c r="H1665" i="12"/>
  <c r="G1665" i="12"/>
  <c r="N1664" i="12"/>
  <c r="K1664" i="12"/>
  <c r="J1664" i="12"/>
  <c r="H1664" i="12"/>
  <c r="G1664" i="12"/>
  <c r="N1663" i="12"/>
  <c r="K1663" i="12"/>
  <c r="J1663" i="12"/>
  <c r="H1663" i="12"/>
  <c r="G1663" i="12"/>
  <c r="N1662" i="12"/>
  <c r="K1662" i="12"/>
  <c r="J1662" i="12"/>
  <c r="H1662" i="12"/>
  <c r="G1662" i="12"/>
  <c r="N1661" i="12"/>
  <c r="K1661" i="12"/>
  <c r="J1661" i="12"/>
  <c r="H1661" i="12"/>
  <c r="G1661" i="12"/>
  <c r="N1660" i="12"/>
  <c r="K1660" i="12"/>
  <c r="J1660" i="12"/>
  <c r="H1660" i="12"/>
  <c r="G1660" i="12"/>
  <c r="N1659" i="12"/>
  <c r="K1659" i="12"/>
  <c r="J1659" i="12"/>
  <c r="H1659" i="12"/>
  <c r="G1659" i="12"/>
  <c r="N1658" i="12"/>
  <c r="K1658" i="12"/>
  <c r="J1658" i="12"/>
  <c r="H1658" i="12"/>
  <c r="G1658" i="12"/>
  <c r="N1657" i="12"/>
  <c r="K1657" i="12"/>
  <c r="J1657" i="12"/>
  <c r="H1657" i="12"/>
  <c r="G1657" i="12"/>
  <c r="N1656" i="12"/>
  <c r="K1656" i="12"/>
  <c r="J1656" i="12"/>
  <c r="H1656" i="12"/>
  <c r="G1656" i="12"/>
  <c r="N1655" i="12"/>
  <c r="K1655" i="12"/>
  <c r="J1655" i="12"/>
  <c r="H1655" i="12"/>
  <c r="G1655" i="12"/>
  <c r="N1654" i="12"/>
  <c r="K1654" i="12"/>
  <c r="J1654" i="12"/>
  <c r="H1654" i="12"/>
  <c r="G1654" i="12"/>
  <c r="N1653" i="12"/>
  <c r="K1653" i="12"/>
  <c r="J1653" i="12"/>
  <c r="H1653" i="12"/>
  <c r="G1653" i="12"/>
  <c r="N1652" i="12"/>
  <c r="K1652" i="12"/>
  <c r="J1652" i="12"/>
  <c r="H1652" i="12"/>
  <c r="G1652" i="12"/>
  <c r="N1651" i="12"/>
  <c r="K1651" i="12"/>
  <c r="J1651" i="12"/>
  <c r="H1651" i="12"/>
  <c r="G1651" i="12"/>
  <c r="N1650" i="12"/>
  <c r="K1650" i="12"/>
  <c r="J1650" i="12"/>
  <c r="H1650" i="12"/>
  <c r="G1650" i="12"/>
  <c r="N1649" i="12"/>
  <c r="K1649" i="12"/>
  <c r="J1649" i="12"/>
  <c r="H1649" i="12"/>
  <c r="G1649" i="12"/>
  <c r="N1648" i="12"/>
  <c r="K1648" i="12"/>
  <c r="J1648" i="12"/>
  <c r="H1648" i="12"/>
  <c r="G1648" i="12"/>
  <c r="N1647" i="12"/>
  <c r="K1647" i="12"/>
  <c r="J1647" i="12"/>
  <c r="H1647" i="12"/>
  <c r="G1647" i="12"/>
  <c r="N1646" i="12"/>
  <c r="K1646" i="12"/>
  <c r="J1646" i="12"/>
  <c r="H1646" i="12"/>
  <c r="G1646" i="12"/>
  <c r="N1645" i="12"/>
  <c r="K1645" i="12"/>
  <c r="J1645" i="12"/>
  <c r="H1645" i="12"/>
  <c r="G1645" i="12"/>
  <c r="N1644" i="12"/>
  <c r="K1644" i="12"/>
  <c r="J1644" i="12"/>
  <c r="H1644" i="12"/>
  <c r="G1644" i="12"/>
  <c r="N1643" i="12"/>
  <c r="K1643" i="12"/>
  <c r="J1643" i="12"/>
  <c r="H1643" i="12"/>
  <c r="G1643" i="12"/>
  <c r="N1642" i="12"/>
  <c r="K1642" i="12"/>
  <c r="J1642" i="12"/>
  <c r="H1642" i="12"/>
  <c r="G1642" i="12"/>
  <c r="N1641" i="12"/>
  <c r="K1641" i="12"/>
  <c r="J1641" i="12"/>
  <c r="H1641" i="12"/>
  <c r="G1641" i="12"/>
  <c r="N1640" i="12"/>
  <c r="K1640" i="12"/>
  <c r="J1640" i="12"/>
  <c r="H1640" i="12"/>
  <c r="G1640" i="12"/>
  <c r="N1639" i="12"/>
  <c r="K1639" i="12"/>
  <c r="J1639" i="12"/>
  <c r="H1639" i="12"/>
  <c r="G1639" i="12"/>
  <c r="N1638" i="12"/>
  <c r="K1638" i="12"/>
  <c r="J1638" i="12"/>
  <c r="H1638" i="12"/>
  <c r="G1638" i="12"/>
  <c r="N1637" i="12"/>
  <c r="K1637" i="12"/>
  <c r="J1637" i="12"/>
  <c r="H1637" i="12"/>
  <c r="G1637" i="12"/>
  <c r="N1636" i="12"/>
  <c r="K1636" i="12"/>
  <c r="J1636" i="12"/>
  <c r="H1636" i="12"/>
  <c r="G1636" i="12"/>
  <c r="N1635" i="12"/>
  <c r="K1635" i="12"/>
  <c r="J1635" i="12"/>
  <c r="H1635" i="12"/>
  <c r="G1635" i="12"/>
  <c r="N1634" i="12"/>
  <c r="K1634" i="12"/>
  <c r="J1634" i="12"/>
  <c r="H1634" i="12"/>
  <c r="G1634" i="12"/>
  <c r="N1633" i="12"/>
  <c r="K1633" i="12"/>
  <c r="J1633" i="12"/>
  <c r="H1633" i="12"/>
  <c r="G1633" i="12"/>
  <c r="N1632" i="12"/>
  <c r="K1632" i="12"/>
  <c r="J1632" i="12"/>
  <c r="H1632" i="12"/>
  <c r="G1632" i="12"/>
  <c r="N1631" i="12"/>
  <c r="K1631" i="12"/>
  <c r="J1631" i="12"/>
  <c r="H1631" i="12"/>
  <c r="G1631" i="12"/>
  <c r="N1630" i="12"/>
  <c r="K1630" i="12"/>
  <c r="J1630" i="12"/>
  <c r="H1630" i="12"/>
  <c r="G1630" i="12"/>
  <c r="N1629" i="12"/>
  <c r="K1629" i="12"/>
  <c r="J1629" i="12"/>
  <c r="H1629" i="12"/>
  <c r="G1629" i="12"/>
  <c r="N1628" i="12"/>
  <c r="K1628" i="12"/>
  <c r="J1628" i="12"/>
  <c r="H1628" i="12"/>
  <c r="G1628" i="12"/>
  <c r="N1627" i="12"/>
  <c r="K1627" i="12"/>
  <c r="J1627" i="12"/>
  <c r="H1627" i="12"/>
  <c r="G1627" i="12"/>
  <c r="N1626" i="12"/>
  <c r="K1626" i="12"/>
  <c r="J1626" i="12"/>
  <c r="H1626" i="12"/>
  <c r="G1626" i="12"/>
  <c r="N1625" i="12"/>
  <c r="K1625" i="12"/>
  <c r="J1625" i="12"/>
  <c r="H1625" i="12"/>
  <c r="G1625" i="12"/>
  <c r="N1624" i="12"/>
  <c r="K1624" i="12"/>
  <c r="J1624" i="12"/>
  <c r="H1624" i="12"/>
  <c r="G1624" i="12"/>
  <c r="N1623" i="12"/>
  <c r="K1623" i="12"/>
  <c r="J1623" i="12"/>
  <c r="H1623" i="12"/>
  <c r="G1623" i="12"/>
  <c r="N1622" i="12"/>
  <c r="K1622" i="12"/>
  <c r="J1622" i="12"/>
  <c r="H1622" i="12"/>
  <c r="G1622" i="12"/>
  <c r="N1621" i="12"/>
  <c r="K1621" i="12"/>
  <c r="J1621" i="12"/>
  <c r="H1621" i="12"/>
  <c r="G1621" i="12"/>
  <c r="N1620" i="12"/>
  <c r="K1620" i="12"/>
  <c r="J1620" i="12"/>
  <c r="H1620" i="12"/>
  <c r="G1620" i="12"/>
  <c r="N1619" i="12"/>
  <c r="K1619" i="12"/>
  <c r="J1619" i="12"/>
  <c r="H1619" i="12"/>
  <c r="G1619" i="12"/>
  <c r="N1618" i="12"/>
  <c r="K1618" i="12"/>
  <c r="J1618" i="12"/>
  <c r="H1618" i="12"/>
  <c r="G1618" i="12"/>
  <c r="N1617" i="12"/>
  <c r="K1617" i="12"/>
  <c r="J1617" i="12"/>
  <c r="H1617" i="12"/>
  <c r="G1617" i="12"/>
  <c r="N1616" i="12"/>
  <c r="K1616" i="12"/>
  <c r="J1616" i="12"/>
  <c r="H1616" i="12"/>
  <c r="G1616" i="12"/>
  <c r="N1615" i="12"/>
  <c r="K1615" i="12"/>
  <c r="J1615" i="12"/>
  <c r="H1615" i="12"/>
  <c r="G1615" i="12"/>
  <c r="N1614" i="12"/>
  <c r="K1614" i="12"/>
  <c r="J1614" i="12"/>
  <c r="H1614" i="12"/>
  <c r="G1614" i="12"/>
  <c r="N1613" i="12"/>
  <c r="K1613" i="12"/>
  <c r="J1613" i="12"/>
  <c r="H1613" i="12"/>
  <c r="G1613" i="12"/>
  <c r="N1612" i="12"/>
  <c r="K1612" i="12"/>
  <c r="J1612" i="12"/>
  <c r="H1612" i="12"/>
  <c r="G1612" i="12"/>
  <c r="N1611" i="12"/>
  <c r="K1611" i="12"/>
  <c r="J1611" i="12"/>
  <c r="H1611" i="12"/>
  <c r="G1611" i="12"/>
  <c r="N1610" i="12"/>
  <c r="K1610" i="12"/>
  <c r="J1610" i="12"/>
  <c r="H1610" i="12"/>
  <c r="G1610" i="12"/>
  <c r="N1609" i="12"/>
  <c r="K1609" i="12"/>
  <c r="J1609" i="12"/>
  <c r="H1609" i="12"/>
  <c r="G1609" i="12"/>
  <c r="N1608" i="12"/>
  <c r="K1608" i="12"/>
  <c r="J1608" i="12"/>
  <c r="H1608" i="12"/>
  <c r="G1608" i="12"/>
  <c r="N1607" i="12"/>
  <c r="K1607" i="12"/>
  <c r="J1607" i="12"/>
  <c r="H1607" i="12"/>
  <c r="G1607" i="12"/>
  <c r="N1606" i="12"/>
  <c r="K1606" i="12"/>
  <c r="J1606" i="12"/>
  <c r="H1606" i="12"/>
  <c r="G1606" i="12"/>
  <c r="N1605" i="12"/>
  <c r="K1605" i="12"/>
  <c r="J1605" i="12"/>
  <c r="H1605" i="12"/>
  <c r="G1605" i="12"/>
  <c r="N1604" i="12"/>
  <c r="K1604" i="12"/>
  <c r="J1604" i="12"/>
  <c r="H1604" i="12"/>
  <c r="G1604" i="12"/>
  <c r="N1603" i="12"/>
  <c r="K1603" i="12"/>
  <c r="J1603" i="12"/>
  <c r="H1603" i="12"/>
  <c r="G1603" i="12"/>
  <c r="N1602" i="12"/>
  <c r="K1602" i="12"/>
  <c r="J1602" i="12"/>
  <c r="H1602" i="12"/>
  <c r="G1602" i="12"/>
  <c r="N1601" i="12"/>
  <c r="K1601" i="12"/>
  <c r="J1601" i="12"/>
  <c r="H1601" i="12"/>
  <c r="G1601" i="12"/>
  <c r="N1600" i="12"/>
  <c r="K1600" i="12"/>
  <c r="J1600" i="12"/>
  <c r="H1600" i="12"/>
  <c r="G1600" i="12"/>
  <c r="N1599" i="12"/>
  <c r="K1599" i="12"/>
  <c r="J1599" i="12"/>
  <c r="H1599" i="12"/>
  <c r="G1599" i="12"/>
  <c r="N1598" i="12"/>
  <c r="K1598" i="12"/>
  <c r="J1598" i="12"/>
  <c r="H1598" i="12"/>
  <c r="G1598" i="12"/>
  <c r="N1597" i="12"/>
  <c r="K1597" i="12"/>
  <c r="J1597" i="12"/>
  <c r="H1597" i="12"/>
  <c r="G1597" i="12"/>
  <c r="N1596" i="12"/>
  <c r="K1596" i="12"/>
  <c r="J1596" i="12"/>
  <c r="H1596" i="12"/>
  <c r="G1596" i="12"/>
  <c r="N1595" i="12"/>
  <c r="K1595" i="12"/>
  <c r="J1595" i="12"/>
  <c r="H1595" i="12"/>
  <c r="G1595" i="12"/>
  <c r="N1594" i="12"/>
  <c r="K1594" i="12"/>
  <c r="J1594" i="12"/>
  <c r="H1594" i="12"/>
  <c r="G1594" i="12"/>
  <c r="N1593" i="12"/>
  <c r="K1593" i="12"/>
  <c r="J1593" i="12"/>
  <c r="H1593" i="12"/>
  <c r="G1593" i="12"/>
  <c r="N1592" i="12"/>
  <c r="K1592" i="12"/>
  <c r="J1592" i="12"/>
  <c r="H1592" i="12"/>
  <c r="G1592" i="12"/>
  <c r="N1591" i="12"/>
  <c r="K1591" i="12"/>
  <c r="J1591" i="12"/>
  <c r="H1591" i="12"/>
  <c r="G1591" i="12"/>
  <c r="N1590" i="12"/>
  <c r="K1590" i="12"/>
  <c r="J1590" i="12"/>
  <c r="H1590" i="12"/>
  <c r="G1590" i="12"/>
  <c r="N1589" i="12"/>
  <c r="K1589" i="12"/>
  <c r="J1589" i="12"/>
  <c r="H1589" i="12"/>
  <c r="G1589" i="12"/>
  <c r="N1588" i="12"/>
  <c r="K1588" i="12"/>
  <c r="J1588" i="12"/>
  <c r="H1588" i="12"/>
  <c r="G1588" i="12"/>
  <c r="N1587" i="12"/>
  <c r="K1587" i="12"/>
  <c r="J1587" i="12"/>
  <c r="H1587" i="12"/>
  <c r="G1587" i="12"/>
  <c r="N1586" i="12"/>
  <c r="K1586" i="12"/>
  <c r="J1586" i="12"/>
  <c r="H1586" i="12"/>
  <c r="G1586" i="12"/>
  <c r="N1585" i="12"/>
  <c r="K1585" i="12"/>
  <c r="J1585" i="12"/>
  <c r="H1585" i="12"/>
  <c r="G1585" i="12"/>
  <c r="N1584" i="12"/>
  <c r="K1584" i="12"/>
  <c r="J1584" i="12"/>
  <c r="H1584" i="12"/>
  <c r="G1584" i="12"/>
  <c r="N1583" i="12"/>
  <c r="K1583" i="12"/>
  <c r="J1583" i="12"/>
  <c r="H1583" i="12"/>
  <c r="G1583" i="12"/>
  <c r="N1582" i="12"/>
  <c r="K1582" i="12"/>
  <c r="J1582" i="12"/>
  <c r="H1582" i="12"/>
  <c r="G1582" i="12"/>
  <c r="N1581" i="12"/>
  <c r="K1581" i="12"/>
  <c r="J1581" i="12"/>
  <c r="H1581" i="12"/>
  <c r="G1581" i="12"/>
  <c r="N1580" i="12"/>
  <c r="K1580" i="12"/>
  <c r="J1580" i="12"/>
  <c r="H1580" i="12"/>
  <c r="G1580" i="12"/>
  <c r="N1579" i="12"/>
  <c r="K1579" i="12"/>
  <c r="J1579" i="12"/>
  <c r="H1579" i="12"/>
  <c r="G1579" i="12"/>
  <c r="N1578" i="12"/>
  <c r="K1578" i="12"/>
  <c r="J1578" i="12"/>
  <c r="H1578" i="12"/>
  <c r="G1578" i="12"/>
  <c r="N1577" i="12"/>
  <c r="K1577" i="12"/>
  <c r="J1577" i="12"/>
  <c r="H1577" i="12"/>
  <c r="G1577" i="12"/>
  <c r="N1576" i="12"/>
  <c r="K1576" i="12"/>
  <c r="J1576" i="12"/>
  <c r="H1576" i="12"/>
  <c r="G1576" i="12"/>
  <c r="N1575" i="12"/>
  <c r="K1575" i="12"/>
  <c r="J1575" i="12"/>
  <c r="H1575" i="12"/>
  <c r="G1575" i="12"/>
  <c r="N1574" i="12"/>
  <c r="K1574" i="12"/>
  <c r="J1574" i="12"/>
  <c r="H1574" i="12"/>
  <c r="G1574" i="12"/>
  <c r="N1573" i="12"/>
  <c r="K1573" i="12"/>
  <c r="J1573" i="12"/>
  <c r="H1573" i="12"/>
  <c r="G1573" i="12"/>
  <c r="N1572" i="12"/>
  <c r="K1572" i="12"/>
  <c r="J1572" i="12"/>
  <c r="H1572" i="12"/>
  <c r="G1572" i="12"/>
  <c r="N1571" i="12"/>
  <c r="K1571" i="12"/>
  <c r="J1571" i="12"/>
  <c r="H1571" i="12"/>
  <c r="G1571" i="12"/>
  <c r="N1570" i="12"/>
  <c r="K1570" i="12"/>
  <c r="J1570" i="12"/>
  <c r="H1570" i="12"/>
  <c r="G1570" i="12"/>
  <c r="N1569" i="12"/>
  <c r="K1569" i="12"/>
  <c r="J1569" i="12"/>
  <c r="H1569" i="12"/>
  <c r="G1569" i="12"/>
  <c r="N1568" i="12"/>
  <c r="K1568" i="12"/>
  <c r="J1568" i="12"/>
  <c r="H1568" i="12"/>
  <c r="G1568" i="12"/>
  <c r="N1567" i="12"/>
  <c r="K1567" i="12"/>
  <c r="J1567" i="12"/>
  <c r="H1567" i="12"/>
  <c r="G1567" i="12"/>
  <c r="N1566" i="12"/>
  <c r="K1566" i="12"/>
  <c r="J1566" i="12"/>
  <c r="H1566" i="12"/>
  <c r="G1566" i="12"/>
  <c r="N1565" i="12"/>
  <c r="K1565" i="12"/>
  <c r="J1565" i="12"/>
  <c r="H1565" i="12"/>
  <c r="G1565" i="12"/>
  <c r="N1564" i="12"/>
  <c r="K1564" i="12"/>
  <c r="J1564" i="12"/>
  <c r="H1564" i="12"/>
  <c r="G1564" i="12"/>
  <c r="N1563" i="12"/>
  <c r="K1563" i="12"/>
  <c r="J1563" i="12"/>
  <c r="H1563" i="12"/>
  <c r="G1563" i="12"/>
  <c r="N1562" i="12"/>
  <c r="K1562" i="12"/>
  <c r="J1562" i="12"/>
  <c r="H1562" i="12"/>
  <c r="G1562" i="12"/>
  <c r="N1561" i="12"/>
  <c r="K1561" i="12"/>
  <c r="J1561" i="12"/>
  <c r="H1561" i="12"/>
  <c r="G1561" i="12"/>
  <c r="N1560" i="12"/>
  <c r="K1560" i="12"/>
  <c r="J1560" i="12"/>
  <c r="H1560" i="12"/>
  <c r="G1560" i="12"/>
  <c r="N1559" i="12"/>
  <c r="K1559" i="12"/>
  <c r="J1559" i="12"/>
  <c r="H1559" i="12"/>
  <c r="G1559" i="12"/>
  <c r="N1558" i="12"/>
  <c r="K1558" i="12"/>
  <c r="J1558" i="12"/>
  <c r="H1558" i="12"/>
  <c r="G1558" i="12"/>
  <c r="N1557" i="12"/>
  <c r="K1557" i="12"/>
  <c r="J1557" i="12"/>
  <c r="H1557" i="12"/>
  <c r="G1557" i="12"/>
  <c r="N1556" i="12"/>
  <c r="K1556" i="12"/>
  <c r="J1556" i="12"/>
  <c r="H1556" i="12"/>
  <c r="G1556" i="12"/>
  <c r="N1555" i="12"/>
  <c r="K1555" i="12"/>
  <c r="J1555" i="12"/>
  <c r="H1555" i="12"/>
  <c r="G1555" i="12"/>
  <c r="N1554" i="12"/>
  <c r="K1554" i="12"/>
  <c r="J1554" i="12"/>
  <c r="H1554" i="12"/>
  <c r="G1554" i="12"/>
  <c r="N1553" i="12"/>
  <c r="K1553" i="12"/>
  <c r="J1553" i="12"/>
  <c r="H1553" i="12"/>
  <c r="G1553" i="12"/>
  <c r="N1552" i="12"/>
  <c r="K1552" i="12"/>
  <c r="J1552" i="12"/>
  <c r="H1552" i="12"/>
  <c r="G1552" i="12"/>
  <c r="N1551" i="12"/>
  <c r="K1551" i="12"/>
  <c r="J1551" i="12"/>
  <c r="H1551" i="12"/>
  <c r="G1551" i="12"/>
  <c r="N1550" i="12"/>
  <c r="K1550" i="12"/>
  <c r="J1550" i="12"/>
  <c r="H1550" i="12"/>
  <c r="G1550" i="12"/>
  <c r="N1549" i="12"/>
  <c r="K1549" i="12"/>
  <c r="J1549" i="12"/>
  <c r="H1549" i="12"/>
  <c r="G1549" i="12"/>
  <c r="N1548" i="12"/>
  <c r="K1548" i="12"/>
  <c r="J1548" i="12"/>
  <c r="H1548" i="12"/>
  <c r="G1548" i="12"/>
  <c r="N1547" i="12"/>
  <c r="K1547" i="12"/>
  <c r="J1547" i="12"/>
  <c r="H1547" i="12"/>
  <c r="G1547" i="12"/>
  <c r="N1546" i="12"/>
  <c r="K1546" i="12"/>
  <c r="J1546" i="12"/>
  <c r="H1546" i="12"/>
  <c r="G1546" i="12"/>
  <c r="N1545" i="12"/>
  <c r="K1545" i="12"/>
  <c r="J1545" i="12"/>
  <c r="H1545" i="12"/>
  <c r="G1545" i="12"/>
  <c r="N1544" i="12"/>
  <c r="K1544" i="12"/>
  <c r="J1544" i="12"/>
  <c r="H1544" i="12"/>
  <c r="G1544" i="12"/>
  <c r="N1543" i="12"/>
  <c r="K1543" i="12"/>
  <c r="J1543" i="12"/>
  <c r="H1543" i="12"/>
  <c r="G1543" i="12"/>
  <c r="N1542" i="12"/>
  <c r="K1542" i="12"/>
  <c r="J1542" i="12"/>
  <c r="H1542" i="12"/>
  <c r="G1542" i="12"/>
  <c r="N1541" i="12"/>
  <c r="K1541" i="12"/>
  <c r="J1541" i="12"/>
  <c r="H1541" i="12"/>
  <c r="G1541" i="12"/>
  <c r="N1540" i="12"/>
  <c r="K1540" i="12"/>
  <c r="J1540" i="12"/>
  <c r="H1540" i="12"/>
  <c r="G1540" i="12"/>
  <c r="N1539" i="12"/>
  <c r="K1539" i="12"/>
  <c r="J1539" i="12"/>
  <c r="H1539" i="12"/>
  <c r="G1539" i="12"/>
  <c r="N1538" i="12"/>
  <c r="K1538" i="12"/>
  <c r="J1538" i="12"/>
  <c r="H1538" i="12"/>
  <c r="G1538" i="12"/>
  <c r="N1537" i="12"/>
  <c r="K1537" i="12"/>
  <c r="J1537" i="12"/>
  <c r="H1537" i="12"/>
  <c r="G1537" i="12"/>
  <c r="N1536" i="12"/>
  <c r="K1536" i="12"/>
  <c r="J1536" i="12"/>
  <c r="H1536" i="12"/>
  <c r="G1536" i="12"/>
  <c r="N1535" i="12"/>
  <c r="K1535" i="12"/>
  <c r="J1535" i="12"/>
  <c r="H1535" i="12"/>
  <c r="G1535" i="12"/>
  <c r="N1534" i="12"/>
  <c r="K1534" i="12"/>
  <c r="J1534" i="12"/>
  <c r="H1534" i="12"/>
  <c r="G1534" i="12"/>
  <c r="N1533" i="12"/>
  <c r="K1533" i="12"/>
  <c r="J1533" i="12"/>
  <c r="H1533" i="12"/>
  <c r="G1533" i="12"/>
  <c r="N1532" i="12"/>
  <c r="K1532" i="12"/>
  <c r="J1532" i="12"/>
  <c r="H1532" i="12"/>
  <c r="G1532" i="12"/>
  <c r="N1531" i="12"/>
  <c r="K1531" i="12"/>
  <c r="J1531" i="12"/>
  <c r="H1531" i="12"/>
  <c r="G1531" i="12"/>
  <c r="N1530" i="12"/>
  <c r="K1530" i="12"/>
  <c r="J1530" i="12"/>
  <c r="H1530" i="12"/>
  <c r="G1530" i="12"/>
  <c r="N1529" i="12"/>
  <c r="K1529" i="12"/>
  <c r="J1529" i="12"/>
  <c r="H1529" i="12"/>
  <c r="G1529" i="12"/>
  <c r="N1528" i="12"/>
  <c r="K1528" i="12"/>
  <c r="J1528" i="12"/>
  <c r="H1528" i="12"/>
  <c r="G1528" i="12"/>
  <c r="N1527" i="12"/>
  <c r="K1527" i="12"/>
  <c r="J1527" i="12"/>
  <c r="H1527" i="12"/>
  <c r="G1527" i="12"/>
  <c r="N1526" i="12"/>
  <c r="K1526" i="12"/>
  <c r="J1526" i="12"/>
  <c r="H1526" i="12"/>
  <c r="G1526" i="12"/>
  <c r="N1525" i="12"/>
  <c r="K1525" i="12"/>
  <c r="J1525" i="12"/>
  <c r="H1525" i="12"/>
  <c r="G1525" i="12"/>
  <c r="N1524" i="12"/>
  <c r="K1524" i="12"/>
  <c r="J1524" i="12"/>
  <c r="H1524" i="12"/>
  <c r="G1524" i="12"/>
  <c r="N1523" i="12"/>
  <c r="K1523" i="12"/>
  <c r="J1523" i="12"/>
  <c r="H1523" i="12"/>
  <c r="G1523" i="12"/>
  <c r="N1522" i="12"/>
  <c r="K1522" i="12"/>
  <c r="J1522" i="12"/>
  <c r="H1522" i="12"/>
  <c r="G1522" i="12"/>
  <c r="N1521" i="12"/>
  <c r="K1521" i="12"/>
  <c r="J1521" i="12"/>
  <c r="H1521" i="12"/>
  <c r="G1521" i="12"/>
  <c r="N1520" i="12"/>
  <c r="K1520" i="12"/>
  <c r="J1520" i="12"/>
  <c r="H1520" i="12"/>
  <c r="G1520" i="12"/>
  <c r="N1519" i="12"/>
  <c r="K1519" i="12"/>
  <c r="J1519" i="12"/>
  <c r="H1519" i="12"/>
  <c r="G1519" i="12"/>
  <c r="N1518" i="12"/>
  <c r="K1518" i="12"/>
  <c r="J1518" i="12"/>
  <c r="H1518" i="12"/>
  <c r="G1518" i="12"/>
  <c r="N1517" i="12"/>
  <c r="K1517" i="12"/>
  <c r="J1517" i="12"/>
  <c r="H1517" i="12"/>
  <c r="G1517" i="12"/>
  <c r="N1516" i="12"/>
  <c r="K1516" i="12"/>
  <c r="J1516" i="12"/>
  <c r="H1516" i="12"/>
  <c r="G1516" i="12"/>
  <c r="N1515" i="12"/>
  <c r="K1515" i="12"/>
  <c r="J1515" i="12"/>
  <c r="H1515" i="12"/>
  <c r="G1515" i="12"/>
  <c r="N1514" i="12"/>
  <c r="K1514" i="12"/>
  <c r="J1514" i="12"/>
  <c r="H1514" i="12"/>
  <c r="G1514" i="12"/>
  <c r="N1513" i="12"/>
  <c r="K1513" i="12"/>
  <c r="J1513" i="12"/>
  <c r="H1513" i="12"/>
  <c r="G1513" i="12"/>
  <c r="N1512" i="12"/>
  <c r="K1512" i="12"/>
  <c r="J1512" i="12"/>
  <c r="H1512" i="12"/>
  <c r="G1512" i="12"/>
  <c r="N1511" i="12"/>
  <c r="K1511" i="12"/>
  <c r="J1511" i="12"/>
  <c r="H1511" i="12"/>
  <c r="G1511" i="12"/>
  <c r="N1510" i="12"/>
  <c r="K1510" i="12"/>
  <c r="J1510" i="12"/>
  <c r="H1510" i="12"/>
  <c r="G1510" i="12"/>
  <c r="N1509" i="12"/>
  <c r="K1509" i="12"/>
  <c r="J1509" i="12"/>
  <c r="H1509" i="12"/>
  <c r="G1509" i="12"/>
  <c r="N1508" i="12"/>
  <c r="K1508" i="12"/>
  <c r="J1508" i="12"/>
  <c r="H1508" i="12"/>
  <c r="G1508" i="12"/>
  <c r="N1507" i="12"/>
  <c r="K1507" i="12"/>
  <c r="J1507" i="12"/>
  <c r="H1507" i="12"/>
  <c r="G1507" i="12"/>
  <c r="N1506" i="12"/>
  <c r="K1506" i="12"/>
  <c r="J1506" i="12"/>
  <c r="H1506" i="12"/>
  <c r="G1506" i="12"/>
  <c r="N1505" i="12"/>
  <c r="K1505" i="12"/>
  <c r="J1505" i="12"/>
  <c r="H1505" i="12"/>
  <c r="G1505" i="12"/>
  <c r="N1504" i="12"/>
  <c r="K1504" i="12"/>
  <c r="J1504" i="12"/>
  <c r="H1504" i="12"/>
  <c r="G1504" i="12"/>
  <c r="N1503" i="12"/>
  <c r="K1503" i="12"/>
  <c r="J1503" i="12"/>
  <c r="H1503" i="12"/>
  <c r="G1503" i="12"/>
  <c r="N1502" i="12"/>
  <c r="K1502" i="12"/>
  <c r="J1502" i="12"/>
  <c r="H1502" i="12"/>
  <c r="G1502" i="12"/>
  <c r="N1501" i="12"/>
  <c r="K1501" i="12"/>
  <c r="J1501" i="12"/>
  <c r="H1501" i="12"/>
  <c r="G1501" i="12"/>
  <c r="N1500" i="12"/>
  <c r="K1500" i="12"/>
  <c r="J1500" i="12"/>
  <c r="H1500" i="12"/>
  <c r="G1500" i="12"/>
  <c r="N1499" i="12"/>
  <c r="K1499" i="12"/>
  <c r="J1499" i="12"/>
  <c r="H1499" i="12"/>
  <c r="G1499" i="12"/>
  <c r="N1498" i="12"/>
  <c r="K1498" i="12"/>
  <c r="J1498" i="12"/>
  <c r="H1498" i="12"/>
  <c r="G1498" i="12"/>
  <c r="N1497" i="12"/>
  <c r="K1497" i="12"/>
  <c r="J1497" i="12"/>
  <c r="H1497" i="12"/>
  <c r="G1497" i="12"/>
  <c r="N1496" i="12"/>
  <c r="K1496" i="12"/>
  <c r="J1496" i="12"/>
  <c r="H1496" i="12"/>
  <c r="G1496" i="12"/>
  <c r="N1495" i="12"/>
  <c r="K1495" i="12"/>
  <c r="J1495" i="12"/>
  <c r="H1495" i="12"/>
  <c r="G1495" i="12"/>
  <c r="N1494" i="12"/>
  <c r="K1494" i="12"/>
  <c r="J1494" i="12"/>
  <c r="H1494" i="12"/>
  <c r="G1494" i="12"/>
  <c r="N1493" i="12"/>
  <c r="K1493" i="12"/>
  <c r="J1493" i="12"/>
  <c r="H1493" i="12"/>
  <c r="G1493" i="12"/>
  <c r="N1492" i="12"/>
  <c r="K1492" i="12"/>
  <c r="J1492" i="12"/>
  <c r="H1492" i="12"/>
  <c r="G1492" i="12"/>
  <c r="N1491" i="12"/>
  <c r="K1491" i="12"/>
  <c r="J1491" i="12"/>
  <c r="H1491" i="12"/>
  <c r="G1491" i="12"/>
  <c r="N1490" i="12"/>
  <c r="K1490" i="12"/>
  <c r="J1490" i="12"/>
  <c r="H1490" i="12"/>
  <c r="G1490" i="12"/>
  <c r="N1489" i="12"/>
  <c r="K1489" i="12"/>
  <c r="J1489" i="12"/>
  <c r="H1489" i="12"/>
  <c r="G1489" i="12"/>
  <c r="N1488" i="12"/>
  <c r="K1488" i="12"/>
  <c r="J1488" i="12"/>
  <c r="H1488" i="12"/>
  <c r="G1488" i="12"/>
  <c r="N1487" i="12"/>
  <c r="K1487" i="12"/>
  <c r="J1487" i="12"/>
  <c r="H1487" i="12"/>
  <c r="G1487" i="12"/>
  <c r="N1486" i="12"/>
  <c r="K1486" i="12"/>
  <c r="J1486" i="12"/>
  <c r="H1486" i="12"/>
  <c r="G1486" i="12"/>
  <c r="N1485" i="12"/>
  <c r="K1485" i="12"/>
  <c r="J1485" i="12"/>
  <c r="H1485" i="12"/>
  <c r="G1485" i="12"/>
  <c r="N1484" i="12"/>
  <c r="K1484" i="12"/>
  <c r="J1484" i="12"/>
  <c r="H1484" i="12"/>
  <c r="G1484" i="12"/>
  <c r="N1483" i="12"/>
  <c r="K1483" i="12"/>
  <c r="J1483" i="12"/>
  <c r="H1483" i="12"/>
  <c r="G1483" i="12"/>
  <c r="N1482" i="12"/>
  <c r="K1482" i="12"/>
  <c r="J1482" i="12"/>
  <c r="H1482" i="12"/>
  <c r="G1482" i="12"/>
  <c r="N1481" i="12"/>
  <c r="K1481" i="12"/>
  <c r="J1481" i="12"/>
  <c r="H1481" i="12"/>
  <c r="G1481" i="12"/>
  <c r="N1480" i="12"/>
  <c r="K1480" i="12"/>
  <c r="J1480" i="12"/>
  <c r="H1480" i="12"/>
  <c r="G1480" i="12"/>
  <c r="N1479" i="12"/>
  <c r="K1479" i="12"/>
  <c r="J1479" i="12"/>
  <c r="H1479" i="12"/>
  <c r="G1479" i="12"/>
  <c r="N1478" i="12"/>
  <c r="K1478" i="12"/>
  <c r="J1478" i="12"/>
  <c r="H1478" i="12"/>
  <c r="G1478" i="12"/>
  <c r="N1477" i="12"/>
  <c r="K1477" i="12"/>
  <c r="J1477" i="12"/>
  <c r="H1477" i="12"/>
  <c r="G1477" i="12"/>
  <c r="N1476" i="12"/>
  <c r="K1476" i="12"/>
  <c r="J1476" i="12"/>
  <c r="H1476" i="12"/>
  <c r="G1476" i="12"/>
  <c r="N1475" i="12"/>
  <c r="K1475" i="12"/>
  <c r="J1475" i="12"/>
  <c r="H1475" i="12"/>
  <c r="G1475" i="12"/>
  <c r="N1474" i="12"/>
  <c r="K1474" i="12"/>
  <c r="J1474" i="12"/>
  <c r="H1474" i="12"/>
  <c r="G1474" i="12"/>
  <c r="N1473" i="12"/>
  <c r="K1473" i="12"/>
  <c r="J1473" i="12"/>
  <c r="H1473" i="12"/>
  <c r="G1473" i="12"/>
  <c r="N1472" i="12"/>
  <c r="K1472" i="12"/>
  <c r="J1472" i="12"/>
  <c r="H1472" i="12"/>
  <c r="G1472" i="12"/>
  <c r="N1471" i="12"/>
  <c r="K1471" i="12"/>
  <c r="J1471" i="12"/>
  <c r="H1471" i="12"/>
  <c r="G1471" i="12"/>
  <c r="N1470" i="12"/>
  <c r="K1470" i="12"/>
  <c r="J1470" i="12"/>
  <c r="H1470" i="12"/>
  <c r="G1470" i="12"/>
  <c r="N1469" i="12"/>
  <c r="K1469" i="12"/>
  <c r="J1469" i="12"/>
  <c r="H1469" i="12"/>
  <c r="G1469" i="12"/>
  <c r="N1468" i="12"/>
  <c r="K1468" i="12"/>
  <c r="J1468" i="12"/>
  <c r="H1468" i="12"/>
  <c r="G1468" i="12"/>
  <c r="N1467" i="12"/>
  <c r="K1467" i="12"/>
  <c r="J1467" i="12"/>
  <c r="H1467" i="12"/>
  <c r="G1467" i="12"/>
  <c r="N1466" i="12"/>
  <c r="K1466" i="12"/>
  <c r="J1466" i="12"/>
  <c r="H1466" i="12"/>
  <c r="G1466" i="12"/>
  <c r="N1465" i="12"/>
  <c r="K1465" i="12"/>
  <c r="J1465" i="12"/>
  <c r="H1465" i="12"/>
  <c r="G1465" i="12"/>
  <c r="N1464" i="12"/>
  <c r="K1464" i="12"/>
  <c r="J1464" i="12"/>
  <c r="H1464" i="12"/>
  <c r="G1464" i="12"/>
  <c r="N1463" i="12"/>
  <c r="K1463" i="12"/>
  <c r="J1463" i="12"/>
  <c r="H1463" i="12"/>
  <c r="G1463" i="12"/>
  <c r="N1462" i="12"/>
  <c r="K1462" i="12"/>
  <c r="J1462" i="12"/>
  <c r="H1462" i="12"/>
  <c r="G1462" i="12"/>
  <c r="N1461" i="12"/>
  <c r="K1461" i="12"/>
  <c r="J1461" i="12"/>
  <c r="H1461" i="12"/>
  <c r="G1461" i="12"/>
  <c r="N1460" i="12"/>
  <c r="K1460" i="12"/>
  <c r="J1460" i="12"/>
  <c r="H1460" i="12"/>
  <c r="G1460" i="12"/>
  <c r="N1459" i="12"/>
  <c r="K1459" i="12"/>
  <c r="J1459" i="12"/>
  <c r="H1459" i="12"/>
  <c r="G1459" i="12"/>
  <c r="N1458" i="12"/>
  <c r="K1458" i="12"/>
  <c r="J1458" i="12"/>
  <c r="H1458" i="12"/>
  <c r="G1458" i="12"/>
  <c r="N1457" i="12"/>
  <c r="K1457" i="12"/>
  <c r="J1457" i="12"/>
  <c r="H1457" i="12"/>
  <c r="G1457" i="12"/>
  <c r="N1456" i="12"/>
  <c r="K1456" i="12"/>
  <c r="J1456" i="12"/>
  <c r="H1456" i="12"/>
  <c r="G1456" i="12"/>
  <c r="N1455" i="12"/>
  <c r="K1455" i="12"/>
  <c r="J1455" i="12"/>
  <c r="H1455" i="12"/>
  <c r="G1455" i="12"/>
  <c r="N1454" i="12"/>
  <c r="K1454" i="12"/>
  <c r="J1454" i="12"/>
  <c r="H1454" i="12"/>
  <c r="G1454" i="12"/>
  <c r="N1453" i="12"/>
  <c r="K1453" i="12"/>
  <c r="J1453" i="12"/>
  <c r="H1453" i="12"/>
  <c r="G1453" i="12"/>
  <c r="N1452" i="12"/>
  <c r="K1452" i="12"/>
  <c r="J1452" i="12"/>
  <c r="H1452" i="12"/>
  <c r="G1452" i="12"/>
  <c r="N1451" i="12"/>
  <c r="K1451" i="12"/>
  <c r="J1451" i="12"/>
  <c r="H1451" i="12"/>
  <c r="G1451" i="12"/>
  <c r="N1450" i="12"/>
  <c r="K1450" i="12"/>
  <c r="J1450" i="12"/>
  <c r="H1450" i="12"/>
  <c r="G1450" i="12"/>
  <c r="N1449" i="12"/>
  <c r="K1449" i="12"/>
  <c r="J1449" i="12"/>
  <c r="H1449" i="12"/>
  <c r="G1449" i="12"/>
  <c r="N1448" i="12"/>
  <c r="K1448" i="12"/>
  <c r="J1448" i="12"/>
  <c r="H1448" i="12"/>
  <c r="G1448" i="12"/>
  <c r="N1447" i="12"/>
  <c r="K1447" i="12"/>
  <c r="J1447" i="12"/>
  <c r="H1447" i="12"/>
  <c r="G1447" i="12"/>
  <c r="N1446" i="12"/>
  <c r="K1446" i="12"/>
  <c r="J1446" i="12"/>
  <c r="H1446" i="12"/>
  <c r="G1446" i="12"/>
  <c r="N1445" i="12"/>
  <c r="K1445" i="12"/>
  <c r="J1445" i="12"/>
  <c r="H1445" i="12"/>
  <c r="G1445" i="12"/>
  <c r="N1444" i="12"/>
  <c r="K1444" i="12"/>
  <c r="J1444" i="12"/>
  <c r="H1444" i="12"/>
  <c r="G1444" i="12"/>
  <c r="N1443" i="12"/>
  <c r="K1443" i="12"/>
  <c r="J1443" i="12"/>
  <c r="H1443" i="12"/>
  <c r="G1443" i="12"/>
  <c r="N1442" i="12"/>
  <c r="K1442" i="12"/>
  <c r="J1442" i="12"/>
  <c r="H1442" i="12"/>
  <c r="G1442" i="12"/>
  <c r="N1441" i="12"/>
  <c r="K1441" i="12"/>
  <c r="J1441" i="12"/>
  <c r="H1441" i="12"/>
  <c r="G1441" i="12"/>
  <c r="N1440" i="12"/>
  <c r="K1440" i="12"/>
  <c r="J1440" i="12"/>
  <c r="H1440" i="12"/>
  <c r="G1440" i="12"/>
  <c r="N1439" i="12"/>
  <c r="K1439" i="12"/>
  <c r="J1439" i="12"/>
  <c r="H1439" i="12"/>
  <c r="G1439" i="12"/>
  <c r="N1438" i="12"/>
  <c r="K1438" i="12"/>
  <c r="J1438" i="12"/>
  <c r="H1438" i="12"/>
  <c r="G1438" i="12"/>
  <c r="N1437" i="12"/>
  <c r="K1437" i="12"/>
  <c r="J1437" i="12"/>
  <c r="H1437" i="12"/>
  <c r="G1437" i="12"/>
  <c r="N1436" i="12"/>
  <c r="K1436" i="12"/>
  <c r="J1436" i="12"/>
  <c r="H1436" i="12"/>
  <c r="G1436" i="12"/>
  <c r="N1435" i="12"/>
  <c r="K1435" i="12"/>
  <c r="J1435" i="12"/>
  <c r="H1435" i="12"/>
  <c r="G1435" i="12"/>
  <c r="N1434" i="12"/>
  <c r="K1434" i="12"/>
  <c r="J1434" i="12"/>
  <c r="H1434" i="12"/>
  <c r="G1434" i="12"/>
  <c r="N1433" i="12"/>
  <c r="K1433" i="12"/>
  <c r="J1433" i="12"/>
  <c r="H1433" i="12"/>
  <c r="G1433" i="12"/>
  <c r="N1432" i="12"/>
  <c r="K1432" i="12"/>
  <c r="J1432" i="12"/>
  <c r="H1432" i="12"/>
  <c r="G1432" i="12"/>
  <c r="N1431" i="12"/>
  <c r="K1431" i="12"/>
  <c r="J1431" i="12"/>
  <c r="H1431" i="12"/>
  <c r="G1431" i="12"/>
  <c r="N1430" i="12"/>
  <c r="K1430" i="12"/>
  <c r="J1430" i="12"/>
  <c r="H1430" i="12"/>
  <c r="G1430" i="12"/>
  <c r="N1429" i="12"/>
  <c r="K1429" i="12"/>
  <c r="J1429" i="12"/>
  <c r="H1429" i="12"/>
  <c r="G1429" i="12"/>
  <c r="N1428" i="12"/>
  <c r="K1428" i="12"/>
  <c r="J1428" i="12"/>
  <c r="H1428" i="12"/>
  <c r="G1428" i="12"/>
  <c r="N1427" i="12"/>
  <c r="K1427" i="12"/>
  <c r="J1427" i="12"/>
  <c r="H1427" i="12"/>
  <c r="G1427" i="12"/>
  <c r="N1426" i="12"/>
  <c r="K1426" i="12"/>
  <c r="J1426" i="12"/>
  <c r="H1426" i="12"/>
  <c r="G1426" i="12"/>
  <c r="N1425" i="12"/>
  <c r="K1425" i="12"/>
  <c r="J1425" i="12"/>
  <c r="H1425" i="12"/>
  <c r="G1425" i="12"/>
  <c r="N1424" i="12"/>
  <c r="K1424" i="12"/>
  <c r="J1424" i="12"/>
  <c r="H1424" i="12"/>
  <c r="G1424" i="12"/>
  <c r="N1423" i="12"/>
  <c r="K1423" i="12"/>
  <c r="J1423" i="12"/>
  <c r="H1423" i="12"/>
  <c r="G1423" i="12"/>
  <c r="N1422" i="12"/>
  <c r="K1422" i="12"/>
  <c r="J1422" i="12"/>
  <c r="H1422" i="12"/>
  <c r="G1422" i="12"/>
  <c r="N1421" i="12"/>
  <c r="K1421" i="12"/>
  <c r="J1421" i="12"/>
  <c r="H1421" i="12"/>
  <c r="G1421" i="12"/>
  <c r="N1420" i="12"/>
  <c r="K1420" i="12"/>
  <c r="J1420" i="12"/>
  <c r="H1420" i="12"/>
  <c r="G1420" i="12"/>
  <c r="N1419" i="12"/>
  <c r="K1419" i="12"/>
  <c r="J1419" i="12"/>
  <c r="H1419" i="12"/>
  <c r="G1419" i="12"/>
  <c r="N1418" i="12"/>
  <c r="K1418" i="12"/>
  <c r="J1418" i="12"/>
  <c r="H1418" i="12"/>
  <c r="G1418" i="12"/>
  <c r="N1417" i="12"/>
  <c r="K1417" i="12"/>
  <c r="J1417" i="12"/>
  <c r="H1417" i="12"/>
  <c r="G1417" i="12"/>
  <c r="N1416" i="12"/>
  <c r="K1416" i="12"/>
  <c r="J1416" i="12"/>
  <c r="H1416" i="12"/>
  <c r="G1416" i="12"/>
  <c r="N1415" i="12"/>
  <c r="K1415" i="12"/>
  <c r="J1415" i="12"/>
  <c r="H1415" i="12"/>
  <c r="G1415" i="12"/>
  <c r="N1414" i="12"/>
  <c r="K1414" i="12"/>
  <c r="J1414" i="12"/>
  <c r="H1414" i="12"/>
  <c r="G1414" i="12"/>
  <c r="N1413" i="12"/>
  <c r="K1413" i="12"/>
  <c r="J1413" i="12"/>
  <c r="H1413" i="12"/>
  <c r="G1413" i="12"/>
  <c r="N1412" i="12"/>
  <c r="K1412" i="12"/>
  <c r="J1412" i="12"/>
  <c r="H1412" i="12"/>
  <c r="G1412" i="12"/>
  <c r="N1411" i="12"/>
  <c r="K1411" i="12"/>
  <c r="J1411" i="12"/>
  <c r="H1411" i="12"/>
  <c r="G1411" i="12"/>
  <c r="N1410" i="12"/>
  <c r="K1410" i="12"/>
  <c r="J1410" i="12"/>
  <c r="H1410" i="12"/>
  <c r="G1410" i="12"/>
  <c r="N1409" i="12"/>
  <c r="K1409" i="12"/>
  <c r="J1409" i="12"/>
  <c r="H1409" i="12"/>
  <c r="G1409" i="12"/>
  <c r="N1408" i="12"/>
  <c r="K1408" i="12"/>
  <c r="J1408" i="12"/>
  <c r="H1408" i="12"/>
  <c r="G1408" i="12"/>
  <c r="N1407" i="12"/>
  <c r="K1407" i="12"/>
  <c r="J1407" i="12"/>
  <c r="H1407" i="12"/>
  <c r="G1407" i="12"/>
  <c r="N1406" i="12"/>
  <c r="K1406" i="12"/>
  <c r="J1406" i="12"/>
  <c r="H1406" i="12"/>
  <c r="G1406" i="12"/>
  <c r="N1405" i="12"/>
  <c r="K1405" i="12"/>
  <c r="J1405" i="12"/>
  <c r="H1405" i="12"/>
  <c r="G1405" i="12"/>
  <c r="N1404" i="12"/>
  <c r="K1404" i="12"/>
  <c r="J1404" i="12"/>
  <c r="H1404" i="12"/>
  <c r="G1404" i="12"/>
  <c r="N1403" i="12"/>
  <c r="K1403" i="12"/>
  <c r="J1403" i="12"/>
  <c r="H1403" i="12"/>
  <c r="G1403" i="12"/>
  <c r="N1402" i="12"/>
  <c r="K1402" i="12"/>
  <c r="J1402" i="12"/>
  <c r="H1402" i="12"/>
  <c r="G1402" i="12"/>
  <c r="N1401" i="12"/>
  <c r="K1401" i="12"/>
  <c r="J1401" i="12"/>
  <c r="H1401" i="12"/>
  <c r="G1401" i="12"/>
  <c r="N1400" i="12"/>
  <c r="K1400" i="12"/>
  <c r="J1400" i="12"/>
  <c r="H1400" i="12"/>
  <c r="G1400" i="12"/>
  <c r="N1399" i="12"/>
  <c r="K1399" i="12"/>
  <c r="J1399" i="12"/>
  <c r="H1399" i="12"/>
  <c r="G1399" i="12"/>
  <c r="N1398" i="12"/>
  <c r="K1398" i="12"/>
  <c r="J1398" i="12"/>
  <c r="H1398" i="12"/>
  <c r="G1398" i="12"/>
  <c r="N1397" i="12"/>
  <c r="K1397" i="12"/>
  <c r="J1397" i="12"/>
  <c r="H1397" i="12"/>
  <c r="G1397" i="12"/>
  <c r="N1396" i="12"/>
  <c r="K1396" i="12"/>
  <c r="J1396" i="12"/>
  <c r="H1396" i="12"/>
  <c r="G1396" i="12"/>
  <c r="N1395" i="12"/>
  <c r="K1395" i="12"/>
  <c r="J1395" i="12"/>
  <c r="H1395" i="12"/>
  <c r="G1395" i="12"/>
  <c r="N1394" i="12"/>
  <c r="K1394" i="12"/>
  <c r="J1394" i="12"/>
  <c r="H1394" i="12"/>
  <c r="G1394" i="12"/>
  <c r="N1393" i="12"/>
  <c r="K1393" i="12"/>
  <c r="J1393" i="12"/>
  <c r="H1393" i="12"/>
  <c r="G1393" i="12"/>
  <c r="N1392" i="12"/>
  <c r="K1392" i="12"/>
  <c r="J1392" i="12"/>
  <c r="H1392" i="12"/>
  <c r="G1392" i="12"/>
  <c r="N1391" i="12"/>
  <c r="K1391" i="12"/>
  <c r="J1391" i="12"/>
  <c r="H1391" i="12"/>
  <c r="G1391" i="12"/>
  <c r="N1390" i="12"/>
  <c r="K1390" i="12"/>
  <c r="J1390" i="12"/>
  <c r="H1390" i="12"/>
  <c r="G1390" i="12"/>
  <c r="N1389" i="12"/>
  <c r="K1389" i="12"/>
  <c r="J1389" i="12"/>
  <c r="H1389" i="12"/>
  <c r="G1389" i="12"/>
  <c r="N1388" i="12"/>
  <c r="K1388" i="12"/>
  <c r="J1388" i="12"/>
  <c r="H1388" i="12"/>
  <c r="G1388" i="12"/>
  <c r="N1387" i="12"/>
  <c r="K1387" i="12"/>
  <c r="J1387" i="12"/>
  <c r="H1387" i="12"/>
  <c r="G1387" i="12"/>
  <c r="N1386" i="12"/>
  <c r="K1386" i="12"/>
  <c r="J1386" i="12"/>
  <c r="H1386" i="12"/>
  <c r="G1386" i="12"/>
  <c r="N1385" i="12"/>
  <c r="K1385" i="12"/>
  <c r="J1385" i="12"/>
  <c r="H1385" i="12"/>
  <c r="G1385" i="12"/>
  <c r="N1384" i="12"/>
  <c r="K1384" i="12"/>
  <c r="J1384" i="12"/>
  <c r="H1384" i="12"/>
  <c r="G1384" i="12"/>
  <c r="N1383" i="12"/>
  <c r="K1383" i="12"/>
  <c r="J1383" i="12"/>
  <c r="H1383" i="12"/>
  <c r="G1383" i="12"/>
  <c r="N1382" i="12"/>
  <c r="K1382" i="12"/>
  <c r="J1382" i="12"/>
  <c r="H1382" i="12"/>
  <c r="G1382" i="12"/>
  <c r="N1381" i="12"/>
  <c r="K1381" i="12"/>
  <c r="J1381" i="12"/>
  <c r="H1381" i="12"/>
  <c r="G1381" i="12"/>
  <c r="N1380" i="12"/>
  <c r="K1380" i="12"/>
  <c r="J1380" i="12"/>
  <c r="H1380" i="12"/>
  <c r="G1380" i="12"/>
  <c r="N1379" i="12"/>
  <c r="K1379" i="12"/>
  <c r="J1379" i="12"/>
  <c r="H1379" i="12"/>
  <c r="G1379" i="12"/>
  <c r="N1378" i="12"/>
  <c r="K1378" i="12"/>
  <c r="J1378" i="12"/>
  <c r="H1378" i="12"/>
  <c r="G1378" i="12"/>
  <c r="N1377" i="12"/>
  <c r="K1377" i="12"/>
  <c r="J1377" i="12"/>
  <c r="H1377" i="12"/>
  <c r="G1377" i="12"/>
  <c r="N1376" i="12"/>
  <c r="K1376" i="12"/>
  <c r="J1376" i="12"/>
  <c r="H1376" i="12"/>
  <c r="G1376" i="12"/>
  <c r="N1375" i="12"/>
  <c r="K1375" i="12"/>
  <c r="J1375" i="12"/>
  <c r="H1375" i="12"/>
  <c r="G1375" i="12"/>
  <c r="N1374" i="12"/>
  <c r="K1374" i="12"/>
  <c r="J1374" i="12"/>
  <c r="H1374" i="12"/>
  <c r="G1374" i="12"/>
  <c r="N1373" i="12"/>
  <c r="K1373" i="12"/>
  <c r="J1373" i="12"/>
  <c r="H1373" i="12"/>
  <c r="G1373" i="12"/>
  <c r="N1372" i="12"/>
  <c r="K1372" i="12"/>
  <c r="J1372" i="12"/>
  <c r="H1372" i="12"/>
  <c r="G1372" i="12"/>
  <c r="N1371" i="12"/>
  <c r="K1371" i="12"/>
  <c r="J1371" i="12"/>
  <c r="H1371" i="12"/>
  <c r="G1371" i="12"/>
  <c r="N1370" i="12"/>
  <c r="K1370" i="12"/>
  <c r="J1370" i="12"/>
  <c r="H1370" i="12"/>
  <c r="G1370" i="12"/>
  <c r="N1369" i="12"/>
  <c r="K1369" i="12"/>
  <c r="J1369" i="12"/>
  <c r="H1369" i="12"/>
  <c r="G1369" i="12"/>
  <c r="N1368" i="12"/>
  <c r="K1368" i="12"/>
  <c r="J1368" i="12"/>
  <c r="H1368" i="12"/>
  <c r="G1368" i="12"/>
  <c r="N1367" i="12"/>
  <c r="K1367" i="12"/>
  <c r="J1367" i="12"/>
  <c r="H1367" i="12"/>
  <c r="G1367" i="12"/>
  <c r="N1366" i="12"/>
  <c r="K1366" i="12"/>
  <c r="J1366" i="12"/>
  <c r="H1366" i="12"/>
  <c r="G1366" i="12"/>
  <c r="N1365" i="12"/>
  <c r="K1365" i="12"/>
  <c r="J1365" i="12"/>
  <c r="H1365" i="12"/>
  <c r="G1365" i="12"/>
  <c r="N1364" i="12"/>
  <c r="K1364" i="12"/>
  <c r="J1364" i="12"/>
  <c r="H1364" i="12"/>
  <c r="G1364" i="12"/>
  <c r="N1363" i="12"/>
  <c r="K1363" i="12"/>
  <c r="J1363" i="12"/>
  <c r="H1363" i="12"/>
  <c r="G1363" i="12"/>
  <c r="N1362" i="12"/>
  <c r="K1362" i="12"/>
  <c r="J1362" i="12"/>
  <c r="H1362" i="12"/>
  <c r="G1362" i="12"/>
  <c r="N1361" i="12"/>
  <c r="K1361" i="12"/>
  <c r="J1361" i="12"/>
  <c r="H1361" i="12"/>
  <c r="G1361" i="12"/>
  <c r="N1360" i="12"/>
  <c r="K1360" i="12"/>
  <c r="J1360" i="12"/>
  <c r="H1360" i="12"/>
  <c r="G1360" i="12"/>
  <c r="N1359" i="12"/>
  <c r="K1359" i="12"/>
  <c r="J1359" i="12"/>
  <c r="H1359" i="12"/>
  <c r="G1359" i="12"/>
  <c r="N1358" i="12"/>
  <c r="K1358" i="12"/>
  <c r="J1358" i="12"/>
  <c r="H1358" i="12"/>
  <c r="G1358" i="12"/>
  <c r="N1357" i="12"/>
  <c r="K1357" i="12"/>
  <c r="J1357" i="12"/>
  <c r="H1357" i="12"/>
  <c r="G1357" i="12"/>
  <c r="N1356" i="12"/>
  <c r="K1356" i="12"/>
  <c r="J1356" i="12"/>
  <c r="H1356" i="12"/>
  <c r="G1356" i="12"/>
  <c r="N1355" i="12"/>
  <c r="K1355" i="12"/>
  <c r="J1355" i="12"/>
  <c r="H1355" i="12"/>
  <c r="G1355" i="12"/>
  <c r="N1354" i="12"/>
  <c r="K1354" i="12"/>
  <c r="J1354" i="12"/>
  <c r="H1354" i="12"/>
  <c r="G1354" i="12"/>
  <c r="N1353" i="12"/>
  <c r="K1353" i="12"/>
  <c r="J1353" i="12"/>
  <c r="H1353" i="12"/>
  <c r="G1353" i="12"/>
  <c r="N1352" i="12"/>
  <c r="K1352" i="12"/>
  <c r="J1352" i="12"/>
  <c r="H1352" i="12"/>
  <c r="G1352" i="12"/>
  <c r="N1351" i="12"/>
  <c r="K1351" i="12"/>
  <c r="J1351" i="12"/>
  <c r="H1351" i="12"/>
  <c r="G1351" i="12"/>
  <c r="N1350" i="12"/>
  <c r="K1350" i="12"/>
  <c r="J1350" i="12"/>
  <c r="H1350" i="12"/>
  <c r="G1350" i="12"/>
  <c r="N1349" i="12"/>
  <c r="K1349" i="12"/>
  <c r="J1349" i="12"/>
  <c r="H1349" i="12"/>
  <c r="G1349" i="12"/>
  <c r="N1348" i="12"/>
  <c r="K1348" i="12"/>
  <c r="J1348" i="12"/>
  <c r="H1348" i="12"/>
  <c r="G1348" i="12"/>
  <c r="N1347" i="12"/>
  <c r="K1347" i="12"/>
  <c r="J1347" i="12"/>
  <c r="H1347" i="12"/>
  <c r="G1347" i="12"/>
  <c r="N1346" i="12"/>
  <c r="K1346" i="12"/>
  <c r="J1346" i="12"/>
  <c r="H1346" i="12"/>
  <c r="G1346" i="12"/>
  <c r="N1345" i="12"/>
  <c r="K1345" i="12"/>
  <c r="J1345" i="12"/>
  <c r="H1345" i="12"/>
  <c r="G1345" i="12"/>
  <c r="N1344" i="12"/>
  <c r="K1344" i="12"/>
  <c r="J1344" i="12"/>
  <c r="H1344" i="12"/>
  <c r="G1344" i="12"/>
  <c r="N1343" i="12"/>
  <c r="K1343" i="12"/>
  <c r="J1343" i="12"/>
  <c r="H1343" i="12"/>
  <c r="G1343" i="12"/>
  <c r="N1342" i="12"/>
  <c r="K1342" i="12"/>
  <c r="J1342" i="12"/>
  <c r="H1342" i="12"/>
  <c r="G1342" i="12"/>
  <c r="N1341" i="12"/>
  <c r="K1341" i="12"/>
  <c r="J1341" i="12"/>
  <c r="H1341" i="12"/>
  <c r="G1341" i="12"/>
  <c r="N1340" i="12"/>
  <c r="K1340" i="12"/>
  <c r="J1340" i="12"/>
  <c r="H1340" i="12"/>
  <c r="G1340" i="12"/>
  <c r="N1339" i="12"/>
  <c r="K1339" i="12"/>
  <c r="J1339" i="12"/>
  <c r="H1339" i="12"/>
  <c r="G1339" i="12"/>
  <c r="N1338" i="12"/>
  <c r="K1338" i="12"/>
  <c r="J1338" i="12"/>
  <c r="H1338" i="12"/>
  <c r="G1338" i="12"/>
  <c r="N1337" i="12"/>
  <c r="K1337" i="12"/>
  <c r="J1337" i="12"/>
  <c r="H1337" i="12"/>
  <c r="G1337" i="12"/>
  <c r="N1336" i="12"/>
  <c r="K1336" i="12"/>
  <c r="J1336" i="12"/>
  <c r="H1336" i="12"/>
  <c r="G1336" i="12"/>
  <c r="N1335" i="12"/>
  <c r="K1335" i="12"/>
  <c r="J1335" i="12"/>
  <c r="H1335" i="12"/>
  <c r="G1335" i="12"/>
  <c r="N1334" i="12"/>
  <c r="K1334" i="12"/>
  <c r="J1334" i="12"/>
  <c r="H1334" i="12"/>
  <c r="G1334" i="12"/>
  <c r="N1333" i="12"/>
  <c r="K1333" i="12"/>
  <c r="J1333" i="12"/>
  <c r="H1333" i="12"/>
  <c r="G1333" i="12"/>
  <c r="N1332" i="12"/>
  <c r="K1332" i="12"/>
  <c r="J1332" i="12"/>
  <c r="H1332" i="12"/>
  <c r="G1332" i="12"/>
  <c r="N1331" i="12"/>
  <c r="K1331" i="12"/>
  <c r="J1331" i="12"/>
  <c r="H1331" i="12"/>
  <c r="G1331" i="12"/>
  <c r="N1330" i="12"/>
  <c r="K1330" i="12"/>
  <c r="J1330" i="12"/>
  <c r="H1330" i="12"/>
  <c r="G1330" i="12"/>
  <c r="N1329" i="12"/>
  <c r="K1329" i="12"/>
  <c r="J1329" i="12"/>
  <c r="H1329" i="12"/>
  <c r="G1329" i="12"/>
  <c r="N1328" i="12"/>
  <c r="K1328" i="12"/>
  <c r="J1328" i="12"/>
  <c r="H1328" i="12"/>
  <c r="G1328" i="12"/>
  <c r="N1327" i="12"/>
  <c r="K1327" i="12"/>
  <c r="J1327" i="12"/>
  <c r="H1327" i="12"/>
  <c r="G1327" i="12"/>
  <c r="N1326" i="12"/>
  <c r="K1326" i="12"/>
  <c r="J1326" i="12"/>
  <c r="H1326" i="12"/>
  <c r="G1326" i="12"/>
  <c r="N1325" i="12"/>
  <c r="K1325" i="12"/>
  <c r="J1325" i="12"/>
  <c r="H1325" i="12"/>
  <c r="G1325" i="12"/>
  <c r="N1324" i="12"/>
  <c r="K1324" i="12"/>
  <c r="J1324" i="12"/>
  <c r="H1324" i="12"/>
  <c r="G1324" i="12"/>
  <c r="N1323" i="12"/>
  <c r="K1323" i="12"/>
  <c r="J1323" i="12"/>
  <c r="H1323" i="12"/>
  <c r="G1323" i="12"/>
  <c r="N1322" i="12"/>
  <c r="K1322" i="12"/>
  <c r="J1322" i="12"/>
  <c r="H1322" i="12"/>
  <c r="G1322" i="12"/>
  <c r="N1321" i="12"/>
  <c r="K1321" i="12"/>
  <c r="J1321" i="12"/>
  <c r="H1321" i="12"/>
  <c r="G1321" i="12"/>
  <c r="N1320" i="12"/>
  <c r="K1320" i="12"/>
  <c r="J1320" i="12"/>
  <c r="H1320" i="12"/>
  <c r="G1320" i="12"/>
  <c r="N1319" i="12"/>
  <c r="K1319" i="12"/>
  <c r="J1319" i="12"/>
  <c r="H1319" i="12"/>
  <c r="G1319" i="12"/>
  <c r="N1318" i="12"/>
  <c r="K1318" i="12"/>
  <c r="J1318" i="12"/>
  <c r="H1318" i="12"/>
  <c r="G1318" i="12"/>
  <c r="N1317" i="12"/>
  <c r="K1317" i="12"/>
  <c r="J1317" i="12"/>
  <c r="H1317" i="12"/>
  <c r="G1317" i="12"/>
  <c r="N1316" i="12"/>
  <c r="K1316" i="12"/>
  <c r="J1316" i="12"/>
  <c r="H1316" i="12"/>
  <c r="G1316" i="12"/>
  <c r="N1315" i="12"/>
  <c r="K1315" i="12"/>
  <c r="J1315" i="12"/>
  <c r="H1315" i="12"/>
  <c r="G1315" i="12"/>
  <c r="N1314" i="12"/>
  <c r="K1314" i="12"/>
  <c r="J1314" i="12"/>
  <c r="H1314" i="12"/>
  <c r="G1314" i="12"/>
  <c r="N1313" i="12"/>
  <c r="K1313" i="12"/>
  <c r="J1313" i="12"/>
  <c r="H1313" i="12"/>
  <c r="G1313" i="12"/>
  <c r="N1312" i="12"/>
  <c r="K1312" i="12"/>
  <c r="J1312" i="12"/>
  <c r="H1312" i="12"/>
  <c r="G1312" i="12"/>
  <c r="N1311" i="12"/>
  <c r="K1311" i="12"/>
  <c r="J1311" i="12"/>
  <c r="H1311" i="12"/>
  <c r="G1311" i="12"/>
  <c r="N1310" i="12"/>
  <c r="K1310" i="12"/>
  <c r="J1310" i="12"/>
  <c r="H1310" i="12"/>
  <c r="G1310" i="12"/>
  <c r="N1309" i="12"/>
  <c r="K1309" i="12"/>
  <c r="J1309" i="12"/>
  <c r="H1309" i="12"/>
  <c r="G1309" i="12"/>
  <c r="N1308" i="12"/>
  <c r="K1308" i="12"/>
  <c r="J1308" i="12"/>
  <c r="H1308" i="12"/>
  <c r="G1308" i="12"/>
  <c r="N1307" i="12"/>
  <c r="K1307" i="12"/>
  <c r="J1307" i="12"/>
  <c r="H1307" i="12"/>
  <c r="G1307" i="12"/>
  <c r="N1306" i="12"/>
  <c r="K1306" i="12"/>
  <c r="J1306" i="12"/>
  <c r="H1306" i="12"/>
  <c r="G1306" i="12"/>
  <c r="N1305" i="12"/>
  <c r="K1305" i="12"/>
  <c r="J1305" i="12"/>
  <c r="H1305" i="12"/>
  <c r="G1305" i="12"/>
  <c r="N1304" i="12"/>
  <c r="K1304" i="12"/>
  <c r="J1304" i="12"/>
  <c r="H1304" i="12"/>
  <c r="G1304" i="12"/>
  <c r="N1303" i="12"/>
  <c r="K1303" i="12"/>
  <c r="J1303" i="12"/>
  <c r="H1303" i="12"/>
  <c r="G1303" i="12"/>
  <c r="N1302" i="12"/>
  <c r="K1302" i="12"/>
  <c r="J1302" i="12"/>
  <c r="H1302" i="12"/>
  <c r="G1302" i="12"/>
  <c r="N1301" i="12"/>
  <c r="K1301" i="12"/>
  <c r="J1301" i="12"/>
  <c r="H1301" i="12"/>
  <c r="G1301" i="12"/>
  <c r="N1300" i="12"/>
  <c r="K1300" i="12"/>
  <c r="J1300" i="12"/>
  <c r="H1300" i="12"/>
  <c r="G1300" i="12"/>
  <c r="N1299" i="12"/>
  <c r="K1299" i="12"/>
  <c r="J1299" i="12"/>
  <c r="H1299" i="12"/>
  <c r="G1299" i="12"/>
  <c r="N1298" i="12"/>
  <c r="K1298" i="12"/>
  <c r="J1298" i="12"/>
  <c r="H1298" i="12"/>
  <c r="G1298" i="12"/>
  <c r="N1297" i="12"/>
  <c r="K1297" i="12"/>
  <c r="J1297" i="12"/>
  <c r="H1297" i="12"/>
  <c r="G1297" i="12"/>
  <c r="N1296" i="12"/>
  <c r="K1296" i="12"/>
  <c r="J1296" i="12"/>
  <c r="H1296" i="12"/>
  <c r="G1296" i="12"/>
  <c r="N1295" i="12"/>
  <c r="K1295" i="12"/>
  <c r="J1295" i="12"/>
  <c r="H1295" i="12"/>
  <c r="G1295" i="12"/>
  <c r="N1294" i="12"/>
  <c r="K1294" i="12"/>
  <c r="J1294" i="12"/>
  <c r="H1294" i="12"/>
  <c r="G1294" i="12"/>
  <c r="N1293" i="12"/>
  <c r="K1293" i="12"/>
  <c r="J1293" i="12"/>
  <c r="H1293" i="12"/>
  <c r="G1293" i="12"/>
  <c r="N1292" i="12"/>
  <c r="K1292" i="12"/>
  <c r="J1292" i="12"/>
  <c r="H1292" i="12"/>
  <c r="G1292" i="12"/>
  <c r="N1291" i="12"/>
  <c r="K1291" i="12"/>
  <c r="J1291" i="12"/>
  <c r="H1291" i="12"/>
  <c r="G1291" i="12"/>
  <c r="N1290" i="12"/>
  <c r="K1290" i="12"/>
  <c r="J1290" i="12"/>
  <c r="H1290" i="12"/>
  <c r="G1290" i="12"/>
  <c r="N1289" i="12"/>
  <c r="K1289" i="12"/>
  <c r="J1289" i="12"/>
  <c r="H1289" i="12"/>
  <c r="G1289" i="12"/>
  <c r="N1288" i="12"/>
  <c r="K1288" i="12"/>
  <c r="J1288" i="12"/>
  <c r="H1288" i="12"/>
  <c r="G1288" i="12"/>
  <c r="N1287" i="12"/>
  <c r="K1287" i="12"/>
  <c r="J1287" i="12"/>
  <c r="H1287" i="12"/>
  <c r="G1287" i="12"/>
  <c r="N1286" i="12"/>
  <c r="K1286" i="12"/>
  <c r="J1286" i="12"/>
  <c r="H1286" i="12"/>
  <c r="G1286" i="12"/>
  <c r="N1285" i="12"/>
  <c r="K1285" i="12"/>
  <c r="J1285" i="12"/>
  <c r="H1285" i="12"/>
  <c r="G1285" i="12"/>
  <c r="N1284" i="12"/>
  <c r="K1284" i="12"/>
  <c r="J1284" i="12"/>
  <c r="H1284" i="12"/>
  <c r="G1284" i="12"/>
  <c r="N1283" i="12"/>
  <c r="K1283" i="12"/>
  <c r="J1283" i="12"/>
  <c r="H1283" i="12"/>
  <c r="G1283" i="12"/>
  <c r="N1282" i="12"/>
  <c r="K1282" i="12"/>
  <c r="J1282" i="12"/>
  <c r="H1282" i="12"/>
  <c r="G1282" i="12"/>
  <c r="N1281" i="12"/>
  <c r="K1281" i="12"/>
  <c r="J1281" i="12"/>
  <c r="H1281" i="12"/>
  <c r="G1281" i="12"/>
  <c r="N1280" i="12"/>
  <c r="K1280" i="12"/>
  <c r="J1280" i="12"/>
  <c r="H1280" i="12"/>
  <c r="G1280" i="12"/>
  <c r="N1279" i="12"/>
  <c r="K1279" i="12"/>
  <c r="J1279" i="12"/>
  <c r="H1279" i="12"/>
  <c r="G1279" i="12"/>
  <c r="N1278" i="12"/>
  <c r="K1278" i="12"/>
  <c r="J1278" i="12"/>
  <c r="H1278" i="12"/>
  <c r="G1278" i="12"/>
  <c r="N1277" i="12"/>
  <c r="K1277" i="12"/>
  <c r="J1277" i="12"/>
  <c r="H1277" i="12"/>
  <c r="G1277" i="12"/>
  <c r="N1276" i="12"/>
  <c r="K1276" i="12"/>
  <c r="J1276" i="12"/>
  <c r="H1276" i="12"/>
  <c r="G1276" i="12"/>
  <c r="N1275" i="12"/>
  <c r="K1275" i="12"/>
  <c r="J1275" i="12"/>
  <c r="H1275" i="12"/>
  <c r="G1275" i="12"/>
  <c r="N1274" i="12"/>
  <c r="K1274" i="12"/>
  <c r="J1274" i="12"/>
  <c r="H1274" i="12"/>
  <c r="G1274" i="12"/>
  <c r="N1273" i="12"/>
  <c r="K1273" i="12"/>
  <c r="J1273" i="12"/>
  <c r="H1273" i="12"/>
  <c r="G1273" i="12"/>
  <c r="N1272" i="12"/>
  <c r="K1272" i="12"/>
  <c r="J1272" i="12"/>
  <c r="H1272" i="12"/>
  <c r="G1272" i="12"/>
  <c r="N1271" i="12"/>
  <c r="K1271" i="12"/>
  <c r="J1271" i="12"/>
  <c r="H1271" i="12"/>
  <c r="G1271" i="12"/>
  <c r="N1270" i="12"/>
  <c r="K1270" i="12"/>
  <c r="J1270" i="12"/>
  <c r="H1270" i="12"/>
  <c r="G1270" i="12"/>
  <c r="N1269" i="12"/>
  <c r="K1269" i="12"/>
  <c r="J1269" i="12"/>
  <c r="H1269" i="12"/>
  <c r="G1269" i="12"/>
  <c r="N1268" i="12"/>
  <c r="K1268" i="12"/>
  <c r="J1268" i="12"/>
  <c r="H1268" i="12"/>
  <c r="G1268" i="12"/>
  <c r="N1267" i="12"/>
  <c r="K1267" i="12"/>
  <c r="J1267" i="12"/>
  <c r="H1267" i="12"/>
  <c r="G1267" i="12"/>
  <c r="N1266" i="12"/>
  <c r="K1266" i="12"/>
  <c r="J1266" i="12"/>
  <c r="H1266" i="12"/>
  <c r="G1266" i="12"/>
  <c r="N1265" i="12"/>
  <c r="K1265" i="12"/>
  <c r="J1265" i="12"/>
  <c r="H1265" i="12"/>
  <c r="G1265" i="12"/>
  <c r="N1264" i="12"/>
  <c r="K1264" i="12"/>
  <c r="J1264" i="12"/>
  <c r="H1264" i="12"/>
  <c r="G1264" i="12"/>
  <c r="N1263" i="12"/>
  <c r="K1263" i="12"/>
  <c r="J1263" i="12"/>
  <c r="H1263" i="12"/>
  <c r="G1263" i="12"/>
  <c r="N1262" i="12"/>
  <c r="K1262" i="12"/>
  <c r="J1262" i="12"/>
  <c r="H1262" i="12"/>
  <c r="G1262" i="12"/>
  <c r="N1261" i="12"/>
  <c r="K1261" i="12"/>
  <c r="J1261" i="12"/>
  <c r="H1261" i="12"/>
  <c r="G1261" i="12"/>
  <c r="N1260" i="12"/>
  <c r="K1260" i="12"/>
  <c r="J1260" i="12"/>
  <c r="H1260" i="12"/>
  <c r="G1260" i="12"/>
  <c r="N1259" i="12"/>
  <c r="K1259" i="12"/>
  <c r="J1259" i="12"/>
  <c r="H1259" i="12"/>
  <c r="G1259" i="12"/>
  <c r="N1258" i="12"/>
  <c r="K1258" i="12"/>
  <c r="J1258" i="12"/>
  <c r="H1258" i="12"/>
  <c r="G1258" i="12"/>
  <c r="N1257" i="12"/>
  <c r="K1257" i="12"/>
  <c r="J1257" i="12"/>
  <c r="H1257" i="12"/>
  <c r="G1257" i="12"/>
  <c r="N1256" i="12"/>
  <c r="K1256" i="12"/>
  <c r="J1256" i="12"/>
  <c r="H1256" i="12"/>
  <c r="G1256" i="12"/>
  <c r="N1255" i="12"/>
  <c r="K1255" i="12"/>
  <c r="J1255" i="12"/>
  <c r="H1255" i="12"/>
  <c r="G1255" i="12"/>
  <c r="N1254" i="12"/>
  <c r="K1254" i="12"/>
  <c r="J1254" i="12"/>
  <c r="H1254" i="12"/>
  <c r="G1254" i="12"/>
  <c r="N1253" i="12"/>
  <c r="K1253" i="12"/>
  <c r="J1253" i="12"/>
  <c r="H1253" i="12"/>
  <c r="G1253" i="12"/>
  <c r="N1252" i="12"/>
  <c r="K1252" i="12"/>
  <c r="J1252" i="12"/>
  <c r="H1252" i="12"/>
  <c r="G1252" i="12"/>
  <c r="N1251" i="12"/>
  <c r="K1251" i="12"/>
  <c r="J1251" i="12"/>
  <c r="H1251" i="12"/>
  <c r="G1251" i="12"/>
  <c r="N1250" i="12"/>
  <c r="K1250" i="12"/>
  <c r="J1250" i="12"/>
  <c r="H1250" i="12"/>
  <c r="G1250" i="12"/>
  <c r="N1249" i="12"/>
  <c r="K1249" i="12"/>
  <c r="J1249" i="12"/>
  <c r="H1249" i="12"/>
  <c r="G1249" i="12"/>
  <c r="N1248" i="12"/>
  <c r="K1248" i="12"/>
  <c r="J1248" i="12"/>
  <c r="H1248" i="12"/>
  <c r="G1248" i="12"/>
  <c r="N1247" i="12"/>
  <c r="K1247" i="12"/>
  <c r="J1247" i="12"/>
  <c r="H1247" i="12"/>
  <c r="G1247" i="12"/>
  <c r="N1246" i="12"/>
  <c r="K1246" i="12"/>
  <c r="J1246" i="12"/>
  <c r="H1246" i="12"/>
  <c r="G1246" i="12"/>
  <c r="N1245" i="12"/>
  <c r="K1245" i="12"/>
  <c r="J1245" i="12"/>
  <c r="H1245" i="12"/>
  <c r="G1245" i="12"/>
  <c r="N1244" i="12"/>
  <c r="K1244" i="12"/>
  <c r="J1244" i="12"/>
  <c r="H1244" i="12"/>
  <c r="G1244" i="12"/>
  <c r="N1243" i="12"/>
  <c r="K1243" i="12"/>
  <c r="J1243" i="12"/>
  <c r="H1243" i="12"/>
  <c r="G1243" i="12"/>
  <c r="N1242" i="12"/>
  <c r="K1242" i="12"/>
  <c r="J1242" i="12"/>
  <c r="H1242" i="12"/>
  <c r="G1242" i="12"/>
  <c r="N1241" i="12"/>
  <c r="K1241" i="12"/>
  <c r="J1241" i="12"/>
  <c r="H1241" i="12"/>
  <c r="G1241" i="12"/>
  <c r="N1240" i="12"/>
  <c r="K1240" i="12"/>
  <c r="J1240" i="12"/>
  <c r="H1240" i="12"/>
  <c r="G1240" i="12"/>
  <c r="N1239" i="12"/>
  <c r="K1239" i="12"/>
  <c r="J1239" i="12"/>
  <c r="H1239" i="12"/>
  <c r="G1239" i="12"/>
  <c r="N1238" i="12"/>
  <c r="K1238" i="12"/>
  <c r="J1238" i="12"/>
  <c r="H1238" i="12"/>
  <c r="G1238" i="12"/>
  <c r="N1237" i="12"/>
  <c r="K1237" i="12"/>
  <c r="J1237" i="12"/>
  <c r="H1237" i="12"/>
  <c r="G1237" i="12"/>
  <c r="N1236" i="12"/>
  <c r="K1236" i="12"/>
  <c r="J1236" i="12"/>
  <c r="H1236" i="12"/>
  <c r="G1236" i="12"/>
  <c r="N1235" i="12"/>
  <c r="K1235" i="12"/>
  <c r="J1235" i="12"/>
  <c r="H1235" i="12"/>
  <c r="G1235" i="12"/>
  <c r="N1234" i="12"/>
  <c r="K1234" i="12"/>
  <c r="J1234" i="12"/>
  <c r="H1234" i="12"/>
  <c r="G1234" i="12"/>
  <c r="N1233" i="12"/>
  <c r="K1233" i="12"/>
  <c r="J1233" i="12"/>
  <c r="H1233" i="12"/>
  <c r="G1233" i="12"/>
  <c r="N1232" i="12"/>
  <c r="K1232" i="12"/>
  <c r="J1232" i="12"/>
  <c r="H1232" i="12"/>
  <c r="G1232" i="12"/>
  <c r="N1231" i="12"/>
  <c r="K1231" i="12"/>
  <c r="J1231" i="12"/>
  <c r="H1231" i="12"/>
  <c r="G1231" i="12"/>
  <c r="N1230" i="12"/>
  <c r="K1230" i="12"/>
  <c r="J1230" i="12"/>
  <c r="H1230" i="12"/>
  <c r="G1230" i="12"/>
  <c r="N1229" i="12"/>
  <c r="K1229" i="12"/>
  <c r="J1229" i="12"/>
  <c r="H1229" i="12"/>
  <c r="G1229" i="12"/>
  <c r="N1228" i="12"/>
  <c r="K1228" i="12"/>
  <c r="J1228" i="12"/>
  <c r="H1228" i="12"/>
  <c r="G1228" i="12"/>
  <c r="N1227" i="12"/>
  <c r="K1227" i="12"/>
  <c r="J1227" i="12"/>
  <c r="H1227" i="12"/>
  <c r="G1227" i="12"/>
  <c r="N1226" i="12"/>
  <c r="K1226" i="12"/>
  <c r="J1226" i="12"/>
  <c r="H1226" i="12"/>
  <c r="G1226" i="12"/>
  <c r="N1225" i="12"/>
  <c r="K1225" i="12"/>
  <c r="J1225" i="12"/>
  <c r="H1225" i="12"/>
  <c r="G1225" i="12"/>
  <c r="N1224" i="12"/>
  <c r="K1224" i="12"/>
  <c r="J1224" i="12"/>
  <c r="H1224" i="12"/>
  <c r="G1224" i="12"/>
  <c r="N1223" i="12"/>
  <c r="K1223" i="12"/>
  <c r="J1223" i="12"/>
  <c r="H1223" i="12"/>
  <c r="G1223" i="12"/>
  <c r="N1222" i="12"/>
  <c r="K1222" i="12"/>
  <c r="J1222" i="12"/>
  <c r="H1222" i="12"/>
  <c r="G1222" i="12"/>
  <c r="N1221" i="12"/>
  <c r="K1221" i="12"/>
  <c r="J1221" i="12"/>
  <c r="H1221" i="12"/>
  <c r="G1221" i="12"/>
  <c r="N1220" i="12"/>
  <c r="K1220" i="12"/>
  <c r="J1220" i="12"/>
  <c r="H1220" i="12"/>
  <c r="G1220" i="12"/>
  <c r="N1219" i="12"/>
  <c r="K1219" i="12"/>
  <c r="J1219" i="12"/>
  <c r="H1219" i="12"/>
  <c r="G1219" i="12"/>
  <c r="N1218" i="12"/>
  <c r="K1218" i="12"/>
  <c r="J1218" i="12"/>
  <c r="H1218" i="12"/>
  <c r="G1218" i="12"/>
  <c r="N1217" i="12"/>
  <c r="K1217" i="12"/>
  <c r="J1217" i="12"/>
  <c r="H1217" i="12"/>
  <c r="G1217" i="12"/>
  <c r="N1216" i="12"/>
  <c r="K1216" i="12"/>
  <c r="J1216" i="12"/>
  <c r="H1216" i="12"/>
  <c r="G1216" i="12"/>
  <c r="N1215" i="12"/>
  <c r="K1215" i="12"/>
  <c r="J1215" i="12"/>
  <c r="H1215" i="12"/>
  <c r="G1215" i="12"/>
  <c r="N1214" i="12"/>
  <c r="K1214" i="12"/>
  <c r="J1214" i="12"/>
  <c r="H1214" i="12"/>
  <c r="G1214" i="12"/>
  <c r="N1213" i="12"/>
  <c r="K1213" i="12"/>
  <c r="J1213" i="12"/>
  <c r="H1213" i="12"/>
  <c r="G1213" i="12"/>
  <c r="N1212" i="12"/>
  <c r="K1212" i="12"/>
  <c r="J1212" i="12"/>
  <c r="H1212" i="12"/>
  <c r="G1212" i="12"/>
  <c r="N1211" i="12"/>
  <c r="K1211" i="12"/>
  <c r="J1211" i="12"/>
  <c r="H1211" i="12"/>
  <c r="G1211" i="12"/>
  <c r="N1210" i="12"/>
  <c r="K1210" i="12"/>
  <c r="J1210" i="12"/>
  <c r="H1210" i="12"/>
  <c r="G1210" i="12"/>
  <c r="N1209" i="12"/>
  <c r="K1209" i="12"/>
  <c r="J1209" i="12"/>
  <c r="H1209" i="12"/>
  <c r="G1209" i="12"/>
  <c r="N1208" i="12"/>
  <c r="K1208" i="12"/>
  <c r="J1208" i="12"/>
  <c r="H1208" i="12"/>
  <c r="G1208" i="12"/>
  <c r="N1207" i="12"/>
  <c r="K1207" i="12"/>
  <c r="J1207" i="12"/>
  <c r="H1207" i="12"/>
  <c r="G1207" i="12"/>
  <c r="N1206" i="12"/>
  <c r="K1206" i="12"/>
  <c r="J1206" i="12"/>
  <c r="H1206" i="12"/>
  <c r="G1206" i="12"/>
  <c r="N1205" i="12"/>
  <c r="K1205" i="12"/>
  <c r="J1205" i="12"/>
  <c r="H1205" i="12"/>
  <c r="G1205" i="12"/>
  <c r="N1204" i="12"/>
  <c r="K1204" i="12"/>
  <c r="J1204" i="12"/>
  <c r="H1204" i="12"/>
  <c r="G1204" i="12"/>
  <c r="N1203" i="12"/>
  <c r="K1203" i="12"/>
  <c r="J1203" i="12"/>
  <c r="H1203" i="12"/>
  <c r="G1203" i="12"/>
  <c r="N1202" i="12"/>
  <c r="K1202" i="12"/>
  <c r="J1202" i="12"/>
  <c r="H1202" i="12"/>
  <c r="G1202" i="12"/>
  <c r="N1201" i="12"/>
  <c r="K1201" i="12"/>
  <c r="J1201" i="12"/>
  <c r="H1201" i="12"/>
  <c r="G1201" i="12"/>
  <c r="N1200" i="12"/>
  <c r="K1200" i="12"/>
  <c r="J1200" i="12"/>
  <c r="H1200" i="12"/>
  <c r="G1200" i="12"/>
  <c r="N1199" i="12"/>
  <c r="K1199" i="12"/>
  <c r="J1199" i="12"/>
  <c r="H1199" i="12"/>
  <c r="G1199" i="12"/>
  <c r="N1198" i="12"/>
  <c r="K1198" i="12"/>
  <c r="J1198" i="12"/>
  <c r="H1198" i="12"/>
  <c r="G1198" i="12"/>
  <c r="N1197" i="12"/>
  <c r="K1197" i="12"/>
  <c r="J1197" i="12"/>
  <c r="H1197" i="12"/>
  <c r="G1197" i="12"/>
  <c r="N1196" i="12"/>
  <c r="K1196" i="12"/>
  <c r="J1196" i="12"/>
  <c r="H1196" i="12"/>
  <c r="G1196" i="12"/>
  <c r="N1195" i="12"/>
  <c r="K1195" i="12"/>
  <c r="J1195" i="12"/>
  <c r="H1195" i="12"/>
  <c r="G1195" i="12"/>
  <c r="N1194" i="12"/>
  <c r="K1194" i="12"/>
  <c r="J1194" i="12"/>
  <c r="H1194" i="12"/>
  <c r="G1194" i="12"/>
  <c r="N1193" i="12"/>
  <c r="K1193" i="12"/>
  <c r="J1193" i="12"/>
  <c r="H1193" i="12"/>
  <c r="G1193" i="12"/>
  <c r="N1192" i="12"/>
  <c r="K1192" i="12"/>
  <c r="J1192" i="12"/>
  <c r="H1192" i="12"/>
  <c r="G1192" i="12"/>
  <c r="N1191" i="12"/>
  <c r="K1191" i="12"/>
  <c r="J1191" i="12"/>
  <c r="H1191" i="12"/>
  <c r="G1191" i="12"/>
  <c r="N1190" i="12"/>
  <c r="K1190" i="12"/>
  <c r="J1190" i="12"/>
  <c r="H1190" i="12"/>
  <c r="G1190" i="12"/>
  <c r="N1189" i="12"/>
  <c r="K1189" i="12"/>
  <c r="J1189" i="12"/>
  <c r="H1189" i="12"/>
  <c r="G1189" i="12"/>
  <c r="N1188" i="12"/>
  <c r="K1188" i="12"/>
  <c r="J1188" i="12"/>
  <c r="H1188" i="12"/>
  <c r="G1188" i="12"/>
  <c r="N1187" i="12"/>
  <c r="K1187" i="12"/>
  <c r="J1187" i="12"/>
  <c r="H1187" i="12"/>
  <c r="G1187" i="12"/>
  <c r="N1186" i="12"/>
  <c r="K1186" i="12"/>
  <c r="J1186" i="12"/>
  <c r="H1186" i="12"/>
  <c r="G1186" i="12"/>
  <c r="N1185" i="12"/>
  <c r="K1185" i="12"/>
  <c r="J1185" i="12"/>
  <c r="H1185" i="12"/>
  <c r="G1185" i="12"/>
  <c r="N1184" i="12"/>
  <c r="K1184" i="12"/>
  <c r="J1184" i="12"/>
  <c r="H1184" i="12"/>
  <c r="G1184" i="12"/>
  <c r="N1183" i="12"/>
  <c r="K1183" i="12"/>
  <c r="J1183" i="12"/>
  <c r="H1183" i="12"/>
  <c r="G1183" i="12"/>
  <c r="N1182" i="12"/>
  <c r="K1182" i="12"/>
  <c r="J1182" i="12"/>
  <c r="H1182" i="12"/>
  <c r="G1182" i="12"/>
  <c r="N1181" i="12"/>
  <c r="K1181" i="12"/>
  <c r="J1181" i="12"/>
  <c r="H1181" i="12"/>
  <c r="G1181" i="12"/>
  <c r="N1180" i="12"/>
  <c r="K1180" i="12"/>
  <c r="J1180" i="12"/>
  <c r="H1180" i="12"/>
  <c r="G1180" i="12"/>
  <c r="N1179" i="12"/>
  <c r="K1179" i="12"/>
  <c r="J1179" i="12"/>
  <c r="H1179" i="12"/>
  <c r="G1179" i="12"/>
  <c r="N1178" i="12"/>
  <c r="K1178" i="12"/>
  <c r="J1178" i="12"/>
  <c r="H1178" i="12"/>
  <c r="G1178" i="12"/>
  <c r="N1177" i="12"/>
  <c r="K1177" i="12"/>
  <c r="J1177" i="12"/>
  <c r="H1177" i="12"/>
  <c r="G1177" i="12"/>
  <c r="N1176" i="12"/>
  <c r="K1176" i="12"/>
  <c r="J1176" i="12"/>
  <c r="H1176" i="12"/>
  <c r="G1176" i="12"/>
  <c r="N1175" i="12"/>
  <c r="K1175" i="12"/>
  <c r="J1175" i="12"/>
  <c r="H1175" i="12"/>
  <c r="G1175" i="12"/>
  <c r="N1174" i="12"/>
  <c r="K1174" i="12"/>
  <c r="J1174" i="12"/>
  <c r="H1174" i="12"/>
  <c r="G1174" i="12"/>
  <c r="N1173" i="12"/>
  <c r="K1173" i="12"/>
  <c r="J1173" i="12"/>
  <c r="H1173" i="12"/>
  <c r="G1173" i="12"/>
  <c r="N1172" i="12"/>
  <c r="K1172" i="12"/>
  <c r="J1172" i="12"/>
  <c r="H1172" i="12"/>
  <c r="G1172" i="12"/>
  <c r="N1171" i="12"/>
  <c r="K1171" i="12"/>
  <c r="J1171" i="12"/>
  <c r="H1171" i="12"/>
  <c r="G1171" i="12"/>
  <c r="N1170" i="12"/>
  <c r="K1170" i="12"/>
  <c r="J1170" i="12"/>
  <c r="H1170" i="12"/>
  <c r="G1170" i="12"/>
  <c r="N1169" i="12"/>
  <c r="K1169" i="12"/>
  <c r="J1169" i="12"/>
  <c r="H1169" i="12"/>
  <c r="G1169" i="12"/>
  <c r="N1168" i="12"/>
  <c r="K1168" i="12"/>
  <c r="J1168" i="12"/>
  <c r="H1168" i="12"/>
  <c r="G1168" i="12"/>
  <c r="N1167" i="12"/>
  <c r="K1167" i="12"/>
  <c r="J1167" i="12"/>
  <c r="H1167" i="12"/>
  <c r="G1167" i="12"/>
  <c r="N1166" i="12"/>
  <c r="K1166" i="12"/>
  <c r="J1166" i="12"/>
  <c r="H1166" i="12"/>
  <c r="G1166" i="12"/>
  <c r="N1165" i="12"/>
  <c r="K1165" i="12"/>
  <c r="J1165" i="12"/>
  <c r="H1165" i="12"/>
  <c r="G1165" i="12"/>
  <c r="N1164" i="12"/>
  <c r="K1164" i="12"/>
  <c r="J1164" i="12"/>
  <c r="H1164" i="12"/>
  <c r="G1164" i="12"/>
  <c r="N1163" i="12"/>
  <c r="K1163" i="12"/>
  <c r="J1163" i="12"/>
  <c r="H1163" i="12"/>
  <c r="G1163" i="12"/>
  <c r="N1162" i="12"/>
  <c r="K1162" i="12"/>
  <c r="J1162" i="12"/>
  <c r="H1162" i="12"/>
  <c r="G1162" i="12"/>
  <c r="N1161" i="12"/>
  <c r="K1161" i="12"/>
  <c r="J1161" i="12"/>
  <c r="H1161" i="12"/>
  <c r="G1161" i="12"/>
  <c r="N1160" i="12"/>
  <c r="K1160" i="12"/>
  <c r="J1160" i="12"/>
  <c r="H1160" i="12"/>
  <c r="G1160" i="12"/>
  <c r="N1159" i="12"/>
  <c r="K1159" i="12"/>
  <c r="J1159" i="12"/>
  <c r="H1159" i="12"/>
  <c r="G1159" i="12"/>
  <c r="N1158" i="12"/>
  <c r="K1158" i="12"/>
  <c r="J1158" i="12"/>
  <c r="H1158" i="12"/>
  <c r="G1158" i="12"/>
  <c r="N1157" i="12"/>
  <c r="K1157" i="12"/>
  <c r="J1157" i="12"/>
  <c r="H1157" i="12"/>
  <c r="G1157" i="12"/>
  <c r="N1156" i="12"/>
  <c r="K1156" i="12"/>
  <c r="J1156" i="12"/>
  <c r="H1156" i="12"/>
  <c r="G1156" i="12"/>
  <c r="N1155" i="12"/>
  <c r="K1155" i="12"/>
  <c r="J1155" i="12"/>
  <c r="H1155" i="12"/>
  <c r="G1155" i="12"/>
  <c r="N1154" i="12"/>
  <c r="K1154" i="12"/>
  <c r="J1154" i="12"/>
  <c r="H1154" i="12"/>
  <c r="G1154" i="12"/>
  <c r="N1153" i="12"/>
  <c r="K1153" i="12"/>
  <c r="J1153" i="12"/>
  <c r="H1153" i="12"/>
  <c r="G1153" i="12"/>
  <c r="N1152" i="12"/>
  <c r="K1152" i="12"/>
  <c r="J1152" i="12"/>
  <c r="H1152" i="12"/>
  <c r="G1152" i="12"/>
  <c r="N1151" i="12"/>
  <c r="K1151" i="12"/>
  <c r="J1151" i="12"/>
  <c r="H1151" i="12"/>
  <c r="G1151" i="12"/>
  <c r="N1150" i="12"/>
  <c r="K1150" i="12"/>
  <c r="J1150" i="12"/>
  <c r="H1150" i="12"/>
  <c r="G1150" i="12"/>
  <c r="N1149" i="12"/>
  <c r="K1149" i="12"/>
  <c r="J1149" i="12"/>
  <c r="H1149" i="12"/>
  <c r="G1149" i="12"/>
  <c r="N1148" i="12"/>
  <c r="K1148" i="12"/>
  <c r="J1148" i="12"/>
  <c r="H1148" i="12"/>
  <c r="G1148" i="12"/>
  <c r="N1147" i="12"/>
  <c r="K1147" i="12"/>
  <c r="J1147" i="12"/>
  <c r="H1147" i="12"/>
  <c r="G1147" i="12"/>
  <c r="N1146" i="12"/>
  <c r="K1146" i="12"/>
  <c r="J1146" i="12"/>
  <c r="H1146" i="12"/>
  <c r="G1146" i="12"/>
  <c r="N1145" i="12"/>
  <c r="K1145" i="12"/>
  <c r="J1145" i="12"/>
  <c r="H1145" i="12"/>
  <c r="G1145" i="12"/>
  <c r="N1144" i="12"/>
  <c r="K1144" i="12"/>
  <c r="J1144" i="12"/>
  <c r="H1144" i="12"/>
  <c r="G1144" i="12"/>
  <c r="N1143" i="12"/>
  <c r="K1143" i="12"/>
  <c r="J1143" i="12"/>
  <c r="H1143" i="12"/>
  <c r="G1143" i="12"/>
  <c r="N1142" i="12"/>
  <c r="K1142" i="12"/>
  <c r="J1142" i="12"/>
  <c r="H1142" i="12"/>
  <c r="G1142" i="12"/>
  <c r="N1141" i="12"/>
  <c r="K1141" i="12"/>
  <c r="J1141" i="12"/>
  <c r="H1141" i="12"/>
  <c r="G1141" i="12"/>
  <c r="N1140" i="12"/>
  <c r="K1140" i="12"/>
  <c r="J1140" i="12"/>
  <c r="H1140" i="12"/>
  <c r="G1140" i="12"/>
  <c r="N1139" i="12"/>
  <c r="K1139" i="12"/>
  <c r="J1139" i="12"/>
  <c r="H1139" i="12"/>
  <c r="G1139" i="12"/>
  <c r="N1138" i="12"/>
  <c r="K1138" i="12"/>
  <c r="J1138" i="12"/>
  <c r="H1138" i="12"/>
  <c r="G1138" i="12"/>
  <c r="N1137" i="12"/>
  <c r="K1137" i="12"/>
  <c r="J1137" i="12"/>
  <c r="H1137" i="12"/>
  <c r="G1137" i="12"/>
  <c r="N1136" i="12"/>
  <c r="K1136" i="12"/>
  <c r="J1136" i="12"/>
  <c r="H1136" i="12"/>
  <c r="G1136" i="12"/>
  <c r="N1135" i="12"/>
  <c r="K1135" i="12"/>
  <c r="J1135" i="12"/>
  <c r="H1135" i="12"/>
  <c r="G1135" i="12"/>
  <c r="N1134" i="12"/>
  <c r="K1134" i="12"/>
  <c r="J1134" i="12"/>
  <c r="H1134" i="12"/>
  <c r="G1134" i="12"/>
  <c r="N1133" i="12"/>
  <c r="K1133" i="12"/>
  <c r="J1133" i="12"/>
  <c r="H1133" i="12"/>
  <c r="G1133" i="12"/>
  <c r="N1132" i="12"/>
  <c r="K1132" i="12"/>
  <c r="J1132" i="12"/>
  <c r="H1132" i="12"/>
  <c r="G1132" i="12"/>
  <c r="N1131" i="12"/>
  <c r="K1131" i="12"/>
  <c r="J1131" i="12"/>
  <c r="H1131" i="12"/>
  <c r="G1131" i="12"/>
  <c r="N1130" i="12"/>
  <c r="K1130" i="12"/>
  <c r="J1130" i="12"/>
  <c r="H1130" i="12"/>
  <c r="G1130" i="12"/>
  <c r="N1129" i="12"/>
  <c r="K1129" i="12"/>
  <c r="J1129" i="12"/>
  <c r="H1129" i="12"/>
  <c r="G1129" i="12"/>
  <c r="N1128" i="12"/>
  <c r="K1128" i="12"/>
  <c r="J1128" i="12"/>
  <c r="H1128" i="12"/>
  <c r="G1128" i="12"/>
  <c r="N1127" i="12"/>
  <c r="K1127" i="12"/>
  <c r="J1127" i="12"/>
  <c r="H1127" i="12"/>
  <c r="G1127" i="12"/>
  <c r="N1126" i="12"/>
  <c r="K1126" i="12"/>
  <c r="J1126" i="12"/>
  <c r="H1126" i="12"/>
  <c r="G1126" i="12"/>
  <c r="N1125" i="12"/>
  <c r="K1125" i="12"/>
  <c r="J1125" i="12"/>
  <c r="H1125" i="12"/>
  <c r="G1125" i="12"/>
  <c r="N1124" i="12"/>
  <c r="K1124" i="12"/>
  <c r="J1124" i="12"/>
  <c r="H1124" i="12"/>
  <c r="G1124" i="12"/>
  <c r="N1123" i="12"/>
  <c r="K1123" i="12"/>
  <c r="J1123" i="12"/>
  <c r="H1123" i="12"/>
  <c r="G1123" i="12"/>
  <c r="N1122" i="12"/>
  <c r="K1122" i="12"/>
  <c r="J1122" i="12"/>
  <c r="H1122" i="12"/>
  <c r="G1122" i="12"/>
  <c r="N1121" i="12"/>
  <c r="K1121" i="12"/>
  <c r="J1121" i="12"/>
  <c r="H1121" i="12"/>
  <c r="G1121" i="12"/>
  <c r="N1120" i="12"/>
  <c r="K1120" i="12"/>
  <c r="J1120" i="12"/>
  <c r="H1120" i="12"/>
  <c r="G1120" i="12"/>
  <c r="N1119" i="12"/>
  <c r="K1119" i="12"/>
  <c r="J1119" i="12"/>
  <c r="H1119" i="12"/>
  <c r="G1119" i="12"/>
  <c r="N1118" i="12"/>
  <c r="K1118" i="12"/>
  <c r="J1118" i="12"/>
  <c r="H1118" i="12"/>
  <c r="G1118" i="12"/>
  <c r="N1117" i="12"/>
  <c r="K1117" i="12"/>
  <c r="J1117" i="12"/>
  <c r="H1117" i="12"/>
  <c r="G1117" i="12"/>
  <c r="N1116" i="12"/>
  <c r="K1116" i="12"/>
  <c r="J1116" i="12"/>
  <c r="H1116" i="12"/>
  <c r="G1116" i="12"/>
  <c r="N1115" i="12"/>
  <c r="K1115" i="12"/>
  <c r="J1115" i="12"/>
  <c r="H1115" i="12"/>
  <c r="G1115" i="12"/>
  <c r="N1114" i="12"/>
  <c r="K1114" i="12"/>
  <c r="J1114" i="12"/>
  <c r="H1114" i="12"/>
  <c r="G1114" i="12"/>
  <c r="N1113" i="12"/>
  <c r="K1113" i="12"/>
  <c r="J1113" i="12"/>
  <c r="H1113" i="12"/>
  <c r="G1113" i="12"/>
  <c r="N1112" i="12"/>
  <c r="K1112" i="12"/>
  <c r="J1112" i="12"/>
  <c r="H1112" i="12"/>
  <c r="G1112" i="12"/>
  <c r="N1111" i="12"/>
  <c r="K1111" i="12"/>
  <c r="J1111" i="12"/>
  <c r="H1111" i="12"/>
  <c r="G1111" i="12"/>
  <c r="N1110" i="12"/>
  <c r="K1110" i="12"/>
  <c r="J1110" i="12"/>
  <c r="H1110" i="12"/>
  <c r="G1110" i="12"/>
  <c r="N1109" i="12"/>
  <c r="K1109" i="12"/>
  <c r="J1109" i="12"/>
  <c r="H1109" i="12"/>
  <c r="G1109" i="12"/>
  <c r="N1108" i="12"/>
  <c r="K1108" i="12"/>
  <c r="J1108" i="12"/>
  <c r="H1108" i="12"/>
  <c r="G1108" i="12"/>
  <c r="N1107" i="12"/>
  <c r="K1107" i="12"/>
  <c r="J1107" i="12"/>
  <c r="H1107" i="12"/>
  <c r="G1107" i="12"/>
  <c r="N1106" i="12"/>
  <c r="K1106" i="12"/>
  <c r="J1106" i="12"/>
  <c r="H1106" i="12"/>
  <c r="G1106" i="12"/>
  <c r="N1105" i="12"/>
  <c r="K1105" i="12"/>
  <c r="J1105" i="12"/>
  <c r="H1105" i="12"/>
  <c r="G1105" i="12"/>
  <c r="N1104" i="12"/>
  <c r="K1104" i="12"/>
  <c r="J1104" i="12"/>
  <c r="H1104" i="12"/>
  <c r="G1104" i="12"/>
  <c r="N1103" i="12"/>
  <c r="K1103" i="12"/>
  <c r="J1103" i="12"/>
  <c r="H1103" i="12"/>
  <c r="G1103" i="12"/>
  <c r="N1102" i="12"/>
  <c r="K1102" i="12"/>
  <c r="J1102" i="12"/>
  <c r="H1102" i="12"/>
  <c r="G1102" i="12"/>
  <c r="N1101" i="12"/>
  <c r="K1101" i="12"/>
  <c r="J1101" i="12"/>
  <c r="H1101" i="12"/>
  <c r="G1101" i="12"/>
  <c r="N1100" i="12"/>
  <c r="K1100" i="12"/>
  <c r="J1100" i="12"/>
  <c r="H1100" i="12"/>
  <c r="G1100" i="12"/>
  <c r="N1099" i="12"/>
  <c r="K1099" i="12"/>
  <c r="J1099" i="12"/>
  <c r="H1099" i="12"/>
  <c r="G1099" i="12"/>
  <c r="N1098" i="12"/>
  <c r="K1098" i="12"/>
  <c r="J1098" i="12"/>
  <c r="H1098" i="12"/>
  <c r="G1098" i="12"/>
  <c r="N1097" i="12"/>
  <c r="K1097" i="12"/>
  <c r="J1097" i="12"/>
  <c r="H1097" i="12"/>
  <c r="G1097" i="12"/>
  <c r="N1096" i="12"/>
  <c r="K1096" i="12"/>
  <c r="J1096" i="12"/>
  <c r="H1096" i="12"/>
  <c r="G1096" i="12"/>
  <c r="N1095" i="12"/>
  <c r="K1095" i="12"/>
  <c r="J1095" i="12"/>
  <c r="H1095" i="12"/>
  <c r="G1095" i="12"/>
  <c r="N1094" i="12"/>
  <c r="K1094" i="12"/>
  <c r="J1094" i="12"/>
  <c r="H1094" i="12"/>
  <c r="G1094" i="12"/>
  <c r="N1093" i="12"/>
  <c r="K1093" i="12"/>
  <c r="J1093" i="12"/>
  <c r="H1093" i="12"/>
  <c r="G1093" i="12"/>
  <c r="N1092" i="12"/>
  <c r="K1092" i="12"/>
  <c r="J1092" i="12"/>
  <c r="H1092" i="12"/>
  <c r="G1092" i="12"/>
  <c r="N1091" i="12"/>
  <c r="K1091" i="12"/>
  <c r="J1091" i="12"/>
  <c r="H1091" i="12"/>
  <c r="G1091" i="12"/>
  <c r="N1090" i="12"/>
  <c r="K1090" i="12"/>
  <c r="J1090" i="12"/>
  <c r="H1090" i="12"/>
  <c r="G1090" i="12"/>
  <c r="N1089" i="12"/>
  <c r="K1089" i="12"/>
  <c r="J1089" i="12"/>
  <c r="H1089" i="12"/>
  <c r="G1089" i="12"/>
  <c r="N1088" i="12"/>
  <c r="K1088" i="12"/>
  <c r="J1088" i="12"/>
  <c r="H1088" i="12"/>
  <c r="G1088" i="12"/>
  <c r="N1087" i="12"/>
  <c r="K1087" i="12"/>
  <c r="J1087" i="12"/>
  <c r="H1087" i="12"/>
  <c r="G1087" i="12"/>
  <c r="N1086" i="12"/>
  <c r="K1086" i="12"/>
  <c r="J1086" i="12"/>
  <c r="H1086" i="12"/>
  <c r="G1086" i="12"/>
  <c r="N1085" i="12"/>
  <c r="K1085" i="12"/>
  <c r="J1085" i="12"/>
  <c r="H1085" i="12"/>
  <c r="G1085" i="12"/>
  <c r="N1084" i="12"/>
  <c r="K1084" i="12"/>
  <c r="J1084" i="12"/>
  <c r="H1084" i="12"/>
  <c r="G1084" i="12"/>
  <c r="N1083" i="12"/>
  <c r="K1083" i="12"/>
  <c r="J1083" i="12"/>
  <c r="H1083" i="12"/>
  <c r="G1083" i="12"/>
  <c r="N1082" i="12"/>
  <c r="K1082" i="12"/>
  <c r="J1082" i="12"/>
  <c r="H1082" i="12"/>
  <c r="G1082" i="12"/>
  <c r="N1081" i="12"/>
  <c r="K1081" i="12"/>
  <c r="J1081" i="12"/>
  <c r="H1081" i="12"/>
  <c r="G1081" i="12"/>
  <c r="N1080" i="12"/>
  <c r="K1080" i="12"/>
  <c r="J1080" i="12"/>
  <c r="H1080" i="12"/>
  <c r="G1080" i="12"/>
  <c r="N1079" i="12"/>
  <c r="K1079" i="12"/>
  <c r="J1079" i="12"/>
  <c r="H1079" i="12"/>
  <c r="G1079" i="12"/>
  <c r="N1078" i="12"/>
  <c r="K1078" i="12"/>
  <c r="J1078" i="12"/>
  <c r="H1078" i="12"/>
  <c r="G1078" i="12"/>
  <c r="N1077" i="12"/>
  <c r="K1077" i="12"/>
  <c r="J1077" i="12"/>
  <c r="H1077" i="12"/>
  <c r="G1077" i="12"/>
  <c r="N1076" i="12"/>
  <c r="K1076" i="12"/>
  <c r="J1076" i="12"/>
  <c r="H1076" i="12"/>
  <c r="G1076" i="12"/>
  <c r="N1075" i="12"/>
  <c r="K1075" i="12"/>
  <c r="J1075" i="12"/>
  <c r="H1075" i="12"/>
  <c r="G1075" i="12"/>
  <c r="N1074" i="12"/>
  <c r="K1074" i="12"/>
  <c r="J1074" i="12"/>
  <c r="H1074" i="12"/>
  <c r="G1074" i="12"/>
  <c r="N1073" i="12"/>
  <c r="K1073" i="12"/>
  <c r="J1073" i="12"/>
  <c r="H1073" i="12"/>
  <c r="G1073" i="12"/>
  <c r="N1072" i="12"/>
  <c r="K1072" i="12"/>
  <c r="J1072" i="12"/>
  <c r="H1072" i="12"/>
  <c r="G1072" i="12"/>
  <c r="N1071" i="12"/>
  <c r="K1071" i="12"/>
  <c r="J1071" i="12"/>
  <c r="H1071" i="12"/>
  <c r="G1071" i="12"/>
  <c r="N1070" i="12"/>
  <c r="K1070" i="12"/>
  <c r="J1070" i="12"/>
  <c r="H1070" i="12"/>
  <c r="G1070" i="12"/>
  <c r="N1069" i="12"/>
  <c r="K1069" i="12"/>
  <c r="J1069" i="12"/>
  <c r="H1069" i="12"/>
  <c r="G1069" i="12"/>
  <c r="N1068" i="12"/>
  <c r="K1068" i="12"/>
  <c r="J1068" i="12"/>
  <c r="H1068" i="12"/>
  <c r="G1068" i="12"/>
  <c r="N1067" i="12"/>
  <c r="K1067" i="12"/>
  <c r="J1067" i="12"/>
  <c r="H1067" i="12"/>
  <c r="G1067" i="12"/>
  <c r="N1066" i="12"/>
  <c r="K1066" i="12"/>
  <c r="J1066" i="12"/>
  <c r="H1066" i="12"/>
  <c r="G1066" i="12"/>
  <c r="N1065" i="12"/>
  <c r="K1065" i="12"/>
  <c r="J1065" i="12"/>
  <c r="H1065" i="12"/>
  <c r="G1065" i="12"/>
  <c r="N1064" i="12"/>
  <c r="K1064" i="12"/>
  <c r="J1064" i="12"/>
  <c r="H1064" i="12"/>
  <c r="G1064" i="12"/>
  <c r="N1063" i="12"/>
  <c r="K1063" i="12"/>
  <c r="J1063" i="12"/>
  <c r="H1063" i="12"/>
  <c r="G1063" i="12"/>
  <c r="N1062" i="12"/>
  <c r="K1062" i="12"/>
  <c r="J1062" i="12"/>
  <c r="H1062" i="12"/>
  <c r="G1062" i="12"/>
  <c r="N1061" i="12"/>
  <c r="K1061" i="12"/>
  <c r="J1061" i="12"/>
  <c r="H1061" i="12"/>
  <c r="G1061" i="12"/>
  <c r="N1060" i="12"/>
  <c r="K1060" i="12"/>
  <c r="J1060" i="12"/>
  <c r="H1060" i="12"/>
  <c r="G1060" i="12"/>
  <c r="N1059" i="12"/>
  <c r="K1059" i="12"/>
  <c r="J1059" i="12"/>
  <c r="H1059" i="12"/>
  <c r="G1059" i="12"/>
  <c r="N1058" i="12"/>
  <c r="K1058" i="12"/>
  <c r="J1058" i="12"/>
  <c r="H1058" i="12"/>
  <c r="G1058" i="12"/>
  <c r="N1057" i="12"/>
  <c r="K1057" i="12"/>
  <c r="J1057" i="12"/>
  <c r="H1057" i="12"/>
  <c r="G1057" i="12"/>
  <c r="N1056" i="12"/>
  <c r="K1056" i="12"/>
  <c r="J1056" i="12"/>
  <c r="H1056" i="12"/>
  <c r="G1056" i="12"/>
  <c r="N1055" i="12"/>
  <c r="K1055" i="12"/>
  <c r="J1055" i="12"/>
  <c r="H1055" i="12"/>
  <c r="G1055" i="12"/>
  <c r="N1054" i="12"/>
  <c r="K1054" i="12"/>
  <c r="J1054" i="12"/>
  <c r="H1054" i="12"/>
  <c r="G1054" i="12"/>
  <c r="N1053" i="12"/>
  <c r="K1053" i="12"/>
  <c r="J1053" i="12"/>
  <c r="H1053" i="12"/>
  <c r="G1053" i="12"/>
  <c r="N1052" i="12"/>
  <c r="K1052" i="12"/>
  <c r="J1052" i="12"/>
  <c r="H1052" i="12"/>
  <c r="G1052" i="12"/>
  <c r="N1051" i="12"/>
  <c r="K1051" i="12"/>
  <c r="J1051" i="12"/>
  <c r="H1051" i="12"/>
  <c r="G1051" i="12"/>
  <c r="N1050" i="12"/>
  <c r="K1050" i="12"/>
  <c r="J1050" i="12"/>
  <c r="H1050" i="12"/>
  <c r="G1050" i="12"/>
  <c r="N1049" i="12"/>
  <c r="K1049" i="12"/>
  <c r="J1049" i="12"/>
  <c r="H1049" i="12"/>
  <c r="G1049" i="12"/>
  <c r="N1048" i="12"/>
  <c r="K1048" i="12"/>
  <c r="J1048" i="12"/>
  <c r="H1048" i="12"/>
  <c r="G1048" i="12"/>
  <c r="N1047" i="12"/>
  <c r="K1047" i="12"/>
  <c r="J1047" i="12"/>
  <c r="H1047" i="12"/>
  <c r="G1047" i="12"/>
  <c r="N1046" i="12"/>
  <c r="K1046" i="12"/>
  <c r="J1046" i="12"/>
  <c r="H1046" i="12"/>
  <c r="G1046" i="12"/>
  <c r="N1045" i="12"/>
  <c r="K1045" i="12"/>
  <c r="J1045" i="12"/>
  <c r="H1045" i="12"/>
  <c r="G1045" i="12"/>
  <c r="N1044" i="12"/>
  <c r="K1044" i="12"/>
  <c r="J1044" i="12"/>
  <c r="H1044" i="12"/>
  <c r="G1044" i="12"/>
  <c r="N1043" i="12"/>
  <c r="K1043" i="12"/>
  <c r="J1043" i="12"/>
  <c r="H1043" i="12"/>
  <c r="G1043" i="12"/>
  <c r="N1042" i="12"/>
  <c r="K1042" i="12"/>
  <c r="J1042" i="12"/>
  <c r="H1042" i="12"/>
  <c r="G1042" i="12"/>
  <c r="N1041" i="12"/>
  <c r="K1041" i="12"/>
  <c r="J1041" i="12"/>
  <c r="H1041" i="12"/>
  <c r="G1041" i="12"/>
  <c r="N1040" i="12"/>
  <c r="K1040" i="12"/>
  <c r="J1040" i="12"/>
  <c r="H1040" i="12"/>
  <c r="G1040" i="12"/>
  <c r="N1039" i="12"/>
  <c r="K1039" i="12"/>
  <c r="J1039" i="12"/>
  <c r="H1039" i="12"/>
  <c r="G1039" i="12"/>
  <c r="N1038" i="12"/>
  <c r="K1038" i="12"/>
  <c r="J1038" i="12"/>
  <c r="H1038" i="12"/>
  <c r="G1038" i="12"/>
  <c r="N1037" i="12"/>
  <c r="K1037" i="12"/>
  <c r="J1037" i="12"/>
  <c r="H1037" i="12"/>
  <c r="G1037" i="12"/>
  <c r="N1036" i="12"/>
  <c r="K1036" i="12"/>
  <c r="J1036" i="12"/>
  <c r="H1036" i="12"/>
  <c r="G1036" i="12"/>
  <c r="N1035" i="12"/>
  <c r="K1035" i="12"/>
  <c r="J1035" i="12"/>
  <c r="H1035" i="12"/>
  <c r="G1035" i="12"/>
  <c r="N1034" i="12"/>
  <c r="K1034" i="12"/>
  <c r="J1034" i="12"/>
  <c r="H1034" i="12"/>
  <c r="G1034" i="12"/>
  <c r="N1033" i="12"/>
  <c r="K1033" i="12"/>
  <c r="J1033" i="12"/>
  <c r="H1033" i="12"/>
  <c r="G1033" i="12"/>
  <c r="N1032" i="12"/>
  <c r="K1032" i="12"/>
  <c r="J1032" i="12"/>
  <c r="H1032" i="12"/>
  <c r="G1032" i="12"/>
  <c r="N1031" i="12"/>
  <c r="K1031" i="12"/>
  <c r="J1031" i="12"/>
  <c r="H1031" i="12"/>
  <c r="G1031" i="12"/>
  <c r="N1030" i="12"/>
  <c r="K1030" i="12"/>
  <c r="J1030" i="12"/>
  <c r="H1030" i="12"/>
  <c r="G1030" i="12"/>
  <c r="N1029" i="12"/>
  <c r="K1029" i="12"/>
  <c r="J1029" i="12"/>
  <c r="H1029" i="12"/>
  <c r="G1029" i="12"/>
  <c r="N1028" i="12"/>
  <c r="K1028" i="12"/>
  <c r="J1028" i="12"/>
  <c r="H1028" i="12"/>
  <c r="G1028" i="12"/>
  <c r="N1027" i="12"/>
  <c r="K1027" i="12"/>
  <c r="J1027" i="12"/>
  <c r="H1027" i="12"/>
  <c r="G1027" i="12"/>
  <c r="N1026" i="12"/>
  <c r="K1026" i="12"/>
  <c r="J1026" i="12"/>
  <c r="H1026" i="12"/>
  <c r="G1026" i="12"/>
  <c r="N1025" i="12"/>
  <c r="K1025" i="12"/>
  <c r="J1025" i="12"/>
  <c r="H1025" i="12"/>
  <c r="G1025" i="12"/>
  <c r="N1024" i="12"/>
  <c r="K1024" i="12"/>
  <c r="J1024" i="12"/>
  <c r="H1024" i="12"/>
  <c r="G1024" i="12"/>
  <c r="N1023" i="12"/>
  <c r="K1023" i="12"/>
  <c r="J1023" i="12"/>
  <c r="H1023" i="12"/>
  <c r="G1023" i="12"/>
  <c r="N1022" i="12"/>
  <c r="K1022" i="12"/>
  <c r="J1022" i="12"/>
  <c r="H1022" i="12"/>
  <c r="G1022" i="12"/>
  <c r="N1021" i="12"/>
  <c r="K1021" i="12"/>
  <c r="J1021" i="12"/>
  <c r="H1021" i="12"/>
  <c r="G1021" i="12"/>
  <c r="N1020" i="12"/>
  <c r="K1020" i="12"/>
  <c r="J1020" i="12"/>
  <c r="H1020" i="12"/>
  <c r="G1020" i="12"/>
  <c r="N1019" i="12"/>
  <c r="K1019" i="12"/>
  <c r="J1019" i="12"/>
  <c r="H1019" i="12"/>
  <c r="G1019" i="12"/>
  <c r="N1018" i="12"/>
  <c r="K1018" i="12"/>
  <c r="J1018" i="12"/>
  <c r="H1018" i="12"/>
  <c r="G1018" i="12"/>
  <c r="N1017" i="12"/>
  <c r="K1017" i="12"/>
  <c r="J1017" i="12"/>
  <c r="H1017" i="12"/>
  <c r="G1017" i="12"/>
  <c r="N1016" i="12"/>
  <c r="K1016" i="12"/>
  <c r="J1016" i="12"/>
  <c r="H1016" i="12"/>
  <c r="G1016" i="12"/>
  <c r="N1015" i="12"/>
  <c r="K1015" i="12"/>
  <c r="J1015" i="12"/>
  <c r="H1015" i="12"/>
  <c r="G1015" i="12"/>
  <c r="N1014" i="12"/>
  <c r="K1014" i="12"/>
  <c r="J1014" i="12"/>
  <c r="H1014" i="12"/>
  <c r="G1014" i="12"/>
  <c r="N1013" i="12"/>
  <c r="K1013" i="12"/>
  <c r="J1013" i="12"/>
  <c r="H1013" i="12"/>
  <c r="G1013" i="12"/>
  <c r="N1012" i="12"/>
  <c r="K1012" i="12"/>
  <c r="J1012" i="12"/>
  <c r="H1012" i="12"/>
  <c r="G1012" i="12"/>
  <c r="N1011" i="12"/>
  <c r="K1011" i="12"/>
  <c r="J1011" i="12"/>
  <c r="H1011" i="12"/>
  <c r="G1011" i="12"/>
  <c r="N1010" i="12"/>
  <c r="K1010" i="12"/>
  <c r="J1010" i="12"/>
  <c r="H1010" i="12"/>
  <c r="G1010" i="12"/>
  <c r="N1009" i="12"/>
  <c r="K1009" i="12"/>
  <c r="J1009" i="12"/>
  <c r="H1009" i="12"/>
  <c r="G1009" i="12"/>
  <c r="N1008" i="12"/>
  <c r="K1008" i="12"/>
  <c r="J1008" i="12"/>
  <c r="H1008" i="12"/>
  <c r="G1008" i="12"/>
  <c r="N1007" i="12"/>
  <c r="K1007" i="12"/>
  <c r="J1007" i="12"/>
  <c r="H1007" i="12"/>
  <c r="G1007" i="12"/>
  <c r="N1006" i="12"/>
  <c r="K1006" i="12"/>
  <c r="J1006" i="12"/>
  <c r="H1006" i="12"/>
  <c r="G1006" i="12"/>
  <c r="N1005" i="12"/>
  <c r="K1005" i="12"/>
  <c r="J1005" i="12"/>
  <c r="H1005" i="12"/>
  <c r="G1005" i="12"/>
  <c r="N1004" i="12"/>
  <c r="K1004" i="12"/>
  <c r="J1004" i="12"/>
  <c r="H1004" i="12"/>
  <c r="G1004" i="12"/>
  <c r="N1003" i="12"/>
  <c r="K1003" i="12"/>
  <c r="J1003" i="12"/>
  <c r="H1003" i="12"/>
  <c r="G1003" i="12"/>
  <c r="N1002" i="12"/>
  <c r="K1002" i="12"/>
  <c r="J1002" i="12"/>
  <c r="H1002" i="12"/>
  <c r="G1002" i="12"/>
  <c r="N1001" i="12"/>
  <c r="K1001" i="12"/>
  <c r="J1001" i="12"/>
  <c r="H1001" i="12"/>
  <c r="G1001" i="12"/>
  <c r="N1000" i="12"/>
  <c r="K1000" i="12"/>
  <c r="J1000" i="12"/>
  <c r="H1000" i="12"/>
  <c r="G1000" i="12"/>
  <c r="N999" i="12"/>
  <c r="K999" i="12"/>
  <c r="J999" i="12"/>
  <c r="H999" i="12"/>
  <c r="G999" i="12"/>
  <c r="N998" i="12"/>
  <c r="K998" i="12"/>
  <c r="J998" i="12"/>
  <c r="H998" i="12"/>
  <c r="G998" i="12"/>
  <c r="N997" i="12"/>
  <c r="K997" i="12"/>
  <c r="J997" i="12"/>
  <c r="H997" i="12"/>
  <c r="G997" i="12"/>
  <c r="N996" i="12"/>
  <c r="K996" i="12"/>
  <c r="J996" i="12"/>
  <c r="H996" i="12"/>
  <c r="G996" i="12"/>
  <c r="N995" i="12"/>
  <c r="K995" i="12"/>
  <c r="J995" i="12"/>
  <c r="H995" i="12"/>
  <c r="G995" i="12"/>
  <c r="N994" i="12"/>
  <c r="K994" i="12"/>
  <c r="J994" i="12"/>
  <c r="H994" i="12"/>
  <c r="G994" i="12"/>
  <c r="N993" i="12"/>
  <c r="K993" i="12"/>
  <c r="J993" i="12"/>
  <c r="H993" i="12"/>
  <c r="G993" i="12"/>
  <c r="N992" i="12"/>
  <c r="K992" i="12"/>
  <c r="J992" i="12"/>
  <c r="H992" i="12"/>
  <c r="G992" i="12"/>
  <c r="N991" i="12"/>
  <c r="K991" i="12"/>
  <c r="J991" i="12"/>
  <c r="H991" i="12"/>
  <c r="G991" i="12"/>
  <c r="N990" i="12"/>
  <c r="K990" i="12"/>
  <c r="J990" i="12"/>
  <c r="H990" i="12"/>
  <c r="G990" i="12"/>
  <c r="N989" i="12"/>
  <c r="K989" i="12"/>
  <c r="J989" i="12"/>
  <c r="H989" i="12"/>
  <c r="G989" i="12"/>
  <c r="N988" i="12"/>
  <c r="K988" i="12"/>
  <c r="J988" i="12"/>
  <c r="H988" i="12"/>
  <c r="G988" i="12"/>
  <c r="N987" i="12"/>
  <c r="K987" i="12"/>
  <c r="J987" i="12"/>
  <c r="H987" i="12"/>
  <c r="G987" i="12"/>
  <c r="N986" i="12"/>
  <c r="K986" i="12"/>
  <c r="J986" i="12"/>
  <c r="H986" i="12"/>
  <c r="G986" i="12"/>
  <c r="N985" i="12"/>
  <c r="K985" i="12"/>
  <c r="J985" i="12"/>
  <c r="H985" i="12"/>
  <c r="G985" i="12"/>
  <c r="N984" i="12"/>
  <c r="K984" i="12"/>
  <c r="J984" i="12"/>
  <c r="H984" i="12"/>
  <c r="G984" i="12"/>
  <c r="N983" i="12"/>
  <c r="K983" i="12"/>
  <c r="J983" i="12"/>
  <c r="H983" i="12"/>
  <c r="G983" i="12"/>
  <c r="N982" i="12"/>
  <c r="K982" i="12"/>
  <c r="J982" i="12"/>
  <c r="H982" i="12"/>
  <c r="G982" i="12"/>
  <c r="N981" i="12"/>
  <c r="K981" i="12"/>
  <c r="J981" i="12"/>
  <c r="H981" i="12"/>
  <c r="G981" i="12"/>
  <c r="N980" i="12"/>
  <c r="K980" i="12"/>
  <c r="J980" i="12"/>
  <c r="H980" i="12"/>
  <c r="G980" i="12"/>
  <c r="N979" i="12"/>
  <c r="K979" i="12"/>
  <c r="J979" i="12"/>
  <c r="H979" i="12"/>
  <c r="G979" i="12"/>
  <c r="N978" i="12"/>
  <c r="K978" i="12"/>
  <c r="J978" i="12"/>
  <c r="H978" i="12"/>
  <c r="G978" i="12"/>
  <c r="N977" i="12"/>
  <c r="K977" i="12"/>
  <c r="J977" i="12"/>
  <c r="H977" i="12"/>
  <c r="G977" i="12"/>
  <c r="N976" i="12"/>
  <c r="K976" i="12"/>
  <c r="J976" i="12"/>
  <c r="H976" i="12"/>
  <c r="G976" i="12"/>
  <c r="N975" i="12"/>
  <c r="K975" i="12"/>
  <c r="J975" i="12"/>
  <c r="H975" i="12"/>
  <c r="G975" i="12"/>
  <c r="N974" i="12"/>
  <c r="K974" i="12"/>
  <c r="J974" i="12"/>
  <c r="H974" i="12"/>
  <c r="G974" i="12"/>
  <c r="N973" i="12"/>
  <c r="K973" i="12"/>
  <c r="J973" i="12"/>
  <c r="H973" i="12"/>
  <c r="G973" i="12"/>
  <c r="N972" i="12"/>
  <c r="K972" i="12"/>
  <c r="J972" i="12"/>
  <c r="H972" i="12"/>
  <c r="G972" i="12"/>
  <c r="N971" i="12"/>
  <c r="K971" i="12"/>
  <c r="J971" i="12"/>
  <c r="H971" i="12"/>
  <c r="G971" i="12"/>
  <c r="N970" i="12"/>
  <c r="K970" i="12"/>
  <c r="J970" i="12"/>
  <c r="H970" i="12"/>
  <c r="G970" i="12"/>
  <c r="N969" i="12"/>
  <c r="K969" i="12"/>
  <c r="J969" i="12"/>
  <c r="H969" i="12"/>
  <c r="G969" i="12"/>
  <c r="N968" i="12"/>
  <c r="K968" i="12"/>
  <c r="J968" i="12"/>
  <c r="H968" i="12"/>
  <c r="G968" i="12"/>
  <c r="N967" i="12"/>
  <c r="K967" i="12"/>
  <c r="J967" i="12"/>
  <c r="H967" i="12"/>
  <c r="G967" i="12"/>
  <c r="N966" i="12"/>
  <c r="K966" i="12"/>
  <c r="J966" i="12"/>
  <c r="H966" i="12"/>
  <c r="G966" i="12"/>
  <c r="N965" i="12"/>
  <c r="K965" i="12"/>
  <c r="J965" i="12"/>
  <c r="H965" i="12"/>
  <c r="G965" i="12"/>
  <c r="N964" i="12"/>
  <c r="K964" i="12"/>
  <c r="J964" i="12"/>
  <c r="H964" i="12"/>
  <c r="G964" i="12"/>
  <c r="N963" i="12"/>
  <c r="K963" i="12"/>
  <c r="J963" i="12"/>
  <c r="H963" i="12"/>
  <c r="G963" i="12"/>
  <c r="N962" i="12"/>
  <c r="K962" i="12"/>
  <c r="J962" i="12"/>
  <c r="H962" i="12"/>
  <c r="G962" i="12"/>
  <c r="N961" i="12"/>
  <c r="K961" i="12"/>
  <c r="J961" i="12"/>
  <c r="H961" i="12"/>
  <c r="G961" i="12"/>
  <c r="N960" i="12"/>
  <c r="K960" i="12"/>
  <c r="J960" i="12"/>
  <c r="H960" i="12"/>
  <c r="G960" i="12"/>
  <c r="N959" i="12"/>
  <c r="K959" i="12"/>
  <c r="J959" i="12"/>
  <c r="H959" i="12"/>
  <c r="G959" i="12"/>
  <c r="N958" i="12"/>
  <c r="K958" i="12"/>
  <c r="J958" i="12"/>
  <c r="H958" i="12"/>
  <c r="G958" i="12"/>
  <c r="N957" i="12"/>
  <c r="K957" i="12"/>
  <c r="J957" i="12"/>
  <c r="H957" i="12"/>
  <c r="G957" i="12"/>
  <c r="N956" i="12"/>
  <c r="K956" i="12"/>
  <c r="J956" i="12"/>
  <c r="H956" i="12"/>
  <c r="G956" i="12"/>
  <c r="N955" i="12"/>
  <c r="K955" i="12"/>
  <c r="J955" i="12"/>
  <c r="H955" i="12"/>
  <c r="G955" i="12"/>
  <c r="N954" i="12"/>
  <c r="K954" i="12"/>
  <c r="J954" i="12"/>
  <c r="H954" i="12"/>
  <c r="G954" i="12"/>
  <c r="N953" i="12"/>
  <c r="K953" i="12"/>
  <c r="J953" i="12"/>
  <c r="H953" i="12"/>
  <c r="G953" i="12"/>
  <c r="N952" i="12"/>
  <c r="K952" i="12"/>
  <c r="J952" i="12"/>
  <c r="H952" i="12"/>
  <c r="G952" i="12"/>
  <c r="N951" i="12"/>
  <c r="K951" i="12"/>
  <c r="J951" i="12"/>
  <c r="H951" i="12"/>
  <c r="G951" i="12"/>
  <c r="N950" i="12"/>
  <c r="K950" i="12"/>
  <c r="J950" i="12"/>
  <c r="H950" i="12"/>
  <c r="G950" i="12"/>
  <c r="N949" i="12"/>
  <c r="K949" i="12"/>
  <c r="J949" i="12"/>
  <c r="H949" i="12"/>
  <c r="G949" i="12"/>
  <c r="N948" i="12"/>
  <c r="K948" i="12"/>
  <c r="J948" i="12"/>
  <c r="H948" i="12"/>
  <c r="G948" i="12"/>
  <c r="N947" i="12"/>
  <c r="K947" i="12"/>
  <c r="J947" i="12"/>
  <c r="H947" i="12"/>
  <c r="G947" i="12"/>
  <c r="N946" i="12"/>
  <c r="K946" i="12"/>
  <c r="J946" i="12"/>
  <c r="H946" i="12"/>
  <c r="G946" i="12"/>
  <c r="N945" i="12"/>
  <c r="K945" i="12"/>
  <c r="J945" i="12"/>
  <c r="H945" i="12"/>
  <c r="G945" i="12"/>
  <c r="N944" i="12"/>
  <c r="K944" i="12"/>
  <c r="J944" i="12"/>
  <c r="H944" i="12"/>
  <c r="G944" i="12"/>
  <c r="N943" i="12"/>
  <c r="K943" i="12"/>
  <c r="J943" i="12"/>
  <c r="H943" i="12"/>
  <c r="G943" i="12"/>
  <c r="N942" i="12"/>
  <c r="K942" i="12"/>
  <c r="J942" i="12"/>
  <c r="H942" i="12"/>
  <c r="G942" i="12"/>
  <c r="N941" i="12"/>
  <c r="K941" i="12"/>
  <c r="J941" i="12"/>
  <c r="H941" i="12"/>
  <c r="G941" i="12"/>
  <c r="N940" i="12"/>
  <c r="K940" i="12"/>
  <c r="J940" i="12"/>
  <c r="H940" i="12"/>
  <c r="G940" i="12"/>
  <c r="N939" i="12"/>
  <c r="K939" i="12"/>
  <c r="J939" i="12"/>
  <c r="H939" i="12"/>
  <c r="G939" i="12"/>
  <c r="N938" i="12"/>
  <c r="K938" i="12"/>
  <c r="J938" i="12"/>
  <c r="H938" i="12"/>
  <c r="G938" i="12"/>
  <c r="N937" i="12"/>
  <c r="K937" i="12"/>
  <c r="J937" i="12"/>
  <c r="H937" i="12"/>
  <c r="G937" i="12"/>
  <c r="N936" i="12"/>
  <c r="K936" i="12"/>
  <c r="J936" i="12"/>
  <c r="H936" i="12"/>
  <c r="G936" i="12"/>
  <c r="N935" i="12"/>
  <c r="K935" i="12"/>
  <c r="J935" i="12"/>
  <c r="H935" i="12"/>
  <c r="G935" i="12"/>
  <c r="N934" i="12"/>
  <c r="K934" i="12"/>
  <c r="J934" i="12"/>
  <c r="H934" i="12"/>
  <c r="G934" i="12"/>
  <c r="N933" i="12"/>
  <c r="K933" i="12"/>
  <c r="J933" i="12"/>
  <c r="H933" i="12"/>
  <c r="G933" i="12"/>
  <c r="N932" i="12"/>
  <c r="K932" i="12"/>
  <c r="J932" i="12"/>
  <c r="H932" i="12"/>
  <c r="G932" i="12"/>
  <c r="N931" i="12"/>
  <c r="K931" i="12"/>
  <c r="J931" i="12"/>
  <c r="H931" i="12"/>
  <c r="G931" i="12"/>
  <c r="N930" i="12"/>
  <c r="K930" i="12"/>
  <c r="J930" i="12"/>
  <c r="H930" i="12"/>
  <c r="G930" i="12"/>
  <c r="N929" i="12"/>
  <c r="K929" i="12"/>
  <c r="J929" i="12"/>
  <c r="H929" i="12"/>
  <c r="G929" i="12"/>
  <c r="N928" i="12"/>
  <c r="K928" i="12"/>
  <c r="J928" i="12"/>
  <c r="H928" i="12"/>
  <c r="G928" i="12"/>
  <c r="N927" i="12"/>
  <c r="K927" i="12"/>
  <c r="J927" i="12"/>
  <c r="H927" i="12"/>
  <c r="G927" i="12"/>
  <c r="N926" i="12"/>
  <c r="K926" i="12"/>
  <c r="J926" i="12"/>
  <c r="H926" i="12"/>
  <c r="G926" i="12"/>
  <c r="N925" i="12"/>
  <c r="K925" i="12"/>
  <c r="J925" i="12"/>
  <c r="H925" i="12"/>
  <c r="G925" i="12"/>
  <c r="N924" i="12"/>
  <c r="K924" i="12"/>
  <c r="J924" i="12"/>
  <c r="H924" i="12"/>
  <c r="G924" i="12"/>
  <c r="N923" i="12"/>
  <c r="K923" i="12"/>
  <c r="J923" i="12"/>
  <c r="H923" i="12"/>
  <c r="G923" i="12"/>
  <c r="N922" i="12"/>
  <c r="K922" i="12"/>
  <c r="J922" i="12"/>
  <c r="H922" i="12"/>
  <c r="G922" i="12"/>
  <c r="N921" i="12"/>
  <c r="K921" i="12"/>
  <c r="J921" i="12"/>
  <c r="H921" i="12"/>
  <c r="G921" i="12"/>
  <c r="N920" i="12"/>
  <c r="K920" i="12"/>
  <c r="J920" i="12"/>
  <c r="H920" i="12"/>
  <c r="G920" i="12"/>
  <c r="N919" i="12"/>
  <c r="K919" i="12"/>
  <c r="J919" i="12"/>
  <c r="H919" i="12"/>
  <c r="G919" i="12"/>
  <c r="N918" i="12"/>
  <c r="K918" i="12"/>
  <c r="J918" i="12"/>
  <c r="H918" i="12"/>
  <c r="G918" i="12"/>
  <c r="N917" i="12"/>
  <c r="K917" i="12"/>
  <c r="J917" i="12"/>
  <c r="H917" i="12"/>
  <c r="G917" i="12"/>
  <c r="N916" i="12"/>
  <c r="K916" i="12"/>
  <c r="J916" i="12"/>
  <c r="H916" i="12"/>
  <c r="G916" i="12"/>
  <c r="N915" i="12"/>
  <c r="K915" i="12"/>
  <c r="J915" i="12"/>
  <c r="H915" i="12"/>
  <c r="G915" i="12"/>
  <c r="N914" i="12"/>
  <c r="K914" i="12"/>
  <c r="J914" i="12"/>
  <c r="H914" i="12"/>
  <c r="G914" i="12"/>
  <c r="N913" i="12"/>
  <c r="K913" i="12"/>
  <c r="J913" i="12"/>
  <c r="H913" i="12"/>
  <c r="G913" i="12"/>
  <c r="N912" i="12"/>
  <c r="K912" i="12"/>
  <c r="J912" i="12"/>
  <c r="H912" i="12"/>
  <c r="G912" i="12"/>
  <c r="N911" i="12"/>
  <c r="K911" i="12"/>
  <c r="J911" i="12"/>
  <c r="H911" i="12"/>
  <c r="G911" i="12"/>
  <c r="N910" i="12"/>
  <c r="K910" i="12"/>
  <c r="J910" i="12"/>
  <c r="H910" i="12"/>
  <c r="G910" i="12"/>
  <c r="N909" i="12"/>
  <c r="K909" i="12"/>
  <c r="J909" i="12"/>
  <c r="H909" i="12"/>
  <c r="G909" i="12"/>
  <c r="N908" i="12"/>
  <c r="K908" i="12"/>
  <c r="J908" i="12"/>
  <c r="H908" i="12"/>
  <c r="G908" i="12"/>
  <c r="N907" i="12"/>
  <c r="K907" i="12"/>
  <c r="J907" i="12"/>
  <c r="H907" i="12"/>
  <c r="G907" i="12"/>
  <c r="N906" i="12"/>
  <c r="K906" i="12"/>
  <c r="J906" i="12"/>
  <c r="H906" i="12"/>
  <c r="G906" i="12"/>
  <c r="N905" i="12"/>
  <c r="K905" i="12"/>
  <c r="J905" i="12"/>
  <c r="H905" i="12"/>
  <c r="G905" i="12"/>
  <c r="N904" i="12"/>
  <c r="K904" i="12"/>
  <c r="J904" i="12"/>
  <c r="H904" i="12"/>
  <c r="G904" i="12"/>
  <c r="N903" i="12"/>
  <c r="K903" i="12"/>
  <c r="J903" i="12"/>
  <c r="H903" i="12"/>
  <c r="G903" i="12"/>
  <c r="N902" i="12"/>
  <c r="K902" i="12"/>
  <c r="J902" i="12"/>
  <c r="H902" i="12"/>
  <c r="G902" i="12"/>
  <c r="N901" i="12"/>
  <c r="K901" i="12"/>
  <c r="J901" i="12"/>
  <c r="H901" i="12"/>
  <c r="G901" i="12"/>
  <c r="N900" i="12"/>
  <c r="K900" i="12"/>
  <c r="J900" i="12"/>
  <c r="H900" i="12"/>
  <c r="G900" i="12"/>
  <c r="N899" i="12"/>
  <c r="K899" i="12"/>
  <c r="J899" i="12"/>
  <c r="H899" i="12"/>
  <c r="G899" i="12"/>
  <c r="N898" i="12"/>
  <c r="K898" i="12"/>
  <c r="J898" i="12"/>
  <c r="H898" i="12"/>
  <c r="G898" i="12"/>
  <c r="N897" i="12"/>
  <c r="K897" i="12"/>
  <c r="J897" i="12"/>
  <c r="H897" i="12"/>
  <c r="G897" i="12"/>
  <c r="N896" i="12"/>
  <c r="K896" i="12"/>
  <c r="J896" i="12"/>
  <c r="H896" i="12"/>
  <c r="G896" i="12"/>
  <c r="N895" i="12"/>
  <c r="K895" i="12"/>
  <c r="J895" i="12"/>
  <c r="H895" i="12"/>
  <c r="G895" i="12"/>
  <c r="N894" i="12"/>
  <c r="K894" i="12"/>
  <c r="J894" i="12"/>
  <c r="H894" i="12"/>
  <c r="G894" i="12"/>
  <c r="N893" i="12"/>
  <c r="K893" i="12"/>
  <c r="J893" i="12"/>
  <c r="H893" i="12"/>
  <c r="G893" i="12"/>
  <c r="N892" i="12"/>
  <c r="K892" i="12"/>
  <c r="J892" i="12"/>
  <c r="H892" i="12"/>
  <c r="G892" i="12"/>
  <c r="N891" i="12"/>
  <c r="K891" i="12"/>
  <c r="J891" i="12"/>
  <c r="H891" i="12"/>
  <c r="G891" i="12"/>
  <c r="N890" i="12"/>
  <c r="K890" i="12"/>
  <c r="J890" i="12"/>
  <c r="H890" i="12"/>
  <c r="G890" i="12"/>
  <c r="N889" i="12"/>
  <c r="K889" i="12"/>
  <c r="J889" i="12"/>
  <c r="H889" i="12"/>
  <c r="G889" i="12"/>
  <c r="N888" i="12"/>
  <c r="K888" i="12"/>
  <c r="J888" i="12"/>
  <c r="H888" i="12"/>
  <c r="G888" i="12"/>
  <c r="N887" i="12"/>
  <c r="K887" i="12"/>
  <c r="J887" i="12"/>
  <c r="H887" i="12"/>
  <c r="G887" i="12"/>
  <c r="N886" i="12"/>
  <c r="K886" i="12"/>
  <c r="J886" i="12"/>
  <c r="H886" i="12"/>
  <c r="G886" i="12"/>
  <c r="N885" i="12"/>
  <c r="K885" i="12"/>
  <c r="J885" i="12"/>
  <c r="H885" i="12"/>
  <c r="G885" i="12"/>
  <c r="N884" i="12"/>
  <c r="K884" i="12"/>
  <c r="J884" i="12"/>
  <c r="H884" i="12"/>
  <c r="G884" i="12"/>
  <c r="N883" i="12"/>
  <c r="K883" i="12"/>
  <c r="J883" i="12"/>
  <c r="H883" i="12"/>
  <c r="G883" i="12"/>
  <c r="N882" i="12"/>
  <c r="K882" i="12"/>
  <c r="J882" i="12"/>
  <c r="H882" i="12"/>
  <c r="G882" i="12"/>
  <c r="N881" i="12"/>
  <c r="K881" i="12"/>
  <c r="J881" i="12"/>
  <c r="H881" i="12"/>
  <c r="G881" i="12"/>
  <c r="N880" i="12"/>
  <c r="K880" i="12"/>
  <c r="J880" i="12"/>
  <c r="H880" i="12"/>
  <c r="G880" i="12"/>
  <c r="N879" i="12"/>
  <c r="K879" i="12"/>
  <c r="J879" i="12"/>
  <c r="H879" i="12"/>
  <c r="G879" i="12"/>
  <c r="N878" i="12"/>
  <c r="K878" i="12"/>
  <c r="J878" i="12"/>
  <c r="H878" i="12"/>
  <c r="G878" i="12"/>
  <c r="N877" i="12"/>
  <c r="K877" i="12"/>
  <c r="J877" i="12"/>
  <c r="H877" i="12"/>
  <c r="G877" i="12"/>
  <c r="N876" i="12"/>
  <c r="K876" i="12"/>
  <c r="J876" i="12"/>
  <c r="H876" i="12"/>
  <c r="G876" i="12"/>
  <c r="N875" i="12"/>
  <c r="K875" i="12"/>
  <c r="J875" i="12"/>
  <c r="H875" i="12"/>
  <c r="G875" i="12"/>
  <c r="N874" i="12"/>
  <c r="K874" i="12"/>
  <c r="J874" i="12"/>
  <c r="H874" i="12"/>
  <c r="G874" i="12"/>
  <c r="N873" i="12"/>
  <c r="K873" i="12"/>
  <c r="J873" i="12"/>
  <c r="H873" i="12"/>
  <c r="G873" i="12"/>
  <c r="N872" i="12"/>
  <c r="K872" i="12"/>
  <c r="J872" i="12"/>
  <c r="H872" i="12"/>
  <c r="G872" i="12"/>
  <c r="N871" i="12"/>
  <c r="K871" i="12"/>
  <c r="J871" i="12"/>
  <c r="H871" i="12"/>
  <c r="G871" i="12"/>
  <c r="N870" i="12"/>
  <c r="K870" i="12"/>
  <c r="J870" i="12"/>
  <c r="H870" i="12"/>
  <c r="G870" i="12"/>
  <c r="N869" i="12"/>
  <c r="K869" i="12"/>
  <c r="J869" i="12"/>
  <c r="H869" i="12"/>
  <c r="G869" i="12"/>
  <c r="N868" i="12"/>
  <c r="K868" i="12"/>
  <c r="J868" i="12"/>
  <c r="H868" i="12"/>
  <c r="G868" i="12"/>
  <c r="N867" i="12"/>
  <c r="K867" i="12"/>
  <c r="J867" i="12"/>
  <c r="H867" i="12"/>
  <c r="G867" i="12"/>
  <c r="N866" i="12"/>
  <c r="K866" i="12"/>
  <c r="J866" i="12"/>
  <c r="H866" i="12"/>
  <c r="G866" i="12"/>
  <c r="N865" i="12"/>
  <c r="K865" i="12"/>
  <c r="J865" i="12"/>
  <c r="H865" i="12"/>
  <c r="G865" i="12"/>
  <c r="N864" i="12"/>
  <c r="K864" i="12"/>
  <c r="J864" i="12"/>
  <c r="H864" i="12"/>
  <c r="G864" i="12"/>
  <c r="N863" i="12"/>
  <c r="K863" i="12"/>
  <c r="J863" i="12"/>
  <c r="H863" i="12"/>
  <c r="G863" i="12"/>
  <c r="N862" i="12"/>
  <c r="K862" i="12"/>
  <c r="J862" i="12"/>
  <c r="H862" i="12"/>
  <c r="G862" i="12"/>
  <c r="N861" i="12"/>
  <c r="K861" i="12"/>
  <c r="J861" i="12"/>
  <c r="H861" i="12"/>
  <c r="G861" i="12"/>
  <c r="N860" i="12"/>
  <c r="K860" i="12"/>
  <c r="J860" i="12"/>
  <c r="H860" i="12"/>
  <c r="G860" i="12"/>
  <c r="N859" i="12"/>
  <c r="K859" i="12"/>
  <c r="J859" i="12"/>
  <c r="H859" i="12"/>
  <c r="G859" i="12"/>
  <c r="N858" i="12"/>
  <c r="K858" i="12"/>
  <c r="J858" i="12"/>
  <c r="H858" i="12"/>
  <c r="G858" i="12"/>
  <c r="N857" i="12"/>
  <c r="K857" i="12"/>
  <c r="J857" i="12"/>
  <c r="H857" i="12"/>
  <c r="G857" i="12"/>
  <c r="N856" i="12"/>
  <c r="K856" i="12"/>
  <c r="J856" i="12"/>
  <c r="H856" i="12"/>
  <c r="G856" i="12"/>
  <c r="N855" i="12"/>
  <c r="K855" i="12"/>
  <c r="J855" i="12"/>
  <c r="H855" i="12"/>
  <c r="G855" i="12"/>
  <c r="N854" i="12"/>
  <c r="K854" i="12"/>
  <c r="J854" i="12"/>
  <c r="H854" i="12"/>
  <c r="G854" i="12"/>
  <c r="N853" i="12"/>
  <c r="K853" i="12"/>
  <c r="J853" i="12"/>
  <c r="H853" i="12"/>
  <c r="G853" i="12"/>
  <c r="N852" i="12"/>
  <c r="K852" i="12"/>
  <c r="J852" i="12"/>
  <c r="H852" i="12"/>
  <c r="G852" i="12"/>
  <c r="N851" i="12"/>
  <c r="K851" i="12"/>
  <c r="J851" i="12"/>
  <c r="H851" i="12"/>
  <c r="G851" i="12"/>
  <c r="N850" i="12"/>
  <c r="K850" i="12"/>
  <c r="J850" i="12"/>
  <c r="H850" i="12"/>
  <c r="G850" i="12"/>
  <c r="N849" i="12"/>
  <c r="K849" i="12"/>
  <c r="J849" i="12"/>
  <c r="H849" i="12"/>
  <c r="G849" i="12"/>
  <c r="N848" i="12"/>
  <c r="K848" i="12"/>
  <c r="J848" i="12"/>
  <c r="H848" i="12"/>
  <c r="G848" i="12"/>
  <c r="N847" i="12"/>
  <c r="K847" i="12"/>
  <c r="J847" i="12"/>
  <c r="H847" i="12"/>
  <c r="G847" i="12"/>
  <c r="N846" i="12"/>
  <c r="K846" i="12"/>
  <c r="J846" i="12"/>
  <c r="H846" i="12"/>
  <c r="G846" i="12"/>
  <c r="N845" i="12"/>
  <c r="K845" i="12"/>
  <c r="J845" i="12"/>
  <c r="H845" i="12"/>
  <c r="G845" i="12"/>
  <c r="N844" i="12"/>
  <c r="K844" i="12"/>
  <c r="J844" i="12"/>
  <c r="H844" i="12"/>
  <c r="G844" i="12"/>
  <c r="N843" i="12"/>
  <c r="K843" i="12"/>
  <c r="J843" i="12"/>
  <c r="H843" i="12"/>
  <c r="G843" i="12"/>
  <c r="N842" i="12"/>
  <c r="K842" i="12"/>
  <c r="J842" i="12"/>
  <c r="H842" i="12"/>
  <c r="G842" i="12"/>
  <c r="N841" i="12"/>
  <c r="K841" i="12"/>
  <c r="J841" i="12"/>
  <c r="H841" i="12"/>
  <c r="G841" i="12"/>
  <c r="N840" i="12"/>
  <c r="K840" i="12"/>
  <c r="J840" i="12"/>
  <c r="H840" i="12"/>
  <c r="G840" i="12"/>
  <c r="N839" i="12"/>
  <c r="K839" i="12"/>
  <c r="J839" i="12"/>
  <c r="H839" i="12"/>
  <c r="G839" i="12"/>
  <c r="N838" i="12"/>
  <c r="K838" i="12"/>
  <c r="J838" i="12"/>
  <c r="H838" i="12"/>
  <c r="G838" i="12"/>
  <c r="N837" i="12"/>
  <c r="K837" i="12"/>
  <c r="J837" i="12"/>
  <c r="H837" i="12"/>
  <c r="G837" i="12"/>
  <c r="N836" i="12"/>
  <c r="K836" i="12"/>
  <c r="J836" i="12"/>
  <c r="H836" i="12"/>
  <c r="G836" i="12"/>
  <c r="N835" i="12"/>
  <c r="K835" i="12"/>
  <c r="J835" i="12"/>
  <c r="H835" i="12"/>
  <c r="G835" i="12"/>
  <c r="N834" i="12"/>
  <c r="K834" i="12"/>
  <c r="J834" i="12"/>
  <c r="H834" i="12"/>
  <c r="G834" i="12"/>
  <c r="N833" i="12"/>
  <c r="K833" i="12"/>
  <c r="J833" i="12"/>
  <c r="H833" i="12"/>
  <c r="G833" i="12"/>
  <c r="N832" i="12"/>
  <c r="K832" i="12"/>
  <c r="J832" i="12"/>
  <c r="H832" i="12"/>
  <c r="G832" i="12"/>
  <c r="N831" i="12"/>
  <c r="K831" i="12"/>
  <c r="J831" i="12"/>
  <c r="H831" i="12"/>
  <c r="G831" i="12"/>
  <c r="N830" i="12"/>
  <c r="K830" i="12"/>
  <c r="J830" i="12"/>
  <c r="H830" i="12"/>
  <c r="G830" i="12"/>
  <c r="N829" i="12"/>
  <c r="K829" i="12"/>
  <c r="J829" i="12"/>
  <c r="H829" i="12"/>
  <c r="G829" i="12"/>
  <c r="N828" i="12"/>
  <c r="K828" i="12"/>
  <c r="J828" i="12"/>
  <c r="H828" i="12"/>
  <c r="G828" i="12"/>
  <c r="N827" i="12"/>
  <c r="K827" i="12"/>
  <c r="J827" i="12"/>
  <c r="H827" i="12"/>
  <c r="G827" i="12"/>
  <c r="N826" i="12"/>
  <c r="K826" i="12"/>
  <c r="J826" i="12"/>
  <c r="H826" i="12"/>
  <c r="G826" i="12"/>
  <c r="N825" i="12"/>
  <c r="K825" i="12"/>
  <c r="J825" i="12"/>
  <c r="H825" i="12"/>
  <c r="G825" i="12"/>
  <c r="N824" i="12"/>
  <c r="K824" i="12"/>
  <c r="J824" i="12"/>
  <c r="H824" i="12"/>
  <c r="G824" i="12"/>
  <c r="N823" i="12"/>
  <c r="K823" i="12"/>
  <c r="J823" i="12"/>
  <c r="H823" i="12"/>
  <c r="G823" i="12"/>
  <c r="N822" i="12"/>
  <c r="K822" i="12"/>
  <c r="J822" i="12"/>
  <c r="H822" i="12"/>
  <c r="G822" i="12"/>
  <c r="N821" i="12"/>
  <c r="K821" i="12"/>
  <c r="J821" i="12"/>
  <c r="H821" i="12"/>
  <c r="G821" i="12"/>
  <c r="N820" i="12"/>
  <c r="K820" i="12"/>
  <c r="J820" i="12"/>
  <c r="H820" i="12"/>
  <c r="G820" i="12"/>
  <c r="N819" i="12"/>
  <c r="K819" i="12"/>
  <c r="J819" i="12"/>
  <c r="H819" i="12"/>
  <c r="G819" i="12"/>
  <c r="N818" i="12"/>
  <c r="K818" i="12"/>
  <c r="J818" i="12"/>
  <c r="H818" i="12"/>
  <c r="G818" i="12"/>
  <c r="N817" i="12"/>
  <c r="K817" i="12"/>
  <c r="J817" i="12"/>
  <c r="H817" i="12"/>
  <c r="G817" i="12"/>
  <c r="N816" i="12"/>
  <c r="K816" i="12"/>
  <c r="J816" i="12"/>
  <c r="H816" i="12"/>
  <c r="G816" i="12"/>
  <c r="N815" i="12"/>
  <c r="K815" i="12"/>
  <c r="J815" i="12"/>
  <c r="H815" i="12"/>
  <c r="G815" i="12"/>
  <c r="N814" i="12"/>
  <c r="K814" i="12"/>
  <c r="J814" i="12"/>
  <c r="H814" i="12"/>
  <c r="G814" i="12"/>
  <c r="N813" i="12"/>
  <c r="K813" i="12"/>
  <c r="J813" i="12"/>
  <c r="H813" i="12"/>
  <c r="G813" i="12"/>
  <c r="N812" i="12"/>
  <c r="K812" i="12"/>
  <c r="J812" i="12"/>
  <c r="H812" i="12"/>
  <c r="G812" i="12"/>
  <c r="N811" i="12"/>
  <c r="K811" i="12"/>
  <c r="J811" i="12"/>
  <c r="H811" i="12"/>
  <c r="G811" i="12"/>
  <c r="N810" i="12"/>
  <c r="K810" i="12"/>
  <c r="J810" i="12"/>
  <c r="H810" i="12"/>
  <c r="G810" i="12"/>
  <c r="N809" i="12"/>
  <c r="K809" i="12"/>
  <c r="J809" i="12"/>
  <c r="H809" i="12"/>
  <c r="G809" i="12"/>
  <c r="N808" i="12"/>
  <c r="K808" i="12"/>
  <c r="J808" i="12"/>
  <c r="H808" i="12"/>
  <c r="G808" i="12"/>
  <c r="N807" i="12"/>
  <c r="K807" i="12"/>
  <c r="J807" i="12"/>
  <c r="H807" i="12"/>
  <c r="G807" i="12"/>
  <c r="N806" i="12"/>
  <c r="K806" i="12"/>
  <c r="J806" i="12"/>
  <c r="H806" i="12"/>
  <c r="G806" i="12"/>
  <c r="N805" i="12"/>
  <c r="K805" i="12"/>
  <c r="J805" i="12"/>
  <c r="H805" i="12"/>
  <c r="G805" i="12"/>
  <c r="N804" i="12"/>
  <c r="K804" i="12"/>
  <c r="J804" i="12"/>
  <c r="H804" i="12"/>
  <c r="G804" i="12"/>
  <c r="N803" i="12"/>
  <c r="K803" i="12"/>
  <c r="J803" i="12"/>
  <c r="H803" i="12"/>
  <c r="G803" i="12"/>
  <c r="N802" i="12"/>
  <c r="K802" i="12"/>
  <c r="J802" i="12"/>
  <c r="H802" i="12"/>
  <c r="G802" i="12"/>
  <c r="N801" i="12"/>
  <c r="K801" i="12"/>
  <c r="J801" i="12"/>
  <c r="H801" i="12"/>
  <c r="G801" i="12"/>
  <c r="N800" i="12"/>
  <c r="K800" i="12"/>
  <c r="J800" i="12"/>
  <c r="H800" i="12"/>
  <c r="G800" i="12"/>
  <c r="N799" i="12"/>
  <c r="K799" i="12"/>
  <c r="J799" i="12"/>
  <c r="H799" i="12"/>
  <c r="G799" i="12"/>
  <c r="N798" i="12"/>
  <c r="K798" i="12"/>
  <c r="J798" i="12"/>
  <c r="H798" i="12"/>
  <c r="G798" i="12"/>
  <c r="N797" i="12"/>
  <c r="K797" i="12"/>
  <c r="J797" i="12"/>
  <c r="H797" i="12"/>
  <c r="G797" i="12"/>
  <c r="N796" i="12"/>
  <c r="K796" i="12"/>
  <c r="J796" i="12"/>
  <c r="H796" i="12"/>
  <c r="G796" i="12"/>
  <c r="N795" i="12"/>
  <c r="K795" i="12"/>
  <c r="J795" i="12"/>
  <c r="H795" i="12"/>
  <c r="G795" i="12"/>
  <c r="N794" i="12"/>
  <c r="K794" i="12"/>
  <c r="J794" i="12"/>
  <c r="H794" i="12"/>
  <c r="G794" i="12"/>
  <c r="N793" i="12"/>
  <c r="K793" i="12"/>
  <c r="J793" i="12"/>
  <c r="H793" i="12"/>
  <c r="G793" i="12"/>
  <c r="N792" i="12"/>
  <c r="K792" i="12"/>
  <c r="J792" i="12"/>
  <c r="H792" i="12"/>
  <c r="G792" i="12"/>
  <c r="N791" i="12"/>
  <c r="K791" i="12"/>
  <c r="J791" i="12"/>
  <c r="H791" i="12"/>
  <c r="G791" i="12"/>
  <c r="N790" i="12"/>
  <c r="K790" i="12"/>
  <c r="J790" i="12"/>
  <c r="H790" i="12"/>
  <c r="G790" i="12"/>
  <c r="N789" i="12"/>
  <c r="K789" i="12"/>
  <c r="J789" i="12"/>
  <c r="H789" i="12"/>
  <c r="G789" i="12"/>
  <c r="N788" i="12"/>
  <c r="K788" i="12"/>
  <c r="J788" i="12"/>
  <c r="H788" i="12"/>
  <c r="G788" i="12"/>
  <c r="N787" i="12"/>
  <c r="K787" i="12"/>
  <c r="J787" i="12"/>
  <c r="H787" i="12"/>
  <c r="G787" i="12"/>
  <c r="N786" i="12"/>
  <c r="K786" i="12"/>
  <c r="J786" i="12"/>
  <c r="H786" i="12"/>
  <c r="G786" i="12"/>
  <c r="N785" i="12"/>
  <c r="K785" i="12"/>
  <c r="J785" i="12"/>
  <c r="H785" i="12"/>
  <c r="G785" i="12"/>
  <c r="N784" i="12"/>
  <c r="K784" i="12"/>
  <c r="J784" i="12"/>
  <c r="H784" i="12"/>
  <c r="G784" i="12"/>
  <c r="N783" i="12"/>
  <c r="K783" i="12"/>
  <c r="J783" i="12"/>
  <c r="H783" i="12"/>
  <c r="G783" i="12"/>
  <c r="N782" i="12"/>
  <c r="K782" i="12"/>
  <c r="J782" i="12"/>
  <c r="H782" i="12"/>
  <c r="G782" i="12"/>
  <c r="N781" i="12"/>
  <c r="K781" i="12"/>
  <c r="J781" i="12"/>
  <c r="H781" i="12"/>
  <c r="G781" i="12"/>
  <c r="N780" i="12"/>
  <c r="K780" i="12"/>
  <c r="J780" i="12"/>
  <c r="H780" i="12"/>
  <c r="G780" i="12"/>
  <c r="N779" i="12"/>
  <c r="K779" i="12"/>
  <c r="J779" i="12"/>
  <c r="H779" i="12"/>
  <c r="G779" i="12"/>
  <c r="N778" i="12"/>
  <c r="K778" i="12"/>
  <c r="J778" i="12"/>
  <c r="H778" i="12"/>
  <c r="G778" i="12"/>
  <c r="N777" i="12"/>
  <c r="K777" i="12"/>
  <c r="J777" i="12"/>
  <c r="H777" i="12"/>
  <c r="G777" i="12"/>
  <c r="N776" i="12"/>
  <c r="K776" i="12"/>
  <c r="J776" i="12"/>
  <c r="H776" i="12"/>
  <c r="G776" i="12"/>
  <c r="N775" i="12"/>
  <c r="K775" i="12"/>
  <c r="J775" i="12"/>
  <c r="H775" i="12"/>
  <c r="G775" i="12"/>
  <c r="N774" i="12"/>
  <c r="K774" i="12"/>
  <c r="J774" i="12"/>
  <c r="H774" i="12"/>
  <c r="G774" i="12"/>
  <c r="N773" i="12"/>
  <c r="K773" i="12"/>
  <c r="J773" i="12"/>
  <c r="H773" i="12"/>
  <c r="G773" i="12"/>
  <c r="N772" i="12"/>
  <c r="K772" i="12"/>
  <c r="J772" i="12"/>
  <c r="H772" i="12"/>
  <c r="G772" i="12"/>
  <c r="N771" i="12"/>
  <c r="K771" i="12"/>
  <c r="J771" i="12"/>
  <c r="H771" i="12"/>
  <c r="G771" i="12"/>
  <c r="N770" i="12"/>
  <c r="K770" i="12"/>
  <c r="J770" i="12"/>
  <c r="H770" i="12"/>
  <c r="G770" i="12"/>
  <c r="N769" i="12"/>
  <c r="K769" i="12"/>
  <c r="J769" i="12"/>
  <c r="H769" i="12"/>
  <c r="G769" i="12"/>
  <c r="N768" i="12"/>
  <c r="K768" i="12"/>
  <c r="J768" i="12"/>
  <c r="H768" i="12"/>
  <c r="G768" i="12"/>
  <c r="N767" i="12"/>
  <c r="K767" i="12"/>
  <c r="J767" i="12"/>
  <c r="H767" i="12"/>
  <c r="G767" i="12"/>
  <c r="N766" i="12"/>
  <c r="K766" i="12"/>
  <c r="J766" i="12"/>
  <c r="H766" i="12"/>
  <c r="G766" i="12"/>
  <c r="N765" i="12"/>
  <c r="K765" i="12"/>
  <c r="J765" i="12"/>
  <c r="H765" i="12"/>
  <c r="G765" i="12"/>
  <c r="N764" i="12"/>
  <c r="K764" i="12"/>
  <c r="J764" i="12"/>
  <c r="H764" i="12"/>
  <c r="G764" i="12"/>
  <c r="N763" i="12"/>
  <c r="K763" i="12"/>
  <c r="J763" i="12"/>
  <c r="H763" i="12"/>
  <c r="G763" i="12"/>
  <c r="N762" i="12"/>
  <c r="K762" i="12"/>
  <c r="J762" i="12"/>
  <c r="H762" i="12"/>
  <c r="G762" i="12"/>
  <c r="N761" i="12"/>
  <c r="K761" i="12"/>
  <c r="J761" i="12"/>
  <c r="H761" i="12"/>
  <c r="G761" i="12"/>
  <c r="N760" i="12"/>
  <c r="K760" i="12"/>
  <c r="J760" i="12"/>
  <c r="H760" i="12"/>
  <c r="G760" i="12"/>
  <c r="N759" i="12"/>
  <c r="K759" i="12"/>
  <c r="J759" i="12"/>
  <c r="H759" i="12"/>
  <c r="G759" i="12"/>
  <c r="N758" i="12"/>
  <c r="K758" i="12"/>
  <c r="J758" i="12"/>
  <c r="H758" i="12"/>
  <c r="G758" i="12"/>
  <c r="N757" i="12"/>
  <c r="K757" i="12"/>
  <c r="J757" i="12"/>
  <c r="H757" i="12"/>
  <c r="G757" i="12"/>
  <c r="N756" i="12"/>
  <c r="K756" i="12"/>
  <c r="J756" i="12"/>
  <c r="H756" i="12"/>
  <c r="G756" i="12"/>
  <c r="N755" i="12"/>
  <c r="K755" i="12"/>
  <c r="J755" i="12"/>
  <c r="H755" i="12"/>
  <c r="G755" i="12"/>
  <c r="N754" i="12"/>
  <c r="K754" i="12"/>
  <c r="J754" i="12"/>
  <c r="H754" i="12"/>
  <c r="G754" i="12"/>
  <c r="N753" i="12"/>
  <c r="K753" i="12"/>
  <c r="J753" i="12"/>
  <c r="H753" i="12"/>
  <c r="G753" i="12"/>
  <c r="N752" i="12"/>
  <c r="K752" i="12"/>
  <c r="J752" i="12"/>
  <c r="H752" i="12"/>
  <c r="G752" i="12"/>
  <c r="N751" i="12"/>
  <c r="K751" i="12"/>
  <c r="J751" i="12"/>
  <c r="H751" i="12"/>
  <c r="G751" i="12"/>
  <c r="N750" i="12"/>
  <c r="K750" i="12"/>
  <c r="J750" i="12"/>
  <c r="H750" i="12"/>
  <c r="G750" i="12"/>
  <c r="N749" i="12"/>
  <c r="K749" i="12"/>
  <c r="J749" i="12"/>
  <c r="H749" i="12"/>
  <c r="G749" i="12"/>
  <c r="N748" i="12"/>
  <c r="K748" i="12"/>
  <c r="J748" i="12"/>
  <c r="H748" i="12"/>
  <c r="G748" i="12"/>
  <c r="N747" i="12"/>
  <c r="K747" i="12"/>
  <c r="J747" i="12"/>
  <c r="H747" i="12"/>
  <c r="G747" i="12"/>
  <c r="N746" i="12"/>
  <c r="K746" i="12"/>
  <c r="J746" i="12"/>
  <c r="H746" i="12"/>
  <c r="G746" i="12"/>
  <c r="N745" i="12"/>
  <c r="K745" i="12"/>
  <c r="J745" i="12"/>
  <c r="H745" i="12"/>
  <c r="G745" i="12"/>
  <c r="N744" i="12"/>
  <c r="K744" i="12"/>
  <c r="J744" i="12"/>
  <c r="H744" i="12"/>
  <c r="G744" i="12"/>
  <c r="N743" i="12"/>
  <c r="K743" i="12"/>
  <c r="J743" i="12"/>
  <c r="H743" i="12"/>
  <c r="G743" i="12"/>
  <c r="N742" i="12"/>
  <c r="K742" i="12"/>
  <c r="J742" i="12"/>
  <c r="H742" i="12"/>
  <c r="G742" i="12"/>
  <c r="N741" i="12"/>
  <c r="K741" i="12"/>
  <c r="J741" i="12"/>
  <c r="H741" i="12"/>
  <c r="G741" i="12"/>
  <c r="N740" i="12"/>
  <c r="K740" i="12"/>
  <c r="J740" i="12"/>
  <c r="H740" i="12"/>
  <c r="G740" i="12"/>
  <c r="N739" i="12"/>
  <c r="K739" i="12"/>
  <c r="J739" i="12"/>
  <c r="H739" i="12"/>
  <c r="G739" i="12"/>
  <c r="N738" i="12"/>
  <c r="K738" i="12"/>
  <c r="J738" i="12"/>
  <c r="H738" i="12"/>
  <c r="G738" i="12"/>
  <c r="N737" i="12"/>
  <c r="K737" i="12"/>
  <c r="J737" i="12"/>
  <c r="H737" i="12"/>
  <c r="G737" i="12"/>
  <c r="N736" i="12"/>
  <c r="K736" i="12"/>
  <c r="J736" i="12"/>
  <c r="H736" i="12"/>
  <c r="G736" i="12"/>
  <c r="N735" i="12"/>
  <c r="K735" i="12"/>
  <c r="J735" i="12"/>
  <c r="H735" i="12"/>
  <c r="G735" i="12"/>
  <c r="N734" i="12"/>
  <c r="K734" i="12"/>
  <c r="J734" i="12"/>
  <c r="H734" i="12"/>
  <c r="G734" i="12"/>
  <c r="N733" i="12"/>
  <c r="K733" i="12"/>
  <c r="J733" i="12"/>
  <c r="H733" i="12"/>
  <c r="G733" i="12"/>
  <c r="N732" i="12"/>
  <c r="K732" i="12"/>
  <c r="J732" i="12"/>
  <c r="H732" i="12"/>
  <c r="G732" i="12"/>
  <c r="N731" i="12"/>
  <c r="K731" i="12"/>
  <c r="J731" i="12"/>
  <c r="H731" i="12"/>
  <c r="G731" i="12"/>
  <c r="N730" i="12"/>
  <c r="K730" i="12"/>
  <c r="J730" i="12"/>
  <c r="H730" i="12"/>
  <c r="G730" i="12"/>
  <c r="N729" i="12"/>
  <c r="K729" i="12"/>
  <c r="J729" i="12"/>
  <c r="H729" i="12"/>
  <c r="G729" i="12"/>
  <c r="N728" i="12"/>
  <c r="K728" i="12"/>
  <c r="J728" i="12"/>
  <c r="H728" i="12"/>
  <c r="G728" i="12"/>
  <c r="N727" i="12"/>
  <c r="K727" i="12"/>
  <c r="J727" i="12"/>
  <c r="H727" i="12"/>
  <c r="G727" i="12"/>
  <c r="N726" i="12"/>
  <c r="K726" i="12"/>
  <c r="J726" i="12"/>
  <c r="H726" i="12"/>
  <c r="G726" i="12"/>
  <c r="N725" i="12"/>
  <c r="K725" i="12"/>
  <c r="J725" i="12"/>
  <c r="H725" i="12"/>
  <c r="G725" i="12"/>
  <c r="N724" i="12"/>
  <c r="K724" i="12"/>
  <c r="J724" i="12"/>
  <c r="H724" i="12"/>
  <c r="G724" i="12"/>
  <c r="N723" i="12"/>
  <c r="K723" i="12"/>
  <c r="J723" i="12"/>
  <c r="H723" i="12"/>
  <c r="G723" i="12"/>
  <c r="N722" i="12"/>
  <c r="K722" i="12"/>
  <c r="J722" i="12"/>
  <c r="H722" i="12"/>
  <c r="G722" i="12"/>
  <c r="N721" i="12"/>
  <c r="K721" i="12"/>
  <c r="J721" i="12"/>
  <c r="H721" i="12"/>
  <c r="G721" i="12"/>
  <c r="N720" i="12"/>
  <c r="K720" i="12"/>
  <c r="J720" i="12"/>
  <c r="H720" i="12"/>
  <c r="G720" i="12"/>
  <c r="N719" i="12"/>
  <c r="K719" i="12"/>
  <c r="J719" i="12"/>
  <c r="H719" i="12"/>
  <c r="G719" i="12"/>
  <c r="N718" i="12"/>
  <c r="K718" i="12"/>
  <c r="J718" i="12"/>
  <c r="H718" i="12"/>
  <c r="G718" i="12"/>
  <c r="N717" i="12"/>
  <c r="K717" i="12"/>
  <c r="J717" i="12"/>
  <c r="H717" i="12"/>
  <c r="G717" i="12"/>
  <c r="N716" i="12"/>
  <c r="K716" i="12"/>
  <c r="J716" i="12"/>
  <c r="H716" i="12"/>
  <c r="G716" i="12"/>
  <c r="N715" i="12"/>
  <c r="K715" i="12"/>
  <c r="J715" i="12"/>
  <c r="H715" i="12"/>
  <c r="G715" i="12"/>
  <c r="N714" i="12"/>
  <c r="K714" i="12"/>
  <c r="J714" i="12"/>
  <c r="H714" i="12"/>
  <c r="G714" i="12"/>
  <c r="N713" i="12"/>
  <c r="K713" i="12"/>
  <c r="J713" i="12"/>
  <c r="H713" i="12"/>
  <c r="G713" i="12"/>
  <c r="N712" i="12"/>
  <c r="K712" i="12"/>
  <c r="J712" i="12"/>
  <c r="H712" i="12"/>
  <c r="G712" i="12"/>
  <c r="N711" i="12"/>
  <c r="K711" i="12"/>
  <c r="J711" i="12"/>
  <c r="H711" i="12"/>
  <c r="G711" i="12"/>
  <c r="N710" i="12"/>
  <c r="K710" i="12"/>
  <c r="J710" i="12"/>
  <c r="H710" i="12"/>
  <c r="G710" i="12"/>
  <c r="N709" i="12"/>
  <c r="K709" i="12"/>
  <c r="J709" i="12"/>
  <c r="H709" i="12"/>
  <c r="G709" i="12"/>
  <c r="N708" i="12"/>
  <c r="K708" i="12"/>
  <c r="J708" i="12"/>
  <c r="H708" i="12"/>
  <c r="G708" i="12"/>
  <c r="N707" i="12"/>
  <c r="K707" i="12"/>
  <c r="J707" i="12"/>
  <c r="H707" i="12"/>
  <c r="G707" i="12"/>
  <c r="N706" i="12"/>
  <c r="K706" i="12"/>
  <c r="J706" i="12"/>
  <c r="H706" i="12"/>
  <c r="G706" i="12"/>
  <c r="N705" i="12"/>
  <c r="K705" i="12"/>
  <c r="J705" i="12"/>
  <c r="H705" i="12"/>
  <c r="G705" i="12"/>
  <c r="N704" i="12"/>
  <c r="K704" i="12"/>
  <c r="J704" i="12"/>
  <c r="H704" i="12"/>
  <c r="G704" i="12"/>
  <c r="N703" i="12"/>
  <c r="K703" i="12"/>
  <c r="J703" i="12"/>
  <c r="H703" i="12"/>
  <c r="G703" i="12"/>
  <c r="N702" i="12"/>
  <c r="K702" i="12"/>
  <c r="J702" i="12"/>
  <c r="H702" i="12"/>
  <c r="G702" i="12"/>
  <c r="N701" i="12"/>
  <c r="K701" i="12"/>
  <c r="J701" i="12"/>
  <c r="H701" i="12"/>
  <c r="G701" i="12"/>
  <c r="N700" i="12"/>
  <c r="K700" i="12"/>
  <c r="J700" i="12"/>
  <c r="H700" i="12"/>
  <c r="G700" i="12"/>
  <c r="N699" i="12"/>
  <c r="K699" i="12"/>
  <c r="J699" i="12"/>
  <c r="H699" i="12"/>
  <c r="G699" i="12"/>
  <c r="N698" i="12"/>
  <c r="K698" i="12"/>
  <c r="J698" i="12"/>
  <c r="H698" i="12"/>
  <c r="G698" i="12"/>
  <c r="N697" i="12"/>
  <c r="K697" i="12"/>
  <c r="J697" i="12"/>
  <c r="H697" i="12"/>
  <c r="G697" i="12"/>
  <c r="N696" i="12"/>
  <c r="K696" i="12"/>
  <c r="J696" i="12"/>
  <c r="H696" i="12"/>
  <c r="G696" i="12"/>
  <c r="N695" i="12"/>
  <c r="K695" i="12"/>
  <c r="J695" i="12"/>
  <c r="H695" i="12"/>
  <c r="G695" i="12"/>
  <c r="N694" i="12"/>
  <c r="K694" i="12"/>
  <c r="J694" i="12"/>
  <c r="H694" i="12"/>
  <c r="G694" i="12"/>
  <c r="N693" i="12"/>
  <c r="K693" i="12"/>
  <c r="J693" i="12"/>
  <c r="H693" i="12"/>
  <c r="G693" i="12"/>
  <c r="N692" i="12"/>
  <c r="K692" i="12"/>
  <c r="J692" i="12"/>
  <c r="H692" i="12"/>
  <c r="G692" i="12"/>
  <c r="N691" i="12"/>
  <c r="K691" i="12"/>
  <c r="J691" i="12"/>
  <c r="H691" i="12"/>
  <c r="G691" i="12"/>
  <c r="N690" i="12"/>
  <c r="K690" i="12"/>
  <c r="J690" i="12"/>
  <c r="H690" i="12"/>
  <c r="G690" i="12"/>
  <c r="N689" i="12"/>
  <c r="K689" i="12"/>
  <c r="J689" i="12"/>
  <c r="H689" i="12"/>
  <c r="G689" i="12"/>
  <c r="N688" i="12"/>
  <c r="K688" i="12"/>
  <c r="J688" i="12"/>
  <c r="H688" i="12"/>
  <c r="G688" i="12"/>
  <c r="N687" i="12"/>
  <c r="K687" i="12"/>
  <c r="J687" i="12"/>
  <c r="H687" i="12"/>
  <c r="G687" i="12"/>
  <c r="N686" i="12"/>
  <c r="K686" i="12"/>
  <c r="J686" i="12"/>
  <c r="H686" i="12"/>
  <c r="G686" i="12"/>
  <c r="N685" i="12"/>
  <c r="K685" i="12"/>
  <c r="J685" i="12"/>
  <c r="H685" i="12"/>
  <c r="G685" i="12"/>
  <c r="N684" i="12"/>
  <c r="K684" i="12"/>
  <c r="J684" i="12"/>
  <c r="H684" i="12"/>
  <c r="G684" i="12"/>
  <c r="N683" i="12"/>
  <c r="K683" i="12"/>
  <c r="J683" i="12"/>
  <c r="H683" i="12"/>
  <c r="G683" i="12"/>
  <c r="N682" i="12"/>
  <c r="K682" i="12"/>
  <c r="J682" i="12"/>
  <c r="H682" i="12"/>
  <c r="G682" i="12"/>
  <c r="N681" i="12"/>
  <c r="K681" i="12"/>
  <c r="J681" i="12"/>
  <c r="H681" i="12"/>
  <c r="G681" i="12"/>
  <c r="N680" i="12"/>
  <c r="K680" i="12"/>
  <c r="J680" i="12"/>
  <c r="H680" i="12"/>
  <c r="G680" i="12"/>
  <c r="N679" i="12"/>
  <c r="K679" i="12"/>
  <c r="J679" i="12"/>
  <c r="H679" i="12"/>
  <c r="G679" i="12"/>
  <c r="N678" i="12"/>
  <c r="K678" i="12"/>
  <c r="J678" i="12"/>
  <c r="H678" i="12"/>
  <c r="G678" i="12"/>
  <c r="N677" i="12"/>
  <c r="K677" i="12"/>
  <c r="J677" i="12"/>
  <c r="H677" i="12"/>
  <c r="G677" i="12"/>
  <c r="N676" i="12"/>
  <c r="K676" i="12"/>
  <c r="J676" i="12"/>
  <c r="H676" i="12"/>
  <c r="G676" i="12"/>
  <c r="N675" i="12"/>
  <c r="K675" i="12"/>
  <c r="J675" i="12"/>
  <c r="H675" i="12"/>
  <c r="G675" i="12"/>
  <c r="N674" i="12"/>
  <c r="K674" i="12"/>
  <c r="J674" i="12"/>
  <c r="H674" i="12"/>
  <c r="G674" i="12"/>
  <c r="N673" i="12"/>
  <c r="K673" i="12"/>
  <c r="J673" i="12"/>
  <c r="H673" i="12"/>
  <c r="G673" i="12"/>
  <c r="N672" i="12"/>
  <c r="K672" i="12"/>
  <c r="J672" i="12"/>
  <c r="H672" i="12"/>
  <c r="G672" i="12"/>
  <c r="N671" i="12"/>
  <c r="K671" i="12"/>
  <c r="J671" i="12"/>
  <c r="H671" i="12"/>
  <c r="G671" i="12"/>
  <c r="N670" i="12"/>
  <c r="K670" i="12"/>
  <c r="J670" i="12"/>
  <c r="H670" i="12"/>
  <c r="G670" i="12"/>
  <c r="N669" i="12"/>
  <c r="K669" i="12"/>
  <c r="J669" i="12"/>
  <c r="H669" i="12"/>
  <c r="G669" i="12"/>
  <c r="N668" i="12"/>
  <c r="K668" i="12"/>
  <c r="J668" i="12"/>
  <c r="H668" i="12"/>
  <c r="G668" i="12"/>
  <c r="N667" i="12"/>
  <c r="K667" i="12"/>
  <c r="J667" i="12"/>
  <c r="H667" i="12"/>
  <c r="G667" i="12"/>
  <c r="N666" i="12"/>
  <c r="K666" i="12"/>
  <c r="J666" i="12"/>
  <c r="H666" i="12"/>
  <c r="G666" i="12"/>
  <c r="N665" i="12"/>
  <c r="K665" i="12"/>
  <c r="J665" i="12"/>
  <c r="H665" i="12"/>
  <c r="G665" i="12"/>
  <c r="N664" i="12"/>
  <c r="K664" i="12"/>
  <c r="J664" i="12"/>
  <c r="H664" i="12"/>
  <c r="G664" i="12"/>
  <c r="N663" i="12"/>
  <c r="K663" i="12"/>
  <c r="J663" i="12"/>
  <c r="H663" i="12"/>
  <c r="G663" i="12"/>
  <c r="N662" i="12"/>
  <c r="K662" i="12"/>
  <c r="J662" i="12"/>
  <c r="H662" i="12"/>
  <c r="G662" i="12"/>
  <c r="N661" i="12"/>
  <c r="K661" i="12"/>
  <c r="J661" i="12"/>
  <c r="H661" i="12"/>
  <c r="G661" i="12"/>
  <c r="N660" i="12"/>
  <c r="K660" i="12"/>
  <c r="J660" i="12"/>
  <c r="H660" i="12"/>
  <c r="G660" i="12"/>
  <c r="N659" i="12"/>
  <c r="K659" i="12"/>
  <c r="J659" i="12"/>
  <c r="H659" i="12"/>
  <c r="G659" i="12"/>
  <c r="N658" i="12"/>
  <c r="K658" i="12"/>
  <c r="J658" i="12"/>
  <c r="H658" i="12"/>
  <c r="G658" i="12"/>
  <c r="N657" i="12"/>
  <c r="K657" i="12"/>
  <c r="J657" i="12"/>
  <c r="H657" i="12"/>
  <c r="G657" i="12"/>
  <c r="N656" i="12"/>
  <c r="K656" i="12"/>
  <c r="J656" i="12"/>
  <c r="H656" i="12"/>
  <c r="G656" i="12"/>
  <c r="N655" i="12"/>
  <c r="K655" i="12"/>
  <c r="J655" i="12"/>
  <c r="H655" i="12"/>
  <c r="G655" i="12"/>
  <c r="N654" i="12"/>
  <c r="K654" i="12"/>
  <c r="J654" i="12"/>
  <c r="H654" i="12"/>
  <c r="G654" i="12"/>
  <c r="N653" i="12"/>
  <c r="K653" i="12"/>
  <c r="J653" i="12"/>
  <c r="H653" i="12"/>
  <c r="G653" i="12"/>
  <c r="N652" i="12"/>
  <c r="K652" i="12"/>
  <c r="J652" i="12"/>
  <c r="H652" i="12"/>
  <c r="G652" i="12"/>
  <c r="N651" i="12"/>
  <c r="K651" i="12"/>
  <c r="J651" i="12"/>
  <c r="H651" i="12"/>
  <c r="G651" i="12"/>
  <c r="N650" i="12"/>
  <c r="K650" i="12"/>
  <c r="J650" i="12"/>
  <c r="H650" i="12"/>
  <c r="G650" i="12"/>
  <c r="N649" i="12"/>
  <c r="K649" i="12"/>
  <c r="J649" i="12"/>
  <c r="H649" i="12"/>
  <c r="G649" i="12"/>
  <c r="N648" i="12"/>
  <c r="K648" i="12"/>
  <c r="J648" i="12"/>
  <c r="H648" i="12"/>
  <c r="G648" i="12"/>
  <c r="N647" i="12"/>
  <c r="K647" i="12"/>
  <c r="J647" i="12"/>
  <c r="H647" i="12"/>
  <c r="G647" i="12"/>
  <c r="N646" i="12"/>
  <c r="K646" i="12"/>
  <c r="J646" i="12"/>
  <c r="H646" i="12"/>
  <c r="G646" i="12"/>
  <c r="N645" i="12"/>
  <c r="K645" i="12"/>
  <c r="J645" i="12"/>
  <c r="H645" i="12"/>
  <c r="G645" i="12"/>
  <c r="N644" i="12"/>
  <c r="K644" i="12"/>
  <c r="J644" i="12"/>
  <c r="H644" i="12"/>
  <c r="G644" i="12"/>
  <c r="N643" i="12"/>
  <c r="K643" i="12"/>
  <c r="J643" i="12"/>
  <c r="H643" i="12"/>
  <c r="G643" i="12"/>
  <c r="N642" i="12"/>
  <c r="K642" i="12"/>
  <c r="J642" i="12"/>
  <c r="H642" i="12"/>
  <c r="G642" i="12"/>
  <c r="N641" i="12"/>
  <c r="K641" i="12"/>
  <c r="J641" i="12"/>
  <c r="H641" i="12"/>
  <c r="G641" i="12"/>
  <c r="N640" i="12"/>
  <c r="K640" i="12"/>
  <c r="J640" i="12"/>
  <c r="H640" i="12"/>
  <c r="G640" i="12"/>
  <c r="N639" i="12"/>
  <c r="K639" i="12"/>
  <c r="J639" i="12"/>
  <c r="H639" i="12"/>
  <c r="G639" i="12"/>
  <c r="N638" i="12"/>
  <c r="K638" i="12"/>
  <c r="J638" i="12"/>
  <c r="H638" i="12"/>
  <c r="G638" i="12"/>
  <c r="N637" i="12"/>
  <c r="K637" i="12"/>
  <c r="J637" i="12"/>
  <c r="H637" i="12"/>
  <c r="G637" i="12"/>
  <c r="N636" i="12"/>
  <c r="K636" i="12"/>
  <c r="J636" i="12"/>
  <c r="H636" i="12"/>
  <c r="G636" i="12"/>
  <c r="N635" i="12"/>
  <c r="K635" i="12"/>
  <c r="J635" i="12"/>
  <c r="H635" i="12"/>
  <c r="G635" i="12"/>
  <c r="N634" i="12"/>
  <c r="K634" i="12"/>
  <c r="J634" i="12"/>
  <c r="H634" i="12"/>
  <c r="G634" i="12"/>
  <c r="N633" i="12"/>
  <c r="K633" i="12"/>
  <c r="J633" i="12"/>
  <c r="H633" i="12"/>
  <c r="G633" i="12"/>
  <c r="N632" i="12"/>
  <c r="K632" i="12"/>
  <c r="J632" i="12"/>
  <c r="H632" i="12"/>
  <c r="G632" i="12"/>
  <c r="N631" i="12"/>
  <c r="K631" i="12"/>
  <c r="J631" i="12"/>
  <c r="H631" i="12"/>
  <c r="G631" i="12"/>
  <c r="N630" i="12"/>
  <c r="K630" i="12"/>
  <c r="J630" i="12"/>
  <c r="H630" i="12"/>
  <c r="G630" i="12"/>
  <c r="N629" i="12"/>
  <c r="K629" i="12"/>
  <c r="J629" i="12"/>
  <c r="H629" i="12"/>
  <c r="G629" i="12"/>
  <c r="N628" i="12"/>
  <c r="K628" i="12"/>
  <c r="J628" i="12"/>
  <c r="H628" i="12"/>
  <c r="G628" i="12"/>
  <c r="N627" i="12"/>
  <c r="K627" i="12"/>
  <c r="J627" i="12"/>
  <c r="H627" i="12"/>
  <c r="G627" i="12"/>
  <c r="N626" i="12"/>
  <c r="K626" i="12"/>
  <c r="J626" i="12"/>
  <c r="H626" i="12"/>
  <c r="G626" i="12"/>
  <c r="N625" i="12"/>
  <c r="K625" i="12"/>
  <c r="J625" i="12"/>
  <c r="H625" i="12"/>
  <c r="G625" i="12"/>
  <c r="N624" i="12"/>
  <c r="K624" i="12"/>
  <c r="J624" i="12"/>
  <c r="H624" i="12"/>
  <c r="G624" i="12"/>
  <c r="N623" i="12"/>
  <c r="K623" i="12"/>
  <c r="J623" i="12"/>
  <c r="H623" i="12"/>
  <c r="G623" i="12"/>
  <c r="N622" i="12"/>
  <c r="K622" i="12"/>
  <c r="J622" i="12"/>
  <c r="H622" i="12"/>
  <c r="G622" i="12"/>
  <c r="N621" i="12"/>
  <c r="K621" i="12"/>
  <c r="J621" i="12"/>
  <c r="H621" i="12"/>
  <c r="G621" i="12"/>
  <c r="N620" i="12"/>
  <c r="K620" i="12"/>
  <c r="J620" i="12"/>
  <c r="H620" i="12"/>
  <c r="G620" i="12"/>
  <c r="N619" i="12"/>
  <c r="K619" i="12"/>
  <c r="J619" i="12"/>
  <c r="H619" i="12"/>
  <c r="G619" i="12"/>
  <c r="N618" i="12"/>
  <c r="K618" i="12"/>
  <c r="J618" i="12"/>
  <c r="H618" i="12"/>
  <c r="G618" i="12"/>
  <c r="N617" i="12"/>
  <c r="K617" i="12"/>
  <c r="J617" i="12"/>
  <c r="H617" i="12"/>
  <c r="G617" i="12"/>
  <c r="N616" i="12"/>
  <c r="K616" i="12"/>
  <c r="J616" i="12"/>
  <c r="H616" i="12"/>
  <c r="G616" i="12"/>
  <c r="N615" i="12"/>
  <c r="K615" i="12"/>
  <c r="J615" i="12"/>
  <c r="H615" i="12"/>
  <c r="G615" i="12"/>
  <c r="N614" i="12"/>
  <c r="K614" i="12"/>
  <c r="J614" i="12"/>
  <c r="H614" i="12"/>
  <c r="G614" i="12"/>
  <c r="N613" i="12"/>
  <c r="K613" i="12"/>
  <c r="J613" i="12"/>
  <c r="H613" i="12"/>
  <c r="G613" i="12"/>
  <c r="N612" i="12"/>
  <c r="K612" i="12"/>
  <c r="J612" i="12"/>
  <c r="H612" i="12"/>
  <c r="G612" i="12"/>
  <c r="N611" i="12"/>
  <c r="K611" i="12"/>
  <c r="J611" i="12"/>
  <c r="H611" i="12"/>
  <c r="G611" i="12"/>
  <c r="N610" i="12"/>
  <c r="K610" i="12"/>
  <c r="J610" i="12"/>
  <c r="H610" i="12"/>
  <c r="G610" i="12"/>
  <c r="N609" i="12"/>
  <c r="K609" i="12"/>
  <c r="J609" i="12"/>
  <c r="H609" i="12"/>
  <c r="G609" i="12"/>
  <c r="N608" i="12"/>
  <c r="K608" i="12"/>
  <c r="J608" i="12"/>
  <c r="H608" i="12"/>
  <c r="G608" i="12"/>
  <c r="N607" i="12"/>
  <c r="K607" i="12"/>
  <c r="J607" i="12"/>
  <c r="H607" i="12"/>
  <c r="G607" i="12"/>
  <c r="N606" i="12"/>
  <c r="K606" i="12"/>
  <c r="J606" i="12"/>
  <c r="H606" i="12"/>
  <c r="G606" i="12"/>
  <c r="N605" i="12"/>
  <c r="K605" i="12"/>
  <c r="J605" i="12"/>
  <c r="H605" i="12"/>
  <c r="G605" i="12"/>
  <c r="N604" i="12"/>
  <c r="K604" i="12"/>
  <c r="J604" i="12"/>
  <c r="H604" i="12"/>
  <c r="G604" i="12"/>
  <c r="N603" i="12"/>
  <c r="K603" i="12"/>
  <c r="J603" i="12"/>
  <c r="H603" i="12"/>
  <c r="G603" i="12"/>
  <c r="N602" i="12"/>
  <c r="K602" i="12"/>
  <c r="J602" i="12"/>
  <c r="H602" i="12"/>
  <c r="G602" i="12"/>
  <c r="N601" i="12"/>
  <c r="K601" i="12"/>
  <c r="J601" i="12"/>
  <c r="H601" i="12"/>
  <c r="G601" i="12"/>
  <c r="N600" i="12"/>
  <c r="K600" i="12"/>
  <c r="J600" i="12"/>
  <c r="H600" i="12"/>
  <c r="G600" i="12"/>
  <c r="N599" i="12"/>
  <c r="K599" i="12"/>
  <c r="J599" i="12"/>
  <c r="H599" i="12"/>
  <c r="G599" i="12"/>
  <c r="N598" i="12"/>
  <c r="K598" i="12"/>
  <c r="J598" i="12"/>
  <c r="H598" i="12"/>
  <c r="G598" i="12"/>
  <c r="N597" i="12"/>
  <c r="K597" i="12"/>
  <c r="J597" i="12"/>
  <c r="H597" i="12"/>
  <c r="G597" i="12"/>
  <c r="N596" i="12"/>
  <c r="K596" i="12"/>
  <c r="J596" i="12"/>
  <c r="H596" i="12"/>
  <c r="G596" i="12"/>
  <c r="N595" i="12"/>
  <c r="K595" i="12"/>
  <c r="J595" i="12"/>
  <c r="H595" i="12"/>
  <c r="G595" i="12"/>
  <c r="N594" i="12"/>
  <c r="K594" i="12"/>
  <c r="J594" i="12"/>
  <c r="H594" i="12"/>
  <c r="G594" i="12"/>
  <c r="N593" i="12"/>
  <c r="K593" i="12"/>
  <c r="J593" i="12"/>
  <c r="H593" i="12"/>
  <c r="G593" i="12"/>
  <c r="N592" i="12"/>
  <c r="K592" i="12"/>
  <c r="J592" i="12"/>
  <c r="H592" i="12"/>
  <c r="G592" i="12"/>
  <c r="N591" i="12"/>
  <c r="K591" i="12"/>
  <c r="J591" i="12"/>
  <c r="H591" i="12"/>
  <c r="G591" i="12"/>
  <c r="N590" i="12"/>
  <c r="K590" i="12"/>
  <c r="J590" i="12"/>
  <c r="H590" i="12"/>
  <c r="G590" i="12"/>
  <c r="N589" i="12"/>
  <c r="K589" i="12"/>
  <c r="J589" i="12"/>
  <c r="H589" i="12"/>
  <c r="G589" i="12"/>
  <c r="N588" i="12"/>
  <c r="K588" i="12"/>
  <c r="J588" i="12"/>
  <c r="H588" i="12"/>
  <c r="G588" i="12"/>
  <c r="N587" i="12"/>
  <c r="K587" i="12"/>
  <c r="J587" i="12"/>
  <c r="H587" i="12"/>
  <c r="G587" i="12"/>
  <c r="N586" i="12"/>
  <c r="K586" i="12"/>
  <c r="J586" i="12"/>
  <c r="H586" i="12"/>
  <c r="G586" i="12"/>
  <c r="N585" i="12"/>
  <c r="K585" i="12"/>
  <c r="J585" i="12"/>
  <c r="H585" i="12"/>
  <c r="G585" i="12"/>
  <c r="N584" i="12"/>
  <c r="K584" i="12"/>
  <c r="J584" i="12"/>
  <c r="H584" i="12"/>
  <c r="G584" i="12"/>
  <c r="N583" i="12"/>
  <c r="K583" i="12"/>
  <c r="J583" i="12"/>
  <c r="H583" i="12"/>
  <c r="G583" i="12"/>
  <c r="N582" i="12"/>
  <c r="K582" i="12"/>
  <c r="J582" i="12"/>
  <c r="H582" i="12"/>
  <c r="G582" i="12"/>
  <c r="N581" i="12"/>
  <c r="K581" i="12"/>
  <c r="J581" i="12"/>
  <c r="H581" i="12"/>
  <c r="G581" i="12"/>
  <c r="N580" i="12"/>
  <c r="K580" i="12"/>
  <c r="J580" i="12"/>
  <c r="H580" i="12"/>
  <c r="G580" i="12"/>
  <c r="N579" i="12"/>
  <c r="K579" i="12"/>
  <c r="J579" i="12"/>
  <c r="H579" i="12"/>
  <c r="G579" i="12"/>
  <c r="N578" i="12"/>
  <c r="K578" i="12"/>
  <c r="J578" i="12"/>
  <c r="H578" i="12"/>
  <c r="G578" i="12"/>
  <c r="N577" i="12"/>
  <c r="K577" i="12"/>
  <c r="J577" i="12"/>
  <c r="H577" i="12"/>
  <c r="G577" i="12"/>
  <c r="N576" i="12"/>
  <c r="K576" i="12"/>
  <c r="J576" i="12"/>
  <c r="H576" i="12"/>
  <c r="G576" i="12"/>
  <c r="N575" i="12"/>
  <c r="K575" i="12"/>
  <c r="J575" i="12"/>
  <c r="H575" i="12"/>
  <c r="G575" i="12"/>
  <c r="N574" i="12"/>
  <c r="K574" i="12"/>
  <c r="J574" i="12"/>
  <c r="H574" i="12"/>
  <c r="G574" i="12"/>
  <c r="N573" i="12"/>
  <c r="K573" i="12"/>
  <c r="J573" i="12"/>
  <c r="H573" i="12"/>
  <c r="G573" i="12"/>
  <c r="N572" i="12"/>
  <c r="K572" i="12"/>
  <c r="J572" i="12"/>
  <c r="H572" i="12"/>
  <c r="G572" i="12"/>
  <c r="N571" i="12"/>
  <c r="K571" i="12"/>
  <c r="J571" i="12"/>
  <c r="H571" i="12"/>
  <c r="G571" i="12"/>
  <c r="N570" i="12"/>
  <c r="K570" i="12"/>
  <c r="J570" i="12"/>
  <c r="H570" i="12"/>
  <c r="G570" i="12"/>
  <c r="N569" i="12"/>
  <c r="K569" i="12"/>
  <c r="J569" i="12"/>
  <c r="H569" i="12"/>
  <c r="G569" i="12"/>
  <c r="N568" i="12"/>
  <c r="K568" i="12"/>
  <c r="J568" i="12"/>
  <c r="H568" i="12"/>
  <c r="G568" i="12"/>
  <c r="N567" i="12"/>
  <c r="K567" i="12"/>
  <c r="J567" i="12"/>
  <c r="H567" i="12"/>
  <c r="G567" i="12"/>
  <c r="N566" i="12"/>
  <c r="K566" i="12"/>
  <c r="J566" i="12"/>
  <c r="H566" i="12"/>
  <c r="G566" i="12"/>
  <c r="N565" i="12"/>
  <c r="K565" i="12"/>
  <c r="J565" i="12"/>
  <c r="H565" i="12"/>
  <c r="G565" i="12"/>
  <c r="N564" i="12"/>
  <c r="K564" i="12"/>
  <c r="J564" i="12"/>
  <c r="H564" i="12"/>
  <c r="G564" i="12"/>
  <c r="N563" i="12"/>
  <c r="K563" i="12"/>
  <c r="J563" i="12"/>
  <c r="H563" i="12"/>
  <c r="G563" i="12"/>
  <c r="N562" i="12"/>
  <c r="K562" i="12"/>
  <c r="J562" i="12"/>
  <c r="H562" i="12"/>
  <c r="G562" i="12"/>
  <c r="N561" i="12"/>
  <c r="K561" i="12"/>
  <c r="J561" i="12"/>
  <c r="H561" i="12"/>
  <c r="G561" i="12"/>
  <c r="N560" i="12"/>
  <c r="K560" i="12"/>
  <c r="J560" i="12"/>
  <c r="H560" i="12"/>
  <c r="G560" i="12"/>
  <c r="N559" i="12"/>
  <c r="K559" i="12"/>
  <c r="J559" i="12"/>
  <c r="H559" i="12"/>
  <c r="G559" i="12"/>
  <c r="N558" i="12"/>
  <c r="K558" i="12"/>
  <c r="J558" i="12"/>
  <c r="H558" i="12"/>
  <c r="G558" i="12"/>
  <c r="N557" i="12"/>
  <c r="K557" i="12"/>
  <c r="J557" i="12"/>
  <c r="H557" i="12"/>
  <c r="G557" i="12"/>
  <c r="N556" i="12"/>
  <c r="K556" i="12"/>
  <c r="J556" i="12"/>
  <c r="H556" i="12"/>
  <c r="G556" i="12"/>
  <c r="N555" i="12"/>
  <c r="K555" i="12"/>
  <c r="J555" i="12"/>
  <c r="H555" i="12"/>
  <c r="G555" i="12"/>
  <c r="N554" i="12"/>
  <c r="K554" i="12"/>
  <c r="J554" i="12"/>
  <c r="H554" i="12"/>
  <c r="G554" i="12"/>
  <c r="N553" i="12"/>
  <c r="K553" i="12"/>
  <c r="J553" i="12"/>
  <c r="H553" i="12"/>
  <c r="G553" i="12"/>
  <c r="N552" i="12"/>
  <c r="K552" i="12"/>
  <c r="J552" i="12"/>
  <c r="H552" i="12"/>
  <c r="G552" i="12"/>
  <c r="N551" i="12"/>
  <c r="K551" i="12"/>
  <c r="J551" i="12"/>
  <c r="H551" i="12"/>
  <c r="G551" i="12"/>
  <c r="N550" i="12"/>
  <c r="K550" i="12"/>
  <c r="J550" i="12"/>
  <c r="H550" i="12"/>
  <c r="G550" i="12"/>
  <c r="N549" i="12"/>
  <c r="K549" i="12"/>
  <c r="J549" i="12"/>
  <c r="H549" i="12"/>
  <c r="G549" i="12"/>
  <c r="N548" i="12"/>
  <c r="K548" i="12"/>
  <c r="J548" i="12"/>
  <c r="H548" i="12"/>
  <c r="G548" i="12"/>
  <c r="N547" i="12"/>
  <c r="K547" i="12"/>
  <c r="J547" i="12"/>
  <c r="H547" i="12"/>
  <c r="G547" i="12"/>
  <c r="N546" i="12"/>
  <c r="K546" i="12"/>
  <c r="J546" i="12"/>
  <c r="H546" i="12"/>
  <c r="G546" i="12"/>
  <c r="N545" i="12"/>
  <c r="K545" i="12"/>
  <c r="J545" i="12"/>
  <c r="H545" i="12"/>
  <c r="G545" i="12"/>
  <c r="N544" i="12"/>
  <c r="K544" i="12"/>
  <c r="J544" i="12"/>
  <c r="H544" i="12"/>
  <c r="G544" i="12"/>
  <c r="N543" i="12"/>
  <c r="K543" i="12"/>
  <c r="J543" i="12"/>
  <c r="H543" i="12"/>
  <c r="G543" i="12"/>
  <c r="N542" i="12"/>
  <c r="K542" i="12"/>
  <c r="J542" i="12"/>
  <c r="H542" i="12"/>
  <c r="G542" i="12"/>
  <c r="N541" i="12"/>
  <c r="K541" i="12"/>
  <c r="J541" i="12"/>
  <c r="H541" i="12"/>
  <c r="G541" i="12"/>
  <c r="N540" i="12"/>
  <c r="K540" i="12"/>
  <c r="J540" i="12"/>
  <c r="H540" i="12"/>
  <c r="G540" i="12"/>
  <c r="N539" i="12"/>
  <c r="K539" i="12"/>
  <c r="J539" i="12"/>
  <c r="H539" i="12"/>
  <c r="G539" i="12"/>
  <c r="N538" i="12"/>
  <c r="K538" i="12"/>
  <c r="J538" i="12"/>
  <c r="H538" i="12"/>
  <c r="G538" i="12"/>
  <c r="N537" i="12"/>
  <c r="K537" i="12"/>
  <c r="J537" i="12"/>
  <c r="H537" i="12"/>
  <c r="G537" i="12"/>
  <c r="N536" i="12"/>
  <c r="K536" i="12"/>
  <c r="J536" i="12"/>
  <c r="H536" i="12"/>
  <c r="G536" i="12"/>
  <c r="N535" i="12"/>
  <c r="K535" i="12"/>
  <c r="J535" i="12"/>
  <c r="H535" i="12"/>
  <c r="G535" i="12"/>
  <c r="N534" i="12"/>
  <c r="K534" i="12"/>
  <c r="J534" i="12"/>
  <c r="H534" i="12"/>
  <c r="G534" i="12"/>
  <c r="N533" i="12"/>
  <c r="K533" i="12"/>
  <c r="J533" i="12"/>
  <c r="H533" i="12"/>
  <c r="G533" i="12"/>
  <c r="N532" i="12"/>
  <c r="K532" i="12"/>
  <c r="J532" i="12"/>
  <c r="H532" i="12"/>
  <c r="G532" i="12"/>
  <c r="N531" i="12"/>
  <c r="K531" i="12"/>
  <c r="J531" i="12"/>
  <c r="H531" i="12"/>
  <c r="G531" i="12"/>
  <c r="N530" i="12"/>
  <c r="K530" i="12"/>
  <c r="J530" i="12"/>
  <c r="H530" i="12"/>
  <c r="G530" i="12"/>
  <c r="N529" i="12"/>
  <c r="K529" i="12"/>
  <c r="J529" i="12"/>
  <c r="H529" i="12"/>
  <c r="G529" i="12"/>
  <c r="N528" i="12"/>
  <c r="K528" i="12"/>
  <c r="J528" i="12"/>
  <c r="H528" i="12"/>
  <c r="G528" i="12"/>
  <c r="N527" i="12"/>
  <c r="K527" i="12"/>
  <c r="J527" i="12"/>
  <c r="H527" i="12"/>
  <c r="G527" i="12"/>
  <c r="N526" i="12"/>
  <c r="K526" i="12"/>
  <c r="J526" i="12"/>
  <c r="H526" i="12"/>
  <c r="G526" i="12"/>
  <c r="N525" i="12"/>
  <c r="K525" i="12"/>
  <c r="J525" i="12"/>
  <c r="H525" i="12"/>
  <c r="G525" i="12"/>
  <c r="N524" i="12"/>
  <c r="K524" i="12"/>
  <c r="J524" i="12"/>
  <c r="H524" i="12"/>
  <c r="G524" i="12"/>
  <c r="N523" i="12"/>
  <c r="K523" i="12"/>
  <c r="J523" i="12"/>
  <c r="H523" i="12"/>
  <c r="G523" i="12"/>
  <c r="N522" i="12"/>
  <c r="K522" i="12"/>
  <c r="J522" i="12"/>
  <c r="H522" i="12"/>
  <c r="G522" i="12"/>
  <c r="N521" i="12"/>
  <c r="K521" i="12"/>
  <c r="J521" i="12"/>
  <c r="H521" i="12"/>
  <c r="G521" i="12"/>
  <c r="N520" i="12"/>
  <c r="K520" i="12"/>
  <c r="J520" i="12"/>
  <c r="H520" i="12"/>
  <c r="G520" i="12"/>
  <c r="N519" i="12"/>
  <c r="K519" i="12"/>
  <c r="J519" i="12"/>
  <c r="H519" i="12"/>
  <c r="G519" i="12"/>
  <c r="N518" i="12"/>
  <c r="K518" i="12"/>
  <c r="J518" i="12"/>
  <c r="H518" i="12"/>
  <c r="G518" i="12"/>
  <c r="N517" i="12"/>
  <c r="K517" i="12"/>
  <c r="J517" i="12"/>
  <c r="H517" i="12"/>
  <c r="G517" i="12"/>
  <c r="N516" i="12"/>
  <c r="K516" i="12"/>
  <c r="J516" i="12"/>
  <c r="H516" i="12"/>
  <c r="G516" i="12"/>
  <c r="N515" i="12"/>
  <c r="K515" i="12"/>
  <c r="J515" i="12"/>
  <c r="H515" i="12"/>
  <c r="G515" i="12"/>
  <c r="N514" i="12"/>
  <c r="K514" i="12"/>
  <c r="J514" i="12"/>
  <c r="H514" i="12"/>
  <c r="G514" i="12"/>
  <c r="N513" i="12"/>
  <c r="K513" i="12"/>
  <c r="J513" i="12"/>
  <c r="H513" i="12"/>
  <c r="G513" i="12"/>
  <c r="N512" i="12"/>
  <c r="K512" i="12"/>
  <c r="J512" i="12"/>
  <c r="H512" i="12"/>
  <c r="G512" i="12"/>
  <c r="N511" i="12"/>
  <c r="K511" i="12"/>
  <c r="J511" i="12"/>
  <c r="H511" i="12"/>
  <c r="G511" i="12"/>
  <c r="N510" i="12"/>
  <c r="K510" i="12"/>
  <c r="J510" i="12"/>
  <c r="H510" i="12"/>
  <c r="G510" i="12"/>
  <c r="N509" i="12"/>
  <c r="K509" i="12"/>
  <c r="J509" i="12"/>
  <c r="H509" i="12"/>
  <c r="G509" i="12"/>
  <c r="N508" i="12"/>
  <c r="K508" i="12"/>
  <c r="J508" i="12"/>
  <c r="H508" i="12"/>
  <c r="G508" i="12"/>
  <c r="N507" i="12"/>
  <c r="K507" i="12"/>
  <c r="J507" i="12"/>
  <c r="H507" i="12"/>
  <c r="G507" i="12"/>
  <c r="N506" i="12"/>
  <c r="K506" i="12"/>
  <c r="J506" i="12"/>
  <c r="H506" i="12"/>
  <c r="G506" i="12"/>
  <c r="N505" i="12"/>
  <c r="K505" i="12"/>
  <c r="J505" i="12"/>
  <c r="H505" i="12"/>
  <c r="G505" i="12"/>
  <c r="N504" i="12"/>
  <c r="K504" i="12"/>
  <c r="J504" i="12"/>
  <c r="H504" i="12"/>
  <c r="G504" i="12"/>
  <c r="N503" i="12"/>
  <c r="K503" i="12"/>
  <c r="J503" i="12"/>
  <c r="H503" i="12"/>
  <c r="G503" i="12"/>
  <c r="N502" i="12"/>
  <c r="K502" i="12"/>
  <c r="J502" i="12"/>
  <c r="H502" i="12"/>
  <c r="G502" i="12"/>
  <c r="N501" i="12"/>
  <c r="K501" i="12"/>
  <c r="J501" i="12"/>
  <c r="H501" i="12"/>
  <c r="G501" i="12"/>
  <c r="N500" i="12"/>
  <c r="K500" i="12"/>
  <c r="J500" i="12"/>
  <c r="H500" i="12"/>
  <c r="G500" i="12"/>
  <c r="N499" i="12"/>
  <c r="K499" i="12"/>
  <c r="J499" i="12"/>
  <c r="H499" i="12"/>
  <c r="G499" i="12"/>
  <c r="N498" i="12"/>
  <c r="K498" i="12"/>
  <c r="J498" i="12"/>
  <c r="H498" i="12"/>
  <c r="G498" i="12"/>
  <c r="N497" i="12"/>
  <c r="K497" i="12"/>
  <c r="J497" i="12"/>
  <c r="H497" i="12"/>
  <c r="G497" i="12"/>
  <c r="N496" i="12"/>
  <c r="K496" i="12"/>
  <c r="J496" i="12"/>
  <c r="H496" i="12"/>
  <c r="G496" i="12"/>
  <c r="N495" i="12"/>
  <c r="K495" i="12"/>
  <c r="J495" i="12"/>
  <c r="H495" i="12"/>
  <c r="G495" i="12"/>
  <c r="N494" i="12"/>
  <c r="K494" i="12"/>
  <c r="J494" i="12"/>
  <c r="H494" i="12"/>
  <c r="G494" i="12"/>
  <c r="N493" i="12"/>
  <c r="K493" i="12"/>
  <c r="J493" i="12"/>
  <c r="H493" i="12"/>
  <c r="G493" i="12"/>
  <c r="N492" i="12"/>
  <c r="K492" i="12"/>
  <c r="J492" i="12"/>
  <c r="H492" i="12"/>
  <c r="G492" i="12"/>
  <c r="N491" i="12"/>
  <c r="K491" i="12"/>
  <c r="J491" i="12"/>
  <c r="H491" i="12"/>
  <c r="G491" i="12"/>
  <c r="N490" i="12"/>
  <c r="K490" i="12"/>
  <c r="J490" i="12"/>
  <c r="H490" i="12"/>
  <c r="G490" i="12"/>
  <c r="N489" i="12"/>
  <c r="K489" i="12"/>
  <c r="J489" i="12"/>
  <c r="H489" i="12"/>
  <c r="G489" i="12"/>
  <c r="N488" i="12"/>
  <c r="K488" i="12"/>
  <c r="J488" i="12"/>
  <c r="H488" i="12"/>
  <c r="G488" i="12"/>
  <c r="N487" i="12"/>
  <c r="K487" i="12"/>
  <c r="J487" i="12"/>
  <c r="H487" i="12"/>
  <c r="G487" i="12"/>
  <c r="N486" i="12"/>
  <c r="K486" i="12"/>
  <c r="J486" i="12"/>
  <c r="H486" i="12"/>
  <c r="G486" i="12"/>
  <c r="N485" i="12"/>
  <c r="K485" i="12"/>
  <c r="J485" i="12"/>
  <c r="H485" i="12"/>
  <c r="G485" i="12"/>
  <c r="N484" i="12"/>
  <c r="K484" i="12"/>
  <c r="J484" i="12"/>
  <c r="H484" i="12"/>
  <c r="G484" i="12"/>
  <c r="N483" i="12"/>
  <c r="K483" i="12"/>
  <c r="J483" i="12"/>
  <c r="H483" i="12"/>
  <c r="G483" i="12"/>
  <c r="N482" i="12"/>
  <c r="K482" i="12"/>
  <c r="J482" i="12"/>
  <c r="H482" i="12"/>
  <c r="G482" i="12"/>
  <c r="N481" i="12"/>
  <c r="K481" i="12"/>
  <c r="J481" i="12"/>
  <c r="H481" i="12"/>
  <c r="G481" i="12"/>
  <c r="N480" i="12"/>
  <c r="K480" i="12"/>
  <c r="J480" i="12"/>
  <c r="H480" i="12"/>
  <c r="G480" i="12"/>
  <c r="N479" i="12"/>
  <c r="K479" i="12"/>
  <c r="J479" i="12"/>
  <c r="H479" i="12"/>
  <c r="G479" i="12"/>
  <c r="N478" i="12"/>
  <c r="K478" i="12"/>
  <c r="J478" i="12"/>
  <c r="H478" i="12"/>
  <c r="G478" i="12"/>
  <c r="N477" i="12"/>
  <c r="K477" i="12"/>
  <c r="J477" i="12"/>
  <c r="H477" i="12"/>
  <c r="G477" i="12"/>
  <c r="N476" i="12"/>
  <c r="K476" i="12"/>
  <c r="J476" i="12"/>
  <c r="H476" i="12"/>
  <c r="G476" i="12"/>
  <c r="N475" i="12"/>
  <c r="K475" i="12"/>
  <c r="J475" i="12"/>
  <c r="H475" i="12"/>
  <c r="G475" i="12"/>
  <c r="N474" i="12"/>
  <c r="K474" i="12"/>
  <c r="J474" i="12"/>
  <c r="H474" i="12"/>
  <c r="G474" i="12"/>
  <c r="N473" i="12"/>
  <c r="K473" i="12"/>
  <c r="J473" i="12"/>
  <c r="H473" i="12"/>
  <c r="G473" i="12"/>
  <c r="N472" i="12"/>
  <c r="K472" i="12"/>
  <c r="J472" i="12"/>
  <c r="H472" i="12"/>
  <c r="G472" i="12"/>
  <c r="N471" i="12"/>
  <c r="K471" i="12"/>
  <c r="J471" i="12"/>
  <c r="H471" i="12"/>
  <c r="G471" i="12"/>
  <c r="N470" i="12"/>
  <c r="K470" i="12"/>
  <c r="J470" i="12"/>
  <c r="H470" i="12"/>
  <c r="G470" i="12"/>
  <c r="N469" i="12"/>
  <c r="K469" i="12"/>
  <c r="J469" i="12"/>
  <c r="H469" i="12"/>
  <c r="G469" i="12"/>
  <c r="N468" i="12"/>
  <c r="K468" i="12"/>
  <c r="J468" i="12"/>
  <c r="H468" i="12"/>
  <c r="G468" i="12"/>
  <c r="N467" i="12"/>
  <c r="K467" i="12"/>
  <c r="J467" i="12"/>
  <c r="H467" i="12"/>
  <c r="G467" i="12"/>
  <c r="N466" i="12"/>
  <c r="K466" i="12"/>
  <c r="J466" i="12"/>
  <c r="H466" i="12"/>
  <c r="G466" i="12"/>
  <c r="N465" i="12"/>
  <c r="K465" i="12"/>
  <c r="J465" i="12"/>
  <c r="H465" i="12"/>
  <c r="G465" i="12"/>
  <c r="N464" i="12"/>
  <c r="K464" i="12"/>
  <c r="J464" i="12"/>
  <c r="H464" i="12"/>
  <c r="G464" i="12"/>
  <c r="N463" i="12"/>
  <c r="K463" i="12"/>
  <c r="J463" i="12"/>
  <c r="H463" i="12"/>
  <c r="G463" i="12"/>
  <c r="N462" i="12"/>
  <c r="K462" i="12"/>
  <c r="J462" i="12"/>
  <c r="H462" i="12"/>
  <c r="G462" i="12"/>
  <c r="N461" i="12"/>
  <c r="K461" i="12"/>
  <c r="J461" i="12"/>
  <c r="H461" i="12"/>
  <c r="G461" i="12"/>
  <c r="N460" i="12"/>
  <c r="K460" i="12"/>
  <c r="J460" i="12"/>
  <c r="H460" i="12"/>
  <c r="G460" i="12"/>
  <c r="N459" i="12"/>
  <c r="K459" i="12"/>
  <c r="J459" i="12"/>
  <c r="H459" i="12"/>
  <c r="G459" i="12"/>
  <c r="N458" i="12"/>
  <c r="K458" i="12"/>
  <c r="J458" i="12"/>
  <c r="H458" i="12"/>
  <c r="G458" i="12"/>
  <c r="N457" i="12"/>
  <c r="K457" i="12"/>
  <c r="J457" i="12"/>
  <c r="H457" i="12"/>
  <c r="G457" i="12"/>
  <c r="N456" i="12"/>
  <c r="K456" i="12"/>
  <c r="J456" i="12"/>
  <c r="H456" i="12"/>
  <c r="G456" i="12"/>
  <c r="N455" i="12"/>
  <c r="K455" i="12"/>
  <c r="J455" i="12"/>
  <c r="H455" i="12"/>
  <c r="G455" i="12"/>
  <c r="N454" i="12"/>
  <c r="K454" i="12"/>
  <c r="J454" i="12"/>
  <c r="H454" i="12"/>
  <c r="G454" i="12"/>
  <c r="N453" i="12"/>
  <c r="K453" i="12"/>
  <c r="J453" i="12"/>
  <c r="H453" i="12"/>
  <c r="G453" i="12"/>
  <c r="N452" i="12"/>
  <c r="K452" i="12"/>
  <c r="J452" i="12"/>
  <c r="H452" i="12"/>
  <c r="G452" i="12"/>
  <c r="N451" i="12"/>
  <c r="K451" i="12"/>
  <c r="J451" i="12"/>
  <c r="H451" i="12"/>
  <c r="G451" i="12"/>
  <c r="N450" i="12"/>
  <c r="K450" i="12"/>
  <c r="J450" i="12"/>
  <c r="H450" i="12"/>
  <c r="G450" i="12"/>
  <c r="N449" i="12"/>
  <c r="K449" i="12"/>
  <c r="J449" i="12"/>
  <c r="H449" i="12"/>
  <c r="G449" i="12"/>
  <c r="N448" i="12"/>
  <c r="K448" i="12"/>
  <c r="J448" i="12"/>
  <c r="H448" i="12"/>
  <c r="G448" i="12"/>
  <c r="N447" i="12"/>
  <c r="K447" i="12"/>
  <c r="J447" i="12"/>
  <c r="H447" i="12"/>
  <c r="G447" i="12"/>
  <c r="N446" i="12"/>
  <c r="K446" i="12"/>
  <c r="J446" i="12"/>
  <c r="H446" i="12"/>
  <c r="G446" i="12"/>
  <c r="N445" i="12"/>
  <c r="K445" i="12"/>
  <c r="J445" i="12"/>
  <c r="H445" i="12"/>
  <c r="G445" i="12"/>
  <c r="N444" i="12"/>
  <c r="K444" i="12"/>
  <c r="J444" i="12"/>
  <c r="H444" i="12"/>
  <c r="G444" i="12"/>
  <c r="N443" i="12"/>
  <c r="K443" i="12"/>
  <c r="J443" i="12"/>
  <c r="H443" i="12"/>
  <c r="G443" i="12"/>
  <c r="N442" i="12"/>
  <c r="K442" i="12"/>
  <c r="J442" i="12"/>
  <c r="H442" i="12"/>
  <c r="G442" i="12"/>
  <c r="N441" i="12"/>
  <c r="K441" i="12"/>
  <c r="J441" i="12"/>
  <c r="H441" i="12"/>
  <c r="G441" i="12"/>
  <c r="N440" i="12"/>
  <c r="K440" i="12"/>
  <c r="J440" i="12"/>
  <c r="H440" i="12"/>
  <c r="G440" i="12"/>
  <c r="N439" i="12"/>
  <c r="K439" i="12"/>
  <c r="J439" i="12"/>
  <c r="H439" i="12"/>
  <c r="G439" i="12"/>
  <c r="N438" i="12"/>
  <c r="K438" i="12"/>
  <c r="J438" i="12"/>
  <c r="H438" i="12"/>
  <c r="G438" i="12"/>
  <c r="N437" i="12"/>
  <c r="K437" i="12"/>
  <c r="J437" i="12"/>
  <c r="H437" i="12"/>
  <c r="G437" i="12"/>
  <c r="N436" i="12"/>
  <c r="K436" i="12"/>
  <c r="J436" i="12"/>
  <c r="H436" i="12"/>
  <c r="G436" i="12"/>
  <c r="N435" i="12"/>
  <c r="K435" i="12"/>
  <c r="J435" i="12"/>
  <c r="H435" i="12"/>
  <c r="G435" i="12"/>
  <c r="N434" i="12"/>
  <c r="K434" i="12"/>
  <c r="J434" i="12"/>
  <c r="H434" i="12"/>
  <c r="G434" i="12"/>
  <c r="N433" i="12"/>
  <c r="K433" i="12"/>
  <c r="J433" i="12"/>
  <c r="H433" i="12"/>
  <c r="G433" i="12"/>
  <c r="N432" i="12"/>
  <c r="K432" i="12"/>
  <c r="J432" i="12"/>
  <c r="H432" i="12"/>
  <c r="G432" i="12"/>
  <c r="N431" i="12"/>
  <c r="K431" i="12"/>
  <c r="J431" i="12"/>
  <c r="H431" i="12"/>
  <c r="G431" i="12"/>
  <c r="N430" i="12"/>
  <c r="K430" i="12"/>
  <c r="J430" i="12"/>
  <c r="H430" i="12"/>
  <c r="G430" i="12"/>
  <c r="N429" i="12"/>
  <c r="K429" i="12"/>
  <c r="J429" i="12"/>
  <c r="H429" i="12"/>
  <c r="G429" i="12"/>
  <c r="N428" i="12"/>
  <c r="K428" i="12"/>
  <c r="J428" i="12"/>
  <c r="H428" i="12"/>
  <c r="G428" i="12"/>
  <c r="N427" i="12"/>
  <c r="K427" i="12"/>
  <c r="J427" i="12"/>
  <c r="H427" i="12"/>
  <c r="G427" i="12"/>
  <c r="N426" i="12"/>
  <c r="K426" i="12"/>
  <c r="J426" i="12"/>
  <c r="H426" i="12"/>
  <c r="G426" i="12"/>
  <c r="N425" i="12"/>
  <c r="K425" i="12"/>
  <c r="J425" i="12"/>
  <c r="H425" i="12"/>
  <c r="G425" i="12"/>
  <c r="N424" i="12"/>
  <c r="K424" i="12"/>
  <c r="J424" i="12"/>
  <c r="H424" i="12"/>
  <c r="G424" i="12"/>
  <c r="N423" i="12"/>
  <c r="K423" i="12"/>
  <c r="J423" i="12"/>
  <c r="H423" i="12"/>
  <c r="G423" i="12"/>
  <c r="N422" i="12"/>
  <c r="K422" i="12"/>
  <c r="J422" i="12"/>
  <c r="H422" i="12"/>
  <c r="G422" i="12"/>
  <c r="N421" i="12"/>
  <c r="K421" i="12"/>
  <c r="J421" i="12"/>
  <c r="H421" i="12"/>
  <c r="G421" i="12"/>
  <c r="N420" i="12"/>
  <c r="K420" i="12"/>
  <c r="J420" i="12"/>
  <c r="H420" i="12"/>
  <c r="G420" i="12"/>
  <c r="N419" i="12"/>
  <c r="K419" i="12"/>
  <c r="J419" i="12"/>
  <c r="H419" i="12"/>
  <c r="G419" i="12"/>
  <c r="N418" i="12"/>
  <c r="K418" i="12"/>
  <c r="J418" i="12"/>
  <c r="H418" i="12"/>
  <c r="G418" i="12"/>
  <c r="N417" i="12"/>
  <c r="K417" i="12"/>
  <c r="J417" i="12"/>
  <c r="H417" i="12"/>
  <c r="G417" i="12"/>
  <c r="N416" i="12"/>
  <c r="K416" i="12"/>
  <c r="J416" i="12"/>
  <c r="H416" i="12"/>
  <c r="G416" i="12"/>
  <c r="N415" i="12"/>
  <c r="K415" i="12"/>
  <c r="J415" i="12"/>
  <c r="H415" i="12"/>
  <c r="G415" i="12"/>
  <c r="N414" i="12"/>
  <c r="K414" i="12"/>
  <c r="J414" i="12"/>
  <c r="H414" i="12"/>
  <c r="G414" i="12"/>
  <c r="N413" i="12"/>
  <c r="K413" i="12"/>
  <c r="J413" i="12"/>
  <c r="H413" i="12"/>
  <c r="G413" i="12"/>
  <c r="N412" i="12"/>
  <c r="K412" i="12"/>
  <c r="J412" i="12"/>
  <c r="H412" i="12"/>
  <c r="G412" i="12"/>
  <c r="N411" i="12"/>
  <c r="K411" i="12"/>
  <c r="J411" i="12"/>
  <c r="H411" i="12"/>
  <c r="G411" i="12"/>
  <c r="N410" i="12"/>
  <c r="K410" i="12"/>
  <c r="J410" i="12"/>
  <c r="H410" i="12"/>
  <c r="G410" i="12"/>
  <c r="N409" i="12"/>
  <c r="K409" i="12"/>
  <c r="J409" i="12"/>
  <c r="H409" i="12"/>
  <c r="G409" i="12"/>
  <c r="N408" i="12"/>
  <c r="K408" i="12"/>
  <c r="J408" i="12"/>
  <c r="H408" i="12"/>
  <c r="G408" i="12"/>
  <c r="N407" i="12"/>
  <c r="K407" i="12"/>
  <c r="J407" i="12"/>
  <c r="H407" i="12"/>
  <c r="G407" i="12"/>
  <c r="N406" i="12"/>
  <c r="K406" i="12"/>
  <c r="J406" i="12"/>
  <c r="H406" i="12"/>
  <c r="G406" i="12"/>
  <c r="N405" i="12"/>
  <c r="K405" i="12"/>
  <c r="J405" i="12"/>
  <c r="H405" i="12"/>
  <c r="G405" i="12"/>
  <c r="N404" i="12"/>
  <c r="K404" i="12"/>
  <c r="J404" i="12"/>
  <c r="H404" i="12"/>
  <c r="G404" i="12"/>
  <c r="N403" i="12"/>
  <c r="K403" i="12"/>
  <c r="J403" i="12"/>
  <c r="H403" i="12"/>
  <c r="G403" i="12"/>
  <c r="N402" i="12"/>
  <c r="K402" i="12"/>
  <c r="J402" i="12"/>
  <c r="H402" i="12"/>
  <c r="G402" i="12"/>
  <c r="N401" i="12"/>
  <c r="K401" i="12"/>
  <c r="J401" i="12"/>
  <c r="H401" i="12"/>
  <c r="G401" i="12"/>
  <c r="N400" i="12"/>
  <c r="K400" i="12"/>
  <c r="J400" i="12"/>
  <c r="H400" i="12"/>
  <c r="G400" i="12"/>
  <c r="N399" i="12"/>
  <c r="K399" i="12"/>
  <c r="J399" i="12"/>
  <c r="H399" i="12"/>
  <c r="G399" i="12"/>
  <c r="N398" i="12"/>
  <c r="K398" i="12"/>
  <c r="J398" i="12"/>
  <c r="H398" i="12"/>
  <c r="G398" i="12"/>
  <c r="N397" i="12"/>
  <c r="K397" i="12"/>
  <c r="J397" i="12"/>
  <c r="H397" i="12"/>
  <c r="G397" i="12"/>
  <c r="N396" i="12"/>
  <c r="K396" i="12"/>
  <c r="J396" i="12"/>
  <c r="H396" i="12"/>
  <c r="G396" i="12"/>
  <c r="N395" i="12"/>
  <c r="K395" i="12"/>
  <c r="J395" i="12"/>
  <c r="H395" i="12"/>
  <c r="G395" i="12"/>
  <c r="N394" i="12"/>
  <c r="K394" i="12"/>
  <c r="J394" i="12"/>
  <c r="H394" i="12"/>
  <c r="G394" i="12"/>
  <c r="N393" i="12"/>
  <c r="K393" i="12"/>
  <c r="J393" i="12"/>
  <c r="H393" i="12"/>
  <c r="G393" i="12"/>
  <c r="N392" i="12"/>
  <c r="K392" i="12"/>
  <c r="J392" i="12"/>
  <c r="H392" i="12"/>
  <c r="G392" i="12"/>
  <c r="N391" i="12"/>
  <c r="K391" i="12"/>
  <c r="J391" i="12"/>
  <c r="H391" i="12"/>
  <c r="G391" i="12"/>
  <c r="N390" i="12"/>
  <c r="K390" i="12"/>
  <c r="J390" i="12"/>
  <c r="H390" i="12"/>
  <c r="G390" i="12"/>
  <c r="N389" i="12"/>
  <c r="K389" i="12"/>
  <c r="J389" i="12"/>
  <c r="H389" i="12"/>
  <c r="G389" i="12"/>
  <c r="N388" i="12"/>
  <c r="K388" i="12"/>
  <c r="J388" i="12"/>
  <c r="H388" i="12"/>
  <c r="G388" i="12"/>
  <c r="N387" i="12"/>
  <c r="K387" i="12"/>
  <c r="J387" i="12"/>
  <c r="H387" i="12"/>
  <c r="G387" i="12"/>
  <c r="N386" i="12"/>
  <c r="K386" i="12"/>
  <c r="J386" i="12"/>
  <c r="H386" i="12"/>
  <c r="G386" i="12"/>
  <c r="N385" i="12"/>
  <c r="K385" i="12"/>
  <c r="J385" i="12"/>
  <c r="H385" i="12"/>
  <c r="G385" i="12"/>
  <c r="N384" i="12"/>
  <c r="K384" i="12"/>
  <c r="J384" i="12"/>
  <c r="H384" i="12"/>
  <c r="G384" i="12"/>
  <c r="N383" i="12"/>
  <c r="K383" i="12"/>
  <c r="J383" i="12"/>
  <c r="H383" i="12"/>
  <c r="G383" i="12"/>
  <c r="N382" i="12"/>
  <c r="K382" i="12"/>
  <c r="J382" i="12"/>
  <c r="H382" i="12"/>
  <c r="G382" i="12"/>
  <c r="N381" i="12"/>
  <c r="K381" i="12"/>
  <c r="J381" i="12"/>
  <c r="H381" i="12"/>
  <c r="G381" i="12"/>
  <c r="N380" i="12"/>
  <c r="K380" i="12"/>
  <c r="J380" i="12"/>
  <c r="H380" i="12"/>
  <c r="G380" i="12"/>
  <c r="N379" i="12"/>
  <c r="K379" i="12"/>
  <c r="J379" i="12"/>
  <c r="H379" i="12"/>
  <c r="G379" i="12"/>
  <c r="N378" i="12"/>
  <c r="K378" i="12"/>
  <c r="J378" i="12"/>
  <c r="H378" i="12"/>
  <c r="G378" i="12"/>
  <c r="N377" i="12"/>
  <c r="K377" i="12"/>
  <c r="J377" i="12"/>
  <c r="H377" i="12"/>
  <c r="G377" i="12"/>
  <c r="N376" i="12"/>
  <c r="K376" i="12"/>
  <c r="J376" i="12"/>
  <c r="H376" i="12"/>
  <c r="G376" i="12"/>
  <c r="N375" i="12"/>
  <c r="K375" i="12"/>
  <c r="J375" i="12"/>
  <c r="H375" i="12"/>
  <c r="G375" i="12"/>
  <c r="N374" i="12"/>
  <c r="K374" i="12"/>
  <c r="J374" i="12"/>
  <c r="H374" i="12"/>
  <c r="G374" i="12"/>
  <c r="N373" i="12"/>
  <c r="K373" i="12"/>
  <c r="J373" i="12"/>
  <c r="H373" i="12"/>
  <c r="G373" i="12"/>
  <c r="N372" i="12"/>
  <c r="K372" i="12"/>
  <c r="J372" i="12"/>
  <c r="H372" i="12"/>
  <c r="G372" i="12"/>
  <c r="N371" i="12"/>
  <c r="K371" i="12"/>
  <c r="J371" i="12"/>
  <c r="H371" i="12"/>
  <c r="G371" i="12"/>
  <c r="N370" i="12"/>
  <c r="K370" i="12"/>
  <c r="J370" i="12"/>
  <c r="H370" i="12"/>
  <c r="G370" i="12"/>
  <c r="N369" i="12"/>
  <c r="K369" i="12"/>
  <c r="J369" i="12"/>
  <c r="H369" i="12"/>
  <c r="G369" i="12"/>
  <c r="N368" i="12"/>
  <c r="K368" i="12"/>
  <c r="J368" i="12"/>
  <c r="H368" i="12"/>
  <c r="G368" i="12"/>
  <c r="N367" i="12"/>
  <c r="K367" i="12"/>
  <c r="J367" i="12"/>
  <c r="H367" i="12"/>
  <c r="G367" i="12"/>
  <c r="N366" i="12"/>
  <c r="K366" i="12"/>
  <c r="J366" i="12"/>
  <c r="H366" i="12"/>
  <c r="G366" i="12"/>
  <c r="N365" i="12"/>
  <c r="K365" i="12"/>
  <c r="J365" i="12"/>
  <c r="H365" i="12"/>
  <c r="G365" i="12"/>
  <c r="N364" i="12"/>
  <c r="K364" i="12"/>
  <c r="J364" i="12"/>
  <c r="H364" i="12"/>
  <c r="G364" i="12"/>
  <c r="N363" i="12"/>
  <c r="K363" i="12"/>
  <c r="J363" i="12"/>
  <c r="H363" i="12"/>
  <c r="G363" i="12"/>
  <c r="N362" i="12"/>
  <c r="K362" i="12"/>
  <c r="J362" i="12"/>
  <c r="H362" i="12"/>
  <c r="G362" i="12"/>
  <c r="N361" i="12"/>
  <c r="K361" i="12"/>
  <c r="J361" i="12"/>
  <c r="H361" i="12"/>
  <c r="G361" i="12"/>
  <c r="N360" i="12"/>
  <c r="K360" i="12"/>
  <c r="J360" i="12"/>
  <c r="H360" i="12"/>
  <c r="G360" i="12"/>
  <c r="N359" i="12"/>
  <c r="K359" i="12"/>
  <c r="J359" i="12"/>
  <c r="H359" i="12"/>
  <c r="G359" i="12"/>
  <c r="N358" i="12"/>
  <c r="K358" i="12"/>
  <c r="J358" i="12"/>
  <c r="H358" i="12"/>
  <c r="G358" i="12"/>
  <c r="N357" i="12"/>
  <c r="K357" i="12"/>
  <c r="J357" i="12"/>
  <c r="H357" i="12"/>
  <c r="G357" i="12"/>
  <c r="N356" i="12"/>
  <c r="K356" i="12"/>
  <c r="J356" i="12"/>
  <c r="H356" i="12"/>
  <c r="G356" i="12"/>
  <c r="N355" i="12"/>
  <c r="K355" i="12"/>
  <c r="J355" i="12"/>
  <c r="H355" i="12"/>
  <c r="G355" i="12"/>
  <c r="N354" i="12"/>
  <c r="K354" i="12"/>
  <c r="J354" i="12"/>
  <c r="H354" i="12"/>
  <c r="G354" i="12"/>
  <c r="N353" i="12"/>
  <c r="K353" i="12"/>
  <c r="J353" i="12"/>
  <c r="H353" i="12"/>
  <c r="G353" i="12"/>
  <c r="N352" i="12"/>
  <c r="K352" i="12"/>
  <c r="J352" i="12"/>
  <c r="H352" i="12"/>
  <c r="G352" i="12"/>
  <c r="N351" i="12"/>
  <c r="K351" i="12"/>
  <c r="J351" i="12"/>
  <c r="H351" i="12"/>
  <c r="G351" i="12"/>
  <c r="N350" i="12"/>
  <c r="K350" i="12"/>
  <c r="J350" i="12"/>
  <c r="H350" i="12"/>
  <c r="G350" i="12"/>
  <c r="N349" i="12"/>
  <c r="K349" i="12"/>
  <c r="J349" i="12"/>
  <c r="H349" i="12"/>
  <c r="G349" i="12"/>
  <c r="N348" i="12"/>
  <c r="K348" i="12"/>
  <c r="J348" i="12"/>
  <c r="H348" i="12"/>
  <c r="G348" i="12"/>
  <c r="N347" i="12"/>
  <c r="K347" i="12"/>
  <c r="J347" i="12"/>
  <c r="H347" i="12"/>
  <c r="G347" i="12"/>
  <c r="N346" i="12"/>
  <c r="K346" i="12"/>
  <c r="J346" i="12"/>
  <c r="H346" i="12"/>
  <c r="G346" i="12"/>
  <c r="N345" i="12"/>
  <c r="K345" i="12"/>
  <c r="J345" i="12"/>
  <c r="H345" i="12"/>
  <c r="G345" i="12"/>
  <c r="N344" i="12"/>
  <c r="K344" i="12"/>
  <c r="J344" i="12"/>
  <c r="H344" i="12"/>
  <c r="G344" i="12"/>
  <c r="N343" i="12"/>
  <c r="K343" i="12"/>
  <c r="J343" i="12"/>
  <c r="H343" i="12"/>
  <c r="G343" i="12"/>
  <c r="N342" i="12"/>
  <c r="K342" i="12"/>
  <c r="J342" i="12"/>
  <c r="H342" i="12"/>
  <c r="G342" i="12"/>
  <c r="N341" i="12"/>
  <c r="K341" i="12"/>
  <c r="J341" i="12"/>
  <c r="H341" i="12"/>
  <c r="G341" i="12"/>
  <c r="N340" i="12"/>
  <c r="K340" i="12"/>
  <c r="J340" i="12"/>
  <c r="H340" i="12"/>
  <c r="G340" i="12"/>
  <c r="N339" i="12"/>
  <c r="K339" i="12"/>
  <c r="J339" i="12"/>
  <c r="H339" i="12"/>
  <c r="G339" i="12"/>
  <c r="N338" i="12"/>
  <c r="K338" i="12"/>
  <c r="J338" i="12"/>
  <c r="H338" i="12"/>
  <c r="G338" i="12"/>
  <c r="N337" i="12"/>
  <c r="K337" i="12"/>
  <c r="J337" i="12"/>
  <c r="H337" i="12"/>
  <c r="G337" i="12"/>
  <c r="N336" i="12"/>
  <c r="K336" i="12"/>
  <c r="J336" i="12"/>
  <c r="H336" i="12"/>
  <c r="G336" i="12"/>
  <c r="N335" i="12"/>
  <c r="K335" i="12"/>
  <c r="J335" i="12"/>
  <c r="H335" i="12"/>
  <c r="G335" i="12"/>
  <c r="N334" i="12"/>
  <c r="K334" i="12"/>
  <c r="J334" i="12"/>
  <c r="H334" i="12"/>
  <c r="G334" i="12"/>
  <c r="N333" i="12"/>
  <c r="K333" i="12"/>
  <c r="J333" i="12"/>
  <c r="H333" i="12"/>
  <c r="G333" i="12"/>
  <c r="N332" i="12"/>
  <c r="K332" i="12"/>
  <c r="J332" i="12"/>
  <c r="H332" i="12"/>
  <c r="G332" i="12"/>
  <c r="N331" i="12"/>
  <c r="K331" i="12"/>
  <c r="J331" i="12"/>
  <c r="H331" i="12"/>
  <c r="G331" i="12"/>
  <c r="N330" i="12"/>
  <c r="K330" i="12"/>
  <c r="J330" i="12"/>
  <c r="H330" i="12"/>
  <c r="G330" i="12"/>
  <c r="N329" i="12"/>
  <c r="K329" i="12"/>
  <c r="J329" i="12"/>
  <c r="H329" i="12"/>
  <c r="G329" i="12"/>
  <c r="N328" i="12"/>
  <c r="K328" i="12"/>
  <c r="J328" i="12"/>
  <c r="H328" i="12"/>
  <c r="G328" i="12"/>
  <c r="N327" i="12"/>
  <c r="K327" i="12"/>
  <c r="J327" i="12"/>
  <c r="H327" i="12"/>
  <c r="G327" i="12"/>
  <c r="N326" i="12"/>
  <c r="K326" i="12"/>
  <c r="J326" i="12"/>
  <c r="H326" i="12"/>
  <c r="G326" i="12"/>
  <c r="N325" i="12"/>
  <c r="K325" i="12"/>
  <c r="J325" i="12"/>
  <c r="H325" i="12"/>
  <c r="G325" i="12"/>
  <c r="N324" i="12"/>
  <c r="K324" i="12"/>
  <c r="J324" i="12"/>
  <c r="H324" i="12"/>
  <c r="G324" i="12"/>
  <c r="N323" i="12"/>
  <c r="K323" i="12"/>
  <c r="J323" i="12"/>
  <c r="H323" i="12"/>
  <c r="G323" i="12"/>
  <c r="N322" i="12"/>
  <c r="K322" i="12"/>
  <c r="J322" i="12"/>
  <c r="H322" i="12"/>
  <c r="G322" i="12"/>
  <c r="N321" i="12"/>
  <c r="K321" i="12"/>
  <c r="J321" i="12"/>
  <c r="H321" i="12"/>
  <c r="G321" i="12"/>
  <c r="N320" i="12"/>
  <c r="K320" i="12"/>
  <c r="J320" i="12"/>
  <c r="H320" i="12"/>
  <c r="G320" i="12"/>
  <c r="N319" i="12"/>
  <c r="K319" i="12"/>
  <c r="J319" i="12"/>
  <c r="H319" i="12"/>
  <c r="G319" i="12"/>
  <c r="N318" i="12"/>
  <c r="K318" i="12"/>
  <c r="J318" i="12"/>
  <c r="H318" i="12"/>
  <c r="G318" i="12"/>
  <c r="N317" i="12"/>
  <c r="K317" i="12"/>
  <c r="J317" i="12"/>
  <c r="H317" i="12"/>
  <c r="G317" i="12"/>
  <c r="N316" i="12"/>
  <c r="K316" i="12"/>
  <c r="J316" i="12"/>
  <c r="H316" i="12"/>
  <c r="G316" i="12"/>
  <c r="N315" i="12"/>
  <c r="K315" i="12"/>
  <c r="J315" i="12"/>
  <c r="H315" i="12"/>
  <c r="G315" i="12"/>
  <c r="N314" i="12"/>
  <c r="K314" i="12"/>
  <c r="J314" i="12"/>
  <c r="H314" i="12"/>
  <c r="G314" i="12"/>
  <c r="N313" i="12"/>
  <c r="K313" i="12"/>
  <c r="J313" i="12"/>
  <c r="H313" i="12"/>
  <c r="G313" i="12"/>
  <c r="N312" i="12"/>
  <c r="K312" i="12"/>
  <c r="J312" i="12"/>
  <c r="H312" i="12"/>
  <c r="G312" i="12"/>
  <c r="N311" i="12"/>
  <c r="K311" i="12"/>
  <c r="J311" i="12"/>
  <c r="H311" i="12"/>
  <c r="G311" i="12"/>
  <c r="N310" i="12"/>
  <c r="K310" i="12"/>
  <c r="J310" i="12"/>
  <c r="H310" i="12"/>
  <c r="G310" i="12"/>
  <c r="N309" i="12"/>
  <c r="K309" i="12"/>
  <c r="J309" i="12"/>
  <c r="H309" i="12"/>
  <c r="G309" i="12"/>
  <c r="N308" i="12"/>
  <c r="K308" i="12"/>
  <c r="J308" i="12"/>
  <c r="H308" i="12"/>
  <c r="G308" i="12"/>
  <c r="N307" i="12"/>
  <c r="K307" i="12"/>
  <c r="J307" i="12"/>
  <c r="H307" i="12"/>
  <c r="G307" i="12"/>
  <c r="N306" i="12"/>
  <c r="K306" i="12"/>
  <c r="J306" i="12"/>
  <c r="H306" i="12"/>
  <c r="G306" i="12"/>
  <c r="N305" i="12"/>
  <c r="K305" i="12"/>
  <c r="J305" i="12"/>
  <c r="H305" i="12"/>
  <c r="G305" i="12"/>
  <c r="N304" i="12"/>
  <c r="K304" i="12"/>
  <c r="J304" i="12"/>
  <c r="H304" i="12"/>
  <c r="G304" i="12"/>
  <c r="N303" i="12"/>
  <c r="K303" i="12"/>
  <c r="J303" i="12"/>
  <c r="H303" i="12"/>
  <c r="G303" i="12"/>
  <c r="N302" i="12"/>
  <c r="K302" i="12"/>
  <c r="J302" i="12"/>
  <c r="H302" i="12"/>
  <c r="G302" i="12"/>
  <c r="N301" i="12"/>
  <c r="K301" i="12"/>
  <c r="J301" i="12"/>
  <c r="H301" i="12"/>
  <c r="G301" i="12"/>
  <c r="N300" i="12"/>
  <c r="K300" i="12"/>
  <c r="J300" i="12"/>
  <c r="H300" i="12"/>
  <c r="G300" i="12"/>
  <c r="N299" i="12"/>
  <c r="K299" i="12"/>
  <c r="J299" i="12"/>
  <c r="H299" i="12"/>
  <c r="G299" i="12"/>
  <c r="N298" i="12"/>
  <c r="K298" i="12"/>
  <c r="J298" i="12"/>
  <c r="H298" i="12"/>
  <c r="G298" i="12"/>
  <c r="N297" i="12"/>
  <c r="K297" i="12"/>
  <c r="J297" i="12"/>
  <c r="H297" i="12"/>
  <c r="G297" i="12"/>
  <c r="N296" i="12"/>
  <c r="K296" i="12"/>
  <c r="J296" i="12"/>
  <c r="H296" i="12"/>
  <c r="G296" i="12"/>
  <c r="N295" i="12"/>
  <c r="K295" i="12"/>
  <c r="J295" i="12"/>
  <c r="H295" i="12"/>
  <c r="G295" i="12"/>
  <c r="N294" i="12"/>
  <c r="K294" i="12"/>
  <c r="J294" i="12"/>
  <c r="H294" i="12"/>
  <c r="G294" i="12"/>
  <c r="N293" i="12"/>
  <c r="K293" i="12"/>
  <c r="J293" i="12"/>
  <c r="H293" i="12"/>
  <c r="G293" i="12"/>
  <c r="N292" i="12"/>
  <c r="K292" i="12"/>
  <c r="J292" i="12"/>
  <c r="H292" i="12"/>
  <c r="G292" i="12"/>
  <c r="N291" i="12"/>
  <c r="K291" i="12"/>
  <c r="J291" i="12"/>
  <c r="H291" i="12"/>
  <c r="G291" i="12"/>
  <c r="N290" i="12"/>
  <c r="K290" i="12"/>
  <c r="J290" i="12"/>
  <c r="H290" i="12"/>
  <c r="G290" i="12"/>
  <c r="N289" i="12"/>
  <c r="K289" i="12"/>
  <c r="J289" i="12"/>
  <c r="H289" i="12"/>
  <c r="G289" i="12"/>
  <c r="N288" i="12"/>
  <c r="K288" i="12"/>
  <c r="J288" i="12"/>
  <c r="H288" i="12"/>
  <c r="G288" i="12"/>
  <c r="N287" i="12"/>
  <c r="K287" i="12"/>
  <c r="J287" i="12"/>
  <c r="H287" i="12"/>
  <c r="G287" i="12"/>
  <c r="N286" i="12"/>
  <c r="K286" i="12"/>
  <c r="J286" i="12"/>
  <c r="H286" i="12"/>
  <c r="G286" i="12"/>
  <c r="N285" i="12"/>
  <c r="K285" i="12"/>
  <c r="J285" i="12"/>
  <c r="H285" i="12"/>
  <c r="G285" i="12"/>
  <c r="N284" i="12"/>
  <c r="K284" i="12"/>
  <c r="J284" i="12"/>
  <c r="H284" i="12"/>
  <c r="G284" i="12"/>
  <c r="N283" i="12"/>
  <c r="K283" i="12"/>
  <c r="J283" i="12"/>
  <c r="H283" i="12"/>
  <c r="G283" i="12"/>
  <c r="N282" i="12"/>
  <c r="K282" i="12"/>
  <c r="J282" i="12"/>
  <c r="H282" i="12"/>
  <c r="G282" i="12"/>
  <c r="N281" i="12"/>
  <c r="K281" i="12"/>
  <c r="J281" i="12"/>
  <c r="H281" i="12"/>
  <c r="G281" i="12"/>
  <c r="N280" i="12"/>
  <c r="K280" i="12"/>
  <c r="J280" i="12"/>
  <c r="H280" i="12"/>
  <c r="G280" i="12"/>
  <c r="N279" i="12"/>
  <c r="K279" i="12"/>
  <c r="J279" i="12"/>
  <c r="H279" i="12"/>
  <c r="G279" i="12"/>
  <c r="N278" i="12"/>
  <c r="K278" i="12"/>
  <c r="J278" i="12"/>
  <c r="H278" i="12"/>
  <c r="G278" i="12"/>
  <c r="N277" i="12"/>
  <c r="K277" i="12"/>
  <c r="J277" i="12"/>
  <c r="H277" i="12"/>
  <c r="G277" i="12"/>
  <c r="N276" i="12"/>
  <c r="K276" i="12"/>
  <c r="J276" i="12"/>
  <c r="H276" i="12"/>
  <c r="G276" i="12"/>
  <c r="N275" i="12"/>
  <c r="K275" i="12"/>
  <c r="J275" i="12"/>
  <c r="H275" i="12"/>
  <c r="G275" i="12"/>
  <c r="N274" i="12"/>
  <c r="K274" i="12"/>
  <c r="J274" i="12"/>
  <c r="H274" i="12"/>
  <c r="G274" i="12"/>
  <c r="N273" i="12"/>
  <c r="K273" i="12"/>
  <c r="J273" i="12"/>
  <c r="H273" i="12"/>
  <c r="G273" i="12"/>
  <c r="N272" i="12"/>
  <c r="K272" i="12"/>
  <c r="J272" i="12"/>
  <c r="H272" i="12"/>
  <c r="G272" i="12"/>
  <c r="N271" i="12"/>
  <c r="K271" i="12"/>
  <c r="J271" i="12"/>
  <c r="H271" i="12"/>
  <c r="G271" i="12"/>
  <c r="N270" i="12"/>
  <c r="K270" i="12"/>
  <c r="J270" i="12"/>
  <c r="H270" i="12"/>
  <c r="G270" i="12"/>
  <c r="N269" i="12"/>
  <c r="K269" i="12"/>
  <c r="J269" i="12"/>
  <c r="H269" i="12"/>
  <c r="G269" i="12"/>
  <c r="N268" i="12"/>
  <c r="K268" i="12"/>
  <c r="J268" i="12"/>
  <c r="H268" i="12"/>
  <c r="G268" i="12"/>
  <c r="N267" i="12"/>
  <c r="K267" i="12"/>
  <c r="J267" i="12"/>
  <c r="H267" i="12"/>
  <c r="G267" i="12"/>
  <c r="N266" i="12"/>
  <c r="K266" i="12"/>
  <c r="J266" i="12"/>
  <c r="H266" i="12"/>
  <c r="G266" i="12"/>
  <c r="N265" i="12"/>
  <c r="K265" i="12"/>
  <c r="J265" i="12"/>
  <c r="H265" i="12"/>
  <c r="G265" i="12"/>
  <c r="N264" i="12"/>
  <c r="K264" i="12"/>
  <c r="J264" i="12"/>
  <c r="H264" i="12"/>
  <c r="G264" i="12"/>
  <c r="N263" i="12"/>
  <c r="K263" i="12"/>
  <c r="J263" i="12"/>
  <c r="H263" i="12"/>
  <c r="G263" i="12"/>
  <c r="N262" i="12"/>
  <c r="K262" i="12"/>
  <c r="J262" i="12"/>
  <c r="H262" i="12"/>
  <c r="G262" i="12"/>
  <c r="N261" i="12"/>
  <c r="K261" i="12"/>
  <c r="J261" i="12"/>
  <c r="H261" i="12"/>
  <c r="G261" i="12"/>
  <c r="N260" i="12"/>
  <c r="K260" i="12"/>
  <c r="J260" i="12"/>
  <c r="H260" i="12"/>
  <c r="G260" i="12"/>
  <c r="N259" i="12"/>
  <c r="K259" i="12"/>
  <c r="J259" i="12"/>
  <c r="H259" i="12"/>
  <c r="G259" i="12"/>
  <c r="N258" i="12"/>
  <c r="K258" i="12"/>
  <c r="J258" i="12"/>
  <c r="H258" i="12"/>
  <c r="G258" i="12"/>
  <c r="N257" i="12"/>
  <c r="K257" i="12"/>
  <c r="J257" i="12"/>
  <c r="H257" i="12"/>
  <c r="G257" i="12"/>
  <c r="N256" i="12"/>
  <c r="K256" i="12"/>
  <c r="J256" i="12"/>
  <c r="H256" i="12"/>
  <c r="G256" i="12"/>
  <c r="N255" i="12"/>
  <c r="K255" i="12"/>
  <c r="J255" i="12"/>
  <c r="H255" i="12"/>
  <c r="G255" i="12"/>
  <c r="N254" i="12"/>
  <c r="K254" i="12"/>
  <c r="J254" i="12"/>
  <c r="H254" i="12"/>
  <c r="G254" i="12"/>
  <c r="N253" i="12"/>
  <c r="K253" i="12"/>
  <c r="J253" i="12"/>
  <c r="H253" i="12"/>
  <c r="G253" i="12"/>
  <c r="N252" i="12"/>
  <c r="K252" i="12"/>
  <c r="J252" i="12"/>
  <c r="H252" i="12"/>
  <c r="G252" i="12"/>
  <c r="N251" i="12"/>
  <c r="K251" i="12"/>
  <c r="J251" i="12"/>
  <c r="H251" i="12"/>
  <c r="G251" i="12"/>
  <c r="N250" i="12"/>
  <c r="K250" i="12"/>
  <c r="J250" i="12"/>
  <c r="H250" i="12"/>
  <c r="G250" i="12"/>
  <c r="N249" i="12"/>
  <c r="K249" i="12"/>
  <c r="J249" i="12"/>
  <c r="H249" i="12"/>
  <c r="G249" i="12"/>
  <c r="N248" i="12"/>
  <c r="K248" i="12"/>
  <c r="J248" i="12"/>
  <c r="H248" i="12"/>
  <c r="G248" i="12"/>
  <c r="N247" i="12"/>
  <c r="K247" i="12"/>
  <c r="J247" i="12"/>
  <c r="H247" i="12"/>
  <c r="G247" i="12"/>
  <c r="N246" i="12"/>
  <c r="K246" i="12"/>
  <c r="J246" i="12"/>
  <c r="H246" i="12"/>
  <c r="G246" i="12"/>
  <c r="N245" i="12"/>
  <c r="K245" i="12"/>
  <c r="J245" i="12"/>
  <c r="H245" i="12"/>
  <c r="G245" i="12"/>
  <c r="N244" i="12"/>
  <c r="K244" i="12"/>
  <c r="J244" i="12"/>
  <c r="H244" i="12"/>
  <c r="G244" i="12"/>
  <c r="N243" i="12"/>
  <c r="K243" i="12"/>
  <c r="J243" i="12"/>
  <c r="H243" i="12"/>
  <c r="G243" i="12"/>
  <c r="N242" i="12"/>
  <c r="K242" i="12"/>
  <c r="J242" i="12"/>
  <c r="H242" i="12"/>
  <c r="G242" i="12"/>
  <c r="N241" i="12"/>
  <c r="K241" i="12"/>
  <c r="J241" i="12"/>
  <c r="H241" i="12"/>
  <c r="G241" i="12"/>
  <c r="N240" i="12"/>
  <c r="K240" i="12"/>
  <c r="J240" i="12"/>
  <c r="H240" i="12"/>
  <c r="G240" i="12"/>
  <c r="N239" i="12"/>
  <c r="K239" i="12"/>
  <c r="J239" i="12"/>
  <c r="H239" i="12"/>
  <c r="G239" i="12"/>
  <c r="N238" i="12"/>
  <c r="K238" i="12"/>
  <c r="J238" i="12"/>
  <c r="H238" i="12"/>
  <c r="G238" i="12"/>
  <c r="N237" i="12"/>
  <c r="K237" i="12"/>
  <c r="J237" i="12"/>
  <c r="H237" i="12"/>
  <c r="G237" i="12"/>
  <c r="N236" i="12"/>
  <c r="K236" i="12"/>
  <c r="J236" i="12"/>
  <c r="H236" i="12"/>
  <c r="G236" i="12"/>
  <c r="N235" i="12"/>
  <c r="K235" i="12"/>
  <c r="J235" i="12"/>
  <c r="H235" i="12"/>
  <c r="G235" i="12"/>
  <c r="N234" i="12"/>
  <c r="K234" i="12"/>
  <c r="J234" i="12"/>
  <c r="H234" i="12"/>
  <c r="G234" i="12"/>
  <c r="N233" i="12"/>
  <c r="K233" i="12"/>
  <c r="J233" i="12"/>
  <c r="H233" i="12"/>
  <c r="G233" i="12"/>
  <c r="N232" i="12"/>
  <c r="K232" i="12"/>
  <c r="J232" i="12"/>
  <c r="H232" i="12"/>
  <c r="G232" i="12"/>
  <c r="N231" i="12"/>
  <c r="K231" i="12"/>
  <c r="J231" i="12"/>
  <c r="H231" i="12"/>
  <c r="G231" i="12"/>
  <c r="N230" i="12"/>
  <c r="K230" i="12"/>
  <c r="J230" i="12"/>
  <c r="H230" i="12"/>
  <c r="G230" i="12"/>
  <c r="N229" i="12"/>
  <c r="K229" i="12"/>
  <c r="J229" i="12"/>
  <c r="H229" i="12"/>
  <c r="G229" i="12"/>
  <c r="N228" i="12"/>
  <c r="K228" i="12"/>
  <c r="J228" i="12"/>
  <c r="H228" i="12"/>
  <c r="G228" i="12"/>
  <c r="N227" i="12"/>
  <c r="K227" i="12"/>
  <c r="J227" i="12"/>
  <c r="H227" i="12"/>
  <c r="G227" i="12"/>
  <c r="N226" i="12"/>
  <c r="K226" i="12"/>
  <c r="J226" i="12"/>
  <c r="H226" i="12"/>
  <c r="G226" i="12"/>
  <c r="N225" i="12"/>
  <c r="K225" i="12"/>
  <c r="J225" i="12"/>
  <c r="H225" i="12"/>
  <c r="G225" i="12"/>
  <c r="N224" i="12"/>
  <c r="K224" i="12"/>
  <c r="J224" i="12"/>
  <c r="H224" i="12"/>
  <c r="G224" i="12"/>
  <c r="N223" i="12"/>
  <c r="K223" i="12"/>
  <c r="J223" i="12"/>
  <c r="H223" i="12"/>
  <c r="G223" i="12"/>
  <c r="N222" i="12"/>
  <c r="K222" i="12"/>
  <c r="J222" i="12"/>
  <c r="H222" i="12"/>
  <c r="G222" i="12"/>
  <c r="N221" i="12"/>
  <c r="K221" i="12"/>
  <c r="J221" i="12"/>
  <c r="H221" i="12"/>
  <c r="G221" i="12"/>
  <c r="N220" i="12"/>
  <c r="K220" i="12"/>
  <c r="J220" i="12"/>
  <c r="H220" i="12"/>
  <c r="G220" i="12"/>
  <c r="N219" i="12"/>
  <c r="K219" i="12"/>
  <c r="J219" i="12"/>
  <c r="H219" i="12"/>
  <c r="G219" i="12"/>
  <c r="N218" i="12"/>
  <c r="K218" i="12"/>
  <c r="J218" i="12"/>
  <c r="H218" i="12"/>
  <c r="G218" i="12"/>
  <c r="N217" i="12"/>
  <c r="K217" i="12"/>
  <c r="J217" i="12"/>
  <c r="H217" i="12"/>
  <c r="G217" i="12"/>
  <c r="N216" i="12"/>
  <c r="K216" i="12"/>
  <c r="J216" i="12"/>
  <c r="H216" i="12"/>
  <c r="G216" i="12"/>
  <c r="N215" i="12"/>
  <c r="K215" i="12"/>
  <c r="J215" i="12"/>
  <c r="H215" i="12"/>
  <c r="G215" i="12"/>
  <c r="N214" i="12"/>
  <c r="K214" i="12"/>
  <c r="J214" i="12"/>
  <c r="H214" i="12"/>
  <c r="G214" i="12"/>
  <c r="N213" i="12"/>
  <c r="K213" i="12"/>
  <c r="J213" i="12"/>
  <c r="H213" i="12"/>
  <c r="G213" i="12"/>
  <c r="N212" i="12"/>
  <c r="K212" i="12"/>
  <c r="J212" i="12"/>
  <c r="H212" i="12"/>
  <c r="G212" i="12"/>
  <c r="N211" i="12"/>
  <c r="K211" i="12"/>
  <c r="J211" i="12"/>
  <c r="H211" i="12"/>
  <c r="G211" i="12"/>
  <c r="N210" i="12"/>
  <c r="K210" i="12"/>
  <c r="J210" i="12"/>
  <c r="H210" i="12"/>
  <c r="G210" i="12"/>
  <c r="N209" i="12"/>
  <c r="K209" i="12"/>
  <c r="J209" i="12"/>
  <c r="H209" i="12"/>
  <c r="G209" i="12"/>
  <c r="N208" i="12"/>
  <c r="K208" i="12"/>
  <c r="J208" i="12"/>
  <c r="H208" i="12"/>
  <c r="G208" i="12"/>
  <c r="N207" i="12"/>
  <c r="K207" i="12"/>
  <c r="J207" i="12"/>
  <c r="H207" i="12"/>
  <c r="G207" i="12"/>
  <c r="N206" i="12"/>
  <c r="K206" i="12"/>
  <c r="J206" i="12"/>
  <c r="H206" i="12"/>
  <c r="G206" i="12"/>
  <c r="N205" i="12"/>
  <c r="K205" i="12"/>
  <c r="J205" i="12"/>
  <c r="H205" i="12"/>
  <c r="G205" i="12"/>
  <c r="N204" i="12"/>
  <c r="K204" i="12"/>
  <c r="J204" i="12"/>
  <c r="H204" i="12"/>
  <c r="G204" i="12"/>
  <c r="N203" i="12"/>
  <c r="K203" i="12"/>
  <c r="J203" i="12"/>
  <c r="H203" i="12"/>
  <c r="G203" i="12"/>
  <c r="N202" i="12"/>
  <c r="K202" i="12"/>
  <c r="J202" i="12"/>
  <c r="H202" i="12"/>
  <c r="G202" i="12"/>
  <c r="N201" i="12"/>
  <c r="K201" i="12"/>
  <c r="J201" i="12"/>
  <c r="H201" i="12"/>
  <c r="G201" i="12"/>
  <c r="N200" i="12"/>
  <c r="K200" i="12"/>
  <c r="J200" i="12"/>
  <c r="H200" i="12"/>
  <c r="G200" i="12"/>
  <c r="N199" i="12"/>
  <c r="K199" i="12"/>
  <c r="J199" i="12"/>
  <c r="H199" i="12"/>
  <c r="G199" i="12"/>
  <c r="N198" i="12"/>
  <c r="K198" i="12"/>
  <c r="J198" i="12"/>
  <c r="H198" i="12"/>
  <c r="G198" i="12"/>
  <c r="N197" i="12"/>
  <c r="K197" i="12"/>
  <c r="J197" i="12"/>
  <c r="H197" i="12"/>
  <c r="G197" i="12"/>
  <c r="N196" i="12"/>
  <c r="K196" i="12"/>
  <c r="J196" i="12"/>
  <c r="H196" i="12"/>
  <c r="G196" i="12"/>
  <c r="N195" i="12"/>
  <c r="K195" i="12"/>
  <c r="J195" i="12"/>
  <c r="H195" i="12"/>
  <c r="G195" i="12"/>
  <c r="N194" i="12"/>
  <c r="K194" i="12"/>
  <c r="J194" i="12"/>
  <c r="H194" i="12"/>
  <c r="G194" i="12"/>
  <c r="N193" i="12"/>
  <c r="K193" i="12"/>
  <c r="J193" i="12"/>
  <c r="H193" i="12"/>
  <c r="G193" i="12"/>
  <c r="N192" i="12"/>
  <c r="K192" i="12"/>
  <c r="J192" i="12"/>
  <c r="H192" i="12"/>
  <c r="G192" i="12"/>
  <c r="N191" i="12"/>
  <c r="K191" i="12"/>
  <c r="J191" i="12"/>
  <c r="H191" i="12"/>
  <c r="G191" i="12"/>
  <c r="N190" i="12"/>
  <c r="K190" i="12"/>
  <c r="J190" i="12"/>
  <c r="H190" i="12"/>
  <c r="G190" i="12"/>
  <c r="N189" i="12"/>
  <c r="K189" i="12"/>
  <c r="J189" i="12"/>
  <c r="H189" i="12"/>
  <c r="G189" i="12"/>
  <c r="N188" i="12"/>
  <c r="K188" i="12"/>
  <c r="J188" i="12"/>
  <c r="H188" i="12"/>
  <c r="G188" i="12"/>
  <c r="N187" i="12"/>
  <c r="K187" i="12"/>
  <c r="J187" i="12"/>
  <c r="H187" i="12"/>
  <c r="G187" i="12"/>
  <c r="N186" i="12"/>
  <c r="K186" i="12"/>
  <c r="J186" i="12"/>
  <c r="H186" i="12"/>
  <c r="G186" i="12"/>
  <c r="N185" i="12"/>
  <c r="K185" i="12"/>
  <c r="J185" i="12"/>
  <c r="H185" i="12"/>
  <c r="G185" i="12"/>
  <c r="N184" i="12"/>
  <c r="K184" i="12"/>
  <c r="J184" i="12"/>
  <c r="H184" i="12"/>
  <c r="G184" i="12"/>
  <c r="N183" i="12"/>
  <c r="K183" i="12"/>
  <c r="J183" i="12"/>
  <c r="H183" i="12"/>
  <c r="G183" i="12"/>
  <c r="N182" i="12"/>
  <c r="K182" i="12"/>
  <c r="J182" i="12"/>
  <c r="H182" i="12"/>
  <c r="G182" i="12"/>
  <c r="N181" i="12"/>
  <c r="K181" i="12"/>
  <c r="J181" i="12"/>
  <c r="H181" i="12"/>
  <c r="G181" i="12"/>
  <c r="N180" i="12"/>
  <c r="K180" i="12"/>
  <c r="J180" i="12"/>
  <c r="H180" i="12"/>
  <c r="G180" i="12"/>
  <c r="N179" i="12"/>
  <c r="K179" i="12"/>
  <c r="J179" i="12"/>
  <c r="H179" i="12"/>
  <c r="G179" i="12"/>
  <c r="N178" i="12"/>
  <c r="K178" i="12"/>
  <c r="J178" i="12"/>
  <c r="H178" i="12"/>
  <c r="G178" i="12"/>
  <c r="N177" i="12"/>
  <c r="K177" i="12"/>
  <c r="J177" i="12"/>
  <c r="H177" i="12"/>
  <c r="G177" i="12"/>
  <c r="N176" i="12"/>
  <c r="K176" i="12"/>
  <c r="J176" i="12"/>
  <c r="H176" i="12"/>
  <c r="G176" i="12"/>
  <c r="N175" i="12"/>
  <c r="K175" i="12"/>
  <c r="J175" i="12"/>
  <c r="H175" i="12"/>
  <c r="G175" i="12"/>
  <c r="N174" i="12"/>
  <c r="K174" i="12"/>
  <c r="J174" i="12"/>
  <c r="H174" i="12"/>
  <c r="G174" i="12"/>
  <c r="N173" i="12"/>
  <c r="K173" i="12"/>
  <c r="J173" i="12"/>
  <c r="H173" i="12"/>
  <c r="G173" i="12"/>
  <c r="N172" i="12"/>
  <c r="K172" i="12"/>
  <c r="J172" i="12"/>
  <c r="H172" i="12"/>
  <c r="G172" i="12"/>
  <c r="N171" i="12"/>
  <c r="K171" i="12"/>
  <c r="J171" i="12"/>
  <c r="H171" i="12"/>
  <c r="G171" i="12"/>
  <c r="N170" i="12"/>
  <c r="K170" i="12"/>
  <c r="J170" i="12"/>
  <c r="H170" i="12"/>
  <c r="G170" i="12"/>
  <c r="N169" i="12"/>
  <c r="K169" i="12"/>
  <c r="J169" i="12"/>
  <c r="H169" i="12"/>
  <c r="G169" i="12"/>
  <c r="N168" i="12"/>
  <c r="K168" i="12"/>
  <c r="J168" i="12"/>
  <c r="H168" i="12"/>
  <c r="G168" i="12"/>
  <c r="N167" i="12"/>
  <c r="K167" i="12"/>
  <c r="J167" i="12"/>
  <c r="H167" i="12"/>
  <c r="G167" i="12"/>
  <c r="N166" i="12"/>
  <c r="K166" i="12"/>
  <c r="J166" i="12"/>
  <c r="H166" i="12"/>
  <c r="G166" i="12"/>
  <c r="N165" i="12"/>
  <c r="K165" i="12"/>
  <c r="J165" i="12"/>
  <c r="H165" i="12"/>
  <c r="G165" i="12"/>
  <c r="N164" i="12"/>
  <c r="K164" i="12"/>
  <c r="J164" i="12"/>
  <c r="H164" i="12"/>
  <c r="G164" i="12"/>
  <c r="N163" i="12"/>
  <c r="K163" i="12"/>
  <c r="J163" i="12"/>
  <c r="H163" i="12"/>
  <c r="G163" i="12"/>
  <c r="N162" i="12"/>
  <c r="K162" i="12"/>
  <c r="J162" i="12"/>
  <c r="H162" i="12"/>
  <c r="G162" i="12"/>
  <c r="N161" i="12"/>
  <c r="K161" i="12"/>
  <c r="J161" i="12"/>
  <c r="H161" i="12"/>
  <c r="G161" i="12"/>
  <c r="N160" i="12"/>
  <c r="K160" i="12"/>
  <c r="J160" i="12"/>
  <c r="H160" i="12"/>
  <c r="G160" i="12"/>
  <c r="N159" i="12"/>
  <c r="K159" i="12"/>
  <c r="J159" i="12"/>
  <c r="H159" i="12"/>
  <c r="G159" i="12"/>
  <c r="N158" i="12"/>
  <c r="K158" i="12"/>
  <c r="J158" i="12"/>
  <c r="H158" i="12"/>
  <c r="G158" i="12"/>
  <c r="N157" i="12"/>
  <c r="K157" i="12"/>
  <c r="J157" i="12"/>
  <c r="H157" i="12"/>
  <c r="G157" i="12"/>
  <c r="N156" i="12"/>
  <c r="K156" i="12"/>
  <c r="J156" i="12"/>
  <c r="H156" i="12"/>
  <c r="G156" i="12"/>
  <c r="N155" i="12"/>
  <c r="K155" i="12"/>
  <c r="J155" i="12"/>
  <c r="H155" i="12"/>
  <c r="G155" i="12"/>
  <c r="N154" i="12"/>
  <c r="K154" i="12"/>
  <c r="J154" i="12"/>
  <c r="H154" i="12"/>
  <c r="G154" i="12"/>
  <c r="N153" i="12"/>
  <c r="K153" i="12"/>
  <c r="J153" i="12"/>
  <c r="H153" i="12"/>
  <c r="G153" i="12"/>
  <c r="N152" i="12"/>
  <c r="K152" i="12"/>
  <c r="J152" i="12"/>
  <c r="H152" i="12"/>
  <c r="G152" i="12"/>
  <c r="N151" i="12"/>
  <c r="K151" i="12"/>
  <c r="J151" i="12"/>
  <c r="H151" i="12"/>
  <c r="G151" i="12"/>
  <c r="N150" i="12"/>
  <c r="K150" i="12"/>
  <c r="J150" i="12"/>
  <c r="H150" i="12"/>
  <c r="G150" i="12"/>
  <c r="N149" i="12"/>
  <c r="K149" i="12"/>
  <c r="J149" i="12"/>
  <c r="H149" i="12"/>
  <c r="G149" i="12"/>
  <c r="N148" i="12"/>
  <c r="K148" i="12"/>
  <c r="J148" i="12"/>
  <c r="H148" i="12"/>
  <c r="G148" i="12"/>
  <c r="N147" i="12"/>
  <c r="K147" i="12"/>
  <c r="J147" i="12"/>
  <c r="H147" i="12"/>
  <c r="G147" i="12"/>
  <c r="N146" i="12"/>
  <c r="K146" i="12"/>
  <c r="J146" i="12"/>
  <c r="H146" i="12"/>
  <c r="G146" i="12"/>
  <c r="N145" i="12"/>
  <c r="K145" i="12"/>
  <c r="J145" i="12"/>
  <c r="H145" i="12"/>
  <c r="G145" i="12"/>
  <c r="N144" i="12"/>
  <c r="K144" i="12"/>
  <c r="J144" i="12"/>
  <c r="H144" i="12"/>
  <c r="G144" i="12"/>
  <c r="N143" i="12"/>
  <c r="K143" i="12"/>
  <c r="J143" i="12"/>
  <c r="H143" i="12"/>
  <c r="G143" i="12"/>
  <c r="N142" i="12"/>
  <c r="K142" i="12"/>
  <c r="J142" i="12"/>
  <c r="H142" i="12"/>
  <c r="G142" i="12"/>
  <c r="N141" i="12"/>
  <c r="K141" i="12"/>
  <c r="J141" i="12"/>
  <c r="H141" i="12"/>
  <c r="G141" i="12"/>
  <c r="N140" i="12"/>
  <c r="K140" i="12"/>
  <c r="J140" i="12"/>
  <c r="H140" i="12"/>
  <c r="G140" i="12"/>
  <c r="N139" i="12"/>
  <c r="K139" i="12"/>
  <c r="J139" i="12"/>
  <c r="H139" i="12"/>
  <c r="G139" i="12"/>
  <c r="N138" i="12"/>
  <c r="K138" i="12"/>
  <c r="J138" i="12"/>
  <c r="H138" i="12"/>
  <c r="G138" i="12"/>
  <c r="N137" i="12"/>
  <c r="K137" i="12"/>
  <c r="J137" i="12"/>
  <c r="H137" i="12"/>
  <c r="G137" i="12"/>
  <c r="N136" i="12"/>
  <c r="K136" i="12"/>
  <c r="J136" i="12"/>
  <c r="H136" i="12"/>
  <c r="G136" i="12"/>
  <c r="N135" i="12"/>
  <c r="K135" i="12"/>
  <c r="J135" i="12"/>
  <c r="H135" i="12"/>
  <c r="G135" i="12"/>
  <c r="N134" i="12"/>
  <c r="K134" i="12"/>
  <c r="J134" i="12"/>
  <c r="H134" i="12"/>
  <c r="G134" i="12"/>
  <c r="N133" i="12"/>
  <c r="K133" i="12"/>
  <c r="J133" i="12"/>
  <c r="H133" i="12"/>
  <c r="G133" i="12"/>
  <c r="N132" i="12"/>
  <c r="K132" i="12"/>
  <c r="J132" i="12"/>
  <c r="H132" i="12"/>
  <c r="G132" i="12"/>
  <c r="N131" i="12"/>
  <c r="K131" i="12"/>
  <c r="J131" i="12"/>
  <c r="H131" i="12"/>
  <c r="G131" i="12"/>
  <c r="N130" i="12"/>
  <c r="K130" i="12"/>
  <c r="J130" i="12"/>
  <c r="H130" i="12"/>
  <c r="G130" i="12"/>
  <c r="N129" i="12"/>
  <c r="K129" i="12"/>
  <c r="J129" i="12"/>
  <c r="H129" i="12"/>
  <c r="G129" i="12"/>
  <c r="N128" i="12"/>
  <c r="K128" i="12"/>
  <c r="J128" i="12"/>
  <c r="H128" i="12"/>
  <c r="G128" i="12"/>
  <c r="N127" i="12"/>
  <c r="K127" i="12"/>
  <c r="J127" i="12"/>
  <c r="H127" i="12"/>
  <c r="G127" i="12"/>
  <c r="N126" i="12"/>
  <c r="K126" i="12"/>
  <c r="J126" i="12"/>
  <c r="H126" i="12"/>
  <c r="G126" i="12"/>
  <c r="N125" i="12"/>
  <c r="K125" i="12"/>
  <c r="J125" i="12"/>
  <c r="H125" i="12"/>
  <c r="G125" i="12"/>
  <c r="N124" i="12"/>
  <c r="K124" i="12"/>
  <c r="J124" i="12"/>
  <c r="H124" i="12"/>
  <c r="G124" i="12"/>
  <c r="N123" i="12"/>
  <c r="K123" i="12"/>
  <c r="J123" i="12"/>
  <c r="H123" i="12"/>
  <c r="G123" i="12"/>
  <c r="N122" i="12"/>
  <c r="K122" i="12"/>
  <c r="J122" i="12"/>
  <c r="H122" i="12"/>
  <c r="G122" i="12"/>
  <c r="N121" i="12"/>
  <c r="K121" i="12"/>
  <c r="J121" i="12"/>
  <c r="H121" i="12"/>
  <c r="G121" i="12"/>
  <c r="N120" i="12"/>
  <c r="K120" i="12"/>
  <c r="J120" i="12"/>
  <c r="H120" i="12"/>
  <c r="G120" i="12"/>
  <c r="N119" i="12"/>
  <c r="K119" i="12"/>
  <c r="J119" i="12"/>
  <c r="H119" i="12"/>
  <c r="G119" i="12"/>
  <c r="N118" i="12"/>
  <c r="K118" i="12"/>
  <c r="J118" i="12"/>
  <c r="H118" i="12"/>
  <c r="G118" i="12"/>
  <c r="N117" i="12"/>
  <c r="K117" i="12"/>
  <c r="J117" i="12"/>
  <c r="H117" i="12"/>
  <c r="G117" i="12"/>
  <c r="N116" i="12"/>
  <c r="K116" i="12"/>
  <c r="J116" i="12"/>
  <c r="H116" i="12"/>
  <c r="G116" i="12"/>
  <c r="N115" i="12"/>
  <c r="K115" i="12"/>
  <c r="J115" i="12"/>
  <c r="H115" i="12"/>
  <c r="G115" i="12"/>
  <c r="N114" i="12"/>
  <c r="K114" i="12"/>
  <c r="J114" i="12"/>
  <c r="H114" i="12"/>
  <c r="G114" i="12"/>
  <c r="N113" i="12"/>
  <c r="K113" i="12"/>
  <c r="J113" i="12"/>
  <c r="H113" i="12"/>
  <c r="G113" i="12"/>
  <c r="N112" i="12"/>
  <c r="K112" i="12"/>
  <c r="J112" i="12"/>
  <c r="H112" i="12"/>
  <c r="G112" i="12"/>
  <c r="N111" i="12"/>
  <c r="K111" i="12"/>
  <c r="J111" i="12"/>
  <c r="H111" i="12"/>
  <c r="G111" i="12"/>
  <c r="N110" i="12"/>
  <c r="K110" i="12"/>
  <c r="J110" i="12"/>
  <c r="H110" i="12"/>
  <c r="G110" i="12"/>
  <c r="N109" i="12"/>
  <c r="K109" i="12"/>
  <c r="J109" i="12"/>
  <c r="H109" i="12"/>
  <c r="G109" i="12"/>
  <c r="N108" i="12"/>
  <c r="K108" i="12"/>
  <c r="J108" i="12"/>
  <c r="H108" i="12"/>
  <c r="G108" i="12"/>
  <c r="N107" i="12"/>
  <c r="K107" i="12"/>
  <c r="J107" i="12"/>
  <c r="H107" i="12"/>
  <c r="G107" i="12"/>
  <c r="N106" i="12"/>
  <c r="K106" i="12"/>
  <c r="J106" i="12"/>
  <c r="H106" i="12"/>
  <c r="G106" i="12"/>
  <c r="N105" i="12"/>
  <c r="K105" i="12"/>
  <c r="J105" i="12"/>
  <c r="H105" i="12"/>
  <c r="G105" i="12"/>
  <c r="N104" i="12"/>
  <c r="K104" i="12"/>
  <c r="J104" i="12"/>
  <c r="H104" i="12"/>
  <c r="G104" i="12"/>
  <c r="N103" i="12"/>
  <c r="K103" i="12"/>
  <c r="J103" i="12"/>
  <c r="H103" i="12"/>
  <c r="G103" i="12"/>
  <c r="N102" i="12"/>
  <c r="K102" i="12"/>
  <c r="J102" i="12"/>
  <c r="H102" i="12"/>
  <c r="G102" i="12"/>
  <c r="N101" i="12"/>
  <c r="K101" i="12"/>
  <c r="J101" i="12"/>
  <c r="H101" i="12"/>
  <c r="G101" i="12"/>
  <c r="N100" i="12"/>
  <c r="K100" i="12"/>
  <c r="J100" i="12"/>
  <c r="H100" i="12"/>
  <c r="G100" i="12"/>
  <c r="N99" i="12"/>
  <c r="K99" i="12"/>
  <c r="J99" i="12"/>
  <c r="H99" i="12"/>
  <c r="G99" i="12"/>
  <c r="N98" i="12"/>
  <c r="K98" i="12"/>
  <c r="J98" i="12"/>
  <c r="H98" i="12"/>
  <c r="G98" i="12"/>
  <c r="N97" i="12"/>
  <c r="K97" i="12"/>
  <c r="J97" i="12"/>
  <c r="H97" i="12"/>
  <c r="G97" i="12"/>
  <c r="N96" i="12"/>
  <c r="K96" i="12"/>
  <c r="J96" i="12"/>
  <c r="H96" i="12"/>
  <c r="G96" i="12"/>
  <c r="N95" i="12"/>
  <c r="K95" i="12"/>
  <c r="J95" i="12"/>
  <c r="H95" i="12"/>
  <c r="G95" i="12"/>
  <c r="N94" i="12"/>
  <c r="K94" i="12"/>
  <c r="J94" i="12"/>
  <c r="H94" i="12"/>
  <c r="G94" i="12"/>
  <c r="N93" i="12"/>
  <c r="K93" i="12"/>
  <c r="J93" i="12"/>
  <c r="H93" i="12"/>
  <c r="G93" i="12"/>
  <c r="N92" i="12"/>
  <c r="K92" i="12"/>
  <c r="J92" i="12"/>
  <c r="H92" i="12"/>
  <c r="G92" i="12"/>
  <c r="N91" i="12"/>
  <c r="K91" i="12"/>
  <c r="J91" i="12"/>
  <c r="H91" i="12"/>
  <c r="G91" i="12"/>
  <c r="N90" i="12"/>
  <c r="K90" i="12"/>
  <c r="J90" i="12"/>
  <c r="H90" i="12"/>
  <c r="G90" i="12"/>
  <c r="N89" i="12"/>
  <c r="K89" i="12"/>
  <c r="J89" i="12"/>
  <c r="H89" i="12"/>
  <c r="G89" i="12"/>
  <c r="N88" i="12"/>
  <c r="K88" i="12"/>
  <c r="J88" i="12"/>
  <c r="H88" i="12"/>
  <c r="G88" i="12"/>
  <c r="N87" i="12"/>
  <c r="K87" i="12"/>
  <c r="J87" i="12"/>
  <c r="H87" i="12"/>
  <c r="G87" i="12"/>
  <c r="N86" i="12"/>
  <c r="K86" i="12"/>
  <c r="J86" i="12"/>
  <c r="H86" i="12"/>
  <c r="G86" i="12"/>
  <c r="N85" i="12"/>
  <c r="K85" i="12"/>
  <c r="J85" i="12"/>
  <c r="H85" i="12"/>
  <c r="G85" i="12"/>
  <c r="N84" i="12"/>
  <c r="K84" i="12"/>
  <c r="J84" i="12"/>
  <c r="H84" i="12"/>
  <c r="G84" i="12"/>
  <c r="N83" i="12"/>
  <c r="K83" i="12"/>
  <c r="J83" i="12"/>
  <c r="H83" i="12"/>
  <c r="G83" i="12"/>
  <c r="N82" i="12"/>
  <c r="K82" i="12"/>
  <c r="J82" i="12"/>
  <c r="H82" i="12"/>
  <c r="G82" i="12"/>
  <c r="N81" i="12"/>
  <c r="K81" i="12"/>
  <c r="J81" i="12"/>
  <c r="H81" i="12"/>
  <c r="G81" i="12"/>
  <c r="N80" i="12"/>
  <c r="K80" i="12"/>
  <c r="J80" i="12"/>
  <c r="H80" i="12"/>
  <c r="G80" i="12"/>
  <c r="N79" i="12"/>
  <c r="K79" i="12"/>
  <c r="J79" i="12"/>
  <c r="H79" i="12"/>
  <c r="G79" i="12"/>
  <c r="N78" i="12"/>
  <c r="K78" i="12"/>
  <c r="J78" i="12"/>
  <c r="H78" i="12"/>
  <c r="G78" i="12"/>
  <c r="N77" i="12"/>
  <c r="K77" i="12"/>
  <c r="J77" i="12"/>
  <c r="H77" i="12"/>
  <c r="G77" i="12"/>
  <c r="N76" i="12"/>
  <c r="K76" i="12"/>
  <c r="J76" i="12"/>
  <c r="H76" i="12"/>
  <c r="G76" i="12"/>
  <c r="N75" i="12"/>
  <c r="K75" i="12"/>
  <c r="J75" i="12"/>
  <c r="H75" i="12"/>
  <c r="G75" i="12"/>
  <c r="N74" i="12"/>
  <c r="K74" i="12"/>
  <c r="J74" i="12"/>
  <c r="H74" i="12"/>
  <c r="G74" i="12"/>
  <c r="N73" i="12"/>
  <c r="K73" i="12"/>
  <c r="J73" i="12"/>
  <c r="H73" i="12"/>
  <c r="G73" i="12"/>
  <c r="N72" i="12"/>
  <c r="K72" i="12"/>
  <c r="J72" i="12"/>
  <c r="H72" i="12"/>
  <c r="G72" i="12"/>
  <c r="N71" i="12"/>
  <c r="K71" i="12"/>
  <c r="J71" i="12"/>
  <c r="H71" i="12"/>
  <c r="G71" i="12"/>
  <c r="N70" i="12"/>
  <c r="K70" i="12"/>
  <c r="J70" i="12"/>
  <c r="H70" i="12"/>
  <c r="G70" i="12"/>
  <c r="N69" i="12"/>
  <c r="K69" i="12"/>
  <c r="J69" i="12"/>
  <c r="H69" i="12"/>
  <c r="G69" i="12"/>
  <c r="N68" i="12"/>
  <c r="K68" i="12"/>
  <c r="J68" i="12"/>
  <c r="H68" i="12"/>
  <c r="G68" i="12"/>
  <c r="N67" i="12"/>
  <c r="K67" i="12"/>
  <c r="J67" i="12"/>
  <c r="H67" i="12"/>
  <c r="G67" i="12"/>
  <c r="N66" i="12"/>
  <c r="K66" i="12"/>
  <c r="J66" i="12"/>
  <c r="H66" i="12"/>
  <c r="G66" i="12"/>
  <c r="N65" i="12"/>
  <c r="K65" i="12"/>
  <c r="J65" i="12"/>
  <c r="H65" i="12"/>
  <c r="G65" i="12"/>
  <c r="N64" i="12"/>
  <c r="K64" i="12"/>
  <c r="J64" i="12"/>
  <c r="H64" i="12"/>
  <c r="G64" i="12"/>
  <c r="N63" i="12"/>
  <c r="K63" i="12"/>
  <c r="J63" i="12"/>
  <c r="H63" i="12"/>
  <c r="G63" i="12"/>
  <c r="N62" i="12"/>
  <c r="K62" i="12"/>
  <c r="J62" i="12"/>
  <c r="H62" i="12"/>
  <c r="G62" i="12"/>
  <c r="N61" i="12"/>
  <c r="K61" i="12"/>
  <c r="J61" i="12"/>
  <c r="H61" i="12"/>
  <c r="G61" i="12"/>
  <c r="N60" i="12"/>
  <c r="K60" i="12"/>
  <c r="J60" i="12"/>
  <c r="H60" i="12"/>
  <c r="G60" i="12"/>
  <c r="N59" i="12"/>
  <c r="K59" i="12"/>
  <c r="J59" i="12"/>
  <c r="H59" i="12"/>
  <c r="G59" i="12"/>
  <c r="N58" i="12"/>
  <c r="K58" i="12"/>
  <c r="J58" i="12"/>
  <c r="H58" i="12"/>
  <c r="G58" i="12"/>
  <c r="N57" i="12"/>
  <c r="K57" i="12"/>
  <c r="J57" i="12"/>
  <c r="H57" i="12"/>
  <c r="G57" i="12"/>
  <c r="N56" i="12"/>
  <c r="K56" i="12"/>
  <c r="J56" i="12"/>
  <c r="H56" i="12"/>
  <c r="G56" i="12"/>
  <c r="N55" i="12"/>
  <c r="K55" i="12"/>
  <c r="J55" i="12"/>
  <c r="H55" i="12"/>
  <c r="G55" i="12"/>
  <c r="N54" i="12"/>
  <c r="K54" i="12"/>
  <c r="J54" i="12"/>
  <c r="H54" i="12"/>
  <c r="G54" i="12"/>
  <c r="N53" i="12"/>
  <c r="K53" i="12"/>
  <c r="J53" i="12"/>
  <c r="H53" i="12"/>
  <c r="G53" i="12"/>
  <c r="N52" i="12"/>
  <c r="K52" i="12"/>
  <c r="J52" i="12"/>
  <c r="H52" i="12"/>
  <c r="G52" i="12"/>
  <c r="N51" i="12"/>
  <c r="K51" i="12"/>
  <c r="J51" i="12"/>
  <c r="H51" i="12"/>
  <c r="G51" i="12"/>
  <c r="N50" i="12"/>
  <c r="K50" i="12"/>
  <c r="J50" i="12"/>
  <c r="H50" i="12"/>
  <c r="G50" i="12"/>
  <c r="N49" i="12"/>
  <c r="K49" i="12"/>
  <c r="J49" i="12"/>
  <c r="H49" i="12"/>
  <c r="G49" i="12"/>
  <c r="N48" i="12"/>
  <c r="K48" i="12"/>
  <c r="J48" i="12"/>
  <c r="H48" i="12"/>
  <c r="G48" i="12"/>
  <c r="N47" i="12"/>
  <c r="K47" i="12"/>
  <c r="J47" i="12"/>
  <c r="H47" i="12"/>
  <c r="G47" i="12"/>
  <c r="N46" i="12"/>
  <c r="K46" i="12"/>
  <c r="J46" i="12"/>
  <c r="H46" i="12"/>
  <c r="G46" i="12"/>
  <c r="N45" i="12"/>
  <c r="K45" i="12"/>
  <c r="J45" i="12"/>
  <c r="H45" i="12"/>
  <c r="G45" i="12"/>
  <c r="N44" i="12"/>
  <c r="K44" i="12"/>
  <c r="J44" i="12"/>
  <c r="H44" i="12"/>
  <c r="G44" i="12"/>
  <c r="N43" i="12"/>
  <c r="K43" i="12"/>
  <c r="J43" i="12"/>
  <c r="H43" i="12"/>
  <c r="G43" i="12"/>
  <c r="N42" i="12"/>
  <c r="K42" i="12"/>
  <c r="J42" i="12"/>
  <c r="H42" i="12"/>
  <c r="G42" i="12"/>
  <c r="N41" i="12"/>
  <c r="K41" i="12"/>
  <c r="J41" i="12"/>
  <c r="H41" i="12"/>
  <c r="G41" i="12"/>
  <c r="N40" i="12"/>
  <c r="K40" i="12"/>
  <c r="J40" i="12"/>
  <c r="H40" i="12"/>
  <c r="G40" i="12"/>
  <c r="N39" i="12"/>
  <c r="K39" i="12"/>
  <c r="J39" i="12"/>
  <c r="H39" i="12"/>
  <c r="G39" i="12"/>
  <c r="N38" i="12"/>
  <c r="K38" i="12"/>
  <c r="J38" i="12"/>
  <c r="H38" i="12"/>
  <c r="G38" i="12"/>
  <c r="N37" i="12"/>
  <c r="K37" i="12"/>
  <c r="J37" i="12"/>
  <c r="H37" i="12"/>
  <c r="G37" i="12"/>
  <c r="N36" i="12"/>
  <c r="K36" i="12"/>
  <c r="J36" i="12"/>
  <c r="H36" i="12"/>
  <c r="G36" i="12"/>
  <c r="N35" i="12"/>
  <c r="K35" i="12"/>
  <c r="J35" i="12"/>
  <c r="H35" i="12"/>
  <c r="G35" i="12"/>
  <c r="N34" i="12"/>
  <c r="K34" i="12"/>
  <c r="J34" i="12"/>
  <c r="H34" i="12"/>
  <c r="G34" i="12"/>
  <c r="N33" i="12"/>
  <c r="K33" i="12"/>
  <c r="J33" i="12"/>
  <c r="H33" i="12"/>
  <c r="G33" i="12"/>
  <c r="N32" i="12"/>
  <c r="K32" i="12"/>
  <c r="J32" i="12"/>
  <c r="H32" i="12"/>
  <c r="G32" i="12"/>
  <c r="N31" i="12"/>
  <c r="K31" i="12"/>
  <c r="J31" i="12"/>
  <c r="H31" i="12"/>
  <c r="G31" i="12"/>
  <c r="N30" i="12"/>
  <c r="K30" i="12"/>
  <c r="J30" i="12"/>
  <c r="H30" i="12"/>
  <c r="G30" i="12"/>
  <c r="N29" i="12"/>
  <c r="K29" i="12"/>
  <c r="J29" i="12"/>
  <c r="H29" i="12"/>
  <c r="G29" i="12"/>
  <c r="N28" i="12"/>
  <c r="K28" i="12"/>
  <c r="J28" i="12"/>
  <c r="H28" i="12"/>
  <c r="G28" i="12"/>
  <c r="N27" i="12"/>
  <c r="K27" i="12"/>
  <c r="J27" i="12"/>
  <c r="H27" i="12"/>
  <c r="G27" i="12"/>
  <c r="N26" i="12"/>
  <c r="K26" i="12"/>
  <c r="J26" i="12"/>
  <c r="H26" i="12"/>
  <c r="G26" i="12"/>
  <c r="N25" i="12"/>
  <c r="K25" i="12"/>
  <c r="J25" i="12"/>
  <c r="H25" i="12"/>
  <c r="G25" i="12"/>
  <c r="N24" i="12"/>
  <c r="K24" i="12"/>
  <c r="J24" i="12"/>
  <c r="H24" i="12"/>
  <c r="G24" i="12"/>
  <c r="N23" i="12"/>
  <c r="K23" i="12"/>
  <c r="J23" i="12"/>
  <c r="H23" i="12"/>
  <c r="G23" i="12"/>
  <c r="N22" i="12"/>
  <c r="K22" i="12"/>
  <c r="J22" i="12"/>
  <c r="H22" i="12"/>
  <c r="G22" i="12"/>
  <c r="N21" i="12"/>
  <c r="K21" i="12"/>
  <c r="J21" i="12"/>
  <c r="H21" i="12"/>
  <c r="G21" i="12"/>
  <c r="N20" i="12"/>
  <c r="K20" i="12"/>
  <c r="J20" i="12"/>
  <c r="H20" i="12"/>
  <c r="G20" i="12"/>
  <c r="N19" i="12"/>
  <c r="K19" i="12"/>
  <c r="J19" i="12"/>
  <c r="H19" i="12"/>
  <c r="G19" i="12"/>
  <c r="N18" i="12"/>
  <c r="K18" i="12"/>
  <c r="J18" i="12"/>
  <c r="H18" i="12"/>
  <c r="G18" i="12"/>
  <c r="N17" i="12"/>
  <c r="K17" i="12"/>
  <c r="J17" i="12"/>
  <c r="H17" i="12"/>
  <c r="G17" i="12"/>
  <c r="N16" i="12"/>
  <c r="K16" i="12"/>
  <c r="J16" i="12"/>
  <c r="H16" i="12"/>
  <c r="G16" i="12"/>
  <c r="N15" i="12"/>
  <c r="K15" i="12"/>
  <c r="J15" i="12"/>
  <c r="H15" i="12"/>
  <c r="G15" i="12"/>
  <c r="N14" i="12"/>
  <c r="K14" i="12"/>
  <c r="J14" i="12"/>
  <c r="H14" i="12"/>
  <c r="G14" i="12"/>
  <c r="N13" i="12"/>
  <c r="K13" i="12"/>
  <c r="J13" i="12"/>
  <c r="H13" i="12"/>
  <c r="G13" i="12"/>
  <c r="N12" i="12"/>
  <c r="K12" i="12"/>
  <c r="J12" i="12"/>
  <c r="H12" i="12"/>
  <c r="G12" i="12"/>
  <c r="N11" i="12"/>
  <c r="K11" i="12"/>
  <c r="J11" i="12"/>
  <c r="H11" i="12"/>
  <c r="G11" i="12"/>
  <c r="N10" i="12"/>
  <c r="K10" i="12"/>
  <c r="J10" i="12"/>
  <c r="H10" i="12"/>
  <c r="G10" i="12"/>
  <c r="N9" i="12"/>
  <c r="K9" i="12"/>
  <c r="J9" i="12"/>
  <c r="H9" i="12"/>
  <c r="G9" i="12"/>
  <c r="N8" i="12"/>
  <c r="K8" i="12"/>
  <c r="J8" i="12"/>
  <c r="H8" i="12"/>
  <c r="G8" i="12"/>
  <c r="N7" i="12"/>
  <c r="K7" i="12"/>
  <c r="J7" i="12"/>
  <c r="H7" i="12"/>
  <c r="G7" i="12"/>
  <c r="N6" i="12"/>
  <c r="K6" i="12"/>
  <c r="J6" i="12"/>
  <c r="H6" i="12"/>
  <c r="G6" i="12"/>
  <c r="N5" i="12"/>
  <c r="K5" i="12"/>
  <c r="J5" i="12"/>
  <c r="H5" i="12"/>
  <c r="G5" i="12"/>
  <c r="N4" i="12"/>
  <c r="K4" i="12"/>
  <c r="J4" i="12"/>
  <c r="H4" i="12"/>
  <c r="G4" i="12"/>
  <c r="N3" i="12"/>
  <c r="K3" i="12"/>
  <c r="J3" i="12"/>
  <c r="H3" i="12"/>
  <c r="G3" i="12"/>
  <c r="N2" i="12"/>
  <c r="K2" i="12"/>
  <c r="J2" i="12"/>
  <c r="H2" i="12"/>
  <c r="G2" i="12"/>
</calcChain>
</file>

<file path=xl/sharedStrings.xml><?xml version="1.0" encoding="utf-8"?>
<sst xmlns="http://schemas.openxmlformats.org/spreadsheetml/2006/main" count="20937" uniqueCount="5033">
  <si>
    <t>Category</t>
  </si>
  <si>
    <t>P420652</t>
  </si>
  <si>
    <t>Lip Sleeping Mask Intense Hydration with Vitamin C</t>
  </si>
  <si>
    <t>LANEIGE</t>
  </si>
  <si>
    <t>Lip Balms &amp; Treatments</t>
  </si>
  <si>
    <t>P427417</t>
  </si>
  <si>
    <t>Niacinamide 10% + Zinc 1% Oil Control Serum</t>
  </si>
  <si>
    <t>The Ordinary</t>
  </si>
  <si>
    <t>Treatments</t>
  </si>
  <si>
    <t>P427419</t>
  </si>
  <si>
    <t>Hyaluronic Acid 2% + B5 Hydrating Serum</t>
  </si>
  <si>
    <t>P427406</t>
  </si>
  <si>
    <t>Glycolic Acid 7% Exfoliating Toning Solution</t>
  </si>
  <si>
    <t>Cleansers</t>
  </si>
  <si>
    <t>P442563</t>
  </si>
  <si>
    <t>AHA 30% + BHA 2% Exfoliating Peeling Solution</t>
  </si>
  <si>
    <t>P443563</t>
  </si>
  <si>
    <t>Lip Glowy Balm</t>
  </si>
  <si>
    <t>P427421</t>
  </si>
  <si>
    <t>Protini Polypeptide Firming Refillable Moisturizer</t>
  </si>
  <si>
    <t>Drunk Elephant</t>
  </si>
  <si>
    <t>Moisturizers</t>
  </si>
  <si>
    <t>P411387</t>
  </si>
  <si>
    <t>Superfood Antioxidant Cleanser</t>
  </si>
  <si>
    <t>Youth To The People</t>
  </si>
  <si>
    <t>P417238</t>
  </si>
  <si>
    <t>Green Clean Makeup Removing Cleansing Balm</t>
  </si>
  <si>
    <t>Farmacy</t>
  </si>
  <si>
    <t>P466123</t>
  </si>
  <si>
    <t>Watermelon Glow Niacinamide Dew Drops</t>
  </si>
  <si>
    <t>Glow Recipe</t>
  </si>
  <si>
    <t>P441101</t>
  </si>
  <si>
    <t>The Dewy Skin Cream Plumping &amp; Hydrating Moisturizer</t>
  </si>
  <si>
    <t>Tatcha</t>
  </si>
  <si>
    <t>P418218</t>
  </si>
  <si>
    <t>The Water Cream Oil-Free Pore Minimizing Moisturizer</t>
  </si>
  <si>
    <t>P455936</t>
  </si>
  <si>
    <t>Lip Butter Balm</t>
  </si>
  <si>
    <t>Summer Fridays</t>
  </si>
  <si>
    <t>P427420</t>
  </si>
  <si>
    <t>Multi-Peptide + HA Serum</t>
  </si>
  <si>
    <t>P432668</t>
  </si>
  <si>
    <t>D-Bronzi Anti-Pollution Bronzing Drops with Peptides</t>
  </si>
  <si>
    <t>P421275</t>
  </si>
  <si>
    <t>Salicylic Acid Acne Healing Dots</t>
  </si>
  <si>
    <t>Peace Out</t>
  </si>
  <si>
    <t>P454380</t>
  </si>
  <si>
    <t>Unseen Sunscreen SPF 40 PA+++</t>
  </si>
  <si>
    <t>Supergoop!</t>
  </si>
  <si>
    <t>Sunscreen</t>
  </si>
  <si>
    <t>P400259</t>
  </si>
  <si>
    <t>C-Firma Fresh Vitamin-C Day Serum</t>
  </si>
  <si>
    <t>P248407</t>
  </si>
  <si>
    <t>Ultra Repair Cream Intense Hydration</t>
  </si>
  <si>
    <t>First Aid Beauty</t>
  </si>
  <si>
    <t>P427413</t>
  </si>
  <si>
    <t>Lactic Acid 10% + HA 2% Exfoliating Serum</t>
  </si>
  <si>
    <t>P392246</t>
  </si>
  <si>
    <t>T.L.C. Framboos Glycolic Resurfacing Night Serum</t>
  </si>
  <si>
    <t>P7880</t>
  </si>
  <si>
    <t>Soy Hydrating Gentle Face Cleanser</t>
  </si>
  <si>
    <t>fresh</t>
  </si>
  <si>
    <t>P427416</t>
  </si>
  <si>
    <t>Caffeine 5% + EGCG Depuffing Eye Serum</t>
  </si>
  <si>
    <t>P469502</t>
  </si>
  <si>
    <t>Skin Perfecting 2% BHA Liquid Exfoliant</t>
  </si>
  <si>
    <t>Paula's Choice</t>
  </si>
  <si>
    <t>P415777</t>
  </si>
  <si>
    <t>T.L.C. Sukari Babyfacial AHA + BHA Mask</t>
  </si>
  <si>
    <t>Masks</t>
  </si>
  <si>
    <t>P409800</t>
  </si>
  <si>
    <t>Cleansing &amp; Exfoliating Wipes</t>
  </si>
  <si>
    <t>SEPHORA COLLECTION</t>
  </si>
  <si>
    <t>P394639</t>
  </si>
  <si>
    <t>The True Cream Aqua Bomb</t>
  </si>
  <si>
    <t>belif</t>
  </si>
  <si>
    <t>P309308</t>
  </si>
  <si>
    <t>Good Genes All-In-One AHA Lactic Acid Treatment</t>
  </si>
  <si>
    <t>Sunday Riley</t>
  </si>
  <si>
    <t>P427414</t>
  </si>
  <si>
    <t>Natural Moisturizing Factors + HA</t>
  </si>
  <si>
    <t>P458219</t>
  </si>
  <si>
    <t>Watermelon Glow PHA + BHA Pore-Tight Toner</t>
  </si>
  <si>
    <t>P440307</t>
  </si>
  <si>
    <t>Superberry Hydrate + Glow Dream Night Mask with Vitamin C</t>
  </si>
  <si>
    <t>P427536</t>
  </si>
  <si>
    <t>The Deep Cleanse Gentle Exfoliating Cleanser</t>
  </si>
  <si>
    <t>P429952</t>
  </si>
  <si>
    <t>Jet Lag Mask</t>
  </si>
  <si>
    <t>P427415</t>
  </si>
  <si>
    <t>100% Organic Cold-Pressed Rose Hip Seed Oil</t>
  </si>
  <si>
    <t>P269122</t>
  </si>
  <si>
    <t>Alpha Beta Extra Strength Daily Peel Pads</t>
  </si>
  <si>
    <t>Dr. Dennis Gross Skincare</t>
  </si>
  <si>
    <t>P456218</t>
  </si>
  <si>
    <t>Glowscreen Sunscreen SPF 40 PA+++ with Hyaluronic Acid + Niacinamide</t>
  </si>
  <si>
    <t>P406712</t>
  </si>
  <si>
    <t>B-Hydra Intensive Hydration Serum with Hyaluronic Acid</t>
  </si>
  <si>
    <t>P439926</t>
  </si>
  <si>
    <t>A-Passioni Retinol Cream</t>
  </si>
  <si>
    <t>P411540</t>
  </si>
  <si>
    <t>Cicapair Tiger Grass Color Correcting Treatment SPF 30</t>
  </si>
  <si>
    <t>Dr. Jart+</t>
  </si>
  <si>
    <t>P431180</t>
  </si>
  <si>
    <t>Self Tanning Bronzing Face Drops</t>
  </si>
  <si>
    <t>Isle of Paradise</t>
  </si>
  <si>
    <t>Self Tanners</t>
  </si>
  <si>
    <t>P399623</t>
  </si>
  <si>
    <t>Luminous Dewy Skin Mist</t>
  </si>
  <si>
    <t>P442840</t>
  </si>
  <si>
    <t>Barrier+ Triple Lipid-Peptide Face Cream</t>
  </si>
  <si>
    <t>Skinfix</t>
  </si>
  <si>
    <t>P453225</t>
  </si>
  <si>
    <t>The Kissu Lip Mask</t>
  </si>
  <si>
    <t>P421996</t>
  </si>
  <si>
    <t>Ultra Facial Moisturizing Cream with Squalane</t>
  </si>
  <si>
    <t>Kiehl's Since 1851</t>
  </si>
  <si>
    <t>P443842</t>
  </si>
  <si>
    <t>Retinol Anti-Aging Serum</t>
  </si>
  <si>
    <t>The INKEY List</t>
  </si>
  <si>
    <t>P427418</t>
  </si>
  <si>
    <t>Granactive Retinoid* 2% Emulsion</t>
  </si>
  <si>
    <t>P297524</t>
  </si>
  <si>
    <t>Clear Improvement Active Charcoal Mask to Clear Pores</t>
  </si>
  <si>
    <t>Origins</t>
  </si>
  <si>
    <t>P461537</t>
  </si>
  <si>
    <t>The Rice Wash Skin-Softening Cleanser</t>
  </si>
  <si>
    <t>P427411</t>
  </si>
  <si>
    <t>Azelaic Acid 10% Suspension Brightening Cream</t>
  </si>
  <si>
    <t>P427412</t>
  </si>
  <si>
    <t>Alpha Arbutin 2% + HA Hyperpigmentation Serum</t>
  </si>
  <si>
    <t>P395615</t>
  </si>
  <si>
    <t>Pore Minimizing Instant Detox Mask</t>
  </si>
  <si>
    <t>Caudalie</t>
  </si>
  <si>
    <t>P126301</t>
  </si>
  <si>
    <t>Take The Day Off Cleansing Balm Makeup Remover</t>
  </si>
  <si>
    <t>CLINIQUE</t>
  </si>
  <si>
    <t>P426340</t>
  </si>
  <si>
    <t>The Rice Polish Foaming Enzyme Powder</t>
  </si>
  <si>
    <t>P439061</t>
  </si>
  <si>
    <t>Glow2OH Dark Spot Toner</t>
  </si>
  <si>
    <t>OLEHENRIKSEN</t>
  </si>
  <si>
    <t>P469503</t>
  </si>
  <si>
    <t>Mini Skin Perfecting 2% BHA Liquid Exfoliant</t>
  </si>
  <si>
    <t>Mini Size</t>
  </si>
  <si>
    <t>P434548</t>
  </si>
  <si>
    <t>Honeymoon Glow AHA Resurfacing Night Serum</t>
  </si>
  <si>
    <t>P447791</t>
  </si>
  <si>
    <t>Avocado Fine Line Eye Cream with Retinol</t>
  </si>
  <si>
    <t>Eye Care</t>
  </si>
  <si>
    <t>P392245</t>
  </si>
  <si>
    <t>Virgin Marula Luxury Face Oil</t>
  </si>
  <si>
    <t>P393718</t>
  </si>
  <si>
    <t>Luna Sleeping Retinoid Night Oil</t>
  </si>
  <si>
    <t>P443840</t>
  </si>
  <si>
    <t>Caffeine Eye Cream</t>
  </si>
  <si>
    <t>P270594</t>
  </si>
  <si>
    <t>Vitamin Enriched Face Base Priming Moisturizer</t>
  </si>
  <si>
    <t>Bobbi Brown</t>
  </si>
  <si>
    <t>P443845</t>
  </si>
  <si>
    <t>Hyaluronic Acid Hydrating Serum</t>
  </si>
  <si>
    <t>P416563</t>
  </si>
  <si>
    <t>Squalane + Vitamin C Rose Firming Oil</t>
  </si>
  <si>
    <t>Biossance</t>
  </si>
  <si>
    <t>P94421</t>
  </si>
  <si>
    <t>Vinoperfect Radiance Dark Spot Serum Vitamin C Alternative</t>
  </si>
  <si>
    <t>P448530</t>
  </si>
  <si>
    <t>Salicylic Acid 2% Masque</t>
  </si>
  <si>
    <t>P428819</t>
  </si>
  <si>
    <t>Watermelon Pink Juice Oil-Free Moisturizer</t>
  </si>
  <si>
    <t>P462699</t>
  </si>
  <si>
    <t>Plum Plump Hyaluronic Acid Serum</t>
  </si>
  <si>
    <t>P417936</t>
  </si>
  <si>
    <t>Rose &amp; Hyaluronic Acid Deep Hydration Toner</t>
  </si>
  <si>
    <t>P394624</t>
  </si>
  <si>
    <t>The True Cream Moisturizing Bomb</t>
  </si>
  <si>
    <t>P443833</t>
  </si>
  <si>
    <t>Salicylic Acid Acne + Pore Cleanser</t>
  </si>
  <si>
    <t>P248404</t>
  </si>
  <si>
    <t>Pure Skin Face Cleanser</t>
  </si>
  <si>
    <t>P479327</t>
  </si>
  <si>
    <t>Plum Plump Hyaluronic Acid Moisturizer</t>
  </si>
  <si>
    <t>P456392</t>
  </si>
  <si>
    <t>Daily UV Defense Invisible Broad Spectrum SPF 36 Sunscreen</t>
  </si>
  <si>
    <t>innisfree</t>
  </si>
  <si>
    <t>P446938</t>
  </si>
  <si>
    <t>Lala Retro Whipped Refillable Moisturizer with Ceramides</t>
  </si>
  <si>
    <t>P446930</t>
  </si>
  <si>
    <t>Cream Skin Toner &amp; Moisturizer</t>
  </si>
  <si>
    <t>P392235</t>
  </si>
  <si>
    <t>The Camellia Oil 2-in-1 Makeup Remover &amp; Cleanser</t>
  </si>
  <si>
    <t>P12045</t>
  </si>
  <si>
    <t>Grape Water Moisturizing Face Mist</t>
  </si>
  <si>
    <t>P470259</t>
  </si>
  <si>
    <t>Faded Serum for Dark Spots &amp; Discoloration</t>
  </si>
  <si>
    <t>Topicals</t>
  </si>
  <si>
    <t>P467038</t>
  </si>
  <si>
    <t>Retinol Eye Stick</t>
  </si>
  <si>
    <t>P402944</t>
  </si>
  <si>
    <t>Silk Pillowcase - Standard/Queen</t>
  </si>
  <si>
    <t>Slip</t>
  </si>
  <si>
    <t>Wellness</t>
  </si>
  <si>
    <t>P218700</t>
  </si>
  <si>
    <t>100 percent Pure Argan Oil</t>
  </si>
  <si>
    <t>Josie Maran</t>
  </si>
  <si>
    <t>P411388</t>
  </si>
  <si>
    <t>Superfood Air-Whip Lightweight Moisturizer with Hyaluronic Acid</t>
  </si>
  <si>
    <t>P173726</t>
  </si>
  <si>
    <t>Facial Cotton</t>
  </si>
  <si>
    <t>Shiseido</t>
  </si>
  <si>
    <t>P421243</t>
  </si>
  <si>
    <t>Sugar Hydrating Lip Balm</t>
  </si>
  <si>
    <t>P427410</t>
  </si>
  <si>
    <t>Vitamin C Suspension 23% + HA Spheres 2%</t>
  </si>
  <si>
    <t>P463036</t>
  </si>
  <si>
    <t>Honey Halo Ultra-Hydrating Ceramide Moisturizer</t>
  </si>
  <si>
    <t>P439058</t>
  </si>
  <si>
    <t>Violet-C Brightening Serum 20% Vitamin C + 10% AHA</t>
  </si>
  <si>
    <t>P402718</t>
  </si>
  <si>
    <t>Power Couple Advanced Retinol and Lactic Acid Duo</t>
  </si>
  <si>
    <t>Value &amp; Gift Sets</t>
  </si>
  <si>
    <t>P455364</t>
  </si>
  <si>
    <t>Oat Cleansing Balm</t>
  </si>
  <si>
    <t>P278317</t>
  </si>
  <si>
    <t>Facial Radiance Pads</t>
  </si>
  <si>
    <t>P438619</t>
  </si>
  <si>
    <t>Brightening Eye Cream with Caffeine and Hyaluronic Acid</t>
  </si>
  <si>
    <t>P400207</t>
  </si>
  <si>
    <t>Blue Tansy BHA and Enzyme Pore Refining Mask</t>
  </si>
  <si>
    <t>Herbivore</t>
  </si>
  <si>
    <t>P12336</t>
  </si>
  <si>
    <t>Rose Face Mask</t>
  </si>
  <si>
    <t>P302103</t>
  </si>
  <si>
    <t>Sugar Advanced Lip Balm Intense Hydration Treatment</t>
  </si>
  <si>
    <t>P429515</t>
  </si>
  <si>
    <t>C-Tango Vitamin C Eye Cream</t>
  </si>
  <si>
    <t>P12573</t>
  </si>
  <si>
    <t>Intense Therapy Lip Balm SPF 25</t>
  </si>
  <si>
    <t>Jack Black</t>
  </si>
  <si>
    <t>P410400</t>
  </si>
  <si>
    <t>U.F.O. Salicylic Acid BHA Acne Treatment Face Oil</t>
  </si>
  <si>
    <t>P441644</t>
  </si>
  <si>
    <t>Mini Superfood Antioxidant Cleanser</t>
  </si>
  <si>
    <t>P444718</t>
  </si>
  <si>
    <t>Squalane Cleanser</t>
  </si>
  <si>
    <t>P377533</t>
  </si>
  <si>
    <t>Alpha Beta Universal Daily Peel Pads</t>
  </si>
  <si>
    <t>P442744</t>
  </si>
  <si>
    <t>Watermelon Glow Ultra-Fine Mist</t>
  </si>
  <si>
    <t>P500307</t>
  </si>
  <si>
    <t>Cherry Treat Conditioning + Strengthening Lip Oil</t>
  </si>
  <si>
    <t>Fenty Skin</t>
  </si>
  <si>
    <t>P415747</t>
  </si>
  <si>
    <t>Brazilian Kiss CupuaÃ§u Lip Butter</t>
  </si>
  <si>
    <t>Sol de Janeiro</t>
  </si>
  <si>
    <t>P482535</t>
  </si>
  <si>
    <t>Strawberry Smooth BHA + AHA Salicylic Acid Serum</t>
  </si>
  <si>
    <t>P442594</t>
  </si>
  <si>
    <t>Ultra Glow Serum: Glow + Strengthen Vitamin C Serum</t>
  </si>
  <si>
    <t>P415771</t>
  </si>
  <si>
    <t>The Essence Skincare Boosting Treatment</t>
  </si>
  <si>
    <t>P426836</t>
  </si>
  <si>
    <t>Beste No. 9 Jelly Cleanser</t>
  </si>
  <si>
    <t>P470529</t>
  </si>
  <si>
    <t>Avocado Soothing Skin Barrier Serum with Ceramides</t>
  </si>
  <si>
    <t>P422002</t>
  </si>
  <si>
    <t>Rare Earth Deep Pore Minimizing Cleansing Clay Mask</t>
  </si>
  <si>
    <t>P375849</t>
  </si>
  <si>
    <t>Facial Treatment Essence (Pitera Essence)</t>
  </si>
  <si>
    <t>SK-II</t>
  </si>
  <si>
    <t>P433520</t>
  </si>
  <si>
    <t>Magic Cream Moisturizer with Hyaluronic Acid</t>
  </si>
  <si>
    <t>Charlotte Tilbury</t>
  </si>
  <si>
    <t>P467762</t>
  </si>
  <si>
    <t>Mini Watermelon Glow PHA + BHA Pore-Tight Toner</t>
  </si>
  <si>
    <t>P443352</t>
  </si>
  <si>
    <t>Mini Daily Microfoliant Exfoliator</t>
  </si>
  <si>
    <t>Dermalogica</t>
  </si>
  <si>
    <t>P479732</t>
  </si>
  <si>
    <t>Salicylic Acid 2% Anhydrous Solution Pore Clearing Serum</t>
  </si>
  <si>
    <t>P430146</t>
  </si>
  <si>
    <t>Superberry Hydrate + Glow Dream Oil</t>
  </si>
  <si>
    <t>P442830</t>
  </si>
  <si>
    <t>100% Plant-Derived Squalane</t>
  </si>
  <si>
    <t>P404795</t>
  </si>
  <si>
    <t>Cooling Water</t>
  </si>
  <si>
    <t>MILK MAKEUP</t>
  </si>
  <si>
    <t>P475543</t>
  </si>
  <si>
    <t>Guava Vitamin C Dark Spot Treatment Serum</t>
  </si>
  <si>
    <t>P442754</t>
  </si>
  <si>
    <t>Ascorbic Acid 8% + Alpha Arbutin 2%</t>
  </si>
  <si>
    <t>P442758</t>
  </si>
  <si>
    <t>Mandelic Acid 10% + HA</t>
  </si>
  <si>
    <t>P430337</t>
  </si>
  <si>
    <t>C-Rush Vitamin C Gel Moisturizer</t>
  </si>
  <si>
    <t>P468658</t>
  </si>
  <si>
    <t>Volcanic AHA Pore Clearing Clay Mask</t>
  </si>
  <si>
    <t>P432829</t>
  </si>
  <si>
    <t>Adaptogen Deep Moisturizing Cream with Ashwagandha + Reishi</t>
  </si>
  <si>
    <t>P474377</t>
  </si>
  <si>
    <t>Indigo Overnight Repair Serum in Cream Treatment</t>
  </si>
  <si>
    <t>P440312</t>
  </si>
  <si>
    <t>Lotus Anti-Aging Night Moisturizer</t>
  </si>
  <si>
    <t>P397890</t>
  </si>
  <si>
    <t>Original Skin Retexturizing Mask with Rose Clay</t>
  </si>
  <si>
    <t>P431848</t>
  </si>
  <si>
    <t>Cold Plunge Pore Mask</t>
  </si>
  <si>
    <t>P428250</t>
  </si>
  <si>
    <t>Oil-Absorbing Pore Treatment Strips</t>
  </si>
  <si>
    <t>P421998</t>
  </si>
  <si>
    <t>Midnight Recovery Concentrate Moisturizing Face Oil</t>
  </si>
  <si>
    <t>P422905</t>
  </si>
  <si>
    <t>Moisturizing Eye Bomb with Squalane</t>
  </si>
  <si>
    <t>P297516</t>
  </si>
  <si>
    <t>Checks and Balances Frothy Face Wash</t>
  </si>
  <si>
    <t>P440934</t>
  </si>
  <si>
    <t>The Silk Canvas Protective Primer Mini</t>
  </si>
  <si>
    <t>P297517</t>
  </si>
  <si>
    <t>Super Spot Remover Acne Treatment Gel</t>
  </si>
  <si>
    <t>P416816</t>
  </si>
  <si>
    <t>Balancing Force Oil Control Toner</t>
  </si>
  <si>
    <t>P418346</t>
  </si>
  <si>
    <t>C.E.O. 15% Vitamin C Brightening Serum</t>
  </si>
  <si>
    <t>P420699</t>
  </si>
  <si>
    <t>Violet-C Radiance Mask</t>
  </si>
  <si>
    <t>P281835</t>
  </si>
  <si>
    <t>GLO Brilliant White Smile - At Home Teeth Whitening Device</t>
  </si>
  <si>
    <t>GLO Science</t>
  </si>
  <si>
    <t>P122900</t>
  </si>
  <si>
    <t>Dramatically Different Moisturizing Gel</t>
  </si>
  <si>
    <t>P466164</t>
  </si>
  <si>
    <t>15% Vitamin C + Clean Caffeine Energy Serum</t>
  </si>
  <si>
    <t>P423688</t>
  </si>
  <si>
    <t>Daily Microfoliant Exfoliator</t>
  </si>
  <si>
    <t>P460856</t>
  </si>
  <si>
    <t>Clean Eye Mask</t>
  </si>
  <si>
    <t>P433435</t>
  </si>
  <si>
    <t>CC+ Cream Oil-Free Matte with SPF 40</t>
  </si>
  <si>
    <t>IT Cosmetics</t>
  </si>
  <si>
    <t>P232903</t>
  </si>
  <si>
    <t>EradiKate Acne Treatment</t>
  </si>
  <si>
    <t>Kate Somerville</t>
  </si>
  <si>
    <t>P457008</t>
  </si>
  <si>
    <t>Cryo Rubber Masks</t>
  </si>
  <si>
    <t>P432823</t>
  </si>
  <si>
    <t>Gua Sha Facial Lifting Tool</t>
  </si>
  <si>
    <t>Mount Lai</t>
  </si>
  <si>
    <t>High Tech Tools</t>
  </si>
  <si>
    <t>P469490</t>
  </si>
  <si>
    <t>Lip Treatment Balm</t>
  </si>
  <si>
    <t>P484080</t>
  </si>
  <si>
    <t>Mini Faded Serum for Dark Spots &amp; Discoloration</t>
  </si>
  <si>
    <t>P459141</t>
  </si>
  <si>
    <t>Deep Sweep 2% BHA Pore Cleaning Toner with Moringa + Papaya</t>
  </si>
  <si>
    <t>P447210</t>
  </si>
  <si>
    <t>Squalane + Marine Algae Firming &amp; Lifting Eye Cream</t>
  </si>
  <si>
    <t>P381030</t>
  </si>
  <si>
    <t>Dramatically Different Moisturizing Lotion+</t>
  </si>
  <si>
    <t>P447780</t>
  </si>
  <si>
    <t>The Silk Peony Melting Eye Cream</t>
  </si>
  <si>
    <t>P448852</t>
  </si>
  <si>
    <t>SOS Daily Rescue Facial Spray</t>
  </si>
  <si>
    <t>Tower 28 Beauty</t>
  </si>
  <si>
    <t>P442752</t>
  </si>
  <si>
    <t>"Buffet" + Copper Peptides 1%</t>
  </si>
  <si>
    <t>P416341</t>
  </si>
  <si>
    <t>CrÃ¨me de la Mer Moisturizer</t>
  </si>
  <si>
    <t>La Mer</t>
  </si>
  <si>
    <t>P456566</t>
  </si>
  <si>
    <t>Banana Bright 15% Vitamin C Serum</t>
  </si>
  <si>
    <t>P442566</t>
  </si>
  <si>
    <t>Slaai  Makeup-Melting Butter Cleanser</t>
  </si>
  <si>
    <t>P378852</t>
  </si>
  <si>
    <t>GinZing Ultra-Hydrating Energy-Boosting Cream</t>
  </si>
  <si>
    <t>P448802</t>
  </si>
  <si>
    <t>Brighten-i Eye Cream</t>
  </si>
  <si>
    <t>P455368</t>
  </si>
  <si>
    <t>15% Vitamin C and EGF Brightening Serum</t>
  </si>
  <si>
    <t>P460516</t>
  </si>
  <si>
    <t>Papaya Sorbet Smoothing Enzyme Cleansing Balm &amp; Makeup Remover</t>
  </si>
  <si>
    <t>P442753</t>
  </si>
  <si>
    <t>Argireline Solution 10%</t>
  </si>
  <si>
    <t>P403818</t>
  </si>
  <si>
    <t>Lippe Balm</t>
  </si>
  <si>
    <t>P427405</t>
  </si>
  <si>
    <t>Matrixyl* 10% + HA</t>
  </si>
  <si>
    <t>P379510</t>
  </si>
  <si>
    <t>Advanced GÃ©nifique Radiance Boosting Face Serum</t>
  </si>
  <si>
    <t>LancÃ´me</t>
  </si>
  <si>
    <t>P455934</t>
  </si>
  <si>
    <t>Yerba Mate Resurfacing + Exfoliating Energy Facial with Enzymes + Niacinamide</t>
  </si>
  <si>
    <t>P42204</t>
  </si>
  <si>
    <t>Rosebud Salve</t>
  </si>
  <si>
    <t>Rosebud Perfume Co.</t>
  </si>
  <si>
    <t>P173619</t>
  </si>
  <si>
    <t>Benefiance WrinkleResist24 Pure Retinol Express Smoothing Eye Mask</t>
  </si>
  <si>
    <t>P449180</t>
  </si>
  <si>
    <t>CC Me Vitamin C + Niacinamide Serum</t>
  </si>
  <si>
    <t>P39970</t>
  </si>
  <si>
    <t>Rose Floral Toner</t>
  </si>
  <si>
    <t>P460701</t>
  </si>
  <si>
    <t>Clean Face Mask</t>
  </si>
  <si>
    <t>P446942</t>
  </si>
  <si>
    <t>Niacinamide Oil Control Serum</t>
  </si>
  <si>
    <t>P454313</t>
  </si>
  <si>
    <t>Cica Sleeping Mask</t>
  </si>
  <si>
    <t>P376726</t>
  </si>
  <si>
    <t>Maracuja Oil</t>
  </si>
  <si>
    <t>tarte</t>
  </si>
  <si>
    <t>P461555</t>
  </si>
  <si>
    <t>Mini Superberry Hydrate + Glow Dream Mask</t>
  </si>
  <si>
    <t>P297551</t>
  </si>
  <si>
    <t>Out of Trouble 10 Minute Mask to Rescue Problem Skin</t>
  </si>
  <si>
    <t>P479330</t>
  </si>
  <si>
    <t>Water Sleeping Mask with Squalane</t>
  </si>
  <si>
    <t>P12295</t>
  </si>
  <si>
    <t>Sugar Face Polish Exfoliator</t>
  </si>
  <si>
    <t>P415237</t>
  </si>
  <si>
    <t>Hello FAB Coconut Skin Smoothie Priming Moisturizer</t>
  </si>
  <si>
    <t>P429529</t>
  </si>
  <si>
    <t>Sheet Masks</t>
  </si>
  <si>
    <t>P467248</t>
  </si>
  <si>
    <t>Fat Water Niacinamide Pore-Refining Toner Serum with Barbados Cherry</t>
  </si>
  <si>
    <t>P466155</t>
  </si>
  <si>
    <t>The Dewy Serum Resurfacing and Plumping Treatment</t>
  </si>
  <si>
    <t>P503692</t>
  </si>
  <si>
    <t>Plush Puddinâ€™ Intensive Recovery Lip Mask With Pomegranate Sterols + Vitamin E</t>
  </si>
  <si>
    <t>P455366</t>
  </si>
  <si>
    <t>Retinol Eye Cream</t>
  </si>
  <si>
    <t>P433887</t>
  </si>
  <si>
    <t>Squalane + Omega Repair Deep Hydration Moisturizer</t>
  </si>
  <si>
    <t>P428095</t>
  </si>
  <si>
    <t>Ready Steady Glow Daily AHA Tonic</t>
  </si>
  <si>
    <t>REN Clean Skincare</t>
  </si>
  <si>
    <t>P472468</t>
  </si>
  <si>
    <t>Watermelon Glow Hyaluronic Clay Pore-Tight Facial Mask</t>
  </si>
  <si>
    <t>P419223</t>
  </si>
  <si>
    <t>Shaba Complex Firming Eye Serum</t>
  </si>
  <si>
    <t>P442761</t>
  </si>
  <si>
    <t>C.E.O Glow Vitamin C + Turmeric Face Oil</t>
  </si>
  <si>
    <t>P422022</t>
  </si>
  <si>
    <t>Clearly Corrective Dark Spot Correcting Serum</t>
  </si>
  <si>
    <t>P232915</t>
  </si>
  <si>
    <t>ExfoliKate Intensive Pore Exfoliating Treatment</t>
  </si>
  <si>
    <t>P471546</t>
  </si>
  <si>
    <t>Mini Cicapair Tiger Grass Color Correcting Treatment SPF 30</t>
  </si>
  <si>
    <t>P429242</t>
  </si>
  <si>
    <t>Clear Sunscreen Stick SPF 50+</t>
  </si>
  <si>
    <t>P469506</t>
  </si>
  <si>
    <t>C15 Vitamin C Super Booster</t>
  </si>
  <si>
    <t>P460855</t>
  </si>
  <si>
    <t>Clean Lip Balm &amp; Scrub</t>
  </si>
  <si>
    <t>P455339</t>
  </si>
  <si>
    <t>Lactic Acid 5% + HA</t>
  </si>
  <si>
    <t>P411539</t>
  </si>
  <si>
    <t>Cicapair Tiger Grass Cream</t>
  </si>
  <si>
    <t>P415701</t>
  </si>
  <si>
    <t>Water Drench Hyaluronic Acid Moisturizer</t>
  </si>
  <si>
    <t>Peter Thomas Roth</t>
  </si>
  <si>
    <t>P455236</t>
  </si>
  <si>
    <t>Glow Lip Pop Lip Balm</t>
  </si>
  <si>
    <t>P482264</t>
  </si>
  <si>
    <t>Cookies N Clean Whipped Clay Pore Detox Face Mask with Salicylic Acid + Charcoal</t>
  </si>
  <si>
    <t>P423259</t>
  </si>
  <si>
    <t>Cicapair Tiger Grass Serum</t>
  </si>
  <si>
    <t>P391799</t>
  </si>
  <si>
    <t>Black Tea Firming Overnight Mask</t>
  </si>
  <si>
    <t>P431181</t>
  </si>
  <si>
    <t>Self-Tanning Water</t>
  </si>
  <si>
    <t>P442871</t>
  </si>
  <si>
    <t>Beta Hydroxy Acid (BHA) Blemish + Blackhead Serum</t>
  </si>
  <si>
    <t>P427409</t>
  </si>
  <si>
    <t>Vitamin C Suspension 30% in Silicone</t>
  </si>
  <si>
    <t>P416815</t>
  </si>
  <si>
    <t>Find Your Balance Oil Control Cleanser</t>
  </si>
  <si>
    <t>P436359</t>
  </si>
  <si>
    <t>Blueberry Bounce Gentle Cleanser</t>
  </si>
  <si>
    <t>P501760</t>
  </si>
  <si>
    <t>Guava Vitamin C Bright-Eye Gel Cream</t>
  </si>
  <si>
    <t>P458209</t>
  </si>
  <si>
    <t>Daily Greens Oil-Free Gel Moisturizer with Moringa and Papaya</t>
  </si>
  <si>
    <t>P429953</t>
  </si>
  <si>
    <t>Glow Stick Sunscreen SPF 50 PA++++</t>
  </si>
  <si>
    <t>P453224</t>
  </si>
  <si>
    <t>Squalane + 10% Lactic Acid Resurfacing Serum</t>
  </si>
  <si>
    <t>P454120</t>
  </si>
  <si>
    <t>F-Balm Electrolyte Waterfacial Mask</t>
  </si>
  <si>
    <t>P504212</t>
  </si>
  <si>
    <t>Berries n' Choco Kisses Set</t>
  </si>
  <si>
    <t>P405599</t>
  </si>
  <si>
    <t>SEA drink of H2O hydrating boost moisturizer</t>
  </si>
  <si>
    <t>P418872</t>
  </si>
  <si>
    <t>Pore-Balance Facial Sauna Scrub</t>
  </si>
  <si>
    <t>P435386</t>
  </si>
  <si>
    <t>Mini Watermelon Pink Juice Oil-Free Moisturizer</t>
  </si>
  <si>
    <t>P416564</t>
  </si>
  <si>
    <t>100% Sugarcane Squalane Oil</t>
  </si>
  <si>
    <t>P3617</t>
  </si>
  <si>
    <t>Therapeutic Sulfur Acne Treatment Mask</t>
  </si>
  <si>
    <t>P309306</t>
  </si>
  <si>
    <t>Juno Antioxidant + Superfood Face Oil</t>
  </si>
  <si>
    <t>P414737</t>
  </si>
  <si>
    <t>Pearly Girl Vegan Teeth Whitening Pen</t>
  </si>
  <si>
    <t>P455369</t>
  </si>
  <si>
    <t>Peptide Moisturizer</t>
  </si>
  <si>
    <t>P174502</t>
  </si>
  <si>
    <t>All About Eyes Rich Eye Cream</t>
  </si>
  <si>
    <t>P400203</t>
  </si>
  <si>
    <t>Lapis Blue Tansy Face Oil - For Oily &amp; Acne-Prone Skin</t>
  </si>
  <si>
    <t>P436387</t>
  </si>
  <si>
    <t>Overtime Mask</t>
  </si>
  <si>
    <t>P467976</t>
  </si>
  <si>
    <t>(Re)setting 100% Mineral Powder Sunscreen SPF 35 PA+++</t>
  </si>
  <si>
    <t>P422000</t>
  </si>
  <si>
    <t>Creamy Eye Treatment with Avocado</t>
  </si>
  <si>
    <t>P421277</t>
  </si>
  <si>
    <t>GENIUS Liquid Collagen Serum</t>
  </si>
  <si>
    <t>Algenist</t>
  </si>
  <si>
    <t>P467655</t>
  </si>
  <si>
    <t>Succinic Acid Acne Treatment</t>
  </si>
  <si>
    <t>P470255</t>
  </si>
  <si>
    <t>Mini Unseen Sunscreen SPF 40 PA+++</t>
  </si>
  <si>
    <t>P420224</t>
  </si>
  <si>
    <t>Vinoperfect Brightening Glycolic Essence</t>
  </si>
  <si>
    <t>P440075</t>
  </si>
  <si>
    <t>A+ High-Dose Retinol Serum</t>
  </si>
  <si>
    <t>P443846</t>
  </si>
  <si>
    <t>Collagen Booster Firming Peptide Serum</t>
  </si>
  <si>
    <t>P217513</t>
  </si>
  <si>
    <t>Black Tea Instant Perfecting Mask</t>
  </si>
  <si>
    <t>P266126</t>
  </si>
  <si>
    <t>Rosebud Salve in a Tube</t>
  </si>
  <si>
    <t>P436353</t>
  </si>
  <si>
    <t>Mini Rose &amp; Hyaluronic Acid Deep Hydration Toner</t>
  </si>
  <si>
    <t>P375852</t>
  </si>
  <si>
    <t>Pitera Facial Treatment Mask</t>
  </si>
  <si>
    <t>P447596</t>
  </si>
  <si>
    <t>100% Organic Cold-Pressed Moroccan Argan Oil</t>
  </si>
  <si>
    <t>P455338</t>
  </si>
  <si>
    <t>100% L-Ascorbic Acid Powder</t>
  </si>
  <si>
    <t>P460512</t>
  </si>
  <si>
    <t>Mini Liquid Silk Canvas: Featherweight Protective Primer</t>
  </si>
  <si>
    <t>P411401</t>
  </si>
  <si>
    <t>Bye Bye Under Eye Brightening Eye Cream for Dark Circles</t>
  </si>
  <si>
    <t>P448853</t>
  </si>
  <si>
    <t>Mini SOS Daily Rescue Facial Spray</t>
  </si>
  <si>
    <t>P426707</t>
  </si>
  <si>
    <t>Hello FAB Coconut Water Cream</t>
  </si>
  <si>
    <t>P482320</t>
  </si>
  <si>
    <t>Mini Glowscreen Sunscreen SPF 40 PA+++ with Hyaluronic Acid + Niacinamide</t>
  </si>
  <si>
    <t>P467249</t>
  </si>
  <si>
    <t>Hydra Vizor Invisible Moisturizer Broad Spectrum SPF 30 Sunscreen with Niacinamide + Kalahari Melon</t>
  </si>
  <si>
    <t>P481989</t>
  </si>
  <si>
    <t>Watermelon Glow Niacinamide Sunscreen SPF 50</t>
  </si>
  <si>
    <t>P411393</t>
  </si>
  <si>
    <t>Bye Bye Redness Neutralizing Color-Correcting Cream</t>
  </si>
  <si>
    <t>P455926</t>
  </si>
  <si>
    <t>Retinol Reform Treatment Serum</t>
  </si>
  <si>
    <t>Shani Darden Skin Care</t>
  </si>
  <si>
    <t>P416139</t>
  </si>
  <si>
    <t>Mini C.E.O. Vitamin C Brightening Rich Hydration Moisturizer</t>
  </si>
  <si>
    <t>P455676</t>
  </si>
  <si>
    <t>Yo Glow AHA &amp; BHA Facial Enzyme Scrub</t>
  </si>
  <si>
    <t>Wishful</t>
  </si>
  <si>
    <t>P422007</t>
  </si>
  <si>
    <t>Ultra Facial Cleanser</t>
  </si>
  <si>
    <t>P411403</t>
  </si>
  <si>
    <t>Confidence in a Cream Anti-Aging Hydrating Moisturizer</t>
  </si>
  <si>
    <t>P435975</t>
  </si>
  <si>
    <t>Mini Charlotte's Magic Cream</t>
  </si>
  <si>
    <t>P470065</t>
  </si>
  <si>
    <t>Superclay Purify + Clear Power Mask with Niacinamide</t>
  </si>
  <si>
    <t>P404322</t>
  </si>
  <si>
    <t>ExfoliKate Cleanser Daily Foaming Wash</t>
  </si>
  <si>
    <t>P429250</t>
  </si>
  <si>
    <t>Cicapair  Tiger Grass Camo Drops Color Corrector SPF 35</t>
  </si>
  <si>
    <t>P445827</t>
  </si>
  <si>
    <t>Sugar Strawberry Exfoliating Face Wash</t>
  </si>
  <si>
    <t>P450614</t>
  </si>
  <si>
    <t>Tranexamic Acid Hyperpigmentation Treatment</t>
  </si>
  <si>
    <t>P454383</t>
  </si>
  <si>
    <t>PLAY Everyday Sunscreen Lotion SPF 50 PA++++</t>
  </si>
  <si>
    <t>P469510</t>
  </si>
  <si>
    <t>CLINICAL 1% Retinol Treatment</t>
  </si>
  <si>
    <t>P442755</t>
  </si>
  <si>
    <t>Resveratrol 3% + Ferulic Acid 3%</t>
  </si>
  <si>
    <t>P468821</t>
  </si>
  <si>
    <t>Ultra Repair Firming Collagen Cream with Peptides and Niacinamide</t>
  </si>
  <si>
    <t>P423254</t>
  </si>
  <si>
    <t>Water Drench Hyaluronic Cloud Hydra-Gel Eye Patches</t>
  </si>
  <si>
    <t>P439643</t>
  </si>
  <si>
    <t>Clinique iD Custom-Blend Hydrator Collection</t>
  </si>
  <si>
    <t>P421235</t>
  </si>
  <si>
    <t>Double Serum Firming &amp; Smoothing Anti-Aging Concentrate</t>
  </si>
  <si>
    <t>Clarins</t>
  </si>
  <si>
    <t>P385432</t>
  </si>
  <si>
    <t>Acne Solutions Clinical Clearing Gel</t>
  </si>
  <si>
    <t>P416562</t>
  </si>
  <si>
    <t>Squalane + Peptide Brightening &amp; De-Puffing Eye Gel</t>
  </si>
  <si>
    <t>P438620</t>
  </si>
  <si>
    <t>Nourishing Moisturizer with Prebiotics</t>
  </si>
  <si>
    <t>P375534</t>
  </si>
  <si>
    <t>Ultra Repair Face Moisturizer</t>
  </si>
  <si>
    <t>P461159</t>
  </si>
  <si>
    <t>Estee Lauder Advanced Night Repair Synchronized Multi-Recovery Complex Serum</t>
  </si>
  <si>
    <t>EstÃ©e Lauder</t>
  </si>
  <si>
    <t>P416561</t>
  </si>
  <si>
    <t>Squalane + Probiotic Balancing Gel Moisturizer</t>
  </si>
  <si>
    <t>P384778</t>
  </si>
  <si>
    <t>Black Tea Firming and De-Puffing Eye Cream</t>
  </si>
  <si>
    <t>P427404</t>
  </si>
  <si>
    <t>Ascorbyl Tetraisopalmitate Solution 20% in Vitamin F</t>
  </si>
  <si>
    <t>P203616</t>
  </si>
  <si>
    <t>Glycol Lactic Radiance Renewal Mask</t>
  </si>
  <si>
    <t>P139000</t>
  </si>
  <si>
    <t>All About Clean Liquid Facial Soap</t>
  </si>
  <si>
    <t>P504171</t>
  </si>
  <si>
    <t>Fruit Babies Bestsellers Kit</t>
  </si>
  <si>
    <t>P440498</t>
  </si>
  <si>
    <t>Drying Lotion</t>
  </si>
  <si>
    <t>Mario Badescu</t>
  </si>
  <si>
    <t>P4016</t>
  </si>
  <si>
    <t>Acne Control Clarifying Cleanser</t>
  </si>
  <si>
    <t>Murad</t>
  </si>
  <si>
    <t>P114902</t>
  </si>
  <si>
    <t>Goodbye Acne  Max Complexion Correction Pads</t>
  </si>
  <si>
    <t>P409630</t>
  </si>
  <si>
    <t>SEA Pack Your Bags Undereye Patches</t>
  </si>
  <si>
    <t>P442836</t>
  </si>
  <si>
    <t>Barrier+ Foaming Oil Hydrating Cleanser</t>
  </si>
  <si>
    <t>P377561</t>
  </si>
  <si>
    <t>FIRMx Exfoliating Peel Gel</t>
  </si>
  <si>
    <t>P479318</t>
  </si>
  <si>
    <t>10% Niacinamide Night Mask</t>
  </si>
  <si>
    <t>P455898</t>
  </si>
  <si>
    <t>Pycnogenol 5%</t>
  </si>
  <si>
    <t>P442759</t>
  </si>
  <si>
    <t>Amino Acids + B5</t>
  </si>
  <si>
    <t>P424988</t>
  </si>
  <si>
    <t>THE FACE Illuminating Self-Tan Drops</t>
  </si>
  <si>
    <t>TAN-LUXE</t>
  </si>
  <si>
    <t>P42205</t>
  </si>
  <si>
    <t>Strawberry Lip Balm</t>
  </si>
  <si>
    <t>P405584</t>
  </si>
  <si>
    <t>Baby Pekee Bar + Juju Bar Travel Duo</t>
  </si>
  <si>
    <t>P434546</t>
  </si>
  <si>
    <t>Goodnight Glow Bakuchiol Sleeping CrÃ¨me</t>
  </si>
  <si>
    <t>P480278</t>
  </si>
  <si>
    <t>Rapid Radiance Set</t>
  </si>
  <si>
    <t>P54509</t>
  </si>
  <si>
    <t>Tonique Confort Re-Hydrating Comforting Toner with Acacia Honey</t>
  </si>
  <si>
    <t>P457005</t>
  </si>
  <si>
    <t>Rose &amp; Squalane Deep Hydration Oil-Infused Serum</t>
  </si>
  <si>
    <t>P428416</t>
  </si>
  <si>
    <t>Honey Butter Beeswax Lip Balm</t>
  </si>
  <si>
    <t>P379707</t>
  </si>
  <si>
    <t>Resurfacing BHA Glow Mask</t>
  </si>
  <si>
    <t>Tata Harper</t>
  </si>
  <si>
    <t>P458755</t>
  </si>
  <si>
    <t>Charlotteâ€™s Magic Serum with Vitamin C</t>
  </si>
  <si>
    <t>P387261</t>
  </si>
  <si>
    <t>Pumpkin Enzyme Mask Enzymatic Dermal Resurfacer</t>
  </si>
  <si>
    <t>P479362</t>
  </si>
  <si>
    <t>Triple Peptide Hydrating + Firming Oasis Serum with Hyaluronic Acid</t>
  </si>
  <si>
    <t>P442857</t>
  </si>
  <si>
    <t>Focuspot Micro Tip Patches</t>
  </si>
  <si>
    <t>P4010</t>
  </si>
  <si>
    <t>AHA/BHA Exfoliating Cleanser</t>
  </si>
  <si>
    <t>P422536</t>
  </si>
  <si>
    <t>Original Skin Matte Moisturizer with Willowherb</t>
  </si>
  <si>
    <t>P432053</t>
  </si>
  <si>
    <t>Multivitamins 15% Vitamin C + Retinol Mini Set</t>
  </si>
  <si>
    <t>P447603</t>
  </si>
  <si>
    <t>Ultra Repair Wild Oat Hydrating Toner</t>
  </si>
  <si>
    <t>P463144</t>
  </si>
  <si>
    <t>Dream Eye Cream with Vitamin C and Ceramides</t>
  </si>
  <si>
    <t>P456410</t>
  </si>
  <si>
    <t>Squalane + Zinc Sheer Mineral Sunscreen SPF 30 PA +++</t>
  </si>
  <si>
    <t>P393076</t>
  </si>
  <si>
    <t>Ultra Repair Hydra-Firm Night Cream</t>
  </si>
  <si>
    <t>P438617</t>
  </si>
  <si>
    <t>All Day Hyaluronic Acid Hydrator Moisturizer</t>
  </si>
  <si>
    <t>P473336</t>
  </si>
  <si>
    <t>The Youth System</t>
  </si>
  <si>
    <t>P455365</t>
  </si>
  <si>
    <t>Vitamin B, C, and E Moisturizer</t>
  </si>
  <si>
    <t>P454378</t>
  </si>
  <si>
    <t>Lotus Anti- Aging Daily Moisturizer</t>
  </si>
  <si>
    <t>P471237</t>
  </si>
  <si>
    <t>Rose &amp; Hyaluronic Acid Deep Hydration Moisturizer</t>
  </si>
  <si>
    <t>P424948</t>
  </si>
  <si>
    <t>Auto Correct Brightening + Depuffing Eye Cream for Dark Circles</t>
  </si>
  <si>
    <t>P431187</t>
  </si>
  <si>
    <t>Clean Bee Ultra Gentle Facial Cleanser</t>
  </si>
  <si>
    <t>P412025</t>
  </si>
  <si>
    <t>Cucumber De-Tox Hydra-Gel Eye Patches</t>
  </si>
  <si>
    <t>P471003</t>
  </si>
  <si>
    <t>Squalane + BHA Pore-Minimizing Toner</t>
  </si>
  <si>
    <t>P465752</t>
  </si>
  <si>
    <t>Mini Protini Polypeptide Moisturizer</t>
  </si>
  <si>
    <t>P466153</t>
  </si>
  <si>
    <t>Cloud Dew Gel Cream Moisturizer</t>
  </si>
  <si>
    <t>P416560</t>
  </si>
  <si>
    <t>Squalane + Antioxidant Makeup Removing Cleansing Oil</t>
  </si>
  <si>
    <t>P470024</t>
  </si>
  <si>
    <t>Protini Powerpeptide Resurfacing Serum with Lactic Acid</t>
  </si>
  <si>
    <t>P448181</t>
  </si>
  <si>
    <t>DERMAPORE Ultrasonic Pore Extractor &amp; Serum Infuser</t>
  </si>
  <si>
    <t>DERMAFLASH</t>
  </si>
  <si>
    <t>P309310</t>
  </si>
  <si>
    <t>Ceramic Slip French Green Clay Cleanser</t>
  </si>
  <si>
    <t>P442589</t>
  </si>
  <si>
    <t>Instant Masks</t>
  </si>
  <si>
    <t>P423148</t>
  </si>
  <si>
    <t>Precleanse Cleansing Oil</t>
  </si>
  <si>
    <t>P448207</t>
  </si>
  <si>
    <t>PHAT Glow Facial Mask</t>
  </si>
  <si>
    <t>P406104</t>
  </si>
  <si>
    <t>24K Gold Pure Luxury Lift &amp; Firm Hydra-Gel Eye Patches</t>
  </si>
  <si>
    <t>P386754</t>
  </si>
  <si>
    <t>Daily Cleanse Clear Skin and Body Detox Supplement</t>
  </si>
  <si>
    <t>HUM Nutrition</t>
  </si>
  <si>
    <t>P442757</t>
  </si>
  <si>
    <t>"B" Oil</t>
  </si>
  <si>
    <t>P473304</t>
  </si>
  <si>
    <t>O-Bloos Rosi Glow Drops</t>
  </si>
  <si>
    <t>P456994</t>
  </si>
  <si>
    <t>Eye Duty Niacinamide Brightening Eye Cream</t>
  </si>
  <si>
    <t>P386197</t>
  </si>
  <si>
    <t>GinZing Refreshing Scrub Cleanser</t>
  </si>
  <si>
    <t>P426183</t>
  </si>
  <si>
    <t>Mini Facial Treatment Essence (Pitera Essence)</t>
  </si>
  <si>
    <t>P405096</t>
  </si>
  <si>
    <t>SEA Deep Dive Cleansing Gel</t>
  </si>
  <si>
    <t>P466114</t>
  </si>
  <si>
    <t>Resveratrol Lift Instant Firming Retinol Alternative Serum</t>
  </si>
  <si>
    <t>P482693</t>
  </si>
  <si>
    <t>Water Bank Blue Hyaluronic Cream Moisturizer</t>
  </si>
  <si>
    <t>P424378</t>
  </si>
  <si>
    <t>Mini Virgin Marula LuxuryFace Oil</t>
  </si>
  <si>
    <t>P443830</t>
  </si>
  <si>
    <t>Polyglutamic Acid Hydrating Serum</t>
  </si>
  <si>
    <t>P455900</t>
  </si>
  <si>
    <t>100% Plant-Derived Hemi-Squalane</t>
  </si>
  <si>
    <t>P453227</t>
  </si>
  <si>
    <t>Truth Juice Daily Cleanser</t>
  </si>
  <si>
    <t>P479339</t>
  </si>
  <si>
    <t>Strength Trainer Peptide Boost Moisturizer</t>
  </si>
  <si>
    <t>P403315</t>
  </si>
  <si>
    <t>Gold Camellia Beauty Oil</t>
  </si>
  <si>
    <t>P428668</t>
  </si>
  <si>
    <t>Baggage Claim Eye Masks</t>
  </si>
  <si>
    <t>Wander Beauty</t>
  </si>
  <si>
    <t>P403817</t>
  </si>
  <si>
    <t>Pep-Start Eye Cream</t>
  </si>
  <si>
    <t>P283106</t>
  </si>
  <si>
    <t>Instant FIRMx Eye Temporary Eye Tightener</t>
  </si>
  <si>
    <t>P479304</t>
  </si>
  <si>
    <t>Squalane + Copper Peptide Rapid Plumping Serum</t>
  </si>
  <si>
    <t>P440504</t>
  </si>
  <si>
    <t>R + R Mask</t>
  </si>
  <si>
    <t>P433443</t>
  </si>
  <si>
    <t>Aqua Bomb Sleeping Mask</t>
  </si>
  <si>
    <t>P444226</t>
  </si>
  <si>
    <t>Honey Grail Ultra-Hydrating Face Oil</t>
  </si>
  <si>
    <t>P428255</t>
  </si>
  <si>
    <t>Capture Youth Serum Collection</t>
  </si>
  <si>
    <t>Dior</t>
  </si>
  <si>
    <t>P454018</t>
  </si>
  <si>
    <t>The Serum Stick: Treatment &amp; Touch Up Balm</t>
  </si>
  <si>
    <t>P441323</t>
  </si>
  <si>
    <t>Mini Blueberry Bounce Gentle Cleanser</t>
  </si>
  <si>
    <t>P476028</t>
  </si>
  <si>
    <t>Heavenly Sixteen All-In-One Face Oil</t>
  </si>
  <si>
    <t>P419222</t>
  </si>
  <si>
    <t>Umbra Sheer Physical Daily Defense SPF 30</t>
  </si>
  <si>
    <t>P413326</t>
  </si>
  <si>
    <t>Camellia Gold Spun Lip Balm</t>
  </si>
  <si>
    <t>P482552</t>
  </si>
  <si>
    <t>The Clarifying Clay Mask Exfoliating Pore Treatment</t>
  </si>
  <si>
    <t>P501254</t>
  </si>
  <si>
    <t>Watermelon Glow AHA Night Treatment</t>
  </si>
  <si>
    <t>P454838</t>
  </si>
  <si>
    <t>Powerful-Strength Dark Circle Reducing Vitamin C Eye Serum</t>
  </si>
  <si>
    <t>P466134</t>
  </si>
  <si>
    <t>Radian-C Cream with Vitamin C</t>
  </si>
  <si>
    <t>P402942</t>
  </si>
  <si>
    <t>Silk Sleepmask</t>
  </si>
  <si>
    <t>P377545</t>
  </si>
  <si>
    <t>Maracuja C-Brighter Eye Treatment</t>
  </si>
  <si>
    <t>P467652</t>
  </si>
  <si>
    <t>Lip Sleeping Mask</t>
  </si>
  <si>
    <t>P427529</t>
  </si>
  <si>
    <t>Powerful-Strength Vitamin C Serum</t>
  </si>
  <si>
    <t>P500613</t>
  </si>
  <si>
    <t>Banana Bright+ Vitamin C Eye CrÃ¨me</t>
  </si>
  <si>
    <t>P443838</t>
  </si>
  <si>
    <t>Glycolic Acid Exfoliating Toner</t>
  </si>
  <si>
    <t>P454100</t>
  </si>
  <si>
    <t>Prism AHA + BHA Exfoliating Glow Facial</t>
  </si>
  <si>
    <t>P442535</t>
  </si>
  <si>
    <t>Glow Peel Pads</t>
  </si>
  <si>
    <t>P502966</t>
  </si>
  <si>
    <t>Great Skin Instant Glow Serum with Niacinamide and Hyaluronic Acid</t>
  </si>
  <si>
    <t>MERIT</t>
  </si>
  <si>
    <t>P417867</t>
  </si>
  <si>
    <t>The Silk Cream</t>
  </si>
  <si>
    <t>P467110</t>
  </si>
  <si>
    <t>Squalane + 10% Vitamin C Dark Spot Serum</t>
  </si>
  <si>
    <t>P432045</t>
  </si>
  <si>
    <t>GENIUS Liquid Collagen Lip Treatment</t>
  </si>
  <si>
    <t>P442858</t>
  </si>
  <si>
    <t>Rose Deep Hydration Sleeping Mask</t>
  </si>
  <si>
    <t>P483496</t>
  </si>
  <si>
    <t>Salicylic Acid 2% Exfoliating Blemish Solution</t>
  </si>
  <si>
    <t>P400204</t>
  </si>
  <si>
    <t>Phoenix Rosehip Anti-Aging Face Oil - For Dry Skin</t>
  </si>
  <si>
    <t>P469522</t>
  </si>
  <si>
    <t>RESIST Youth-Extending Daily Hydrating Fluid SPF 50</t>
  </si>
  <si>
    <t>P442756</t>
  </si>
  <si>
    <t>Ascorbyl Glucoside Solution 12%</t>
  </si>
  <si>
    <t>P438618</t>
  </si>
  <si>
    <t>Clean Skin Gel Cleanser with Prebiotics</t>
  </si>
  <si>
    <t>P448203</t>
  </si>
  <si>
    <t>Benefiance Wrinkle Smoothing Eye Cream</t>
  </si>
  <si>
    <t>P443843</t>
  </si>
  <si>
    <t>Q10 Antioxidant Serum</t>
  </si>
  <si>
    <t>P446423</t>
  </si>
  <si>
    <t>InvisiScar Post-Acne Resurfacing Treatment</t>
  </si>
  <si>
    <t>P188309</t>
  </si>
  <si>
    <t>Acne Solutions Cleansing Foam</t>
  </si>
  <si>
    <t>P455899</t>
  </si>
  <si>
    <t>Marine Hyaluronics</t>
  </si>
  <si>
    <t>P450262</t>
  </si>
  <si>
    <t>Polyhydroxy Acid (PHA) Gentle Exfoliating Toner</t>
  </si>
  <si>
    <t>P434545</t>
  </si>
  <si>
    <t>Glow Cycle Retin-ALT Power Serum</t>
  </si>
  <si>
    <t>P440933</t>
  </si>
  <si>
    <t>Mini Clear Improvement Active Charcoal Mask to Clear Pore</t>
  </si>
  <si>
    <t>P460513</t>
  </si>
  <si>
    <t>Cream Skin Mist</t>
  </si>
  <si>
    <t>P435800</t>
  </si>
  <si>
    <t>Acid Potion AHA + BHA Resurfacing Exfoliator</t>
  </si>
  <si>
    <t>Moon Juice</t>
  </si>
  <si>
    <t>P481739</t>
  </si>
  <si>
    <t>Barrier+ Skin Barrier Niacinamide Restoring Gel Cream</t>
  </si>
  <si>
    <t>P479354</t>
  </si>
  <si>
    <t>Omega Water Cream Moisturizer</t>
  </si>
  <si>
    <t>P467247</t>
  </si>
  <si>
    <t>Total Cleans'r Makeup-Removing Cleanser with Barbados Cherry</t>
  </si>
  <si>
    <t>P474840</t>
  </si>
  <si>
    <t>Micro-Dose Anti-Aging Retinol Serum with Ceramides and Peptide</t>
  </si>
  <si>
    <t>P466142</t>
  </si>
  <si>
    <t>Lemonade Smoothing Scrub</t>
  </si>
  <si>
    <t>P439928</t>
  </si>
  <si>
    <t>Superscreen Daily Moisturizer Sunscreen SPF 40 PA+++</t>
  </si>
  <si>
    <t>P454387</t>
  </si>
  <si>
    <t>Glow Oil Body Sunscreen SPF 50 PA++++</t>
  </si>
  <si>
    <t>P437981</t>
  </si>
  <si>
    <t>Emerald Hemp Seed Deep Moisture Glow Oil</t>
  </si>
  <si>
    <t>P456398</t>
  </si>
  <si>
    <t>Ultimate Sun Protector Lotion SPF 50+ Sunscreen</t>
  </si>
  <si>
    <t>P440482</t>
  </si>
  <si>
    <t>Facial Spray with Aloe, Herbs and Rosewater</t>
  </si>
  <si>
    <t>P469507</t>
  </si>
  <si>
    <t>10% Azelaic Acid Booster</t>
  </si>
  <si>
    <t>P504208</t>
  </si>
  <si>
    <t>Midnight to Morning Hydration Set</t>
  </si>
  <si>
    <t>P500777</t>
  </si>
  <si>
    <t>Sugar Lip Balm Hydrating Treatment</t>
  </si>
  <si>
    <t>P466154</t>
  </si>
  <si>
    <t>Daily Dose Vitamin C + SPF 40 Sunscreen Serum PA+++</t>
  </si>
  <si>
    <t>P457442</t>
  </si>
  <si>
    <t>Face Serum</t>
  </si>
  <si>
    <t>P471038</t>
  </si>
  <si>
    <t>Glaze Lip Oil</t>
  </si>
  <si>
    <t>iNNBEAUTY PROJECT</t>
  </si>
  <si>
    <t>P429516</t>
  </si>
  <si>
    <t>Full Spectrum 360Â° Sun Silk Drops Organic Sunscreen SPF 30</t>
  </si>
  <si>
    <t>COOLA</t>
  </si>
  <si>
    <t>P421432</t>
  </si>
  <si>
    <t>Rapid Relief Acne Spot Treatment</t>
  </si>
  <si>
    <t>P381020</t>
  </si>
  <si>
    <t>Vinoclean Cleansing Micellar Water</t>
  </si>
  <si>
    <t>P482329</t>
  </si>
  <si>
    <t>Retinal + Niacinamide Youth Serum</t>
  </si>
  <si>
    <t>P482074</t>
  </si>
  <si>
    <t>Dream Oasis Deep Hydration Serum</t>
  </si>
  <si>
    <t>P442564</t>
  </si>
  <si>
    <t>Emerald CBD + Adaptogens Deep Moisture Glow Oil</t>
  </si>
  <si>
    <t>P475951</t>
  </si>
  <si>
    <t>Green Tea Hyaluronic Acid Hydrating Serum</t>
  </si>
  <si>
    <t>P460747</t>
  </si>
  <si>
    <t>Pink Cloud Rosewater + Squalane Makeup Removing Face Wash</t>
  </si>
  <si>
    <t>P466661</t>
  </si>
  <si>
    <t>Whipped Greens Oil-Free Foaming Cleanser with Moringa and Papaya</t>
  </si>
  <si>
    <t>P480192</t>
  </si>
  <si>
    <t>Light Aura Vitamin C + Peptide Eye Cream</t>
  </si>
  <si>
    <t>P122718</t>
  </si>
  <si>
    <t>Exfoliating Face Scrub</t>
  </si>
  <si>
    <t>P432239</t>
  </si>
  <si>
    <t>Buttermask Intense Repair Lip Treatment</t>
  </si>
  <si>
    <t>P188307</t>
  </si>
  <si>
    <t>Acne Solutions Clarifying Lotion</t>
  </si>
  <si>
    <t>P482006</t>
  </si>
  <si>
    <t>Dewy Glow Moisturizer with Cherry Blossom &amp; Niacinamide</t>
  </si>
  <si>
    <t>P478030</t>
  </si>
  <si>
    <t>Mini Oat Cleansing Balm</t>
  </si>
  <si>
    <t>P404794</t>
  </si>
  <si>
    <t>Hydrating Oil Stick</t>
  </si>
  <si>
    <t>P404338</t>
  </si>
  <si>
    <t>Whipped Argan Oil Face Butter</t>
  </si>
  <si>
    <t>P433627</t>
  </si>
  <si>
    <t>Turmeric BHA Pore &amp; Brightening Treatment Mask</t>
  </si>
  <si>
    <t>KORA Organics</t>
  </si>
  <si>
    <t>P419221</t>
  </si>
  <si>
    <t>Umbra Tinte Physical Daily Defense SPF 30</t>
  </si>
  <si>
    <t>P484055</t>
  </si>
  <si>
    <t>Water Bank Blue Hyaluronic Hydration Set</t>
  </si>
  <si>
    <t>P415619</t>
  </si>
  <si>
    <t>Dreamskin Skin Perfector</t>
  </si>
  <si>
    <t>P379710</t>
  </si>
  <si>
    <t>Regenerating Exfoliating Cleanser</t>
  </si>
  <si>
    <t>P397623</t>
  </si>
  <si>
    <t>Dermask Water Jet Vital Hydra Solution</t>
  </si>
  <si>
    <t>P413613</t>
  </si>
  <si>
    <t>Pro Facial Steamer</t>
  </si>
  <si>
    <t>P473322</t>
  </si>
  <si>
    <t>Dewtopia 20% Acid Night Treatment</t>
  </si>
  <si>
    <t>P385631</t>
  </si>
  <si>
    <t>Great Skin, Great Deal Set for Combination Oily Skin</t>
  </si>
  <si>
    <t>P422013</t>
  </si>
  <si>
    <t>Calendula Deep Clean Foaming Face Wash</t>
  </si>
  <si>
    <t>P481817</t>
  </si>
  <si>
    <t>Beauty Elixir Prep, Set, Glow Face Mist</t>
  </si>
  <si>
    <t>P442838</t>
  </si>
  <si>
    <t>Barrier+ Triple Lipid-Boost 360Â° Brightening Eye Cream</t>
  </si>
  <si>
    <t>P503294</t>
  </si>
  <si>
    <t>Day Dream Vitamin C + Hydration Serum Duo 2.0</t>
  </si>
  <si>
    <t>P384780</t>
  </si>
  <si>
    <t>Pure Argan Milk Intensive Hydrating Treatment</t>
  </si>
  <si>
    <t>P440925</t>
  </si>
  <si>
    <t>Drink Up Intensive Overnight Hydrating Mask with Avocado &amp; Swiss Glacier Water</t>
  </si>
  <si>
    <t>P474304</t>
  </si>
  <si>
    <t>Squalane + Amino Aloe Gentle Pore-Minimizing Cleanser</t>
  </si>
  <si>
    <t>P421600</t>
  </si>
  <si>
    <t>Jasmine Green Tea Oil Control Toner</t>
  </si>
  <si>
    <t>P430903</t>
  </si>
  <si>
    <t>Watermelon Brightening Serum</t>
  </si>
  <si>
    <t>P467251</t>
  </si>
  <si>
    <t>Fenty Skin Travel Size Start'r Set</t>
  </si>
  <si>
    <t>P122882</t>
  </si>
  <si>
    <t>Clarifying Lotion 2</t>
  </si>
  <si>
    <t>P459835</t>
  </si>
  <si>
    <t>Mini Charlotteâ€™s Magic Serum with Vitamin C</t>
  </si>
  <si>
    <t>P416923</t>
  </si>
  <si>
    <t>Superfood Hydrate + Firm Peptide Eye Cream</t>
  </si>
  <si>
    <t>P437960</t>
  </si>
  <si>
    <t>Baggage Claim Rose Gold Eye Masks</t>
  </si>
  <si>
    <t>P409631</t>
  </si>
  <si>
    <t>SEA FRXXXTION Stick Exfoliating Cleanser</t>
  </si>
  <si>
    <t>P482328</t>
  </si>
  <si>
    <t>Mini Natural Moisturizing Factors + HA</t>
  </si>
  <si>
    <t>P436094</t>
  </si>
  <si>
    <t>Evercalm Overnight Recovery Balm</t>
  </si>
  <si>
    <t>P469088</t>
  </si>
  <si>
    <t>Fulvic Acid Brightening Cleanser</t>
  </si>
  <si>
    <t>P458724</t>
  </si>
  <si>
    <t>Metal Facial Razor</t>
  </si>
  <si>
    <t>P468351</t>
  </si>
  <si>
    <t>Moisture Surge 100H Auto-Replenishing Hydrator Moisturizer</t>
  </si>
  <si>
    <t>P458216</t>
  </si>
  <si>
    <t>Mini Yo Glow AHA &amp; BHA Facial Enzyme Scrub</t>
  </si>
  <si>
    <t>P450211</t>
  </si>
  <si>
    <t>Mini Vitamin Nectar Glow Juice Antioxidant Face Serum</t>
  </si>
  <si>
    <t>P411365</t>
  </si>
  <si>
    <t>Retinol Youth Renewal Serum</t>
  </si>
  <si>
    <t>P456412</t>
  </si>
  <si>
    <t>Greek Yoghurt Foaming Cream Cleanser</t>
  </si>
  <si>
    <t>KORRES</t>
  </si>
  <si>
    <t>P418624</t>
  </si>
  <si>
    <t>Noni Glow Plumping Face Oil</t>
  </si>
  <si>
    <t>P470240</t>
  </si>
  <si>
    <t>Truth Serum Vitamin C Serum</t>
  </si>
  <si>
    <t>P384539</t>
  </si>
  <si>
    <t>Deep Cleanser with Red Clay</t>
  </si>
  <si>
    <t>P423130</t>
  </si>
  <si>
    <t>MultiVitamin Power Recovery Mask</t>
  </si>
  <si>
    <t>P442713</t>
  </si>
  <si>
    <t>FAB Skin Lab Retinol Eye Cream with Triple Hyaluronic Acid</t>
  </si>
  <si>
    <t>P463353</t>
  </si>
  <si>
    <t>CC Screen 100% Mineral CC Cream SPF 50 PA++++</t>
  </si>
  <si>
    <t>P471761</t>
  </si>
  <si>
    <t>Call It A Night Glycolic Serum + Moisturizer duo</t>
  </si>
  <si>
    <t>P429043</t>
  </si>
  <si>
    <t>LUXE+ Advanced Sonic Dermaplaning + Peach Fuzz Removal</t>
  </si>
  <si>
    <t>P453816</t>
  </si>
  <si>
    <t>Mini Take The Day Off Cleansing Balm Makeup Remover</t>
  </si>
  <si>
    <t>P421997</t>
  </si>
  <si>
    <t>Calendula Herbal Extract Alcohol Free Toner</t>
  </si>
  <si>
    <t>P469519</t>
  </si>
  <si>
    <t>RESIST Advanced Replenishing Toner with Hyaluronic Acid</t>
  </si>
  <si>
    <t>P467615</t>
  </si>
  <si>
    <t>Cicapair Tiger Grass Sleepair Intensive Mask</t>
  </si>
  <si>
    <t>P481169</t>
  </si>
  <si>
    <t>The Silk Sunscreen Mineral Broad Spectrum SPF 50 PA++++ with Hyaluronic Acid and Niacinamide</t>
  </si>
  <si>
    <t>P394397</t>
  </si>
  <si>
    <t>Invisiblur Perfecting Shield Broad Spectrum SPF 30 PA+++</t>
  </si>
  <si>
    <t>P420158</t>
  </si>
  <si>
    <t>Vitamin C Glow Moisturizer</t>
  </si>
  <si>
    <t>P475630</t>
  </si>
  <si>
    <t>Mini Mandelic Acid + Superfood Unity Exfoliant</t>
  </si>
  <si>
    <t>P415667</t>
  </si>
  <si>
    <t>EradiKate Daily Cleanser Acne Treatment</t>
  </si>
  <si>
    <t>P450244</t>
  </si>
  <si>
    <t>Ceramide Hydrating Night Treatment</t>
  </si>
  <si>
    <t>P476415</t>
  </si>
  <si>
    <t>Acne+ 2% BHA + Azelaic Acid + Niacinamide + AHA Cleanser</t>
  </si>
  <si>
    <t>P469511</t>
  </si>
  <si>
    <t>CLINICAL Niacinamide 20% Treatment</t>
  </si>
  <si>
    <t>P397624</t>
  </si>
  <si>
    <t>Dermask Micro Jet Clearing Solution</t>
  </si>
  <si>
    <t>P476414</t>
  </si>
  <si>
    <t>5 Stars Retinol + Niacinamide Eye Serum</t>
  </si>
  <si>
    <t>P442833</t>
  </si>
  <si>
    <t>EUK 134 0.1%</t>
  </si>
  <si>
    <t>P475589</t>
  </si>
  <si>
    <t>Ginzing Vitamin C Eye Cream to Brighten and Depuff</t>
  </si>
  <si>
    <t>P467250</t>
  </si>
  <si>
    <t>Instant Reset Brightening Overnight Recovery Gel-Cream With Niacinamide + Kalahari Melon Oil</t>
  </si>
  <si>
    <t>P504071</t>
  </si>
  <si>
    <t>Bright Start Retinol Alternative Brightening Eye Cream</t>
  </si>
  <si>
    <t>ILIA</t>
  </si>
  <si>
    <t>P404465</t>
  </si>
  <si>
    <t>GLO Lit Teeth Whitening Vials 3 Pack</t>
  </si>
  <si>
    <t>P483060</t>
  </si>
  <si>
    <t>Lip Comfort Hydrating Oil</t>
  </si>
  <si>
    <t>P453253</t>
  </si>
  <si>
    <t>Vegan Milk Moisturizer</t>
  </si>
  <si>
    <t>P433444</t>
  </si>
  <si>
    <t>Clear Improvement Charcoal Honey Mask to Purify and Nourish</t>
  </si>
  <si>
    <t>P443834</t>
  </si>
  <si>
    <t>Rosehip Nourishing Night Oil</t>
  </si>
  <si>
    <t>P164932</t>
  </si>
  <si>
    <t>Minted Rose Lip Balm</t>
  </si>
  <si>
    <t>P449158</t>
  </si>
  <si>
    <t>Mini Lotus Anti-Aging Night Moisturizer</t>
  </si>
  <si>
    <t>P414293</t>
  </si>
  <si>
    <t>Honey Savior All-in-One Skin Repair Salve</t>
  </si>
  <si>
    <t>P465808</t>
  </si>
  <si>
    <t>4 Piece Facial Razor Set</t>
  </si>
  <si>
    <t>P444980</t>
  </si>
  <si>
    <t>Adaptogen Soothe + Hydrate Activated Mist with Peptides</t>
  </si>
  <si>
    <t>P423136</t>
  </si>
  <si>
    <t>Special Cleansing Gel</t>
  </si>
  <si>
    <t>P461520</t>
  </si>
  <si>
    <t>Clean Foot Mask</t>
  </si>
  <si>
    <t>P448185</t>
  </si>
  <si>
    <t>Cicapair Tiger Grass Calming Gel Cream</t>
  </si>
  <si>
    <t>P469482</t>
  </si>
  <si>
    <t>Even Skin Tone Self-Tanning Body Butter</t>
  </si>
  <si>
    <t>P396623</t>
  </si>
  <si>
    <t>Makeup Setting Spray Organic Sunscreen SPF 30</t>
  </si>
  <si>
    <t>P445726</t>
  </si>
  <si>
    <t>Firming Night Cream with Peptides</t>
  </si>
  <si>
    <t>P439055</t>
  </si>
  <si>
    <t>GENIUS Sleeping Collagen Moisturizer</t>
  </si>
  <si>
    <t>P432262</t>
  </si>
  <si>
    <t>Self Tan Purity Bronzing Water Face Mist</t>
  </si>
  <si>
    <t>St. Tropez</t>
  </si>
  <si>
    <t>P426080</t>
  </si>
  <si>
    <t>Lotus Youth Preserve Rescue Mask</t>
  </si>
  <si>
    <t>P479860</t>
  </si>
  <si>
    <t>Mini Barrier+ Triple Lipid-Peptide Face Cream</t>
  </si>
  <si>
    <t>P501005</t>
  </si>
  <si>
    <t>Premium BB Tinted Moisturizer with Niacinamide and SPF 40</t>
  </si>
  <si>
    <t>P456988</t>
  </si>
  <si>
    <t>Own Your Glow Kit</t>
  </si>
  <si>
    <t>P377570</t>
  </si>
  <si>
    <t>Argan Infinity Cream Intensive Creamy Oil</t>
  </si>
  <si>
    <t>P436891</t>
  </si>
  <si>
    <t>Jade De-Puffing Face Roller</t>
  </si>
  <si>
    <t>P469528</t>
  </si>
  <si>
    <t>Skin Perfecting 25% AHA + 2% BHA Exfoliant Peel</t>
  </si>
  <si>
    <t>P377577</t>
  </si>
  <si>
    <t>Moisture Surge Overnight Face Mask</t>
  </si>
  <si>
    <t>P432243</t>
  </si>
  <si>
    <t>Blackhead Solutions Self-heating Blackhead Extractor</t>
  </si>
  <si>
    <t>P440503</t>
  </si>
  <si>
    <t>Lip Balm</t>
  </si>
  <si>
    <t>P454102</t>
  </si>
  <si>
    <t>PRO Strength Niacinamide Discoloration Treatment</t>
  </si>
  <si>
    <t>P444967</t>
  </si>
  <si>
    <t>Mini Facial Spray with Aloe, Herbs and Rosewater</t>
  </si>
  <si>
    <t>P480444</t>
  </si>
  <si>
    <t>Honey Potion Plus Ceramide Hydration Mask</t>
  </si>
  <si>
    <t>P432824</t>
  </si>
  <si>
    <t>De-Puffing Jade Facial Roller</t>
  </si>
  <si>
    <t>P122774</t>
  </si>
  <si>
    <t>All About Eyes Eye Cream</t>
  </si>
  <si>
    <t>P471025</t>
  </si>
  <si>
    <t>FILLING GOOD hyaluronic acid plumping serum</t>
  </si>
  <si>
    <t>P469085</t>
  </si>
  <si>
    <t>Face Mask Applicator</t>
  </si>
  <si>
    <t>P254720</t>
  </si>
  <si>
    <t>Acne Control Clarifying Cream Cleanser</t>
  </si>
  <si>
    <t>P39274</t>
  </si>
  <si>
    <t>Anti-Aging Cleansing Gel</t>
  </si>
  <si>
    <t>P469196</t>
  </si>
  <si>
    <t>Supplement Case</t>
  </si>
  <si>
    <t>P432241</t>
  </si>
  <si>
    <t>Dramatically Different Hydrating Jelly</t>
  </si>
  <si>
    <t>P482323</t>
  </si>
  <si>
    <t>(Re) Setting Refreshing Mist SPF 40</t>
  </si>
  <si>
    <t>P504327</t>
  </si>
  <si>
    <t>Mini Favorites Set</t>
  </si>
  <si>
    <t>P482312</t>
  </si>
  <si>
    <t>Facial Razor Set</t>
  </si>
  <si>
    <t>P431840</t>
  </si>
  <si>
    <t>Coconut Milk Bath Soak</t>
  </si>
  <si>
    <t>P504125</t>
  </si>
  <si>
    <t>Strawberry BHA Pore-Smooth Blur Drops</t>
  </si>
  <si>
    <t>P394826</t>
  </si>
  <si>
    <t>Flatter Me Digestive Enzyme Supplement</t>
  </si>
  <si>
    <t>P450947</t>
  </si>
  <si>
    <t>Mini A-Passioni Retinol Cream</t>
  </si>
  <si>
    <t>P443841</t>
  </si>
  <si>
    <t>Vitamin C Brightening Cream</t>
  </si>
  <si>
    <t>P422510</t>
  </si>
  <si>
    <t>Mini Ultra Facial Moisturizing Cream with Squalane</t>
  </si>
  <si>
    <t>P450633</t>
  </si>
  <si>
    <t>Gentle Cleansing Oil Makeup Remover</t>
  </si>
  <si>
    <t>Sulwhasoo</t>
  </si>
  <si>
    <t>P433521</t>
  </si>
  <si>
    <t>Charlotteâ€™s Magic Eye Cream with Retinol</t>
  </si>
  <si>
    <t>P474938</t>
  </si>
  <si>
    <t>Vinopure Natural Salicylic Acid Pore Minimizing Serum</t>
  </si>
  <si>
    <t>P444013</t>
  </si>
  <si>
    <t>Crystal Facial Roller Set</t>
  </si>
  <si>
    <t>P450583</t>
  </si>
  <si>
    <t>Prism AHA + BHA Exfoliating Glow Serum</t>
  </si>
  <si>
    <t>P449188</t>
  </si>
  <si>
    <t>Green Defense Daily Mineral Sunscreen SPF 30</t>
  </si>
  <si>
    <t>P415620</t>
  </si>
  <si>
    <t>Evercalm Ultra Comforting Rescue Mask</t>
  </si>
  <si>
    <t>P2043</t>
  </si>
  <si>
    <t>Brumisateur Natural Mineral Water Facial Spray</t>
  </si>
  <si>
    <t>Evian</t>
  </si>
  <si>
    <t>P382204</t>
  </si>
  <si>
    <t>Cucumber Gel Mask Extreme Detoxifying Hydrator</t>
  </si>
  <si>
    <t>P441045</t>
  </si>
  <si>
    <t>Rose Quartz Gua Sha</t>
  </si>
  <si>
    <t>P474937</t>
  </si>
  <si>
    <t>Vinopure Pore Purifying Gel Cleanser</t>
  </si>
  <si>
    <t>P503634</t>
  </si>
  <si>
    <t>Avocado Ceramide Moisture Barrier Cleanser</t>
  </si>
  <si>
    <t>P455242</t>
  </si>
  <si>
    <t>Super Amino Gel Cleanser</t>
  </si>
  <si>
    <t>P472469</t>
  </si>
  <si>
    <t>Green Machine Vitamin C + Green Superfoods Jelly Serum</t>
  </si>
  <si>
    <t>P428100</t>
  </si>
  <si>
    <t>Potent-C Vitamin C Power Serum</t>
  </si>
  <si>
    <t>P443837</t>
  </si>
  <si>
    <t>Kaolin Mask</t>
  </si>
  <si>
    <t>P469478</t>
  </si>
  <si>
    <t>Party Recharge Hydrating Hyaluronic Under Eye Masks</t>
  </si>
  <si>
    <t>INC.redible</t>
  </si>
  <si>
    <t>P392249</t>
  </si>
  <si>
    <t>JuJu Exfoliating Bar</t>
  </si>
  <si>
    <t>P447773</t>
  </si>
  <si>
    <t>PITERA First Experience Kit</t>
  </si>
  <si>
    <t>P479352</t>
  </si>
  <si>
    <t>The Texture Tonic AHA Liquid Exfoliating Treatment</t>
  </si>
  <si>
    <t>P477830</t>
  </si>
  <si>
    <t>Superberry Dream Cleansing Balm</t>
  </si>
  <si>
    <t>P479841</t>
  </si>
  <si>
    <t>Floral Recovery Overnight Mask with Squalane</t>
  </si>
  <si>
    <t>P385632</t>
  </si>
  <si>
    <t>Great Skin, Great Deal Set for Dry Combination Skin</t>
  </si>
  <si>
    <t>P457521</t>
  </si>
  <si>
    <t>Every Sun Day Mineral Sunscreen SPF 50+</t>
  </si>
  <si>
    <t>P471037</t>
  </si>
  <si>
    <t>Slushy Serum Moisturizer Crush Infused with Bakuchiol</t>
  </si>
  <si>
    <t>P480285</t>
  </si>
  <si>
    <t>Premier Cru Dark Circle Correcting Eye Cream</t>
  </si>
  <si>
    <t>P448537</t>
  </si>
  <si>
    <t>Alpha Arbutin Brightening Serum</t>
  </si>
  <si>
    <t>P445951</t>
  </si>
  <si>
    <t>P469439</t>
  </si>
  <si>
    <t>Squalane+ Rose Vegan Lip Balm</t>
  </si>
  <si>
    <t>P384821</t>
  </si>
  <si>
    <t>Take The Day Off  Cleansing Oil Makeup Remover</t>
  </si>
  <si>
    <t>P440929</t>
  </si>
  <si>
    <t>Mini Original Skin Retexturizing Mask with Rose Clay</t>
  </si>
  <si>
    <t>P439672</t>
  </si>
  <si>
    <t>Rose Quartz Facial Roller</t>
  </si>
  <si>
    <t>P479329</t>
  </si>
  <si>
    <t>Ultra Facial Overnight Hydrating Face Mask with 10.5% Squalane</t>
  </si>
  <si>
    <t>P474825</t>
  </si>
  <si>
    <t>Advanced Retinol + Ferulic Triple Correction Eye Serum</t>
  </si>
  <si>
    <t>P377368</t>
  </si>
  <si>
    <t>D-Scar Scar Diminishing Serum</t>
  </si>
  <si>
    <t>P500138</t>
  </si>
  <si>
    <t>Polypeptide-121 Future Cream with Peptides and Ceramides</t>
  </si>
  <si>
    <t>P472455</t>
  </si>
  <si>
    <t>Vinosource-Hydra SOS Hydrating Hyaluronic Acid Serum</t>
  </si>
  <si>
    <t>P283501</t>
  </si>
  <si>
    <t>Argan Cleansing Oil</t>
  </si>
  <si>
    <t>P407444</t>
  </si>
  <si>
    <t>Bamboo Charcoal Detoxifying Soap Bar</t>
  </si>
  <si>
    <t>P463371</t>
  </si>
  <si>
    <t>Mini Adaptogen Deep Moisture Cream with Ashwagandha + Reishi</t>
  </si>
  <si>
    <t>P469544</t>
  </si>
  <si>
    <t>C-50 Blemish Night Treatment</t>
  </si>
  <si>
    <t>P447778</t>
  </si>
  <si>
    <t>Bakuchiol Retinol Alternative Moisturizer</t>
  </si>
  <si>
    <t>P429659</t>
  </si>
  <si>
    <t>Squalane + Hyaluronic Toning Mist</t>
  </si>
  <si>
    <t>P456571</t>
  </si>
  <si>
    <t>Vitamin C Glycolic Brightening Serum</t>
  </si>
  <si>
    <t>P407450</t>
  </si>
  <si>
    <t>Self Tan Classic Bronzing Mousse</t>
  </si>
  <si>
    <t>P441220</t>
  </si>
  <si>
    <t>Ultra Repair Oat &amp; Hemp Seed Dry Oil</t>
  </si>
  <si>
    <t>P454389</t>
  </si>
  <si>
    <t>PLAY Antioxidant Body Sunscreen Mist SPF 50 PA++++</t>
  </si>
  <si>
    <t>P475540</t>
  </si>
  <si>
    <t>Honey Halo Moisturizer Jumbo</t>
  </si>
  <si>
    <t>P503879</t>
  </si>
  <si>
    <t>Wake Up Honey Eye Cream with Brightening Vitamin C</t>
  </si>
  <si>
    <t>P479340</t>
  </si>
  <si>
    <t>Retinol Face Stick</t>
  </si>
  <si>
    <t>P251529</t>
  </si>
  <si>
    <t>Retinol Fusion PM Night Serum</t>
  </si>
  <si>
    <t>P457517</t>
  </si>
  <si>
    <t>Rose Petal-Soft Deep Hydration Lip Balm</t>
  </si>
  <si>
    <t>P465365</t>
  </si>
  <si>
    <t>Puffy Under-Eye Patches</t>
  </si>
  <si>
    <t>P417242</t>
  </si>
  <si>
    <t>The Lip Balm</t>
  </si>
  <si>
    <t>P465741</t>
  </si>
  <si>
    <t>Wild Huckleberry 8-Acid Polishing Peel Mask</t>
  </si>
  <si>
    <t>alpyn beauty</t>
  </si>
  <si>
    <t>P232907</t>
  </si>
  <si>
    <t>Anti Bac Acne Clearing Lotion</t>
  </si>
  <si>
    <t>P230538</t>
  </si>
  <si>
    <t>Brumisateur Natural Mineral Water Facial Spray Travel Duo</t>
  </si>
  <si>
    <t>P467115</t>
  </si>
  <si>
    <t>Facial Radiance Niacinamide Dark Spot Serum</t>
  </si>
  <si>
    <t>P482676</t>
  </si>
  <si>
    <t>10% Waterless Vitamin C Serum</t>
  </si>
  <si>
    <t>P214002</t>
  </si>
  <si>
    <t>Evercalm Barrier Support Antioxidant Moisturizer</t>
  </si>
  <si>
    <t>P482327</t>
  </si>
  <si>
    <t>Mini Squalane Cleanser</t>
  </si>
  <si>
    <t>P468709</t>
  </si>
  <si>
    <t>100% Niacinamide Powder</t>
  </si>
  <si>
    <t>P422011</t>
  </si>
  <si>
    <t>Ultra Facial Toner</t>
  </si>
  <si>
    <t>P471101</t>
  </si>
  <si>
    <t>Resurface+ AHA/BHA Niacinamide Exfoliating Pads for Face and Targeted Body</t>
  </si>
  <si>
    <t>P471043</t>
  </si>
  <si>
    <t>Argan Pro-Retinol Eye Cream</t>
  </si>
  <si>
    <t>P297531</t>
  </si>
  <si>
    <t>Eye Doctor Moisture Care For Skin Around Eyes</t>
  </si>
  <si>
    <t>P460514</t>
  </si>
  <si>
    <t>Cream Skin Milk Oil Cleanser</t>
  </si>
  <si>
    <t>P453928</t>
  </si>
  <si>
    <t>Retinol Youth Renewal Eye Serum</t>
  </si>
  <si>
    <t>P469520</t>
  </si>
  <si>
    <t>RESIST Perfectly Balanced Foaming Cleanser</t>
  </si>
  <si>
    <t>P399622</t>
  </si>
  <si>
    <t>Luminous Deep Hydration Lifting Mask</t>
  </si>
  <si>
    <t>P311143</t>
  </si>
  <si>
    <t>SUBLIME DEFENSE Ultra Lightweight UV Defense Fluid SPF 50</t>
  </si>
  <si>
    <t>P503693</t>
  </si>
  <si>
    <t>Bouncy Brightfacial Brightening Mask with 10% Azelaic Acid + 1% Salicylic Acid</t>
  </si>
  <si>
    <t>P407448</t>
  </si>
  <si>
    <t>Self Tan Express Bronzing Mousse</t>
  </si>
  <si>
    <t>P473729</t>
  </si>
  <si>
    <t>Vitamin Mask</t>
  </si>
  <si>
    <t>P469087</t>
  </si>
  <si>
    <t>Flash Nap Instant Revival Priming Eye Gel-Cream With Green Tea + Persian Silk Tree</t>
  </si>
  <si>
    <t>P422003</t>
  </si>
  <si>
    <t>Daily Reviving Concentrate</t>
  </si>
  <si>
    <t>P447592</t>
  </si>
  <si>
    <t>Alpha Beta Pore Perfecting &amp; Refining Serum</t>
  </si>
  <si>
    <t>P504325</t>
  </si>
  <si>
    <t>Glowy Skin Prep Besties Set</t>
  </si>
  <si>
    <t>P453930</t>
  </si>
  <si>
    <t>Biolumin-C Vitamin C Eye Serum</t>
  </si>
  <si>
    <t>P458576</t>
  </si>
  <si>
    <t>Water Drench Hyaluronic Hydrating Moisturizer SPF 45</t>
  </si>
  <si>
    <t>P434336</t>
  </si>
  <si>
    <t>Mini Noni Glow Face Oil</t>
  </si>
  <si>
    <t>P500472</t>
  </si>
  <si>
    <t>Mini Plum Plump Hyaluronic Acid Moisturizer</t>
  </si>
  <si>
    <t>P408230</t>
  </si>
  <si>
    <t>V-Facial Instant Depuffing Face Mask</t>
  </si>
  <si>
    <t>P453226</t>
  </si>
  <si>
    <t>Bright-Eyed 100% Mineral Eye Cream SPF 40 PA+++</t>
  </si>
  <si>
    <t>P400205</t>
  </si>
  <si>
    <t>Orchid Antioxidant Beauty Face Oil - For Combination Skin</t>
  </si>
  <si>
    <t>P469537</t>
  </si>
  <si>
    <t>Bestsellers Trial Kit</t>
  </si>
  <si>
    <t>P460723</t>
  </si>
  <si>
    <t>Clean Cleansing &amp; Gentle Exfoliating Wipes</t>
  </si>
  <si>
    <t>P417980</t>
  </si>
  <si>
    <t>City Skin Age Defense Broad Spectrum SPF 50 PA++++</t>
  </si>
  <si>
    <t>P479348</t>
  </si>
  <si>
    <t>Acne+ 2% BHA and Azelaic Acid Acne Spot Treatment</t>
  </si>
  <si>
    <t>P440926</t>
  </si>
  <si>
    <t>Mini Drink Up Intensive Overnight Hydrating Mask with Avocado &amp; Swiss Glacier Water</t>
  </si>
  <si>
    <t>P476540</t>
  </si>
  <si>
    <t>Pro Glow Spray Tan Kit</t>
  </si>
  <si>
    <t>P460515</t>
  </si>
  <si>
    <t>E-Rase Milki Micellar Water</t>
  </si>
  <si>
    <t>P408678</t>
  </si>
  <si>
    <t>Midnight Secret Late Night Recovery Treatment Anti-Fatigue Serum</t>
  </si>
  <si>
    <t>GUERLAIN</t>
  </si>
  <si>
    <t>P442003</t>
  </si>
  <si>
    <t>Sugar Mint Rush Freshening Lip Treatment</t>
  </si>
  <si>
    <t>P483151</t>
  </si>
  <si>
    <t>Vitamin Eye Masks</t>
  </si>
  <si>
    <t>P469213</t>
  </si>
  <si>
    <t>Wrinkle Blur Bakuchiol Eye Gel CrÃ¨me</t>
  </si>
  <si>
    <t>P461213</t>
  </si>
  <si>
    <t>Honey Balm Niacinamide Moisturizer</t>
  </si>
  <si>
    <t>P469538</t>
  </si>
  <si>
    <t>Anti-Aging First Care Activating Serum</t>
  </si>
  <si>
    <t>P442839</t>
  </si>
  <si>
    <t>Barrier+ Triple Lipid-Peptide Lotion Moisturizer</t>
  </si>
  <si>
    <t>P402943</t>
  </si>
  <si>
    <t>Silk Pillowcase - King</t>
  </si>
  <si>
    <t>P461522</t>
  </si>
  <si>
    <t>Clean Charcoal Nose Strip</t>
  </si>
  <si>
    <t>P448192</t>
  </si>
  <si>
    <t>Mini Sugar Strawberry Exfoliating Face Wash</t>
  </si>
  <si>
    <t>P503250</t>
  </si>
  <si>
    <t>Watch Ya Tone 5% Niacinamide Dark Spot Serum with Vitamin C</t>
  </si>
  <si>
    <t>P462891</t>
  </si>
  <si>
    <t>GinZing Into the Glow Brightening Serum</t>
  </si>
  <si>
    <t>P456400</t>
  </si>
  <si>
    <t>Double Sided Luxe Tan Applicator Mitt</t>
  </si>
  <si>
    <t>P448934</t>
  </si>
  <si>
    <t>Bye Bye Pores Leave-On Solution Pore-Refining Toner</t>
  </si>
  <si>
    <t>P94812</t>
  </si>
  <si>
    <t>One-Step Gentle Exfoliating Cleanser with Orange Extract</t>
  </si>
  <si>
    <t>P428816</t>
  </si>
  <si>
    <t>Noni Radiant Brightening Eye Oil</t>
  </si>
  <si>
    <t>P500744</t>
  </si>
  <si>
    <t>P422012</t>
  </si>
  <si>
    <t>Ultra Facial Cream Sunscreen SPF 30</t>
  </si>
  <si>
    <t>P398502</t>
  </si>
  <si>
    <t>Personal Microderm Pro</t>
  </si>
  <si>
    <t>PMD</t>
  </si>
  <si>
    <t>P416825</t>
  </si>
  <si>
    <t>FAB Skin Lab Retinol Serum 0.25% Pure Concentrate</t>
  </si>
  <si>
    <t>P422257</t>
  </si>
  <si>
    <t>Midnight Recovery Botanical Cleansing Oil</t>
  </si>
  <si>
    <t>P477985</t>
  </si>
  <si>
    <t>A-Gloei Retinol Oil</t>
  </si>
  <si>
    <t>P482692</t>
  </si>
  <si>
    <t>Water Bank Blue Hyaluronic Serum</t>
  </si>
  <si>
    <t>P500245</t>
  </si>
  <si>
    <t>C Beyond Triple Serum SPF 40 Mineral Sunscreen with Vitamin C 10% + Niacinamide</t>
  </si>
  <si>
    <t>P500288</t>
  </si>
  <si>
    <t>1% Vitamin A Retinol Serum</t>
  </si>
  <si>
    <t>P469513</t>
  </si>
  <si>
    <t>CLEAR Pore Normalizing Acne Cleanser</t>
  </si>
  <si>
    <t>P426829</t>
  </si>
  <si>
    <t>Confidence in a Cleanser Hydrating Facial Cleanser Serum</t>
  </si>
  <si>
    <t>P481096</t>
  </si>
  <si>
    <t>Nova 15% Vitamin C + Turmeric Brightening Serum</t>
  </si>
  <si>
    <t>P9940</t>
  </si>
  <si>
    <t>Essential-C Day Moisture Broad Spectrum SPF 30 PA+++</t>
  </si>
  <si>
    <t>P442837</t>
  </si>
  <si>
    <t>Barrier+ Triple Lipid-Hyaluronate Serum</t>
  </si>
  <si>
    <t>P500894</t>
  </si>
  <si>
    <t>Fat Water Hydrating Milky Toner Essence with Hyaluronic Acid + Tamarind</t>
  </si>
  <si>
    <t>P462339</t>
  </si>
  <si>
    <t>Vitamin Enriched Eye Base</t>
  </si>
  <si>
    <t>P479861</t>
  </si>
  <si>
    <t>The Bright Set</t>
  </si>
  <si>
    <t>P432242</t>
  </si>
  <si>
    <t>Blackhead Solutions 7 Day Deep Pore Cleanse &amp; Face Scrub</t>
  </si>
  <si>
    <t>P257537</t>
  </si>
  <si>
    <t>All About Eyes Serum De-Puffing Eye Massage</t>
  </si>
  <si>
    <t>P467750</t>
  </si>
  <si>
    <t>Resveratrol Lift Retinol Alternative Firming Cashmere Moisturizer</t>
  </si>
  <si>
    <t>P122881</t>
  </si>
  <si>
    <t>Clarifying Lotion 3</t>
  </si>
  <si>
    <t>P483679</t>
  </si>
  <si>
    <t>Truth Barrier Booster Orange Ferment Vitamin C Essence</t>
  </si>
  <si>
    <t>P501169</t>
  </si>
  <si>
    <t>Vitamin C Lactic 15% Firm &amp; Bright Serum</t>
  </si>
  <si>
    <t>P399932</t>
  </si>
  <si>
    <t>Acne-Clear Invisible Dots</t>
  </si>
  <si>
    <t>P449175</t>
  </si>
  <si>
    <t>Aqua Bomb Hydrating Toner</t>
  </si>
  <si>
    <t>P455894</t>
  </si>
  <si>
    <t>Ultra Repair Oil-Control Moisturizer</t>
  </si>
  <si>
    <t>P375853</t>
  </si>
  <si>
    <t>Facial Treatment Clear Lotion Toner</t>
  </si>
  <si>
    <t>P443829</t>
  </si>
  <si>
    <t>Glow Clear, Color Correcting Self-Tanning Mousse</t>
  </si>
  <si>
    <t>P424990</t>
  </si>
  <si>
    <t>THE GRADUAL Illuminating Gradual Tan Lotion</t>
  </si>
  <si>
    <t>P392608</t>
  </si>
  <si>
    <t>Irish Moor Mud Purifying Black Mask</t>
  </si>
  <si>
    <t>P471039</t>
  </si>
  <si>
    <t>Pimple Paste Overnight Blemish Drying Paste</t>
  </si>
  <si>
    <t>P398761</t>
  </si>
  <si>
    <t>Alpha Beta Ultra Gentle Daily Peel Pads for Sensitive Skin</t>
  </si>
  <si>
    <t>P454794</t>
  </si>
  <si>
    <t>Mini The Water Cream</t>
  </si>
  <si>
    <t>P504218</t>
  </si>
  <si>
    <t>Dewy Cleanse + Hydrate Duo</t>
  </si>
  <si>
    <t>P482325</t>
  </si>
  <si>
    <t>Every. Single. Face. Watery Lotion SPF 50</t>
  </si>
  <si>
    <t>P476730</t>
  </si>
  <si>
    <t>Mini Gentle Cleansing Oil Makeup Remover</t>
  </si>
  <si>
    <t>P455212</t>
  </si>
  <si>
    <t>1 Minute Face Masks</t>
  </si>
  <si>
    <t>P443839</t>
  </si>
  <si>
    <t>Squalane Oil</t>
  </si>
  <si>
    <t>P461160</t>
  </si>
  <si>
    <t>Mini Advanced Night Repair Synchronized Multi-Recovery Complex</t>
  </si>
  <si>
    <t>P446638</t>
  </si>
  <si>
    <t>Power Cleanse Duo</t>
  </si>
  <si>
    <t>P3550</t>
  </si>
  <si>
    <t>Goodbye Acne AHA/BHA Acne Clearing Gel Face Body Spot Treatment</t>
  </si>
  <si>
    <t>P479351</t>
  </si>
  <si>
    <t>Daily Dose Hydra-Ceramide Boost + SPF 40 Sunscreen Oil PA+++</t>
  </si>
  <si>
    <t>P420230</t>
  </si>
  <si>
    <t>Pout Prep Lip Exfoliant</t>
  </si>
  <si>
    <t>P416824</t>
  </si>
  <si>
    <t>Fresh Pressed Daily Booster with Pure Vitamin C 10%</t>
  </si>
  <si>
    <t>P448184</t>
  </si>
  <si>
    <t>Cicapair Tiger Grass Calming Mist</t>
  </si>
  <si>
    <t>P294018</t>
  </si>
  <si>
    <t>Cleansing Spa Water Cloths</t>
  </si>
  <si>
    <t>Koh Gen Do</t>
  </si>
  <si>
    <t>P481367</t>
  </si>
  <si>
    <t>Isle Lip Balm SPF 30 with Sea Moss and Aloe Stem Cells</t>
  </si>
  <si>
    <t>CAY SKIN</t>
  </si>
  <si>
    <t>P479722</t>
  </si>
  <si>
    <t>Mandelic Acid Treatment</t>
  </si>
  <si>
    <t>P456572</t>
  </si>
  <si>
    <t>Vitamin C Dark Circle Correcting Eye Serum</t>
  </si>
  <si>
    <t>P472050</t>
  </si>
  <si>
    <t>Cold Plunge Pore Remedy Moisturizer with BHA/LHA</t>
  </si>
  <si>
    <t>P503868</t>
  </si>
  <si>
    <t>BTS |  Amorepacific Lip Sleeping Mask Lip &amp; Pop Edition Set</t>
  </si>
  <si>
    <t>P500139</t>
  </si>
  <si>
    <t>The Skinimalist Set</t>
  </si>
  <si>
    <t>P500988</t>
  </si>
  <si>
    <t>Moon Dew 1% Bakuchiol + Peptides Retinol Alternative Eye Cream</t>
  </si>
  <si>
    <t>P424989</t>
  </si>
  <si>
    <t>THE BODY Illuminating Self-Tan Drops</t>
  </si>
  <si>
    <t>P472052</t>
  </si>
  <si>
    <t>Microneedling Dark Spot Brightening Dots</t>
  </si>
  <si>
    <t>P501288</t>
  </si>
  <si>
    <t>C5 Super Boost Vitamin C Eye Cream</t>
  </si>
  <si>
    <t>P472472</t>
  </si>
  <si>
    <t>Ferulic Brew Facial Treatment Essence with Lactic Acid</t>
  </si>
  <si>
    <t>P422248</t>
  </si>
  <si>
    <t>Rare Earth Deep Pore Daily Cleanser</t>
  </si>
  <si>
    <t>P476733</t>
  </si>
  <si>
    <t>Mineral Mattescreen Sunscreen SPF 40 PA+++</t>
  </si>
  <si>
    <t>P500329</t>
  </si>
  <si>
    <t>Plump + Juicy Lip Booster Buttery Treatment</t>
  </si>
  <si>
    <t>Kosas</t>
  </si>
  <si>
    <t>P484033</t>
  </si>
  <si>
    <t>Mini Squalane + Vitamin C Rose Firming Oil</t>
  </si>
  <si>
    <t>P392143</t>
  </si>
  <si>
    <t>Tata's Daily Essentials Kit</t>
  </si>
  <si>
    <t>P480177</t>
  </si>
  <si>
    <t>Super Multi-Corrective Anti-Aging Eye Cream</t>
  </si>
  <si>
    <t>P470048</t>
  </si>
  <si>
    <t>Bestsellers Recruitment Set</t>
  </si>
  <si>
    <t>P404793</t>
  </si>
  <si>
    <t>Sunshine Vitamin C + Squalane Face Oil</t>
  </si>
  <si>
    <t>P397622</t>
  </si>
  <si>
    <t>Dermask Water Jet Soothing Hydra Solution</t>
  </si>
  <si>
    <t>P173652</t>
  </si>
  <si>
    <t>Bio-Performance Advanced Super Revitalizing Cream</t>
  </si>
  <si>
    <t>P472981</t>
  </si>
  <si>
    <t>Advanced GÃ©nifique Wrinkle &amp; Dark Circle Eye Cream</t>
  </si>
  <si>
    <t>P502745</t>
  </si>
  <si>
    <t>Plump + Juicy Vegan Collagen + Probiotic Spray-On Serum</t>
  </si>
  <si>
    <t>P474826</t>
  </si>
  <si>
    <t>Advanced Retinol + Ferulic Texture Renewal Serum</t>
  </si>
  <si>
    <t>P459131</t>
  </si>
  <si>
    <t>3 Mega Wonders</t>
  </si>
  <si>
    <t>P472466</t>
  </si>
  <si>
    <t>Mini Rose &amp; Hyaluronic Acid Deep Hydration Moisturizer</t>
  </si>
  <si>
    <t>P477157</t>
  </si>
  <si>
    <t>Clearly Clean Makeup Removing Cleansing Balm</t>
  </si>
  <si>
    <t>P440658</t>
  </si>
  <si>
    <t>Baby Bar Travel Duo with Case</t>
  </si>
  <si>
    <t>P450632</t>
  </si>
  <si>
    <t>Gentle Cleansing Foam Hydrating Makeup Remover</t>
  </si>
  <si>
    <t>P455622</t>
  </si>
  <si>
    <t>Even Better Clinical Radical Dark Spot Corrector + Interrupter Serum</t>
  </si>
  <si>
    <t>P4015</t>
  </si>
  <si>
    <t>Clarifying Toner</t>
  </si>
  <si>
    <t>P474939</t>
  </si>
  <si>
    <t>Vinopure Natural Salicylic Acid Pore Minimizing Toner</t>
  </si>
  <si>
    <t>P375841</t>
  </si>
  <si>
    <t>Advanced GÃ©nifique Yeux Light-Pearl Eye Serum</t>
  </si>
  <si>
    <t>P427397</t>
  </si>
  <si>
    <t>Hydro Biotic Recovery Sleeping Mask</t>
  </si>
  <si>
    <t>Dr. Brandt Skincare</t>
  </si>
  <si>
    <t>P504433</t>
  </si>
  <si>
    <t>Pro Collagen Multi-Peptide Booster</t>
  </si>
  <si>
    <t>P470057</t>
  </si>
  <si>
    <t>Mineral Sheerscreen Sunscreen SPF 30 PA+++</t>
  </si>
  <si>
    <t>P444222</t>
  </si>
  <si>
    <t>Luxury Beauty Serum Calming Treatment</t>
  </si>
  <si>
    <t>Saint Jane Beauty</t>
  </si>
  <si>
    <t>P443370</t>
  </si>
  <si>
    <t>BioLumin-C Vitamin C Serum</t>
  </si>
  <si>
    <t>P454396</t>
  </si>
  <si>
    <t>Lotus Youth Preserve Eye Cream</t>
  </si>
  <si>
    <t>P500039</t>
  </si>
  <si>
    <t>The Neck Serum - With 5 Peptides | 9% Peptide Blend</t>
  </si>
  <si>
    <t>NÃ©cessaire</t>
  </si>
  <si>
    <t>P500121</t>
  </si>
  <si>
    <t>SOS Intensive Redness Relief Serum</t>
  </si>
  <si>
    <t>P500633</t>
  </si>
  <si>
    <t>Tea Elixir Niacinamide &amp; Hyaluronic Acid Anti-Aging Serum</t>
  </si>
  <si>
    <t>P470058</t>
  </si>
  <si>
    <t>Glowscreen Body Sunscreen SPF 40 PA+++</t>
  </si>
  <si>
    <t>P453929</t>
  </si>
  <si>
    <t>Retinol Youth Renewal Night Cream</t>
  </si>
  <si>
    <t>P270544</t>
  </si>
  <si>
    <t>Hydrating Eye Cream</t>
  </si>
  <si>
    <t>P474832</t>
  </si>
  <si>
    <t>Sugar Recovery Lip Mask Advanced Therapy</t>
  </si>
  <si>
    <t>P388545</t>
  </si>
  <si>
    <t>Perfect Cleansing Oil</t>
  </si>
  <si>
    <t>P446419</t>
  </si>
  <si>
    <t>Noni Bright 12% Vitamin C Serum</t>
  </si>
  <si>
    <t>P469086</t>
  </si>
  <si>
    <t>Facial Cleansing Tool</t>
  </si>
  <si>
    <t>P460624</t>
  </si>
  <si>
    <t>Discover Healthy Skin Kit</t>
  </si>
  <si>
    <t>P462829</t>
  </si>
  <si>
    <t>Squalane + Elderberry Nourishing Jelly Cleanser</t>
  </si>
  <si>
    <t>P427638</t>
  </si>
  <si>
    <t>Nutrient-Charged Water Gel</t>
  </si>
  <si>
    <t>P447597</t>
  </si>
  <si>
    <t>100% Organic Virgin Chia Seed Oil</t>
  </si>
  <si>
    <t>P467647</t>
  </si>
  <si>
    <t>Melting Cleansing Balm Cleanse + Balance</t>
  </si>
  <si>
    <t>P443350</t>
  </si>
  <si>
    <t>Mini Precleanse Cleansing Oil</t>
  </si>
  <si>
    <t>P480160</t>
  </si>
  <si>
    <t>Premier Cru Anti Aging Cream Moisturizer with Hyaluronic Acid</t>
  </si>
  <si>
    <t>P430818</t>
  </si>
  <si>
    <t>SEA Mermaid Skin Hyaluronic H2O Serum</t>
  </si>
  <si>
    <t>P467971</t>
  </si>
  <si>
    <t>Brightening Dark Circle Eye Cream</t>
  </si>
  <si>
    <t>P473828</t>
  </si>
  <si>
    <t>Ceramidin  Eye Cream with Niacinamide</t>
  </si>
  <si>
    <t>P394124</t>
  </si>
  <si>
    <t>Argan Daily Moisturizer Tinted SPF 47 Protect + Perfect</t>
  </si>
  <si>
    <t>P465368</t>
  </si>
  <si>
    <t>Mini Ready Steady Glow Daily AHA Tonic</t>
  </si>
  <si>
    <t>P392239</t>
  </si>
  <si>
    <t>Menthol And Eucalyptus Lip Balm</t>
  </si>
  <si>
    <t>P457512</t>
  </si>
  <si>
    <t>Overnight Glow Dark Spot Sleeping Cream</t>
  </si>
  <si>
    <t>P397310</t>
  </si>
  <si>
    <t>PoreDermabrasion Pore Perfecting Exfoliator</t>
  </si>
  <si>
    <t>P503668</t>
  </si>
  <si>
    <t>Barrier+ Triple Lipid + Collagen + Niacinamide Activating Serum</t>
  </si>
  <si>
    <t>P503878</t>
  </si>
  <si>
    <t>Pout Preserve Peptide Lip Treatment</t>
  </si>
  <si>
    <t>P455897</t>
  </si>
  <si>
    <t>Ethylated Ascorbic Acid 15% Solution</t>
  </si>
  <si>
    <t>P454388</t>
  </si>
  <si>
    <t>Mini Glow Oil SPF 50 PA++++</t>
  </si>
  <si>
    <t>P439927</t>
  </si>
  <si>
    <t>Liquid ExfoliKate Triple Acid Resurfacing Treatment</t>
  </si>
  <si>
    <t>P392248</t>
  </si>
  <si>
    <t>Pekee Cleansing Bar</t>
  </si>
  <si>
    <t>P480461</t>
  </si>
  <si>
    <t>Retinol Youth Renewal Eye Masks</t>
  </si>
  <si>
    <t>P473725</t>
  </si>
  <si>
    <t>Resurfacing Peel Mask</t>
  </si>
  <si>
    <t>P446909</t>
  </si>
  <si>
    <t>Zincscreen 100% Mineral Sunscreen Lotion SPF 40 PA+++</t>
  </si>
  <si>
    <t>P467748</t>
  </si>
  <si>
    <t>Resveratrol Lift Firming Eye Gel-Cream</t>
  </si>
  <si>
    <t>P473728</t>
  </si>
  <si>
    <t>Reusable Cotton Pads</t>
  </si>
  <si>
    <t>P480165</t>
  </si>
  <si>
    <t>Healthy Skin Starter Kit</t>
  </si>
  <si>
    <t>P471009</t>
  </si>
  <si>
    <t>Vinoperfect Brightening Glycolic Peel Mask</t>
  </si>
  <si>
    <t>P472057</t>
  </si>
  <si>
    <t>Vegan Makeup Remover and Cleansing Brush</t>
  </si>
  <si>
    <t>P442850</t>
  </si>
  <si>
    <t>Redness Recovery+ Antioxidant Redness Treatment Overnight Mask</t>
  </si>
  <si>
    <t>P411254</t>
  </si>
  <si>
    <t>MAGNETIGHT Age-Defier Mask</t>
  </si>
  <si>
    <t>P462347</t>
  </si>
  <si>
    <t>E-Rase Milki Micellar Water Mini</t>
  </si>
  <si>
    <t>P463964</t>
  </si>
  <si>
    <t>Pink Drink Firming Resurfacing Peptide Face Mist</t>
  </si>
  <si>
    <t>P469524</t>
  </si>
  <si>
    <t>RESIST Super-Light Daily Wrinkle Defense SPF 30</t>
  </si>
  <si>
    <t>P415773</t>
  </si>
  <si>
    <t>Pep-Start Daily UV Protector Broad Spectrum SPF 50</t>
  </si>
  <si>
    <t>P481825</t>
  </si>
  <si>
    <t>Hydro UV Defense Sunscreen Broad Spectrum SPF 50+</t>
  </si>
  <si>
    <t>P384537</t>
  </si>
  <si>
    <t>GENIUS Ultimate Anti-Aging Cream</t>
  </si>
  <si>
    <t>P415202</t>
  </si>
  <si>
    <t>Wrinkle Warrior 2-in-1 Plumping Moisturizer + Serum</t>
  </si>
  <si>
    <t>P444964</t>
  </si>
  <si>
    <t>The Lip Volumizer</t>
  </si>
  <si>
    <t>P466163</t>
  </si>
  <si>
    <t>Thirst Trap Juice Hyaluronic Acid &amp; Peptide Hydrating Facial Serum</t>
  </si>
  <si>
    <t>P501028</t>
  </si>
  <si>
    <t>Ceramighty  AF Eye Cream with Ceramides</t>
  </si>
  <si>
    <t>P271682</t>
  </si>
  <si>
    <t>Instant FIRMx Temporary Face Tightener</t>
  </si>
  <si>
    <t>P232910</t>
  </si>
  <si>
    <t>Goat Milk Moisturizing Cream</t>
  </si>
  <si>
    <t>P440483</t>
  </si>
  <si>
    <t>Facial Spray with Aloe, Cucumber and Green Tea</t>
  </si>
  <si>
    <t>P429954</t>
  </si>
  <si>
    <t>Clarifying Blemish &amp; Oil Control Cleanser</t>
  </si>
  <si>
    <t>P471535</t>
  </si>
  <si>
    <t>Aqua Bomb Brightening Vitamin C Cream</t>
  </si>
  <si>
    <t>P471033</t>
  </si>
  <si>
    <t>CLOUD JELLY Plumping Hydration Serum</t>
  </si>
  <si>
    <t>P417984</t>
  </si>
  <si>
    <t>Moisture Surge Hydrating Supercharged Concentrate</t>
  </si>
  <si>
    <t>P201440</t>
  </si>
  <si>
    <t>Redness Solutions with Probiotic Technology Daily Relief Cream</t>
  </si>
  <si>
    <t>P474060</t>
  </si>
  <si>
    <t>Mini Rare Earth Deep Pore Minimizing Cleansing Clay Mask</t>
  </si>
  <si>
    <t>P455235</t>
  </si>
  <si>
    <t>Superstars Anti-Aging Serum and Eye Kit</t>
  </si>
  <si>
    <t>P502740</t>
  </si>
  <si>
    <t>Masking Minis 5-Piece Mask Kit</t>
  </si>
  <si>
    <t>P475190</t>
  </si>
  <si>
    <t>Rose Glow + Get It Cooling &amp; Brightening Eye Balm</t>
  </si>
  <si>
    <t>TULA Skincare</t>
  </si>
  <si>
    <t>P466673</t>
  </si>
  <si>
    <t>Rapid Dark Spot Correcting Serum</t>
  </si>
  <si>
    <t>P448937</t>
  </si>
  <si>
    <t>ICE Ceramide Moisturizer with Vitamin F</t>
  </si>
  <si>
    <t>P416344</t>
  </si>
  <si>
    <t>The Cleansing Foam</t>
  </si>
  <si>
    <t>P471226</t>
  </si>
  <si>
    <t>Vinoperfect Instant Brightening Moisturizer with Niacinamide</t>
  </si>
  <si>
    <t>P429522</t>
  </si>
  <si>
    <t>Super Fluid Daily UV Defense Sunscreen Broad Spectrum SPF 50+</t>
  </si>
  <si>
    <t>P385253</t>
  </si>
  <si>
    <t>Dr. Andrew Weil For Origins Mega-Bright SPF 30 Skin Tone Correcting Oil-Free Moisturizer</t>
  </si>
  <si>
    <t>P478239</t>
  </si>
  <si>
    <t>Vinopure Purifying Clay Mask</t>
  </si>
  <si>
    <t>P479353</t>
  </si>
  <si>
    <t>Hyaluronic Acid Cleanser</t>
  </si>
  <si>
    <t>P434340</t>
  </si>
  <si>
    <t>De-Puffing Rose Quartz Facial Roller</t>
  </si>
  <si>
    <t>P469525</t>
  </si>
  <si>
    <t>Omega+ Complex Serum</t>
  </si>
  <si>
    <t>P446422</t>
  </si>
  <si>
    <t>Avocado Nourishing Hydration Mask</t>
  </si>
  <si>
    <t>P473126</t>
  </si>
  <si>
    <t>CLINICAL Discoloration Repair Serum</t>
  </si>
  <si>
    <t>P450917</t>
  </si>
  <si>
    <t>Mini FIRMx Exfoliating Peel Gel</t>
  </si>
  <si>
    <t>P504636</t>
  </si>
  <si>
    <t>Mini Watermelon Glow Niacinamide Dew Drops</t>
  </si>
  <si>
    <t>P244701</t>
  </si>
  <si>
    <t>Acne Solutions Oil-Control Cleansing Mask</t>
  </si>
  <si>
    <t>P474329</t>
  </si>
  <si>
    <t>Face Glaze Skin Barrier Protect &amp; Glow Moisturizer</t>
  </si>
  <si>
    <t>P478029</t>
  </si>
  <si>
    <t>Mini Fulvic Acid Brightening Cleanser</t>
  </si>
  <si>
    <t>P448201</t>
  </si>
  <si>
    <t>Benefiance Wrinkle Smoothing Day Cream SPF 23</t>
  </si>
  <si>
    <t>P408301</t>
  </si>
  <si>
    <t>Purifying Pore &amp; Blackhead Detox Mask</t>
  </si>
  <si>
    <t>P91627362</t>
  </si>
  <si>
    <t>GO OFF Makeup Dissolving Mist</t>
  </si>
  <si>
    <t>ONE/SIZE by Patrick Starrr</t>
  </si>
  <si>
    <t>P440949</t>
  </si>
  <si>
    <t>Liquid Gold Exfoliating Treatment with Glycolic acid</t>
  </si>
  <si>
    <t>Alpha-H</t>
  </si>
  <si>
    <t>P431847</t>
  </si>
  <si>
    <t>Glow Sweet Glow - Skin Hydration Vegan Gummies with Hyaluronic Acid &amp; Vitamin C + E</t>
  </si>
  <si>
    <t>P479633</t>
  </si>
  <si>
    <t>Pore Remedy Purifying Mud Mask</t>
  </si>
  <si>
    <t>P475590</t>
  </si>
  <si>
    <t>MINI GINZING VITAMIN C EYE CREAM TO BRIGHTEN AND DEPUFF</t>
  </si>
  <si>
    <t>P432048</t>
  </si>
  <si>
    <t>Resurfacing AHA + BHA Serum</t>
  </si>
  <si>
    <t>P9941</t>
  </si>
  <si>
    <t>Essential-C Cleanser</t>
  </si>
  <si>
    <t>P434360</t>
  </si>
  <si>
    <t>High-Potency Night-a-Mins Resurfacing Cream with Fruit-Derived AHAs</t>
  </si>
  <si>
    <t>P438628</t>
  </si>
  <si>
    <t>Contouring + De-Puffing Rose Quartz Roller</t>
  </si>
  <si>
    <t>BeautyBio</t>
  </si>
  <si>
    <t>P426501</t>
  </si>
  <si>
    <t>Mini CrÃ¨me de la Mer Moisturizer</t>
  </si>
  <si>
    <t>P470533</t>
  </si>
  <si>
    <t>Blending Brush</t>
  </si>
  <si>
    <t>P419633</t>
  </si>
  <si>
    <t>ESPADA Blue Light Acne Treatment</t>
  </si>
  <si>
    <t>FOREO</t>
  </si>
  <si>
    <t>P479632</t>
  </si>
  <si>
    <t>Pore Remedy PHA Exfoliating Serum</t>
  </si>
  <si>
    <t>P432049</t>
  </si>
  <si>
    <t>SuperYou Daily Stress Management</t>
  </si>
  <si>
    <t>P481700</t>
  </si>
  <si>
    <t>Cicapair Redness Rescue Kit</t>
  </si>
  <si>
    <t>P456126</t>
  </si>
  <si>
    <t>Vegan Milk Cleanser</t>
  </si>
  <si>
    <t>P467602</t>
  </si>
  <si>
    <t>Triple Algae Eye Renewal Balm Eye Cream</t>
  </si>
  <si>
    <t>P196524</t>
  </si>
  <si>
    <t>Acne Solutions Cleansing Bar For Face and Body</t>
  </si>
  <si>
    <t>P479840</t>
  </si>
  <si>
    <t>Hydrating Eye Cream with Hyaluronic Acid</t>
  </si>
  <si>
    <t>P456213</t>
  </si>
  <si>
    <t>GOOPGLOW Microderm Instant Glow Exfoliator</t>
  </si>
  <si>
    <t>goop</t>
  </si>
  <si>
    <t>P504523</t>
  </si>
  <si>
    <t>Futuredew Facial Oil-Serum Hybrid</t>
  </si>
  <si>
    <t>Glossier</t>
  </si>
  <si>
    <t>P504639</t>
  </si>
  <si>
    <t>Banana Bright+ Vitamin CC Eye Sticks</t>
  </si>
  <si>
    <t>P503191</t>
  </si>
  <si>
    <t>Mini Indigo Overnight Repair Serum in Cream Treatment</t>
  </si>
  <si>
    <t>P479319</t>
  </si>
  <si>
    <t>Pre-Show Glow Instant Retexturizing 10% AHA Treatment + Reusable Applicator</t>
  </si>
  <si>
    <t>P446934</t>
  </si>
  <si>
    <t>Oil and Pore Control Mattifier Broad Spectrum SPF 45 PA++++</t>
  </si>
  <si>
    <t>P385262</t>
  </si>
  <si>
    <t>Ultimate Sun Protection Spray Broad Spectrum SPF 50+ For Face/Body</t>
  </si>
  <si>
    <t>P122762</t>
  </si>
  <si>
    <t>Rinse-Off Foaming Cleanser</t>
  </si>
  <si>
    <t>P474822</t>
  </si>
  <si>
    <t>Daily Glycolic Cleanser</t>
  </si>
  <si>
    <t>P440937</t>
  </si>
  <si>
    <t>Cannabis Sativa Seed Oil Herbal Concentrate (Hemp-Derived)</t>
  </si>
  <si>
    <t>P500102</t>
  </si>
  <si>
    <t>Hydro Ungrip Makeup Removing Cleansing Balm</t>
  </si>
  <si>
    <t>P268700</t>
  </si>
  <si>
    <t>Hydro-Dynamic Ultimate Moisture</t>
  </si>
  <si>
    <t>P480301</t>
  </si>
  <si>
    <t>Mini Deep Sweep 2% BHA Pore Cleaning Toner with Moringa + Papaya</t>
  </si>
  <si>
    <t>P232906</t>
  </si>
  <si>
    <t>Oil Free Moisturizer</t>
  </si>
  <si>
    <t>P458733</t>
  </si>
  <si>
    <t>Mini Rose Quartz Facial Roller</t>
  </si>
  <si>
    <t>P469862</t>
  </si>
  <si>
    <t>Rich Bitch Cactus + Vitamin C Moisturizer</t>
  </si>
  <si>
    <t>Freck Beauty</t>
  </si>
  <si>
    <t>P446421</t>
  </si>
  <si>
    <t>Clear Improvement Pore Clearing Moisturizer with Salicylic Acid</t>
  </si>
  <si>
    <t>P455237</t>
  </si>
  <si>
    <t>Melt Moisturizer with Bakuchiol and Squalane</t>
  </si>
  <si>
    <t>P399755</t>
  </si>
  <si>
    <t>GLO Lit Teeth Whitening Vials 7 Pack + Lip Care</t>
  </si>
  <si>
    <t>P468634</t>
  </si>
  <si>
    <t>Vitamin Enriched Face Base Jumbo</t>
  </si>
  <si>
    <t>P424986</t>
  </si>
  <si>
    <t>THE BUTTER Illuminating Tanning Butter</t>
  </si>
  <si>
    <t>P479313</t>
  </si>
  <si>
    <t>Advanced Retinol + Ferulic Intense Wrinkle Cream</t>
  </si>
  <si>
    <t>P469518</t>
  </si>
  <si>
    <t>RESIST Barrier Repair Moisturizer with Retinol</t>
  </si>
  <si>
    <t>P454514</t>
  </si>
  <si>
    <t>Youth Renewal Retinol Trial Kit for Smoother, Younger-Looking Skin</t>
  </si>
  <si>
    <t>P482008</t>
  </si>
  <si>
    <t>Self-Tanning Oil Mist</t>
  </si>
  <si>
    <t>P188306</t>
  </si>
  <si>
    <t>Acne Solutions All-Over Clearing Treatment Oil-Free</t>
  </si>
  <si>
    <t>P431733</t>
  </si>
  <si>
    <t>Epidermal Re-Texturizing Micro-Dermabrasion</t>
  </si>
  <si>
    <t>P437477</t>
  </si>
  <si>
    <t>Stop Being So Sensitive Evercalm Kit</t>
  </si>
  <si>
    <t>P475181</t>
  </si>
  <si>
    <t>Glow + Get It Cooling &amp; Brightening Eye Balm</t>
  </si>
  <si>
    <t>P411881</t>
  </si>
  <si>
    <t>Retinol Firming Eye Cream</t>
  </si>
  <si>
    <t>P386755</t>
  </si>
  <si>
    <t>Collagen Love Skin Firming Supplement with Hyaluronic Acid &amp; Vitamin C</t>
  </si>
  <si>
    <t>P217932</t>
  </si>
  <si>
    <t>CrÃ¨me Radiance Gentle Cleansing Creamy-Foam Cleanser</t>
  </si>
  <si>
    <t>P444057</t>
  </si>
  <si>
    <t>Aqua Bomb Jelly Cleanser</t>
  </si>
  <si>
    <t>P430812</t>
  </si>
  <si>
    <t>Max Mineral Tinted Sunscreen Broad Spectrum SPF 45</t>
  </si>
  <si>
    <t>P459116</t>
  </si>
  <si>
    <t>Mini Cream Skin Toner &amp; Moisturizer</t>
  </si>
  <si>
    <t>P472451</t>
  </si>
  <si>
    <t>Vinosource-Hydra Moisturizing Mask</t>
  </si>
  <si>
    <t>P471046</t>
  </si>
  <si>
    <t>Turmeric Glow Brightening Moisturizer</t>
  </si>
  <si>
    <t>P458964</t>
  </si>
  <si>
    <t>G.Tox Ultimate Dry Brush</t>
  </si>
  <si>
    <t>P442843</t>
  </si>
  <si>
    <t>Eczema+ Dermatitis Face Balm</t>
  </si>
  <si>
    <t>P420143</t>
  </si>
  <si>
    <t>Clarifying AHA + BHA Mask</t>
  </si>
  <si>
    <t>P418221</t>
  </si>
  <si>
    <t>Organic Sunless Tan Anti-Aging Face Serum</t>
  </si>
  <si>
    <t>P454821</t>
  </si>
  <si>
    <t>LUNA Mini 3</t>
  </si>
  <si>
    <t>P432421</t>
  </si>
  <si>
    <t>SUPERMASK - The Charcoal Mask</t>
  </si>
  <si>
    <t>P448719</t>
  </si>
  <si>
    <t>PRO Strength Lactic Pore Treatment</t>
  </si>
  <si>
    <t>P440305</t>
  </si>
  <si>
    <t>Goat Milk Moisturizing Cleanser</t>
  </si>
  <si>
    <t>P502365</t>
  </si>
  <si>
    <t>Clarifying Cleanse + Hydrate Duo</t>
  </si>
  <si>
    <t>P460746</t>
  </si>
  <si>
    <t>Aburatorigami Japanese Blotting Papers</t>
  </si>
  <si>
    <t>P34402</t>
  </si>
  <si>
    <t>Acne Control Clarifying Body Spray</t>
  </si>
  <si>
    <t>P392607</t>
  </si>
  <si>
    <t>24K Gold Mask Pure Luxury Lift &amp; Firm</t>
  </si>
  <si>
    <t>P385320</t>
  </si>
  <si>
    <t>Trinity + Eye and Lip Enhancer Attachment Bundle</t>
  </si>
  <si>
    <t>NuFACE</t>
  </si>
  <si>
    <t>P440650</t>
  </si>
  <si>
    <t>Mini Retinol Youth Renewal Serum</t>
  </si>
  <si>
    <t>P454395</t>
  </si>
  <si>
    <t>Mini Lotus Youth Preserve Moisturizer</t>
  </si>
  <si>
    <t>P122661</t>
  </si>
  <si>
    <t>7 Day Face Scrub Cream Rinse-Off Formula</t>
  </si>
  <si>
    <t>P471547</t>
  </si>
  <si>
    <t>Mini Beste No. 9 Jelly Cleanser</t>
  </si>
  <si>
    <t>P500244</t>
  </si>
  <si>
    <t>FIRMx Collagen Face &amp; Eye Hydra-Gel Patches</t>
  </si>
  <si>
    <t>P482551</t>
  </si>
  <si>
    <t>C.E.O. Afterglow Brightening Vitamin C Moisturizer</t>
  </si>
  <si>
    <t>P482696</t>
  </si>
  <si>
    <t>Water Bank Blue Hyaluronic Eye Cream</t>
  </si>
  <si>
    <t>P444968</t>
  </si>
  <si>
    <t>Mini Facial Spray with Aloe, Cucumber and Green Tea</t>
  </si>
  <si>
    <t>P443700</t>
  </si>
  <si>
    <t>Mini Special Cleansing Gel</t>
  </si>
  <si>
    <t>P423150</t>
  </si>
  <si>
    <t>Multi-Active Toner</t>
  </si>
  <si>
    <t>P440484</t>
  </si>
  <si>
    <t>Facial Spray with Aloe, Chamomile and Lavender</t>
  </si>
  <si>
    <t>P504007</t>
  </si>
  <si>
    <t>Ceramidin Skin Barrier Moisturizing Cream</t>
  </si>
  <si>
    <t>P232327</t>
  </si>
  <si>
    <t>Broad Spectrum SPF 50 Sunscreen Face Cream</t>
  </si>
  <si>
    <t>P474325</t>
  </si>
  <si>
    <t>Aquarius Pore Purifying BHA Cream</t>
  </si>
  <si>
    <t>P438637</t>
  </si>
  <si>
    <t>Bright Eyes Collagen-Infused Brightening Colloidal Silver Eye Masks</t>
  </si>
  <si>
    <t>P442742</t>
  </si>
  <si>
    <t>Peptide 21 Amino Acid Exfoliating Peel Pads</t>
  </si>
  <si>
    <t>P429662</t>
  </si>
  <si>
    <t>pores no more Vacuum Cleaner Pore Purifying Mask</t>
  </si>
  <si>
    <t>P455924</t>
  </si>
  <si>
    <t>The Eye Concentrate Cream</t>
  </si>
  <si>
    <t>P461521</t>
  </si>
  <si>
    <t>Clean Hand Mask</t>
  </si>
  <si>
    <t>P476876</t>
  </si>
  <si>
    <t>Berry Bright Firming Vitamin C Eye Cream</t>
  </si>
  <si>
    <t>P469530</t>
  </si>
  <si>
    <t>Blemish Balm Cleanser</t>
  </si>
  <si>
    <t>P500756</t>
  </si>
  <si>
    <t>10% Vitamin C Brightening Serum</t>
  </si>
  <si>
    <t>P395389</t>
  </si>
  <si>
    <t>GLO Brilliant Teeth Whitening GLO Vials 10 Pack plus Lip Care</t>
  </si>
  <si>
    <t>P470509</t>
  </si>
  <si>
    <t>The Rich Cream with TFC8 Face Moisturizer</t>
  </si>
  <si>
    <t>Augustinus Bader</t>
  </si>
  <si>
    <t>P410756</t>
  </si>
  <si>
    <t>GenOptics Aura Essence Serum</t>
  </si>
  <si>
    <t>P469517</t>
  </si>
  <si>
    <t>CLEAR Oil-Free Moisturizer</t>
  </si>
  <si>
    <t>P397625</t>
  </si>
  <si>
    <t>Dermask Micro Jet Brightening Solution</t>
  </si>
  <si>
    <t>P458900</t>
  </si>
  <si>
    <t>Pineapple Enzyme Pore Clearing Cleanser</t>
  </si>
  <si>
    <t>P421276</t>
  </si>
  <si>
    <t>ExfoliKate Glow Moisturizer</t>
  </si>
  <si>
    <t>P500626</t>
  </si>
  <si>
    <t>P205614</t>
  </si>
  <si>
    <t>White Lucent Anti-Dark Circles Eye Cream</t>
  </si>
  <si>
    <t>P474936</t>
  </si>
  <si>
    <t>Vinopure Oil-Control Moisturizer for Acne Prone Skin</t>
  </si>
  <si>
    <t>P475932</t>
  </si>
  <si>
    <t>Milk Marvel Dark Spot Serum with Niacinamide and Vitamin C</t>
  </si>
  <si>
    <t>EADEM</t>
  </si>
  <si>
    <t>P475629</t>
  </si>
  <si>
    <t>Honey Whip Peptide and Collagen Moisturizer</t>
  </si>
  <si>
    <t>P402014</t>
  </si>
  <si>
    <t>Blue Moon Clean-Rinse Cleansing Balm</t>
  </si>
  <si>
    <t>P481350</t>
  </si>
  <si>
    <t>Complexion Clarity Kit</t>
  </si>
  <si>
    <t>P501323</t>
  </si>
  <si>
    <t>Overnight Recovery Duo</t>
  </si>
  <si>
    <t>P468637</t>
  </si>
  <si>
    <t>Vinoclean Makeup Removing Cleansing Oil</t>
  </si>
  <si>
    <t>P482695</t>
  </si>
  <si>
    <t>Water Bank Blue Hyaluronic Gel Moisturizer</t>
  </si>
  <si>
    <t>P374841</t>
  </si>
  <si>
    <t>Even Better Eyes Dark Circle Corrector</t>
  </si>
  <si>
    <t>P454837</t>
  </si>
  <si>
    <t>Confidence in Your Beauty Sleep Night Cream</t>
  </si>
  <si>
    <t>P422430</t>
  </si>
  <si>
    <t>Hydra Zen Gel-Cream Oil-Free Moisturizer with Salicylic Acid</t>
  </si>
  <si>
    <t>P438635</t>
  </si>
  <si>
    <t>The Pout Sparkling RosÃ© Hyaluronic Acid Collagen Plumping Lip Serum</t>
  </si>
  <si>
    <t>P466117</t>
  </si>
  <si>
    <t>Sweet Biome Fermented Sake Hydrating Spray</t>
  </si>
  <si>
    <t>P445832</t>
  </si>
  <si>
    <t>Acne Clearing Skin Wash Cleanser</t>
  </si>
  <si>
    <t>P483661</t>
  </si>
  <si>
    <t>Moon Fruit 1% Bakuchiol + Peptides Retinol Alternative Serum</t>
  </si>
  <si>
    <t>P391802</t>
  </si>
  <si>
    <t>Needles No More Wrinkle Smoothing Cream</t>
  </si>
  <si>
    <t>P503865</t>
  </si>
  <si>
    <t>Bright &amp; Tight Dark Circle Firming Eye Cream with Vitamin C &amp; Peptides</t>
  </si>
  <si>
    <t>P474330</t>
  </si>
  <si>
    <t>Bye Bye Dark Spots 4% Niacinamide Serum</t>
  </si>
  <si>
    <t>P443349</t>
  </si>
  <si>
    <t>Skin Squad Pre + ProbioticSupplement for Acne-Prone Skin</t>
  </si>
  <si>
    <t>P481366</t>
  </si>
  <si>
    <t>Isle Glow Face Moisturizer SPF 45 with Sea Moss and Niacinamide</t>
  </si>
  <si>
    <t>P4032</t>
  </si>
  <si>
    <t>Hydrating Toner</t>
  </si>
  <si>
    <t>P403748</t>
  </si>
  <si>
    <t>Black Tea Corset Firming Serum</t>
  </si>
  <si>
    <t>P480600</t>
  </si>
  <si>
    <t>Rouge Dior Lip Balm</t>
  </si>
  <si>
    <t>P477714</t>
  </si>
  <si>
    <t>Black Obsidian Face and Body Gua Sha</t>
  </si>
  <si>
    <t>P457522</t>
  </si>
  <si>
    <t>Every Sun Day Sun Fluid SPF 50+</t>
  </si>
  <si>
    <t>P122782</t>
  </si>
  <si>
    <t>Repairwear Intensive Lip Treatment</t>
  </si>
  <si>
    <t>P480986</t>
  </si>
  <si>
    <t>Firming Eye Cream with Peptides</t>
  </si>
  <si>
    <t>P9939</t>
  </si>
  <si>
    <t>Essential-C Toner</t>
  </si>
  <si>
    <t>P500857</t>
  </si>
  <si>
    <t>Deep Relief Acne Treatment with Salicylic Acid</t>
  </si>
  <si>
    <t>P454084</t>
  </si>
  <si>
    <t>Argan Beta Retinol Pink Algae Serum</t>
  </si>
  <si>
    <t>P476842</t>
  </si>
  <si>
    <t>Cryo-Recovery Lifting Face Mask with Acupressure Technology</t>
  </si>
  <si>
    <t>P474824</t>
  </si>
  <si>
    <t>Advanced Retinol + Ferulic Overnight Wrinkle Treatment</t>
  </si>
  <si>
    <t>P467651</t>
  </si>
  <si>
    <t>Pores Target Serum</t>
  </si>
  <si>
    <t>P416538</t>
  </si>
  <si>
    <t>The Lifting and Firming Mask</t>
  </si>
  <si>
    <t>P453823</t>
  </si>
  <si>
    <t>Vital-E Antioxidant Recovery Eye Cream</t>
  </si>
  <si>
    <t>P471062</t>
  </si>
  <si>
    <t>Full-Size Water Drench Hydra-Pair 2-Piece Kit</t>
  </si>
  <si>
    <t>P462666</t>
  </si>
  <si>
    <t>Total Eye Lift Firming &amp; Smoothing Anti-Aging Eye Cream</t>
  </si>
  <si>
    <t>P476843</t>
  </si>
  <si>
    <t>Cryo-Recovery Depuffing Eye Serum</t>
  </si>
  <si>
    <t>P424985</t>
  </si>
  <si>
    <t>THE WATER Hydrating Self-Tan Water</t>
  </si>
  <si>
    <t>P476485</t>
  </si>
  <si>
    <t>Hydra Vizor Invisible Moisturizer Broad Spectrum SPF 30 Sunscreen with Niacinamide Refill</t>
  </si>
  <si>
    <t>P468813</t>
  </si>
  <si>
    <t>Vinoclean Moisturizing Toner with Rose Water</t>
  </si>
  <si>
    <t>P457510</t>
  </si>
  <si>
    <t>Private Party: Supports Vaginal &amp; Urinary Tract Health</t>
  </si>
  <si>
    <t>P439626</t>
  </si>
  <si>
    <t>Black Tea Firming Eye Serum</t>
  </si>
  <si>
    <t>P417241</t>
  </si>
  <si>
    <t>The Renewal Oil</t>
  </si>
  <si>
    <t>P483092</t>
  </si>
  <si>
    <t>Glow Peel Pads with AHA + PHA</t>
  </si>
  <si>
    <t>P468211</t>
  </si>
  <si>
    <t>Sunvisor Radiant Moisturizing Face Sunscreen SPF 35</t>
  </si>
  <si>
    <t>Saie</t>
  </si>
  <si>
    <t>P438632</t>
  </si>
  <si>
    <t>GloPRO BODY MicroTip Attachment Head</t>
  </si>
  <si>
    <t>P379995</t>
  </si>
  <si>
    <t>Perfectionist CP+R Wrinkle Lifting/Firming Serum</t>
  </si>
  <si>
    <t>P470221</t>
  </si>
  <si>
    <t>Milk-Peel Gentle Exfoliating Toner</t>
  </si>
  <si>
    <t>P392144</t>
  </si>
  <si>
    <t>Purifying Pore Detox Cleanser</t>
  </si>
  <si>
    <t>P503827</t>
  </si>
  <si>
    <t>Midnight Ritual Retinol Renewal Serum</t>
  </si>
  <si>
    <t>P462336</t>
  </si>
  <si>
    <t>Aqua Bomb Cleansing Balm</t>
  </si>
  <si>
    <t>P386762</t>
  </si>
  <si>
    <t>Here Comes The Sun Vitamin D Immune System Support Supplement</t>
  </si>
  <si>
    <t>P504043</t>
  </si>
  <si>
    <t>Hydrabarrier Nourishing Face Oil</t>
  </si>
  <si>
    <t>P500101</t>
  </si>
  <si>
    <t>Hydro Ungrip Makeup Remover + Cleansing Water</t>
  </si>
  <si>
    <t>P440486</t>
  </si>
  <si>
    <t>Glycolic Acid Toner</t>
  </si>
  <si>
    <t>P449102</t>
  </si>
  <si>
    <t>Crystal Ball Roller Gloss</t>
  </si>
  <si>
    <t>P469504</t>
  </si>
  <si>
    <t>Skin Perfecting 8% AHA Gel Exfoliant</t>
  </si>
  <si>
    <t>P423142</t>
  </si>
  <si>
    <t>Active Moist Moisturizer</t>
  </si>
  <si>
    <t>P480280</t>
  </si>
  <si>
    <t>Mini Squalane + Omega Repair Deep Hydration Moisturizer</t>
  </si>
  <si>
    <t>P423157</t>
  </si>
  <si>
    <t>Sex Dust   Adaptogens For Fire*</t>
  </si>
  <si>
    <t>P388982</t>
  </si>
  <si>
    <t>Big ChillAdaptogenStress Management Supplement</t>
  </si>
  <si>
    <t>P472031</t>
  </si>
  <si>
    <t>FAB Pharma Calamine Pore Purging Mask</t>
  </si>
  <si>
    <t>P386757</t>
  </si>
  <si>
    <t>Wing Man Liver Detox and Dark Circle Supplement</t>
  </si>
  <si>
    <t>P472021</t>
  </si>
  <si>
    <t>Mochi Mochi Luminous Plumping &amp; Hydrating Moisturizer</t>
  </si>
  <si>
    <t>DAMDAM</t>
  </si>
  <si>
    <t>P270543</t>
  </si>
  <si>
    <t>Hydrating Face Cream Moisturizer</t>
  </si>
  <si>
    <t>P442859</t>
  </si>
  <si>
    <t>ALIVE Prebiotic Balancing Mask</t>
  </si>
  <si>
    <t>P439057</t>
  </si>
  <si>
    <t>Confidence in a Gel Lotion</t>
  </si>
  <si>
    <t>P459127</t>
  </si>
  <si>
    <t>Platinum Lip Plump SPF 30</t>
  </si>
  <si>
    <t>Dr. Lara Devgan Scientific Beauty</t>
  </si>
  <si>
    <t>P459299</t>
  </si>
  <si>
    <t>Mini GOOPGLOW Microderm Instant Glow Exfoliator</t>
  </si>
  <si>
    <t>P471793</t>
  </si>
  <si>
    <t>Omega + Complex Cleansing Balm</t>
  </si>
  <si>
    <t>P503923</t>
  </si>
  <si>
    <t>Super Nova 5% THD Vitamin C + Caffeine Brightening Eye Cream</t>
  </si>
  <si>
    <t>P395417</t>
  </si>
  <si>
    <t>Touch Home Permanent Hair Removal Device</t>
  </si>
  <si>
    <t>iluminage</t>
  </si>
  <si>
    <t>P443351</t>
  </si>
  <si>
    <t>Mini Multi-Active Toner</t>
  </si>
  <si>
    <t>P500012</t>
  </si>
  <si>
    <t>Rose Hydration Pore-Minimizing Mist</t>
  </si>
  <si>
    <t>P407387</t>
  </si>
  <si>
    <t>Beauty zzZz Sleep Support Supplement with Melatonin</t>
  </si>
  <si>
    <t>P432662</t>
  </si>
  <si>
    <t>P375850</t>
  </si>
  <si>
    <t>Facial Treatment Cleanser</t>
  </si>
  <si>
    <t>P471227</t>
  </si>
  <si>
    <t>Vinoperfect Brightening Glycolic Night Cream</t>
  </si>
  <si>
    <t>P473160</t>
  </si>
  <si>
    <t>Mini The Essence  Skincare Boosting Treatment</t>
  </si>
  <si>
    <t>P481348</t>
  </si>
  <si>
    <t>Clinical 0.3% Retinol + 2% Bakuchiol Treatment</t>
  </si>
  <si>
    <t>P447199</t>
  </si>
  <si>
    <t>Super Glow Hyaluronic Self-Tan Serum</t>
  </si>
  <si>
    <t>P417359</t>
  </si>
  <si>
    <t>Advanced Night Repair Concentrated Eye Treatment Mask</t>
  </si>
  <si>
    <t>P480447</t>
  </si>
  <si>
    <t>10 + 10 Moisturizer with 10% Vitamin C + 10% Peptide Complex + Ceramides</t>
  </si>
  <si>
    <t>P458917</t>
  </si>
  <si>
    <t>Water-Lock Moisturizer with Skin-Smoothing Peptides</t>
  </si>
  <si>
    <t>P407381</t>
  </si>
  <si>
    <t>Sun-Kissed Face Gelee Complexion Multitasker Bronzer</t>
  </si>
  <si>
    <t>P474953</t>
  </si>
  <si>
    <t>Abeille Royale Advanced Youth Watery Oil</t>
  </si>
  <si>
    <t>P469514</t>
  </si>
  <si>
    <t>CLEAR Anti-Redness Exfoliating Solution with 2% Salicylic Acid</t>
  </si>
  <si>
    <t>P475908</t>
  </si>
  <si>
    <t>Aqua Bomb Overnight Lip Mask</t>
  </si>
  <si>
    <t>P454019</t>
  </si>
  <si>
    <t>Teatreement Moisturizer</t>
  </si>
  <si>
    <t>P475961</t>
  </si>
  <si>
    <t>CrÃ¨me de La Mer Duet</t>
  </si>
  <si>
    <t>P502691</t>
  </si>
  <si>
    <t>SuperSolutions 1% Retinol Serum</t>
  </si>
  <si>
    <t>P471566</t>
  </si>
  <si>
    <t>Mini Lemonade Smoothing Scrub</t>
  </si>
  <si>
    <t>P416755</t>
  </si>
  <si>
    <t>Hyaluronic Marine Oil-Free Moisture Cushion</t>
  </si>
  <si>
    <t>P469515</t>
  </si>
  <si>
    <t>CLEAR Daily Skin Clearing Treatment with 2.5% Benzoyl Peroxide</t>
  </si>
  <si>
    <t>P385773</t>
  </si>
  <si>
    <t>Hyaluronic Marine Hydration Booster</t>
  </si>
  <si>
    <t>P379705</t>
  </si>
  <si>
    <t>Hydrating Hyaluronic Acid Floral Essence</t>
  </si>
  <si>
    <t>P461162</t>
  </si>
  <si>
    <t>FAB Pharma White Clay Acne Treatment Pads 2% Salicylic Acid</t>
  </si>
  <si>
    <t>P503891</t>
  </si>
  <si>
    <t>Green Tea Hyaluronic Acid Hydrating Moisturizer</t>
  </si>
  <si>
    <t>P467749</t>
  </si>
  <si>
    <t>Resveratrol Lift Retinol Alternative Firming Night Moisturizer</t>
  </si>
  <si>
    <t>P502977</t>
  </si>
  <si>
    <t>Youth Stacks: Daily Skin Health Your Way for Pores and Oiliness</t>
  </si>
  <si>
    <t>P474376</t>
  </si>
  <si>
    <t>Mini THE FACE Illuminating Self-Tan Drops</t>
  </si>
  <si>
    <t>P430813</t>
  </si>
  <si>
    <t>Advanced GÃ©nifique Hydrogel Melting Mask</t>
  </si>
  <si>
    <t>P483146</t>
  </si>
  <si>
    <t>Ultra Glow Toner with Vitamins C + E</t>
  </si>
  <si>
    <t>P469527</t>
  </si>
  <si>
    <t>The UnScrub Gentle Cleansing Scrub</t>
  </si>
  <si>
    <t>P474340</t>
  </si>
  <si>
    <t>Santorini Grape Velvet Skin Drink</t>
  </si>
  <si>
    <t>P476428</t>
  </si>
  <si>
    <t>Brightening Dark Spot Vitamin C Serum</t>
  </si>
  <si>
    <t>Hyper Skin</t>
  </si>
  <si>
    <t>P427641</t>
  </si>
  <si>
    <t>Mini Confidence in a Cream Hydrating Moisturizer</t>
  </si>
  <si>
    <t>P440309</t>
  </si>
  <si>
    <t>Amethyst Roller</t>
  </si>
  <si>
    <t>P483127</t>
  </si>
  <si>
    <t>Retinol Remix 1% Retinol Treatment With Peptide &amp; Tranexamic Acid</t>
  </si>
  <si>
    <t>P504795</t>
  </si>
  <si>
    <t>Super Bounce Hyaluronic Acid + Vitamin B5 Hydrating Face Serum</t>
  </si>
  <si>
    <t>P467126</t>
  </si>
  <si>
    <t>That Jlo Glow Brightening &amp; Firming Serum with Niacinamide</t>
  </si>
  <si>
    <t>JLo Beauty</t>
  </si>
  <si>
    <t>P378219</t>
  </si>
  <si>
    <t>White Lucent Power Brightening Mask</t>
  </si>
  <si>
    <t>P442990</t>
  </si>
  <si>
    <t>Clean Screen Mineral SPF 30 Mattifying Face Sunscreen</t>
  </si>
  <si>
    <t>P455614</t>
  </si>
  <si>
    <t>Creamy Bubbling Cleanser with Vitamin C &amp; AHAs</t>
  </si>
  <si>
    <t>P501282</t>
  </si>
  <si>
    <t>C5 Super Boost Vitamin C Moisturizer</t>
  </si>
  <si>
    <t>P469028</t>
  </si>
  <si>
    <t>3-in-1 Extractor Tool</t>
  </si>
  <si>
    <t>P452004</t>
  </si>
  <si>
    <t>Rose Hibiscus Hydrating Mist</t>
  </si>
  <si>
    <t>P107306</t>
  </si>
  <si>
    <t>Renewing Eye Cream</t>
  </si>
  <si>
    <t>P500238</t>
  </si>
  <si>
    <t>Mini Collagen Superfusion Firming &amp; Plumping Facial Oil</t>
  </si>
  <si>
    <t>P433466</t>
  </si>
  <si>
    <t>Call It A Night Activated Mask</t>
  </si>
  <si>
    <t>P440490</t>
  </si>
  <si>
    <t>Acne Facial Cleanser</t>
  </si>
  <si>
    <t>P482694</t>
  </si>
  <si>
    <t>Mini Water Bank Blue Hyaluronic Cream Moisturizer</t>
  </si>
  <si>
    <t>P440981</t>
  </si>
  <si>
    <t>Age Adapting CBD Serum</t>
  </si>
  <si>
    <t>Flora + Bast</t>
  </si>
  <si>
    <t>P461161</t>
  </si>
  <si>
    <t>FAB Pharma BHA Acne Spot Treatment Gel 2% Salicylic Acid</t>
  </si>
  <si>
    <t>P397465</t>
  </si>
  <si>
    <t>P476731</t>
  </si>
  <si>
    <t>Mini Gentle Cleansing Foam Hydrating Makeup Remover</t>
  </si>
  <si>
    <t>P417118</t>
  </si>
  <si>
    <t>The Broad Spectrum SPF 50 UV Protecting Fluid</t>
  </si>
  <si>
    <t>P386739</t>
  </si>
  <si>
    <t>Restorative Plumping + Brightening Eye Cream</t>
  </si>
  <si>
    <t>P454384</t>
  </si>
  <si>
    <t>Mini PLAY Everyday Lotion SPF 50 with Sunflower Extract</t>
  </si>
  <si>
    <t>P412117</t>
  </si>
  <si>
    <t>Dry Skin Saver</t>
  </si>
  <si>
    <t>P482739</t>
  </si>
  <si>
    <t>Urban Environment Oil-Free Sunscreen Broad-Spectrum SPF 42</t>
  </si>
  <si>
    <t>P397626</t>
  </si>
  <si>
    <t>Dermask Intra Jet Wrinkless Solution</t>
  </si>
  <si>
    <t>P433519</t>
  </si>
  <si>
    <t>Refillable Magic Night Moisturizer with Retinol</t>
  </si>
  <si>
    <t>P501591</t>
  </si>
  <si>
    <t>The Littles Skincare Travel Set</t>
  </si>
  <si>
    <t>P501581</t>
  </si>
  <si>
    <t>Cocoa Cleans'r Soothing All-Over Cleansing Bar</t>
  </si>
  <si>
    <t>P455613</t>
  </si>
  <si>
    <t>Line-Filling Eye Cream with Bakuchiol and Caffeine</t>
  </si>
  <si>
    <t>P456413</t>
  </si>
  <si>
    <t>Mini Greek Yoghurt Foaming Cream Cleanser</t>
  </si>
  <si>
    <t>P481699</t>
  </si>
  <si>
    <t>Cicapair Tiger Grass Calming Serum Mask</t>
  </si>
  <si>
    <t>P405944</t>
  </si>
  <si>
    <t>Ultra Sun Protection Lotion Broad Spectrum SPF 50+ WetForce for Sensitive Skin &amp; Children</t>
  </si>
  <si>
    <t>P461177</t>
  </si>
  <si>
    <t>Mini Turmeric BHA Pore &amp; Brightening Treatment Mask</t>
  </si>
  <si>
    <t>P398500</t>
  </si>
  <si>
    <t>Personal Microderm</t>
  </si>
  <si>
    <t>P456395</t>
  </si>
  <si>
    <t>Volcanic Clusters Pore Clearing Toner</t>
  </si>
  <si>
    <t>P500248</t>
  </si>
  <si>
    <t>Collagen Superfusion Firming &amp; Plumping Facial Oil</t>
  </si>
  <si>
    <t>P440072</t>
  </si>
  <si>
    <t>Noni Glow Overnight Plumping Hydration Mask</t>
  </si>
  <si>
    <t>P468652</t>
  </si>
  <si>
    <t>UFO 2</t>
  </si>
  <si>
    <t>P475172</t>
  </si>
  <si>
    <t>Overnight Vitalizing Mask</t>
  </si>
  <si>
    <t>P440651</t>
  </si>
  <si>
    <t>Mini Acne Control Clarifying Cleanser</t>
  </si>
  <si>
    <t>P432831</t>
  </si>
  <si>
    <t>Plump Jelly Hyaluronic Serum</t>
  </si>
  <si>
    <t>P468229</t>
  </si>
  <si>
    <t>Ageless Revitalizing Neck Cream</t>
  </si>
  <si>
    <t>P458546</t>
  </si>
  <si>
    <t>Set The Stage Hydrating Primer Serum</t>
  </si>
  <si>
    <t>LAWLESS</t>
  </si>
  <si>
    <t>P503657</t>
  </si>
  <si>
    <t>Premier Cru Skin Barrier Rich Moisturizer with Bio-Ceramides</t>
  </si>
  <si>
    <t>P459140</t>
  </si>
  <si>
    <t>Self-Tanning Water Refill</t>
  </si>
  <si>
    <t>P270600</t>
  </si>
  <si>
    <t>Extra Eye Repair Cream Intense</t>
  </si>
  <si>
    <t>P483643</t>
  </si>
  <si>
    <t>Willow &amp; Sweet Agave Plumping Lip Mask</t>
  </si>
  <si>
    <t>P472067</t>
  </si>
  <si>
    <t>Metal Facial Razor Refills</t>
  </si>
  <si>
    <t>P433618</t>
  </si>
  <si>
    <t>Clarifying Cleansing Foam</t>
  </si>
  <si>
    <t>P7365</t>
  </si>
  <si>
    <t>Pure Skin Clarifying Dietary Supplement</t>
  </si>
  <si>
    <t>P395723</t>
  </si>
  <si>
    <t>Classic Body Organic Sunscreen Spray SPF 50 Fragrance-Free</t>
  </si>
  <si>
    <t>P473724</t>
  </si>
  <si>
    <t>Vitamin Tonic</t>
  </si>
  <si>
    <t>P480284</t>
  </si>
  <si>
    <t>Premier Cru Anti-Aging Serum with Niacinamide and Hyaluronic Acid</t>
  </si>
  <si>
    <t>P463665</t>
  </si>
  <si>
    <t>Get Even Rose Face Oil</t>
  </si>
  <si>
    <t>P483138</t>
  </si>
  <si>
    <t>Targeted Pores Serum with BHA + PHA</t>
  </si>
  <si>
    <t>P474942</t>
  </si>
  <si>
    <t>Refresh in 5</t>
  </si>
  <si>
    <t>P427393</t>
  </si>
  <si>
    <t>Hyaluronic Marine Dew It Right Eye Gel</t>
  </si>
  <si>
    <t>P446641</t>
  </si>
  <si>
    <t>Argan Bright Skin Vitamin C Serum</t>
  </si>
  <si>
    <t>P422004</t>
  </si>
  <si>
    <t>Ultra Facial Moisturizer Sunscreen SPF 30</t>
  </si>
  <si>
    <t>P443359</t>
  </si>
  <si>
    <t>Skin Smoothing Cream Moisturizer</t>
  </si>
  <si>
    <t>P432818</t>
  </si>
  <si>
    <t>Clean Smart Facial Cleansing Device</t>
  </si>
  <si>
    <t>P500983</t>
  </si>
  <si>
    <t>Anytime, Anyface Lactic Acid Serum + Protini Moisturizer Duo</t>
  </si>
  <si>
    <t>P456414</t>
  </si>
  <si>
    <t>Greek Yoghurt Probiotic Superdose Face Mask</t>
  </si>
  <si>
    <t>P467973</t>
  </si>
  <si>
    <t>Intensive Eye Renewal Cream with Firming Peptides</t>
  </si>
  <si>
    <t>P440306</t>
  </si>
  <si>
    <t>SEA Mini Drink of H2O Hydrating Boost Moisturizer</t>
  </si>
  <si>
    <t>P472302</t>
  </si>
  <si>
    <t>Wild Nettle &amp; Niacinamide Instant Firming Serum</t>
  </si>
  <si>
    <t>P483137</t>
  </si>
  <si>
    <t>Targeted Dark Spots Serum with Enzymes</t>
  </si>
  <si>
    <t>P475185</t>
  </si>
  <si>
    <t>24-7 Moisture Hydrating Day &amp; Night Cream</t>
  </si>
  <si>
    <t>P501157</t>
  </si>
  <si>
    <t>Vitamin C Lactic Firm &amp; Bright Eye Treatment</t>
  </si>
  <si>
    <t>P444615</t>
  </si>
  <si>
    <t>Witch Hazel &amp; Rosewater Toner</t>
  </si>
  <si>
    <t>P474333</t>
  </si>
  <si>
    <t>Bye Bye Pores 10% Glycolic Acid Serum</t>
  </si>
  <si>
    <t>P435801</t>
  </si>
  <si>
    <t>Aqua Bomb Mist</t>
  </si>
  <si>
    <t>P455927</t>
  </si>
  <si>
    <t>Mini Retinol Reform</t>
  </si>
  <si>
    <t>P479125</t>
  </si>
  <si>
    <t>Mini Cloud Dew Oil-Free Gel Cream</t>
  </si>
  <si>
    <t>P504849</t>
  </si>
  <si>
    <t>Plumping Power Duo</t>
  </si>
  <si>
    <t>P448202</t>
  </si>
  <si>
    <t>Benefiance Wrinkle Smoothing Cream Enriched</t>
  </si>
  <si>
    <t>P442734</t>
  </si>
  <si>
    <t>Immortelle Reset Overnight Reset Oil-In Serum</t>
  </si>
  <si>
    <t>L'Occitane</t>
  </si>
  <si>
    <t>P501213</t>
  </si>
  <si>
    <t>Squalane + Retinol Night Serum</t>
  </si>
  <si>
    <t>P442548</t>
  </si>
  <si>
    <t>Mini Liquid Gold Exfoliating Treatment with Glycolic Acid</t>
  </si>
  <si>
    <t>P500428</t>
  </si>
  <si>
    <t>Lift &amp; Contour 1% Bakuchiol &amp; Peptide Eye Serum</t>
  </si>
  <si>
    <t>P474957</t>
  </si>
  <si>
    <t>Night Glow Self-Tan Face Mist</t>
  </si>
  <si>
    <t>P122727</t>
  </si>
  <si>
    <t>Repairwear Anti-Gravity Eye Cream</t>
  </si>
  <si>
    <t>P465803</t>
  </si>
  <si>
    <t>Blue Aventurine De-Puffing Facial Roller</t>
  </si>
  <si>
    <t>P500993</t>
  </si>
  <si>
    <t>The Sunscreen - 100% Mineral, Broad Spectrum SPF 30 with 20% Non-Nano Zinc, Hyaluronic Acid and Niacinamide</t>
  </si>
  <si>
    <t>P405826</t>
  </si>
  <si>
    <t>Raw Beauty Skin &amp; Energy Green Superfood Powder</t>
  </si>
  <si>
    <t>P467118</t>
  </si>
  <si>
    <t>That Limitless Glow Sheet Mask</t>
  </si>
  <si>
    <t>P476729</t>
  </si>
  <si>
    <t>Mini First Care Activating Serum</t>
  </si>
  <si>
    <t>P504045</t>
  </si>
  <si>
    <t>Daily Dose Bioretinol + Mineral SPF 40 with Bakuchiol</t>
  </si>
  <si>
    <t>P474110</t>
  </si>
  <si>
    <t>Super-C Retinol Brighten &amp; Correct Vitamin C Serum</t>
  </si>
  <si>
    <t>StriVectin</t>
  </si>
  <si>
    <t>P470243</t>
  </si>
  <si>
    <t>PRO Strength Microdermabrasion Blackhead Eliminator</t>
  </si>
  <si>
    <t>P423127</t>
  </si>
  <si>
    <t>Ultracalming Cleanser</t>
  </si>
  <si>
    <t>P475182</t>
  </si>
  <si>
    <t>The Cult Classic Purifying Face Cleanser</t>
  </si>
  <si>
    <t>P443383</t>
  </si>
  <si>
    <t>Moisture Surge Eye 96-Hour Hydro-Filler Concentrate</t>
  </si>
  <si>
    <t>P453818</t>
  </si>
  <si>
    <t>GENIUS Collagen Calming Relief</t>
  </si>
  <si>
    <t>P461935</t>
  </si>
  <si>
    <t>BEAR Facial Toning Device</t>
  </si>
  <si>
    <t>P503721</t>
  </si>
  <si>
    <t>Salicylic Acid Acne Day Dots</t>
  </si>
  <si>
    <t>P477734</t>
  </si>
  <si>
    <t>Double-Ended Textured Facial Roller</t>
  </si>
  <si>
    <t>P460554</t>
  </si>
  <si>
    <t>Clarifying Peel Pads</t>
  </si>
  <si>
    <t>P483664</t>
  </si>
  <si>
    <t>Midnight  Recovery Omega-Rich Cloud Cream</t>
  </si>
  <si>
    <t>P470040</t>
  </si>
  <si>
    <t>Ultra Facial Oil-Free Gel Cream</t>
  </si>
  <si>
    <t>P483495</t>
  </si>
  <si>
    <t>Wake Up With Me Morning Routine Kit</t>
  </si>
  <si>
    <t>P433522</t>
  </si>
  <si>
    <t>Goddess Clay Mask</t>
  </si>
  <si>
    <t>P461195</t>
  </si>
  <si>
    <t>Clean Hemp Mask</t>
  </si>
  <si>
    <t>P470007</t>
  </si>
  <si>
    <t>Vinoclean Gentle Foam Cleanser</t>
  </si>
  <si>
    <t>P474823</t>
  </si>
  <si>
    <t>Advanced Retinol + Ferulic Overnight Texture Renewal Peel</t>
  </si>
  <si>
    <t>P444969</t>
  </si>
  <si>
    <t>Mini Facial Spray with Aloe, Chamomile and Lavender</t>
  </si>
  <si>
    <t>P446612</t>
  </si>
  <si>
    <t>Instant Magic Facial Dry Sheet Mask</t>
  </si>
  <si>
    <t>P481701</t>
  </si>
  <si>
    <t>Cloud Cushion Plush Moisturizer with Ceramides + Peptides</t>
  </si>
  <si>
    <t>P502852</t>
  </si>
  <si>
    <t>NuFACE Mini+ Petite Facial Toning Device</t>
  </si>
  <si>
    <t>P503642</t>
  </si>
  <si>
    <t>Squalane + Vitamin C Rose Brightening Moisturizer</t>
  </si>
  <si>
    <t>P457694</t>
  </si>
  <si>
    <t>Blue Algae Vitamin C Dark Spot Correcting Peel</t>
  </si>
  <si>
    <t>P433456</t>
  </si>
  <si>
    <t>Potent-C Vitamin C Power Eye Cream</t>
  </si>
  <si>
    <t>P475112</t>
  </si>
  <si>
    <t>Pore Clearing Matte Moisturizer with Volcanic Clusters</t>
  </si>
  <si>
    <t>P470507</t>
  </si>
  <si>
    <t>The Cream with TFC8 Face Moisturizer</t>
  </si>
  <si>
    <t>P472453</t>
  </si>
  <si>
    <t>Vinosource-Hydra SOS Intense Hydration Moisturizer</t>
  </si>
  <si>
    <t>P379704</t>
  </si>
  <si>
    <t>Retinoic Nutrient Face Oil With Vitamin A</t>
  </si>
  <si>
    <t>P481831</t>
  </si>
  <si>
    <t>Tan Tonic Glow Drops</t>
  </si>
  <si>
    <t>P480166</t>
  </si>
  <si>
    <t>Mini Hydra Vizor Invisible Moisturizer Broad Spectrum SPF 30 Sunscreen with Niacinamide</t>
  </si>
  <si>
    <t>P173622</t>
  </si>
  <si>
    <t>Benefiance Pure Retinol Intensive Revitalizing Face Mask</t>
  </si>
  <si>
    <t>P500785</t>
  </si>
  <si>
    <t>Vitamin C Skincare Set</t>
  </si>
  <si>
    <t>P438362</t>
  </si>
  <si>
    <t>Tonique Confort Hydrating &amp; Toning Duo</t>
  </si>
  <si>
    <t>P501781</t>
  </si>
  <si>
    <t>Instant Pore Perfector</t>
  </si>
  <si>
    <t>P394702</t>
  </si>
  <si>
    <t>Plantscription Anti-Aging Power Eye Cream</t>
  </si>
  <si>
    <t>P502479</t>
  </si>
  <si>
    <t>Kombucha + 10% AHA Liquid Exfoliant with Lactic Acid and Glycolic Acid</t>
  </si>
  <si>
    <t>P442989</t>
  </si>
  <si>
    <t>Youth or Dare Multi-Acid &amp; C-Serum</t>
  </si>
  <si>
    <t>P469505</t>
  </si>
  <si>
    <t>Skin Perfecting BHA 9 Treatment</t>
  </si>
  <si>
    <t>P461933</t>
  </si>
  <si>
    <t>Advanced Night Repair Synchronized Multi-Recovery Complex Duo</t>
  </si>
  <si>
    <t>P401570</t>
  </si>
  <si>
    <t>Mega-Mushroom Skin Relief Micellar Cleanser</t>
  </si>
  <si>
    <t>P469516</t>
  </si>
  <si>
    <t>CLEAR Ultra-Light Daily Hydrating Fluid SPF 30+</t>
  </si>
  <si>
    <t>P386760</t>
  </si>
  <si>
    <t>OMG! Omega The Great Fish Oil Supplement</t>
  </si>
  <si>
    <t>P442745</t>
  </si>
  <si>
    <t>Plantscription Retinol Night Moisturizer</t>
  </si>
  <si>
    <t>P503572</t>
  </si>
  <si>
    <t>Let's Get Luminous Brightening Essentials Set</t>
  </si>
  <si>
    <t>P484081</t>
  </si>
  <si>
    <t>Eye Recharge + Replenish Pro-Ferm Overnight Eye Cream with Bakuchiol and Peptides</t>
  </si>
  <si>
    <t>P500019</t>
  </si>
  <si>
    <t>The True Cream - Aqua Bomb Sunscreen Broad Spectrum SPF 50</t>
  </si>
  <si>
    <t>P469521</t>
  </si>
  <si>
    <t>RESIST Weightless Advanced Repairing Toner</t>
  </si>
  <si>
    <t>P386764</t>
  </si>
  <si>
    <t>Uber Energy Adrenal Fatigue and Adaptogen Supplement</t>
  </si>
  <si>
    <t>P433155</t>
  </si>
  <si>
    <t>Prep It Self-Tan Priming Spray</t>
  </si>
  <si>
    <t>P504028</t>
  </si>
  <si>
    <t>Multi-Peptide Eye Serum</t>
  </si>
  <si>
    <t>P448932</t>
  </si>
  <si>
    <t>+Retinol Vitamin C Moisturizer</t>
  </si>
  <si>
    <t>P446908</t>
  </si>
  <si>
    <t>Advanced Night Repair Treatment Intense Reset Concentrate</t>
  </si>
  <si>
    <t>P455618</t>
  </si>
  <si>
    <t>Full Spectrum 360Â° Refreshing Water Mist Organic Face Sunscreen SPF 18</t>
  </si>
  <si>
    <t>P480279</t>
  </si>
  <si>
    <t>Radiantly Rose Duo Set</t>
  </si>
  <si>
    <t>P455227</t>
  </si>
  <si>
    <t>Glow One Step Further Radiance Kit</t>
  </si>
  <si>
    <t>P447200</t>
  </si>
  <si>
    <t>Baba Bomb Moisturizer</t>
  </si>
  <si>
    <t>P501321</t>
  </si>
  <si>
    <t>Luxury Sun Ritual Pore Smoothing Sunscreen SPF 30</t>
  </si>
  <si>
    <t>P479645</t>
  </si>
  <si>
    <t>Targeted Wrinkle Corrector</t>
  </si>
  <si>
    <t>P419466</t>
  </si>
  <si>
    <t>Tan Build Up Remover Mitt</t>
  </si>
  <si>
    <t>P474326</t>
  </si>
  <si>
    <t>Pink Cloud Soft Moisture Cream</t>
  </si>
  <si>
    <t>P416552</t>
  </si>
  <si>
    <t>POWER Recharging Night Pressed Serum</t>
  </si>
  <si>
    <t>P434361</t>
  </si>
  <si>
    <t>High-Potency Night-A-Mins Oil-Free Resurfacing Cream with Fruit Derived AHAs</t>
  </si>
  <si>
    <t>P438643</t>
  </si>
  <si>
    <t>The Balance pH Balancing Gel Cleanser</t>
  </si>
  <si>
    <t>P461947</t>
  </si>
  <si>
    <t>Calendula Petal-Infused Calming Mask with Aloe Vera</t>
  </si>
  <si>
    <t>P392004</t>
  </si>
  <si>
    <t>Blue Orchid Radiance &amp; Hydrating Natural Face Treatment Oil</t>
  </si>
  <si>
    <t>P470510</t>
  </si>
  <si>
    <t>Mini The Rich Cream with TFC8 Face Moisturizer</t>
  </si>
  <si>
    <t>P480607</t>
  </si>
  <si>
    <t>Skin in the Clouds Set</t>
  </si>
  <si>
    <t>P456582</t>
  </si>
  <si>
    <t>Invisible Physical Defense Mineral Sunscreen SPF30</t>
  </si>
  <si>
    <t>P440502</t>
  </si>
  <si>
    <t>Hyaluronic Eye Cream</t>
  </si>
  <si>
    <t>P379907</t>
  </si>
  <si>
    <t>Advanced Anti-Aging Repairing Oil</t>
  </si>
  <si>
    <t>P423123</t>
  </si>
  <si>
    <t>Daily Superfoliant Exfoliator</t>
  </si>
  <si>
    <t>P483136</t>
  </si>
  <si>
    <t>Targeted Anti-Aging Bakuchiol Serum</t>
  </si>
  <si>
    <t>P409834</t>
  </si>
  <si>
    <t>Plantscription SPF 25 Power Anti-Aging Cream</t>
  </si>
  <si>
    <t>P456957</t>
  </si>
  <si>
    <t>Clarifying Serum</t>
  </si>
  <si>
    <t>P296415</t>
  </si>
  <si>
    <t>Overnight Restorative Cream</t>
  </si>
  <si>
    <t>P504774</t>
  </si>
  <si>
    <t>Super Pure Clarifying Face Serum with Niacinamide + Zinc</t>
  </si>
  <si>
    <t>P504524</t>
  </si>
  <si>
    <t>Milky Jelly Gentle Gel Face Cleanser</t>
  </si>
  <si>
    <t>P502169</t>
  </si>
  <si>
    <t>Barrier+ Besties Hydrating and Nourishing Kit</t>
  </si>
  <si>
    <t>P456206</t>
  </si>
  <si>
    <t>Self Tan Purity Vitamins Bronzing Water Body Mist</t>
  </si>
  <si>
    <t>P500701</t>
  </si>
  <si>
    <t>Advanced Night Repair Eye Gel-Cream</t>
  </si>
  <si>
    <t>P469818</t>
  </si>
  <si>
    <t>Cactus Water Cleansing Lactic Acid Toner</t>
  </si>
  <si>
    <t>P456418</t>
  </si>
  <si>
    <t>Wild Rose Night-Brightening Sleeping Facial</t>
  </si>
  <si>
    <t>P501030</t>
  </si>
  <si>
    <t>Radian-C Brightening Treatment Essence</t>
  </si>
  <si>
    <t>P483494</t>
  </si>
  <si>
    <t>Go To Bed With Me Anti-Aging Night Routine</t>
  </si>
  <si>
    <t>P449156</t>
  </si>
  <si>
    <t>Gold Sculpting Bar</t>
  </si>
  <si>
    <t>Jillian Dempsey</t>
  </si>
  <si>
    <t>P503651</t>
  </si>
  <si>
    <t>Dewtopia 5% AHA Firming Night CrÃ¨me</t>
  </si>
  <si>
    <t>P471788</t>
  </si>
  <si>
    <t>Mini AHA/BHA Exfoliating Cleanser</t>
  </si>
  <si>
    <t>P451737</t>
  </si>
  <si>
    <t>Advanced GÃ©nifique Face &amp; Eye Serum Set</t>
  </si>
  <si>
    <t>P377178</t>
  </si>
  <si>
    <t>Rapid Collagen Infusion</t>
  </si>
  <si>
    <t>P502998</t>
  </si>
  <si>
    <t>Youth Stacks: Plump It Up for Dry, Dehydrated Skin</t>
  </si>
  <si>
    <t>P2046</t>
  </si>
  <si>
    <t>Brumisateur Natural Mineral Water Facial Spray Travel Trio</t>
  </si>
  <si>
    <t>P410883</t>
  </si>
  <si>
    <t>Acne Clearing Wash</t>
  </si>
  <si>
    <t>P405827</t>
  </si>
  <si>
    <t>IRIS Illuminating Eye Massager</t>
  </si>
  <si>
    <t>P422005</t>
  </si>
  <si>
    <t>Ultra Facial Moisturizer</t>
  </si>
  <si>
    <t>P443358</t>
  </si>
  <si>
    <t>Intensive Moisture Balance Moisturizer</t>
  </si>
  <si>
    <t>P481340</t>
  </si>
  <si>
    <t>Alpha Beta AHA/BHA Daily Cleansing Gel</t>
  </si>
  <si>
    <t>P455612</t>
  </si>
  <si>
    <t>Vitamin C &amp; Bearberry Instant Glow Serum</t>
  </si>
  <si>
    <t>P401158</t>
  </si>
  <si>
    <t>PMD Personal Microderm with Hand &amp; Foot Kit</t>
  </si>
  <si>
    <t>P457864</t>
  </si>
  <si>
    <t>Vital Skin-Strengthening Hyaluronic Acid Super Serum</t>
  </si>
  <si>
    <t>P479688</t>
  </si>
  <si>
    <t>AHA Peeling Masks</t>
  </si>
  <si>
    <t>P392648</t>
  </si>
  <si>
    <t>Extra Illuminating Moisture Balm</t>
  </si>
  <si>
    <t>P475135</t>
  </si>
  <si>
    <t>Mini Vitamin C Glycolic Brightening Serum</t>
  </si>
  <si>
    <t>P475194</t>
  </si>
  <si>
    <t>Brightening Treatment Drops Triple Vitamin C Serum</t>
  </si>
  <si>
    <t>P455611</t>
  </si>
  <si>
    <t>Clearly Corrective Dark Spot Solution Duo</t>
  </si>
  <si>
    <t>P442841</t>
  </si>
  <si>
    <t>Barrier+ Lip Repair Balm</t>
  </si>
  <si>
    <t>P458958</t>
  </si>
  <si>
    <t>Hydrating Boob and Bum Sheet Mask Duo</t>
  </si>
  <si>
    <t>P399656</t>
  </si>
  <si>
    <t>Fab Faves To Go Kit</t>
  </si>
  <si>
    <t>P432835</t>
  </si>
  <si>
    <t>Rose Quartz Facial De-Puffing &amp; Lifting Gua Sha</t>
  </si>
  <si>
    <t>P470536</t>
  </si>
  <si>
    <t>Clarifique Exfoliating &amp; Hydrating Face Essence with Glycolic Acid</t>
  </si>
  <si>
    <t>P504042</t>
  </si>
  <si>
    <t>Ceramidin Skin Barrier Moisturizing Mask</t>
  </si>
  <si>
    <t>P500743</t>
  </si>
  <si>
    <t>Vitamin Face Masks</t>
  </si>
  <si>
    <t>P469454</t>
  </si>
  <si>
    <t>Beauty Oil with Gold Leaf</t>
  </si>
  <si>
    <t>Danessa Myricks Beauty</t>
  </si>
  <si>
    <t>P446518</t>
  </si>
  <si>
    <t>Soothing Face Cleanser Oil</t>
  </si>
  <si>
    <t>P467628</t>
  </si>
  <si>
    <t>Mini Clearly Corrective Dark Spot Correcting Serum</t>
  </si>
  <si>
    <t>P501190</t>
  </si>
  <si>
    <t>Vitamin C Lactic Dewy Deep Cream</t>
  </si>
  <si>
    <t>P473726</t>
  </si>
  <si>
    <t>Smoothing Cleanser</t>
  </si>
  <si>
    <t>P482322</t>
  </si>
  <si>
    <t>Mini Mineral Mattescreen Sunscreen SPF 40 PA+++</t>
  </si>
  <si>
    <t>P392945</t>
  </si>
  <si>
    <t>GENIUS Ultimate Anti-Aging Vitamin C+ Serum</t>
  </si>
  <si>
    <t>P440494</t>
  </si>
  <si>
    <t>Vitamin C Serum</t>
  </si>
  <si>
    <t>P474113</t>
  </si>
  <si>
    <t>TL Advanced  Tightening Neck Cream PLUS for Firming &amp; Brightening</t>
  </si>
  <si>
    <t>P417111</t>
  </si>
  <si>
    <t>The Eye Balm Intense</t>
  </si>
  <si>
    <t>P433143</t>
  </si>
  <si>
    <t>Outsmart Acne Clarifying Treatment</t>
  </si>
  <si>
    <t>P481712</t>
  </si>
  <si>
    <t>Party Recharge Cryo Me Crazy Under-eye Masks</t>
  </si>
  <si>
    <t>P469444</t>
  </si>
  <si>
    <t>Vinoclean Gentle Cleansing Almond Milk</t>
  </si>
  <si>
    <t>P500618</t>
  </si>
  <si>
    <t>Turmeric Glow Foaming Cleanser</t>
  </si>
  <si>
    <t>P440500</t>
  </si>
  <si>
    <t>Super Collagen Mask</t>
  </si>
  <si>
    <t>P474970</t>
  </si>
  <si>
    <t>Hyaluronic Acid + Peptide Lip Treatment Booster</t>
  </si>
  <si>
    <t>P408241</t>
  </si>
  <si>
    <t>Plantscription Youth-Renewing Power Night Cream</t>
  </si>
  <si>
    <t>P503726</t>
  </si>
  <si>
    <t>B3 Nice 10% Niacinamide Serum</t>
  </si>
  <si>
    <t>P444470</t>
  </si>
  <si>
    <t>De-Puffing Rose Quartz Eye Treatment Tool</t>
  </si>
  <si>
    <t>P455929</t>
  </si>
  <si>
    <t>Cleansing Serum</t>
  </si>
  <si>
    <t>P444614</t>
  </si>
  <si>
    <t>Express Ultra Dark Mousse</t>
  </si>
  <si>
    <t>P504203</t>
  </si>
  <si>
    <t>P471065</t>
  </si>
  <si>
    <t>Mini Water Drench  Hyaluronic Hydrating Moisturizer SPF 45</t>
  </si>
  <si>
    <t>P433465</t>
  </si>
  <si>
    <t>Make My Day Activated Mask</t>
  </si>
  <si>
    <t>P201439</t>
  </si>
  <si>
    <t>Redness Solutions Soothing Cleanser</t>
  </si>
  <si>
    <t>P467630</t>
  </si>
  <si>
    <t>RÃ©nergie Lift Multi-Action Ultra Dark Circle Correcting Eye Cream</t>
  </si>
  <si>
    <t>P449599</t>
  </si>
  <si>
    <t>Mini Anti-Aging Cleansing Gel</t>
  </si>
  <si>
    <t>P453822</t>
  </si>
  <si>
    <t>Dark Spots No More Triple Acid Spot Minimizing Concentrate</t>
  </si>
  <si>
    <t>P461535</t>
  </si>
  <si>
    <t>All About Acne Breakout + Blackhead Set</t>
  </si>
  <si>
    <t>P501165</t>
  </si>
  <si>
    <t>SHIKULIME Mega Hydrating Moisturizer</t>
  </si>
  <si>
    <t>WASO</t>
  </si>
  <si>
    <t>P433453</t>
  </si>
  <si>
    <t>LUNA fofo</t>
  </si>
  <si>
    <t>P464799</t>
  </si>
  <si>
    <t>Potent-C Power Brightening Hydra-Gels</t>
  </si>
  <si>
    <t>P282920</t>
  </si>
  <si>
    <t>Pore Refining Solutions Correcting Serum</t>
  </si>
  <si>
    <t>P407040</t>
  </si>
  <si>
    <t>Acne Solutions Acne + Line Correcting Serum</t>
  </si>
  <si>
    <t>P478731</t>
  </si>
  <si>
    <t>Lactic Acid AHA Exfoliating Serum</t>
  </si>
  <si>
    <t>P455217</t>
  </si>
  <si>
    <t>Gradual Self-Tanning Face Gel</t>
  </si>
  <si>
    <t>P461948</t>
  </si>
  <si>
    <t>Super Multi-Corrective Anti-Aging Face and Neck Cream</t>
  </si>
  <si>
    <t>P432256</t>
  </si>
  <si>
    <t>Mini Black Tea Instant Perfecting Mask</t>
  </si>
  <si>
    <t>P306941</t>
  </si>
  <si>
    <t>DermalQuench Hyaluronic Acid Hydration Treatment</t>
  </si>
  <si>
    <t>P433884</t>
  </si>
  <si>
    <t>Dermask Ultra Jet Peeling Solution</t>
  </si>
  <si>
    <t>P500240</t>
  </si>
  <si>
    <t>Daily Milkfoliant Exfoliator</t>
  </si>
  <si>
    <t>P472311</t>
  </si>
  <si>
    <t>Mini Total Cleans'r Makeup Removing Cleanser</t>
  </si>
  <si>
    <t>P483658</t>
  </si>
  <si>
    <t>Mineral Sunscreen Zinc Oxide Broad Spectrum SPF 30</t>
  </si>
  <si>
    <t>P500774</t>
  </si>
  <si>
    <t>Clarifying Toner with Niacinamide and Zinc</t>
  </si>
  <si>
    <t>P436346</t>
  </si>
  <si>
    <t>Youth Junkie Activated Mask</t>
  </si>
  <si>
    <t>P480628</t>
  </si>
  <si>
    <t>10% Niacinamide Booster</t>
  </si>
  <si>
    <t>P446916</t>
  </si>
  <si>
    <t>Eczema+ Care Kit</t>
  </si>
  <si>
    <t>P481390</t>
  </si>
  <si>
    <t>Omega+ Complex Moisturizer</t>
  </si>
  <si>
    <t>P377576</t>
  </si>
  <si>
    <t>Repairwear Laser Focus Wrinkle Correcting Eye Cream</t>
  </si>
  <si>
    <t>P417243</t>
  </si>
  <si>
    <t>The Tonic</t>
  </si>
  <si>
    <t>P416728</t>
  </si>
  <si>
    <t>Dreamskin Skin Perfector Refill</t>
  </si>
  <si>
    <t>P471041</t>
  </si>
  <si>
    <t>Down to Tone Resurfacing Acid Toner</t>
  </si>
  <si>
    <t>P457441</t>
  </si>
  <si>
    <t>The Clarifying Kit</t>
  </si>
  <si>
    <t>P500112</t>
  </si>
  <si>
    <t>NÂ°41 Facial Sunscreen Mist with SPF 41</t>
  </si>
  <si>
    <t>HABIT</t>
  </si>
  <si>
    <t>P411360</t>
  </si>
  <si>
    <t>Hyaluronic Marine Hydrating Modeling Mask</t>
  </si>
  <si>
    <t>P475921</t>
  </si>
  <si>
    <t>Double Serum Eye Firming &amp; Hydrating Anti-Aging Concentrate</t>
  </si>
  <si>
    <t>P504794</t>
  </si>
  <si>
    <t>After Baume Moisture Barrier Recovery Cream</t>
  </si>
  <si>
    <t>P481972</t>
  </si>
  <si>
    <t>La Mousse OFF/ON Foaming Face Cleanser</t>
  </si>
  <si>
    <t>P449835</t>
  </si>
  <si>
    <t>Mini Maracuja Oil</t>
  </si>
  <si>
    <t>P386759</t>
  </si>
  <si>
    <t>Moody Bird PMS Support Supplement</t>
  </si>
  <si>
    <t>P392142</t>
  </si>
  <si>
    <t>Nourishing Makeup Removing Oil Cleanser</t>
  </si>
  <si>
    <t>P453825</t>
  </si>
  <si>
    <t>Hydra Zen Glow Liquid Lightweight Moisturizer with Hyaluronic Acid</t>
  </si>
  <si>
    <t>P461667</t>
  </si>
  <si>
    <t>Mini GO OFF Makeup Dissolving Mist</t>
  </si>
  <si>
    <t>P504320</t>
  </si>
  <si>
    <t>SPF Bestsellers Kit</t>
  </si>
  <si>
    <t>P388200</t>
  </si>
  <si>
    <t>GENIUS Ultimate Anti-Aging Melting Cleanser</t>
  </si>
  <si>
    <t>P445833</t>
  </si>
  <si>
    <t>AGE Bright Clearing Serum</t>
  </si>
  <si>
    <t>P480603</t>
  </si>
  <si>
    <t>2-in-1 Cleansing Oil + Makeup Remover</t>
  </si>
  <si>
    <t>P503655</t>
  </si>
  <si>
    <t>Mini Grape Water Moisturizing Face Mist</t>
  </si>
  <si>
    <t>P481743</t>
  </si>
  <si>
    <t>Peptight Tightening Neck Serum Roller</t>
  </si>
  <si>
    <t>P448562</t>
  </si>
  <si>
    <t>Barrier+ Foaming Clay Cleanser</t>
  </si>
  <si>
    <t>P459128</t>
  </si>
  <si>
    <t>Vitamin C+B+E Ferulic Serum</t>
  </si>
  <si>
    <t>P429683</t>
  </si>
  <si>
    <t>Self Tan Purity Bronzing Water Mousse</t>
  </si>
  <si>
    <t>P472454</t>
  </si>
  <si>
    <t>Vinosource-Hydra Moisturizing Sorbet</t>
  </si>
  <si>
    <t>P500016</t>
  </si>
  <si>
    <t>Deep Exfoliating Cleanser</t>
  </si>
  <si>
    <t>P470217</t>
  </si>
  <si>
    <t>Liquid Sun Shield Daily Brightening Mineral Sunscreen SPF 50</t>
  </si>
  <si>
    <t>P474956</t>
  </si>
  <si>
    <t>Day Dew Self-Tan Face Mist</t>
  </si>
  <si>
    <t>P456207</t>
  </si>
  <si>
    <t>Greek Yoghurt Nourishing Probiotic Gel-Cream</t>
  </si>
  <si>
    <t>P482007</t>
  </si>
  <si>
    <t>Dewy Glow Jam Cleanser with Jeju Cherry Blossom</t>
  </si>
  <si>
    <t>P397627</t>
  </si>
  <si>
    <t>Dermask Intra Jet Firming Solution</t>
  </si>
  <si>
    <t>P404169</t>
  </si>
  <si>
    <t>POWER Advanced Wrinkle Fighter 360Â° Eye Serum</t>
  </si>
  <si>
    <t>P479971</t>
  </si>
  <si>
    <t>RÃ©nergie H.C.F. Triple Serum: For Plumping &amp; Anti-Aging</t>
  </si>
  <si>
    <t>P454385</t>
  </si>
  <si>
    <t>Mini PLAY Everyday Sunscreen Lotion SPF 30 PA++++</t>
  </si>
  <si>
    <t>P454086</t>
  </si>
  <si>
    <t>Teatreement Cleansing Foam</t>
  </si>
  <si>
    <t>P442743</t>
  </si>
  <si>
    <t>Peptide 21 Wrinkle Resist Moisturizer</t>
  </si>
  <si>
    <t>P461200</t>
  </si>
  <si>
    <t>Clean Watermelon After Sun Mask</t>
  </si>
  <si>
    <t>P446630</t>
  </si>
  <si>
    <t>Clean Pro Rose Quartz</t>
  </si>
  <si>
    <t>P501474</t>
  </si>
  <si>
    <t>The Youth Vault: 13-Piece Vegan Skincare + Apparel Set</t>
  </si>
  <si>
    <t>P482753</t>
  </si>
  <si>
    <t>Protect + Glow Daily Sunscreen Gel Broad Spectrum SPF 30</t>
  </si>
  <si>
    <t>P468412</t>
  </si>
  <si>
    <t>Pitera Power Kit</t>
  </si>
  <si>
    <t>P457695</t>
  </si>
  <si>
    <t>DeliKate Recovery Cream</t>
  </si>
  <si>
    <t>P503890</t>
  </si>
  <si>
    <t>Green Tea Hyaluronic Acid Hydrating Toner</t>
  </si>
  <si>
    <t>P466122</t>
  </si>
  <si>
    <t>Kombucha 2-in-1 No-Rinse Cleanser &amp; Prebiotic Treatment</t>
  </si>
  <si>
    <t>P383053</t>
  </si>
  <si>
    <t>Do Not Age with Dr. Brandt Triple Peptide Eye Cream</t>
  </si>
  <si>
    <t>P467124</t>
  </si>
  <si>
    <t>That Blockbuster Cream with Hyaluronic Acid</t>
  </si>
  <si>
    <t>P423143</t>
  </si>
  <si>
    <t>Stress Positive Eye Lift Mask</t>
  </si>
  <si>
    <t>P475124</t>
  </si>
  <si>
    <t>The Hydrating Infused Emulsion</t>
  </si>
  <si>
    <t>P500117</t>
  </si>
  <si>
    <t>NÂ°38 Facial Sunscreen Mist with SPF 38</t>
  </si>
  <si>
    <t>P447782</t>
  </si>
  <si>
    <t>Glow Drops</t>
  </si>
  <si>
    <t>Dr. Barbara Sturm</t>
  </si>
  <si>
    <t>P456990</t>
  </si>
  <si>
    <t>Mini GENIUS Liquid Collagen</t>
  </si>
  <si>
    <t>P441645</t>
  </si>
  <si>
    <t>Sunless Tan Firming Lotion</t>
  </si>
  <si>
    <t>P453826</t>
  </si>
  <si>
    <t>RÃ©nergie Lift Multi-Action Ultra Dark Spot Correcting Cream SPF 30</t>
  </si>
  <si>
    <t>P436365</t>
  </si>
  <si>
    <t>+Retinol Vita C Power Serum</t>
  </si>
  <si>
    <t>P500746</t>
  </si>
  <si>
    <t>Hydrating Serum with Hyaluronic Acid</t>
  </si>
  <si>
    <t>P423264</t>
  </si>
  <si>
    <t>One Essential Skin Boosting Super Serum</t>
  </si>
  <si>
    <t>P460704</t>
  </si>
  <si>
    <t>The Hydrating Kit</t>
  </si>
  <si>
    <t>P410101</t>
  </si>
  <si>
    <t>Broad Spectrum SPF 50 Mineral Sunscreen Fluid for Face</t>
  </si>
  <si>
    <t>P504919</t>
  </si>
  <si>
    <t>Milky Oil Dual-Phase Waterproof Makeup Remover</t>
  </si>
  <si>
    <t>P447604</t>
  </si>
  <si>
    <t>De-Puffing Jade Eye Treatment Tool</t>
  </si>
  <si>
    <t>P6028</t>
  </si>
  <si>
    <t>Gentle Buffing Cream</t>
  </si>
  <si>
    <t>P471042</t>
  </si>
  <si>
    <t>Next Level Moisturizer</t>
  </si>
  <si>
    <t>P456204</t>
  </si>
  <si>
    <t>Purity Tanning Waters Mini Kit</t>
  </si>
  <si>
    <t>P457697</t>
  </si>
  <si>
    <t>DeliKate Recovery Serum</t>
  </si>
  <si>
    <t>P429637</t>
  </si>
  <si>
    <t>The Moisturizing Cool Gel Cream</t>
  </si>
  <si>
    <t>P379064</t>
  </si>
  <si>
    <t>Lotus Balancing &amp; Hydrating Natural Face Treatment Oil</t>
  </si>
  <si>
    <t>P468818</t>
  </si>
  <si>
    <t>Mini Moisture Surge 100H Auto-Replenishing Hydrator Moisturizer</t>
  </si>
  <si>
    <t>P474332</t>
  </si>
  <si>
    <t>Bye Bye Lines 1.5% Hyaluronic Acid Serum</t>
  </si>
  <si>
    <t>P455241</t>
  </si>
  <si>
    <t>Noni Night AHA Pore &amp; Resurfacing Serum</t>
  </si>
  <si>
    <t>P428240</t>
  </si>
  <si>
    <t>Calm Water Gel Moisturizer</t>
  </si>
  <si>
    <t>P479692</t>
  </si>
  <si>
    <t>Awaken Peptide Depuffing Eye Gel</t>
  </si>
  <si>
    <t>P476010</t>
  </si>
  <si>
    <t>Skin Resolution Clean Exfoliating Acid Toner</t>
  </si>
  <si>
    <t>ROSE INC</t>
  </si>
  <si>
    <t>P460627</t>
  </si>
  <si>
    <t>Saturn Sulfur + Niacinamide Spot Treatment Mask</t>
  </si>
  <si>
    <t>P461439</t>
  </si>
  <si>
    <t>Hyaluronic Marine Makeup Removing Meltaway Cleanser</t>
  </si>
  <si>
    <t>P431416</t>
  </si>
  <si>
    <t>The Replenishing Oil Exfoliator</t>
  </si>
  <si>
    <t>P406942</t>
  </si>
  <si>
    <t>Multi-Active Anti-Aging Night Moisturizer for Glowing Skin</t>
  </si>
  <si>
    <t>P440489</t>
  </si>
  <si>
    <t>Glycolic Foaming Cleanser</t>
  </si>
  <si>
    <t>P454935</t>
  </si>
  <si>
    <t>Mini Glow Drops</t>
  </si>
  <si>
    <t>P482742</t>
  </si>
  <si>
    <t>Urban Environment Fresh-Moisture Sunscreen Broad-Spectrum SPF 42</t>
  </si>
  <si>
    <t>P444970</t>
  </si>
  <si>
    <t>Replenishing Multi-Acid Peel</t>
  </si>
  <si>
    <t>P460511</t>
  </si>
  <si>
    <t>Mini Liquid ExfoliKate Triple Acid Resurfacing Treatment</t>
  </si>
  <si>
    <t>P422648</t>
  </si>
  <si>
    <t>DayWear Matte Oil-Control Anti-Oxidant Moisturizer Gel Creme</t>
  </si>
  <si>
    <t>P380027</t>
  </si>
  <si>
    <t>Perfectly Clean Multi-Action Foam Cleanser/Purifying Mask</t>
  </si>
  <si>
    <t>P504273</t>
  </si>
  <si>
    <t>Treat &amp; Tint Mini Lip Care Gift Set</t>
  </si>
  <si>
    <t>P458573</t>
  </si>
  <si>
    <t>Lip Balm Trio</t>
  </si>
  <si>
    <t>P392522</t>
  </si>
  <si>
    <t>Santal Soothing &amp; Hydrating Natural Face Treatment Oil</t>
  </si>
  <si>
    <t>P398717</t>
  </si>
  <si>
    <t>Dramatically Different Moisturizing Cream</t>
  </si>
  <si>
    <t>P472028</t>
  </si>
  <si>
    <t>Capture Totale Super Potent Eye Serum</t>
  </si>
  <si>
    <t>P482309</t>
  </si>
  <si>
    <t>Facial Cooling Wands</t>
  </si>
  <si>
    <t>P417625</t>
  </si>
  <si>
    <t>24/7 Retinol Eye Cream</t>
  </si>
  <si>
    <t>P481161</t>
  </si>
  <si>
    <t>Ultimune Power Infusing Anti-Aging Serum</t>
  </si>
  <si>
    <t>P436347</t>
  </si>
  <si>
    <t>Glow Addict Activated Mask</t>
  </si>
  <si>
    <t>P404232</t>
  </si>
  <si>
    <t>DermalQuench +Retinol Advanced Resurfacing Treatment</t>
  </si>
  <si>
    <t>P469526</t>
  </si>
  <si>
    <t>Water-Infusing Electrolyte Moisturizer</t>
  </si>
  <si>
    <t>P442741</t>
  </si>
  <si>
    <t>Peptide 21 Wrinkle Resist Serum</t>
  </si>
  <si>
    <t>P501029</t>
  </si>
  <si>
    <t>Retinol Fast-Release Wrinkle Reducing Night Serum</t>
  </si>
  <si>
    <t>P423134</t>
  </si>
  <si>
    <t>MultiVitamin Power Firm Eye Cream</t>
  </si>
  <si>
    <t>P464243</t>
  </si>
  <si>
    <t>10% Benzoyl Peroxide Acne Cleanser</t>
  </si>
  <si>
    <t>Dr. Zenovia Skincare</t>
  </si>
  <si>
    <t>P471111</t>
  </si>
  <si>
    <t>Yo Detox Charcoal Face &amp; Body Enzyme Scrub</t>
  </si>
  <si>
    <t>P467112</t>
  </si>
  <si>
    <t>Daily Microfoliant Exfoliator Refill Pack</t>
  </si>
  <si>
    <t>P481697</t>
  </si>
  <si>
    <t>Circular Hydration Serum with Hyaluronic Acid</t>
  </si>
  <si>
    <t>P416725</t>
  </si>
  <si>
    <t>The Revitalizing Hydrating Serum</t>
  </si>
  <si>
    <t>P376135</t>
  </si>
  <si>
    <t>RÃ©nergie Lift Multi-Action Night Cream</t>
  </si>
  <si>
    <t>P377919</t>
  </si>
  <si>
    <t>Plantscription Anti-Aging Cleanser</t>
  </si>
  <si>
    <t>P484067</t>
  </si>
  <si>
    <t>Evercalm Barrier Support Face Oil</t>
  </si>
  <si>
    <t>P457274</t>
  </si>
  <si>
    <t>Hand Cream Trio</t>
  </si>
  <si>
    <t>P504780</t>
  </si>
  <si>
    <t>Super Glow Vitamin C Brightening Face Serum</t>
  </si>
  <si>
    <t>P476496</t>
  </si>
  <si>
    <t>Instant Reset Brightening Overnight Recovery Gel-Cream with Niacinamide Refill</t>
  </si>
  <si>
    <t>P474971</t>
  </si>
  <si>
    <t>Daily Blemish Repairing Moisturizer</t>
  </si>
  <si>
    <t>P468684</t>
  </si>
  <si>
    <t>Milky Mushroom Gentle Cleansing Oil Makeup Remover</t>
  </si>
  <si>
    <t>P433457</t>
  </si>
  <si>
    <t>Potent-C Vitamin C Targeted Spot Brightener</t>
  </si>
  <si>
    <t>P456194</t>
  </si>
  <si>
    <t>Extra-Firming + Smoothing Neck &amp; DÃ©colletÃ© Moisturizer</t>
  </si>
  <si>
    <t>P428414</t>
  </si>
  <si>
    <t>Skin Saviors</t>
  </si>
  <si>
    <t>P433468</t>
  </si>
  <si>
    <t>EradiKate Salicylic Acid Acne Treatment</t>
  </si>
  <si>
    <t>P504880</t>
  </si>
  <si>
    <t>Melt Awf Jelly Oil Makeup-Melting Cleanser</t>
  </si>
  <si>
    <t>P460758</t>
  </si>
  <si>
    <t>Cool Biotic Prebiotic Redness Relief Cream</t>
  </si>
  <si>
    <t>P502978</t>
  </si>
  <si>
    <t>Youth Stacks: Brighter Tomorrow Duo for Dullness</t>
  </si>
  <si>
    <t>P433962</t>
  </si>
  <si>
    <t>Treatment Lotion Hydrating Mask</t>
  </si>
  <si>
    <t>P503867</t>
  </si>
  <si>
    <t>Retinol Firming Cream Treatment with Peptides + Hyaluronic Acid</t>
  </si>
  <si>
    <t>P433973</t>
  </si>
  <si>
    <t>Get Even Cold-Pressed Peel Pads</t>
  </si>
  <si>
    <t>Naturally Serious</t>
  </si>
  <si>
    <t>P469512</t>
  </si>
  <si>
    <t>CLINICAL Ceramide-Enriched Firming Eye Cream</t>
  </si>
  <si>
    <t>P480613</t>
  </si>
  <si>
    <t>The Treatment Lotion</t>
  </si>
  <si>
    <t>P455931</t>
  </si>
  <si>
    <t>Sake Toning Essence</t>
  </si>
  <si>
    <t>P482698</t>
  </si>
  <si>
    <t>Water Bank Blue Hyaluronic Exfoliating Toner</t>
  </si>
  <si>
    <t>P428636</t>
  </si>
  <si>
    <t>Mini The Cleansing Foam</t>
  </si>
  <si>
    <t>P472467</t>
  </si>
  <si>
    <t>GLO to Go Teeth Whitening Pen</t>
  </si>
  <si>
    <t>P473268</t>
  </si>
  <si>
    <t>MINI Precision Peach Fuzz Removal Device</t>
  </si>
  <si>
    <t>P430809</t>
  </si>
  <si>
    <t>THE ESSENTIALS Sonic Dermaplaning Refill Kit</t>
  </si>
  <si>
    <t>P482697</t>
  </si>
  <si>
    <t>Water Bank Blue Hyaluronic Revitalizing Toner</t>
  </si>
  <si>
    <t>P455341</t>
  </si>
  <si>
    <t>Classic Body Organic Sunscreen Spray SPF 70 Peach Blossom</t>
  </si>
  <si>
    <t>P392891</t>
  </si>
  <si>
    <t>Nutritious Super-Pomegranate Radiant Energy Night Moisturizer Creme/Mask</t>
  </si>
  <si>
    <t>P503928</t>
  </si>
  <si>
    <t>Green Tea Hyaluronic Acid Face Cleanser</t>
  </si>
  <si>
    <t>P399934</t>
  </si>
  <si>
    <t>NightWear Plus Anti-Oxidant Night Detox Moisturizer Creme</t>
  </si>
  <si>
    <t>P480629</t>
  </si>
  <si>
    <t>Dark Spots Serum</t>
  </si>
  <si>
    <t>P438634</t>
  </si>
  <si>
    <t>GloPRO FACE MicroTip Attachment Head</t>
  </si>
  <si>
    <t>P481142</t>
  </si>
  <si>
    <t>PRO Strength Vitamin A/C/E Retinoid Treatment</t>
  </si>
  <si>
    <t>P500753</t>
  </si>
  <si>
    <t>Daily Glow Toner with Niacinamide</t>
  </si>
  <si>
    <t>P379711</t>
  </si>
  <si>
    <t>Rejuvenating Anti-Aging Serum</t>
  </si>
  <si>
    <t>P374115</t>
  </si>
  <si>
    <t>Pore Refining Solutions Stay-Matte Hydrator</t>
  </si>
  <si>
    <t>P471011</t>
  </si>
  <si>
    <t>Take The Day Off Cleansing Balm Makeup Remover Duo</t>
  </si>
  <si>
    <t>P440501</t>
  </si>
  <si>
    <t>Seaweed Night Cream</t>
  </si>
  <si>
    <t>P500696</t>
  </si>
  <si>
    <t>Eye Revival Brightening Eye Cream</t>
  </si>
  <si>
    <t>P503562</t>
  </si>
  <si>
    <t>GLOfacial Hydro-Infusion Pore Cleansing + Blue LED Clarifying Tool</t>
  </si>
  <si>
    <t>P483075</t>
  </si>
  <si>
    <t>Brightening Dual Facial Enzyme Exfoliator</t>
  </si>
  <si>
    <t>P4039</t>
  </si>
  <si>
    <t>Perfecting Day Cream Broad Spectrum SPF 30 PA+++</t>
  </si>
  <si>
    <t>P433461</t>
  </si>
  <si>
    <t>Rose Sugar Scrub</t>
  </si>
  <si>
    <t>P471541</t>
  </si>
  <si>
    <t>Vinosource-Hydra Grape Water Gel Moisturizer</t>
  </si>
  <si>
    <t>P455930</t>
  </si>
  <si>
    <t>Weightless Oil-Free Moisturizer</t>
  </si>
  <si>
    <t>P471097</t>
  </si>
  <si>
    <t>Facial Sculpting Wand</t>
  </si>
  <si>
    <t>P427729</t>
  </si>
  <si>
    <t>Capture Youth Age-Delay Advanced CrÃ¨me</t>
  </si>
  <si>
    <t>P440505</t>
  </si>
  <si>
    <t>Goddess Cleansing Ritual Duo</t>
  </si>
  <si>
    <t>P375864</t>
  </si>
  <si>
    <t>Brightening Derm Revival Mask</t>
  </si>
  <si>
    <t>P477492</t>
  </si>
  <si>
    <t>Triple Vitamin C Brightening Bounce Cream Moisturizer</t>
  </si>
  <si>
    <t>P483697</t>
  </si>
  <si>
    <t>Firming Vegan Collagen Prep Serum</t>
  </si>
  <si>
    <t>The Outset</t>
  </si>
  <si>
    <t>P502741</t>
  </si>
  <si>
    <t>SuperSolutions 10% Azelaic Serum Redness Relief Solution</t>
  </si>
  <si>
    <t>P502996</t>
  </si>
  <si>
    <t>P38217</t>
  </si>
  <si>
    <t>Renewing Cleansing Cream</t>
  </si>
  <si>
    <t>P296413</t>
  </si>
  <si>
    <t>Gentle Rejuvenating Cleanser</t>
  </si>
  <si>
    <t>P476515</t>
  </si>
  <si>
    <t>Mini Brightening Dark Spot Vitamin C Serum</t>
  </si>
  <si>
    <t>P455610</t>
  </si>
  <si>
    <t>Confidence in a Neck Cream</t>
  </si>
  <si>
    <t>P479705</t>
  </si>
  <si>
    <t>Even Smoother Glycolic Retinol Resurfacing Peel Pads</t>
  </si>
  <si>
    <t>P443369</t>
  </si>
  <si>
    <t>Sound Sleep Cocoon Night Gel-Cream</t>
  </si>
  <si>
    <t>P460779</t>
  </si>
  <si>
    <t>Skinlongevity Long Life Herb Anti-Aging Face Serum</t>
  </si>
  <si>
    <t>bareMinerals</t>
  </si>
  <si>
    <t>P433524</t>
  </si>
  <si>
    <t>Multi-Miracle Glow Cleansing Balm</t>
  </si>
  <si>
    <t>P417110</t>
  </si>
  <si>
    <t>The Lifting Eye Serum</t>
  </si>
  <si>
    <t>P428637</t>
  </si>
  <si>
    <t>Mini The Lifting and Firming Mask</t>
  </si>
  <si>
    <t>P122651</t>
  </si>
  <si>
    <t>Clarifying Lotion 1</t>
  </si>
  <si>
    <t>P500399</t>
  </si>
  <si>
    <t>Isle Glow Body Lotion SPF 45 with Sea Moss and Cocoa Seed Butter</t>
  </si>
  <si>
    <t>P481732</t>
  </si>
  <si>
    <t>Radiance Vitamin C Glow Serum</t>
  </si>
  <si>
    <t>P481830</t>
  </si>
  <si>
    <t>Self-Tan Luxe Whipped CrÃ¨me Mousse</t>
  </si>
  <si>
    <t>P481408</t>
  </si>
  <si>
    <t>The Canopy Humidifier Starter Set</t>
  </si>
  <si>
    <t>CANOPY</t>
  </si>
  <si>
    <t>P434550</t>
  </si>
  <si>
    <t>Revitalixir Recovery Serum</t>
  </si>
  <si>
    <t>P474117</t>
  </si>
  <si>
    <t>Mini TL Advanced  Tightening Neck Cream PLUS for Firming &amp; Brightening</t>
  </si>
  <si>
    <t>P501886</t>
  </si>
  <si>
    <t>The Glow Around 4-Piece Travel Skincare Essentials Set</t>
  </si>
  <si>
    <t>P461949</t>
  </si>
  <si>
    <t>The Concentrate Serum</t>
  </si>
  <si>
    <t>P501587</t>
  </si>
  <si>
    <t>Deepwater Nourishing Lip Mask with Sea Moss and Aloe Stem Cells</t>
  </si>
  <si>
    <t>P232902</t>
  </si>
  <si>
    <t>Gentle Daily Wash</t>
  </si>
  <si>
    <t>P470227</t>
  </si>
  <si>
    <t>Vitamin C Triple Exfoliating Facial</t>
  </si>
  <si>
    <t>P467122</t>
  </si>
  <si>
    <t>That Fresh Take Eye Cream with Peptides</t>
  </si>
  <si>
    <t>P504778</t>
  </si>
  <si>
    <t>Invisible Shield Water-Gel Transparent Sunscreen SPF 35</t>
  </si>
  <si>
    <t>P477413</t>
  </si>
  <si>
    <t>GREEN MACHINE insta-glo resurfacing acid mask</t>
  </si>
  <si>
    <t>P461936</t>
  </si>
  <si>
    <t>BEAR mini Facial Toning Device</t>
  </si>
  <si>
    <t>P467137</t>
  </si>
  <si>
    <t>Water Drench Hyaluronic Glow Serum</t>
  </si>
  <si>
    <t>P423125</t>
  </si>
  <si>
    <t>Ultracalming Serum Concentrate</t>
  </si>
  <si>
    <t>P196542</t>
  </si>
  <si>
    <t>City Block Sheer Oil-Free Daily Face Protector Broad Spectrum SPF 25 Primer</t>
  </si>
  <si>
    <t>P500982</t>
  </si>
  <si>
    <t>Water Bank Cleansing Foam</t>
  </si>
  <si>
    <t>P461491</t>
  </si>
  <si>
    <t>Bright Repair Eye Cream â€“ 10% Vitamin C</t>
  </si>
  <si>
    <t>P475201</t>
  </si>
  <si>
    <t>24-7 Power Swipe Hydrating Day &amp; Night Treatment Eye Balm</t>
  </si>
  <si>
    <t>P454822</t>
  </si>
  <si>
    <t>Mini SEA Mermaid Skin Hyaluronic H2O Serum</t>
  </si>
  <si>
    <t>P502725</t>
  </si>
  <si>
    <t>Multi-Masker 4-Piece Mask Kit</t>
  </si>
  <si>
    <t>P471567</t>
  </si>
  <si>
    <t>Checks and Balances Polishing Exfoliator</t>
  </si>
  <si>
    <t>P481335</t>
  </si>
  <si>
    <t>Brightening Saffron Serum - Radiant Rani</t>
  </si>
  <si>
    <t>RANAVAT</t>
  </si>
  <si>
    <t>P475192</t>
  </si>
  <si>
    <t>So Poreless Deep Exfoliating Blackhead Scrub</t>
  </si>
  <si>
    <t>P447212</t>
  </si>
  <si>
    <t>Hyaluronic Serum</t>
  </si>
  <si>
    <t>P504784</t>
  </si>
  <si>
    <t>Priming Moisturizer Lightweight Buildable Face Cream</t>
  </si>
  <si>
    <t>P484076</t>
  </si>
  <si>
    <t>Ultimate Sun Protector SPF 50+ Sunscreen Duo</t>
  </si>
  <si>
    <t>P461199</t>
  </si>
  <si>
    <t>Clean Peeling Mask</t>
  </si>
  <si>
    <t>P469508</t>
  </si>
  <si>
    <t>Hyaluronic Acid Booster</t>
  </si>
  <si>
    <t>P500687</t>
  </si>
  <si>
    <t>Keep It Clean Hydrating Gel Cleanser with Ceramides &amp; 10 Amino Acids</t>
  </si>
  <si>
    <t>P393501</t>
  </si>
  <si>
    <t>Acne Solutions Cleansing Gel</t>
  </si>
  <si>
    <t>P481339</t>
  </si>
  <si>
    <t>Alpha Beta Daily Essentials - Extra Strength</t>
  </si>
  <si>
    <t>P503809</t>
  </si>
  <si>
    <t>Bounce-Boosting Serum with Collagen + Peptides</t>
  </si>
  <si>
    <t>P449836</t>
  </si>
  <si>
    <t>Mini SEA Deep Dive Cleansing Gel</t>
  </si>
  <si>
    <t>P474943</t>
  </si>
  <si>
    <t>Mini Alpha Beta Ultra Gentle Daily Peel Pads for Sensitive Skin</t>
  </si>
  <si>
    <t>P454085</t>
  </si>
  <si>
    <t>Teatreement Toner</t>
  </si>
  <si>
    <t>P448554</t>
  </si>
  <si>
    <t>Enzyme Cleanser</t>
  </si>
  <si>
    <t>P464241</t>
  </si>
  <si>
    <t>5% Benzoyl Peroxide Acne Spot Treatment</t>
  </si>
  <si>
    <t>P474075</t>
  </si>
  <si>
    <t>AHA/BHA/Retinoid Daily Clarifying Peel</t>
  </si>
  <si>
    <t>P482311</t>
  </si>
  <si>
    <t>Large Supplement Case</t>
  </si>
  <si>
    <t>P474109</t>
  </si>
  <si>
    <t>Daily Reveal  Exfoliating Face Pads with AHA + BHA + PHA + TXA</t>
  </si>
  <si>
    <t>P503920</t>
  </si>
  <si>
    <t>Triple Acid Signature Peel</t>
  </si>
  <si>
    <t>P442540</t>
  </si>
  <si>
    <t>Vitamin A Serum with 0.5% Retinol</t>
  </si>
  <si>
    <t>P454806</t>
  </si>
  <si>
    <t>Capture Totale Firming &amp; Wrinkle-Correcting Cream</t>
  </si>
  <si>
    <t>P471040</t>
  </si>
  <si>
    <t>Foam Around Clarifying Daily Cleanser Infused with Glycolic Acid</t>
  </si>
  <si>
    <t>P481376</t>
  </si>
  <si>
    <t>Mini Alpha Beta AHA/BHA Daily Cleansing Gel</t>
  </si>
  <si>
    <t>P481058</t>
  </si>
  <si>
    <t>Mini Melt Moisturizer with Bakuchiol and Squalane</t>
  </si>
  <si>
    <t>P423135</t>
  </si>
  <si>
    <t>Super Rich Repair Moisturizer</t>
  </si>
  <si>
    <t>P416312</t>
  </si>
  <si>
    <t>Gentle Foaming Face Wash</t>
  </si>
  <si>
    <t>Skin Laundry</t>
  </si>
  <si>
    <t>P503901</t>
  </si>
  <si>
    <t>Hydration Heroes Green Tea Skincare Routine Set</t>
  </si>
  <si>
    <t>P444216</t>
  </si>
  <si>
    <t>After-Dark Natural Peptide Sleeping Cream</t>
  </si>
  <si>
    <t>P433975</t>
  </si>
  <si>
    <t>Zero Baggage Anti-Dark Circle Eye Cream</t>
  </si>
  <si>
    <t>P468369</t>
  </si>
  <si>
    <t>Hello Results Wrinkle-Reducing Daily Retinol Serum-in-Cream</t>
  </si>
  <si>
    <t>P470535</t>
  </si>
  <si>
    <t>KateCeuticals Resurfacing Overnight Peel with Glycolic Acid, Retinol &amp; Niacinamide</t>
  </si>
  <si>
    <t>P408271</t>
  </si>
  <si>
    <t>Turn Back Time Turmeric Supplement for UV Damage</t>
  </si>
  <si>
    <t>P429661</t>
  </si>
  <si>
    <t>pores no more Mattifying Hydrator Pore Minimizing Gel</t>
  </si>
  <si>
    <t>P456989</t>
  </si>
  <si>
    <t>Super Glow Body Hyaluronic Self-Tan Serum</t>
  </si>
  <si>
    <t>P456192</t>
  </si>
  <si>
    <t>Night Magic Restorative Face Oil with Firming Botanicals</t>
  </si>
  <si>
    <t>Prima</t>
  </si>
  <si>
    <t>P423159</t>
  </si>
  <si>
    <t>Brain Dust</t>
  </si>
  <si>
    <t>P467635</t>
  </si>
  <si>
    <t>Jade Tension Melting Massager for Face &amp; Neck</t>
  </si>
  <si>
    <t>P302900</t>
  </si>
  <si>
    <t>Turnaround Revitalizing Serum</t>
  </si>
  <si>
    <t>P482757</t>
  </si>
  <si>
    <t>Mini The Cult Classic Purifying Face Cleanser</t>
  </si>
  <si>
    <t>P388262</t>
  </si>
  <si>
    <t>GENIUS Ultimate Anti-Aging Eye Cream</t>
  </si>
  <si>
    <t>P470508</t>
  </si>
  <si>
    <t>Mini The Cream with TFC8 Face Moisturizer</t>
  </si>
  <si>
    <t>P481710</t>
  </si>
  <si>
    <t>Fade and Glow AHA Mask</t>
  </si>
  <si>
    <t>P502771</t>
  </si>
  <si>
    <t>Hydrate &amp; Glow Trio</t>
  </si>
  <si>
    <t>P475203</t>
  </si>
  <si>
    <t>Mini 24-7 Moisture Hydrating Day &amp; Night Cream</t>
  </si>
  <si>
    <t>P428005</t>
  </si>
  <si>
    <t>NuBODY Skin Toning Device</t>
  </si>
  <si>
    <t>P500287</t>
  </si>
  <si>
    <t>Isle Body Oil SPF 30 with Sea Moss and Squalane</t>
  </si>
  <si>
    <t>P504272</t>
  </si>
  <si>
    <t>Hydrating Skincare Gift Set</t>
  </si>
  <si>
    <t>P475086</t>
  </si>
  <si>
    <t>BioLumin-C Vitamin-C Gel Moisturizer</t>
  </si>
  <si>
    <t>P471545</t>
  </si>
  <si>
    <t>DRx SpectraLite BodyWare Pro</t>
  </si>
  <si>
    <t>P503913</t>
  </si>
  <si>
    <t>Ultra Facial Advanced Repair Barrier Cream</t>
  </si>
  <si>
    <t>P481060</t>
  </si>
  <si>
    <t>The Eyelighter Concentrate</t>
  </si>
  <si>
    <t>P472180</t>
  </si>
  <si>
    <t>Balance It All Oil Control &amp; Pore-Refining Set</t>
  </si>
  <si>
    <t>P282935</t>
  </si>
  <si>
    <t>Regenerative Anti-Aging Moisturizer</t>
  </si>
  <si>
    <t>P457002</t>
  </si>
  <si>
    <t>SuperBeauty Daily Antioxidant SkinSupplement</t>
  </si>
  <si>
    <t>P455191</t>
  </si>
  <si>
    <t>Mini Aglow Cleansing Butter</t>
  </si>
  <si>
    <t>lilah b.</t>
  </si>
  <si>
    <t>P455909</t>
  </si>
  <si>
    <t>Facial Spray with Aloe Sage &amp; Orange Blossom</t>
  </si>
  <si>
    <t>P459133</t>
  </si>
  <si>
    <t>Mini Truth Juice Daily Cleanser</t>
  </si>
  <si>
    <t>P482269</t>
  </si>
  <si>
    <t>Get Even Sun Milk SPF 33</t>
  </si>
  <si>
    <t>P455215</t>
  </si>
  <si>
    <t>Illuminating Hydrator - Radiance + Smoothing</t>
  </si>
  <si>
    <t>P503934</t>
  </si>
  <si>
    <t>Besties Set</t>
  </si>
  <si>
    <t>P464288</t>
  </si>
  <si>
    <t>Sephora City Reusable Water Bottle</t>
  </si>
  <si>
    <t>P471085</t>
  </si>
  <si>
    <t>Targeted Dark Spots Serum</t>
  </si>
  <si>
    <t>P482298</t>
  </si>
  <si>
    <t>Dr. Andrew Weil for Origins Mega-Mushroom Relief &amp; Resilience Soothing Treatment Lotion</t>
  </si>
  <si>
    <t>P503930</t>
  </si>
  <si>
    <t>Green Tea Hyaluronic Acid Hydrating Eye Serum</t>
  </si>
  <si>
    <t>P417114</t>
  </si>
  <si>
    <t>The Cleansing Micellar Water</t>
  </si>
  <si>
    <t>P462344</t>
  </si>
  <si>
    <t>Hydro Masque Exfoliant</t>
  </si>
  <si>
    <t>P477812</t>
  </si>
  <si>
    <t>Refillable Jumbo Magic Cream Moisturizer with Hyaluronic Acid</t>
  </si>
  <si>
    <t>P482740</t>
  </si>
  <si>
    <t>Mini Urban Environment Oil-Free Sunscreen Broad-Spectrum SPF 42</t>
  </si>
  <si>
    <t>P500775</t>
  </si>
  <si>
    <t>Back to Basics: Hydration Heroes Skincare Set</t>
  </si>
  <si>
    <t>P501166</t>
  </si>
  <si>
    <t>Vitamin C Lactic Oil-Free Radiant Moisturizer</t>
  </si>
  <si>
    <t>P456399</t>
  </si>
  <si>
    <t>Ultimate Sun Protector Cream SPF 50+ Face Sunscreen</t>
  </si>
  <si>
    <t>P440491</t>
  </si>
  <si>
    <t>Botanical Exfoliating Scrub</t>
  </si>
  <si>
    <t>P409816</t>
  </si>
  <si>
    <t>Plantscription SPF 25 Power Anti-Aging Oil-Free Cream</t>
  </si>
  <si>
    <t>P429676</t>
  </si>
  <si>
    <t>Hydra Life Cooling Hydration Sorbet Eye Gel</t>
  </si>
  <si>
    <t>P503942</t>
  </si>
  <si>
    <t>Green Tea Hydrating Cleansing Oil</t>
  </si>
  <si>
    <t>P217931</t>
  </si>
  <si>
    <t>Tonique Radiance Clarifying Refining Toner</t>
  </si>
  <si>
    <t>P468640</t>
  </si>
  <si>
    <t>Full Spectrum 360Âº Refreshing Water Cream Organic Face Sunscreen SPF 50</t>
  </si>
  <si>
    <t>P122767</t>
  </si>
  <si>
    <t>All About Lips</t>
  </si>
  <si>
    <t>P504134</t>
  </si>
  <si>
    <t>Sea Silk Lip Balm</t>
  </si>
  <si>
    <t>MARA</t>
  </si>
  <si>
    <t>P472025</t>
  </si>
  <si>
    <t>Silk Rice Makeup-Removing Cleansing Oil</t>
  </si>
  <si>
    <t>P503110</t>
  </si>
  <si>
    <t>Mini Cleansing Bar Duo + Case</t>
  </si>
  <si>
    <t>P412407</t>
  </si>
  <si>
    <t>Clarifying Moisturizer</t>
  </si>
  <si>
    <t>P392892</t>
  </si>
  <si>
    <t>Nutritious Super-Pomegranate Radiant Energy Moisturizer Creme</t>
  </si>
  <si>
    <t>P454807</t>
  </si>
  <si>
    <t>Capture Totale Firming &amp; Wrinkle-Correcting Eye Cream</t>
  </si>
  <si>
    <t>P474972</t>
  </si>
  <si>
    <t>Symbright Brightening Moisturizer</t>
  </si>
  <si>
    <t>P503872</t>
  </si>
  <si>
    <t>P500471</t>
  </si>
  <si>
    <t>Brume de BeautÃ© Beauty Mist</t>
  </si>
  <si>
    <t>Gucci</t>
  </si>
  <si>
    <t>P461451</t>
  </si>
  <si>
    <t>Abeille Royale Anti-Aging Fortifying Lotion Toner</t>
  </si>
  <si>
    <t>P442867</t>
  </si>
  <si>
    <t>Kx Active Concentrates Bio-Mimicking Peptides Serum</t>
  </si>
  <si>
    <t>P463613</t>
  </si>
  <si>
    <t>Moisture Surge Intense 72H Lipid-Replenishing Hydrator Moisturizer</t>
  </si>
  <si>
    <t>P503262</t>
  </si>
  <si>
    <t>Peel and Plump Skin-Smoothing Duo</t>
  </si>
  <si>
    <t>P454939</t>
  </si>
  <si>
    <t>Perfectionist Pro Rapid Brightening Serum with FermentÂ² + Vitamin C</t>
  </si>
  <si>
    <t>P451728</t>
  </si>
  <si>
    <t>Mini Goddess Clay Mask 15ml Travel Size</t>
  </si>
  <si>
    <t>P503927</t>
  </si>
  <si>
    <t>Vitamin C Lactic Biocellulose Brightening Treatment Mask</t>
  </si>
  <si>
    <t>P461950</t>
  </si>
  <si>
    <t>Mini The Concentrate Serum</t>
  </si>
  <si>
    <t>P423690</t>
  </si>
  <si>
    <t>Skin Resurfacing Lactic Acid Cleanser</t>
  </si>
  <si>
    <t>P481704</t>
  </si>
  <si>
    <t>Umbrian Clay Pore Purifying Face Mask</t>
  </si>
  <si>
    <t>P423165</t>
  </si>
  <si>
    <t>Future Solution LX Eye and Lip Contour Regenerating Cream</t>
  </si>
  <si>
    <t>P452002</t>
  </si>
  <si>
    <t>Classic Face Sunscreen SPF 50 White Tea</t>
  </si>
  <si>
    <t>P440499</t>
  </si>
  <si>
    <t>Silver Powder</t>
  </si>
  <si>
    <t>P456569</t>
  </si>
  <si>
    <t>Active Clay Prebiotic Cleanser</t>
  </si>
  <si>
    <t>P442539</t>
  </si>
  <si>
    <t>Vitamin B Serum with 5% Niacinamide and Peptides</t>
  </si>
  <si>
    <t>P480445</t>
  </si>
  <si>
    <t>Smooth + FAB Travel Size Duo</t>
  </si>
  <si>
    <t>P443366</t>
  </si>
  <si>
    <t>Prisma Protect SPF 30 Moisturizer</t>
  </si>
  <si>
    <t>P482314</t>
  </si>
  <si>
    <t>Mattifying Blotting Papers</t>
  </si>
  <si>
    <t>P466878</t>
  </si>
  <si>
    <t>Mini Alpha Beta Exfoliating Body Treatment Peel</t>
  </si>
  <si>
    <t>P428639</t>
  </si>
  <si>
    <t>Mini The Renewal Oil</t>
  </si>
  <si>
    <t>P380000</t>
  </si>
  <si>
    <t>DayWear Advanced Multi-Protection Anti-Oxidant Moisturizer, Normal/Combination</t>
  </si>
  <si>
    <t>P480358</t>
  </si>
  <si>
    <t>Mini Debloat+ Anti-Bloat Supplement with Digestive Enzymes</t>
  </si>
  <si>
    <t>The Nue Co.</t>
  </si>
  <si>
    <t>P483057</t>
  </si>
  <si>
    <t>COOLA Organic Liplux Classic Sunscreen Lip Oil SPF 30</t>
  </si>
  <si>
    <t>P405032</t>
  </si>
  <si>
    <t>Micro Essence Infusion Mask</t>
  </si>
  <si>
    <t>P503936</t>
  </si>
  <si>
    <t>Black Tea Anti-Aging Moisturizer with Retinol-Alternative BT Matrix</t>
  </si>
  <si>
    <t>P440485</t>
  </si>
  <si>
    <t>Enzyme Cleansing Gel</t>
  </si>
  <si>
    <t>P454391</t>
  </si>
  <si>
    <t>PLAY Antioxidant Body Sunscreen Mist SPF 30 PA++++</t>
  </si>
  <si>
    <t>P447213</t>
  </si>
  <si>
    <t>4.5% Retinol Serum</t>
  </si>
  <si>
    <t>SOBEL SKIN Rx</t>
  </si>
  <si>
    <t>P447783</t>
  </si>
  <si>
    <t>Cleanser</t>
  </si>
  <si>
    <t>P467120</t>
  </si>
  <si>
    <t>That Hit Single Gel-Cream Cleanser</t>
  </si>
  <si>
    <t>P417115</t>
  </si>
  <si>
    <t>The Intensive Revitalizing Mask</t>
  </si>
  <si>
    <t>P503683</t>
  </si>
  <si>
    <t>Acne Salicylic Acid Day &amp; Night Duo</t>
  </si>
  <si>
    <t>P456193</t>
  </si>
  <si>
    <t>The Afterglow Deep Moisturizing Cream with Hyaluronic Acid &amp; Vegan Collagen</t>
  </si>
  <si>
    <t>P476513</t>
  </si>
  <si>
    <t>Mini Abeille Royale Advanced Youth Watery Oil</t>
  </si>
  <si>
    <t>P462390</t>
  </si>
  <si>
    <t>PRO Strength 10% PHA Exfoliating Clarifying Liquid</t>
  </si>
  <si>
    <t>P448200</t>
  </si>
  <si>
    <t>Benefiance Wrinkle Smoothing Cream</t>
  </si>
  <si>
    <t>P467617</t>
  </si>
  <si>
    <t>Clear Complexion Acne Solutions System</t>
  </si>
  <si>
    <t>P500445</t>
  </si>
  <si>
    <t>Prep Set Tan Tanning Mist with Hyaluronic Acid</t>
  </si>
  <si>
    <t>Iconic London</t>
  </si>
  <si>
    <t>P474057</t>
  </si>
  <si>
    <t>Lip Service - Lip Balm Duo Mint &amp; Shea</t>
  </si>
  <si>
    <t>P481748</t>
  </si>
  <si>
    <t>Bright Start Vitamin C Antioxidant Brightening Moisturizer</t>
  </si>
  <si>
    <t>P474116</t>
  </si>
  <si>
    <t>Peptight  360Ëš Tightening Eye Serum</t>
  </si>
  <si>
    <t>P443375</t>
  </si>
  <si>
    <t>White Lucent Brightening Gel Cream</t>
  </si>
  <si>
    <t>P387511</t>
  </si>
  <si>
    <t>Immortelle Divine Cream</t>
  </si>
  <si>
    <t>P502749</t>
  </si>
  <si>
    <t>SuperSolutions 5% Benzoyl Peroxide Cleanser Acne Solution</t>
  </si>
  <si>
    <t>P456407</t>
  </si>
  <si>
    <t>PLAY Body Sunscreen Mousse SPF 50</t>
  </si>
  <si>
    <t>P382356</t>
  </si>
  <si>
    <t>Age Arrest Anti-Wrinkle Cream</t>
  </si>
  <si>
    <t>P383052</t>
  </si>
  <si>
    <t>Do Not Age with Dr. Brandt Moisturizing Neck Cream</t>
  </si>
  <si>
    <t>P424984</t>
  </si>
  <si>
    <t>HYDRA MOUSSE Hydrating Self-Tan Mousse</t>
  </si>
  <si>
    <t>P473172</t>
  </si>
  <si>
    <t>Glow Daily Vitamin C Gel Cream</t>
  </si>
  <si>
    <t>P442542</t>
  </si>
  <si>
    <t>Beauty Sleep Power Peel Age-Defying Night Peel</t>
  </si>
  <si>
    <t>P440302</t>
  </si>
  <si>
    <t>needles no more Neck Sculpting Cream</t>
  </si>
  <si>
    <t>P436378</t>
  </si>
  <si>
    <t>Dermatologist Solutions Centella Sensitive Cica-Cream</t>
  </si>
  <si>
    <t>P474809</t>
  </si>
  <si>
    <t>Blue Algae Vitamin C Skinclarity Brightening Serum</t>
  </si>
  <si>
    <t>P454095</t>
  </si>
  <si>
    <t>Perfect Canvas Clean Jelly Oil Cleanser</t>
  </si>
  <si>
    <t>P379709</t>
  </si>
  <si>
    <t>Repairative Anti-Aging Moisturizer</t>
  </si>
  <si>
    <t>P502842</t>
  </si>
  <si>
    <t>Wishing You Essentials Skincare Kit</t>
  </si>
  <si>
    <t>P433617</t>
  </si>
  <si>
    <t>Deep Cleansing Foam</t>
  </si>
  <si>
    <t>P503123</t>
  </si>
  <si>
    <t>Smooth Like Butter Kit</t>
  </si>
  <si>
    <t>P456203</t>
  </si>
  <si>
    <t>Self Tan Express Starter Kit</t>
  </si>
  <si>
    <t>P464239</t>
  </si>
  <si>
    <t>Aloe Vera Blemish Soothing Moisturizer</t>
  </si>
  <si>
    <t>P406529</t>
  </si>
  <si>
    <t>Advanced Night Micro Cleansing Balm</t>
  </si>
  <si>
    <t>P468354</t>
  </si>
  <si>
    <t>Hydrating Ultra Repair Cream Duo</t>
  </si>
  <si>
    <t>P457519</t>
  </si>
  <si>
    <t>Water Drench Hyaluronic Cloud Hydrating Eye Gel</t>
  </si>
  <si>
    <t>P474843</t>
  </si>
  <si>
    <t>Absolue Soft Cream Revitalizing &amp; Brightening Moisturizer</t>
  </si>
  <si>
    <t>P504001</t>
  </si>
  <si>
    <t>Ceramidin Skin Barrier Serum Toner</t>
  </si>
  <si>
    <t>P408542</t>
  </si>
  <si>
    <t>One Essential Eye Serum</t>
  </si>
  <si>
    <t>P504773</t>
  </si>
  <si>
    <t>Priming Moisturizer Rich Face Cream with Ceramides</t>
  </si>
  <si>
    <t>P418629</t>
  </si>
  <si>
    <t>C.E.O. Vitamin C Brightening Rich Hydration Moisturizer</t>
  </si>
  <si>
    <t>P480612</t>
  </si>
  <si>
    <t>Santorini Grape Poreless Skin Cream</t>
  </si>
  <si>
    <t>P393600</t>
  </si>
  <si>
    <t>Trinity Facial Toning Device + Wrinkle Reducer Attachment Bundle</t>
  </si>
  <si>
    <t>P477961</t>
  </si>
  <si>
    <t>Get That Glow - GloPRO Facial Microneedling Discovery Set</t>
  </si>
  <si>
    <t>P429504</t>
  </si>
  <si>
    <t>Extra-Firming &amp; Smoothing Night Moisturizer</t>
  </si>
  <si>
    <t>P504810</t>
  </si>
  <si>
    <t>Priming Moisturizer Balance Oil-Control Gel-Cream</t>
  </si>
  <si>
    <t>P463792</t>
  </si>
  <si>
    <t>Rejuvenating Scalp + Fuller Hair Therapy Set</t>
  </si>
  <si>
    <t>P471086</t>
  </si>
  <si>
    <t>Targeted Wrinkle Serum</t>
  </si>
  <si>
    <t>P448711</t>
  </si>
  <si>
    <t>Face Mask</t>
  </si>
  <si>
    <t>P501790</t>
  </si>
  <si>
    <t>Pillowgasm Vitamin-Rich Cherry Glow Sleep Mask</t>
  </si>
  <si>
    <t>P503197</t>
  </si>
  <si>
    <t>Juneberry &amp; Collagen Hydrating Cold Cream Cleanser</t>
  </si>
  <si>
    <t>P433621</t>
  </si>
  <si>
    <t>Treatment Softener Enriched</t>
  </si>
  <si>
    <t>P431419</t>
  </si>
  <si>
    <t>Over It Magic Self-Tan Eraser</t>
  </si>
  <si>
    <t>P457439</t>
  </si>
  <si>
    <t>Clarifying Lotion</t>
  </si>
  <si>
    <t>P463105</t>
  </si>
  <si>
    <t>Benefiance Wrinkle Smoothing Retinol Serum</t>
  </si>
  <si>
    <t>P475180</t>
  </si>
  <si>
    <t>On The Go Best Sellers Travel Kit</t>
  </si>
  <si>
    <t>P481828</t>
  </si>
  <si>
    <t>Nudescreen Daily Mineral Veil SPF 30</t>
  </si>
  <si>
    <t>NUDESTIX</t>
  </si>
  <si>
    <t>P501031</t>
  </si>
  <si>
    <t>Pore Remedy 5% Multi-Acid Radiance Peel</t>
  </si>
  <si>
    <t>P460010</t>
  </si>
  <si>
    <t>Prep &amp; Plane Facial Razors</t>
  </si>
  <si>
    <t>TWEEZERMAN</t>
  </si>
  <si>
    <t>P474079</t>
  </si>
  <si>
    <t>Goodbye Acne   Complete Acne Treatment Gel</t>
  </si>
  <si>
    <t>P456991</t>
  </si>
  <si>
    <t>Superdefense City Block Broad Spectrum SPF 50 Daily Energy + Face Protector Primer</t>
  </si>
  <si>
    <t>P417323</t>
  </si>
  <si>
    <t>Fresh Pressed Renewing Powder Cleanser with Pure Vitamin C</t>
  </si>
  <si>
    <t>P474090</t>
  </si>
  <si>
    <t>Deluxe Facial Roller Set</t>
  </si>
  <si>
    <t>P482540</t>
  </si>
  <si>
    <t>Correct &amp; Protect Broad Spectrum SPF 45| PA++++</t>
  </si>
  <si>
    <t>P481145</t>
  </si>
  <si>
    <t>Hydration Replenish Microencapsulated Plumping Gel Moisturizer</t>
  </si>
  <si>
    <t>P479646</t>
  </si>
  <si>
    <t>Mini City Skin Age Defense Broad Spectrum SPF 50 PA++++</t>
  </si>
  <si>
    <t>P467972</t>
  </si>
  <si>
    <t>The C Drops â€“ 20% Vitamin C Blend Brightening Serum</t>
  </si>
  <si>
    <t>P500778</t>
  </si>
  <si>
    <t>NÂ°39 Facial Sunscreen Mist with SPF 39</t>
  </si>
  <si>
    <t>P440492</t>
  </si>
  <si>
    <t>Buttermilk Moisturizer</t>
  </si>
  <si>
    <t>P380030</t>
  </si>
  <si>
    <t>Perfectly Clean Multi-Action Toning Lotion/Refiner</t>
  </si>
  <si>
    <t>P455623</t>
  </si>
  <si>
    <t>The ZenBubble Gel Cream</t>
  </si>
  <si>
    <t>P483699</t>
  </si>
  <si>
    <t>Restorative Niacinamide Night Cream</t>
  </si>
  <si>
    <t>P504303</t>
  </si>
  <si>
    <t>Strengthening Nighttime Ritual Set</t>
  </si>
  <si>
    <t>P504421</t>
  </si>
  <si>
    <t>Overnight Hydrating Mask</t>
  </si>
  <si>
    <t>P202935</t>
  </si>
  <si>
    <t>Benefiance NutriPerfect Night Cream</t>
  </si>
  <si>
    <t>P429526</t>
  </si>
  <si>
    <t>Multi-Vitamin Infusion Oil</t>
  </si>
  <si>
    <t>P447409</t>
  </si>
  <si>
    <t>Mini Baba Bomb Moisturizer</t>
  </si>
  <si>
    <t>P474844</t>
  </si>
  <si>
    <t>Absolue Revitalizing Eye Cream</t>
  </si>
  <si>
    <t>P122876</t>
  </si>
  <si>
    <t>Clarifying Lotion 4</t>
  </si>
  <si>
    <t>P447607</t>
  </si>
  <si>
    <t>Rose Milk Re-Hydrating Mist</t>
  </si>
  <si>
    <t>P464238</t>
  </si>
  <si>
    <t>Peptide + Ceramide Repairing Moisturizer</t>
  </si>
  <si>
    <t>P417604</t>
  </si>
  <si>
    <t>Hydra Life Deep Hydration Sorbet Water Essence</t>
  </si>
  <si>
    <t>P474839</t>
  </si>
  <si>
    <t>Counter Cravings - Helps Reduce Cravings and Boosts Metabolism</t>
  </si>
  <si>
    <t>P473820</t>
  </si>
  <si>
    <t>Advanced Night Repair Eye Concentrate Matrix Synchronized Multi-Recovery Complex</t>
  </si>
  <si>
    <t>P482061</t>
  </si>
  <si>
    <t>Max Clear Invisible Priming Sunscreen Broad Spectrum SPF 45</t>
  </si>
  <si>
    <t>P459129</t>
  </si>
  <si>
    <t>Peptide Eye Cream</t>
  </si>
  <si>
    <t>P456417</t>
  </si>
  <si>
    <t>Wild Rose Brightening Absolute Oil</t>
  </si>
  <si>
    <t>P433469</t>
  </si>
  <si>
    <t>ELEVATE Advanced Retinol Serum</t>
  </si>
  <si>
    <t>P504595</t>
  </si>
  <si>
    <t>Mini Rice Wash Skin-Softening Cleanser</t>
  </si>
  <si>
    <t>P502322</t>
  </si>
  <si>
    <t>The Healthy Skin Edit Bestsellers Kit</t>
  </si>
  <si>
    <t>P479973</t>
  </si>
  <si>
    <t>Mini Facial Spray with Aloe Adaptogens, and Coconut Water</t>
  </si>
  <si>
    <t>P480355</t>
  </si>
  <si>
    <t>The Essence Skincare Boosting Treatment â€“ Lunar New Year Edition</t>
  </si>
  <si>
    <t>P476683</t>
  </si>
  <si>
    <t>Full Face Sculpt Kit - 14-Day Challenge</t>
  </si>
  <si>
    <t>FaceGym</t>
  </si>
  <si>
    <t>P430338</t>
  </si>
  <si>
    <t>Extra-Firming &amp; Smoothing Day Moisturizer with SPF 15</t>
  </si>
  <si>
    <t>P467123</t>
  </si>
  <si>
    <t>That Big Screen Moisturizer with Broad Spectrum SPF 30</t>
  </si>
  <si>
    <t>P462384</t>
  </si>
  <si>
    <t>Spritz. Mist. Glow. Facial Spray Trio</t>
  </si>
  <si>
    <t>P500055</t>
  </si>
  <si>
    <t>Active Algae Lightweight Moisturizer</t>
  </si>
  <si>
    <t>P446639</t>
  </si>
  <si>
    <t>Massaging Jade Textured Facial Roller</t>
  </si>
  <si>
    <t>P453713</t>
  </si>
  <si>
    <t>Collagen POP + Vitamin C Dissolvable Tablets</t>
  </si>
  <si>
    <t>P482681</t>
  </si>
  <si>
    <t>Bye Bye Makeup 3-in-1 Makeup Melting Cleansing Balm</t>
  </si>
  <si>
    <t>P428423</t>
  </si>
  <si>
    <t>Refreshing Cleansing Sheets</t>
  </si>
  <si>
    <t>P504881</t>
  </si>
  <si>
    <t>Vinoperfect  Brightening Solution Set</t>
  </si>
  <si>
    <t>P450290</t>
  </si>
  <si>
    <t>The Regenerating Serum</t>
  </si>
  <si>
    <t>P467969</t>
  </si>
  <si>
    <t>Personal Microderm Elite Pro</t>
  </si>
  <si>
    <t>P474968</t>
  </si>
  <si>
    <t>NuFACE Hydrating Aqua Gel</t>
  </si>
  <si>
    <t>P483455</t>
  </si>
  <si>
    <t>The Weighted Razor Kit</t>
  </si>
  <si>
    <t>Hanni</t>
  </si>
  <si>
    <t>P454799</t>
  </si>
  <si>
    <t>Mini SuperYou Daily Stress Management</t>
  </si>
  <si>
    <t>P504790</t>
  </si>
  <si>
    <t>Cleanser Concentrate AHA Clarifying and Exfoliating Face Wash</t>
  </si>
  <si>
    <t>P479478</t>
  </si>
  <si>
    <t>Germanium Stone Facial Massager</t>
  </si>
  <si>
    <t>P438648</t>
  </si>
  <si>
    <t>The Quench Quadralipid Rapid Recovery Facial Moisturizer</t>
  </si>
  <si>
    <t>P480174</t>
  </si>
  <si>
    <t>Waves of Clarity Skincare Set</t>
  </si>
  <si>
    <t>P444990</t>
  </si>
  <si>
    <t>Blend It Multi-Purpose Self-Tan Blender</t>
  </si>
  <si>
    <t>P440317</t>
  </si>
  <si>
    <t>Potent-C Vitamin C Bright &amp; Plump Moisturizer</t>
  </si>
  <si>
    <t>P502326</t>
  </si>
  <si>
    <t>Dynamic Skin Recovery SPF50 Moisturizer</t>
  </si>
  <si>
    <t>P422428</t>
  </si>
  <si>
    <t>Hydra Zen Anti-Stress Moisturizing Face Cream</t>
  </si>
  <si>
    <t>P431418</t>
  </si>
  <si>
    <t>Disco Tan Instant Wash-Off Body Bronzer</t>
  </si>
  <si>
    <t>P500412</t>
  </si>
  <si>
    <t>Prep Set Tan Face and Body Brush</t>
  </si>
  <si>
    <t>P422253</t>
  </si>
  <si>
    <t>Rare Earth Pore Refining Tonic</t>
  </si>
  <si>
    <t>P482259</t>
  </si>
  <si>
    <t>Dew Good Illuminating Serum SPF 30</t>
  </si>
  <si>
    <t>P467106</t>
  </si>
  <si>
    <t>Cryo Skin Icing Dual-Ended Roller</t>
  </si>
  <si>
    <t>P482024</t>
  </si>
  <si>
    <t>Mini The Treatment Lotion</t>
  </si>
  <si>
    <t>P453824</t>
  </si>
  <si>
    <t>Vital-E Antioxidant Recovery Cream</t>
  </si>
  <si>
    <t>P479706</t>
  </si>
  <si>
    <t>Even Smoother Glycolic Retinol Resurfacing Serum</t>
  </si>
  <si>
    <t>P481162</t>
  </si>
  <si>
    <t>Essential Energy Hydrating Cream</t>
  </si>
  <si>
    <t>P500614</t>
  </si>
  <si>
    <t>Gentle Brightening Gel Cleanser with Mandelic Acid</t>
  </si>
  <si>
    <t>P404168</t>
  </si>
  <si>
    <t>POWER Advanced Wrinkle Fighter Moisturizer</t>
  </si>
  <si>
    <t>P451727</t>
  </si>
  <si>
    <t>Mini Magic Night 15ml Travel Size</t>
  </si>
  <si>
    <t>P457520</t>
  </si>
  <si>
    <t>FIRMx Collagen Moisturizer</t>
  </si>
  <si>
    <t>P448710</t>
  </si>
  <si>
    <t>pores no more Pore Purifying Cleanser</t>
  </si>
  <si>
    <t>P449164</t>
  </si>
  <si>
    <t>ELEVATE Firming &amp; Lifting Neck Cream</t>
  </si>
  <si>
    <t>P470545</t>
  </si>
  <si>
    <t>Super Gloss Instant Bronzing Face Drops with SPF 30</t>
  </si>
  <si>
    <t>P442263</t>
  </si>
  <si>
    <t>needles no more 3-D LIP PLUMPFIX</t>
  </si>
  <si>
    <t>P475159</t>
  </si>
  <si>
    <t>Evercalm Redness Relief Serum</t>
  </si>
  <si>
    <t>P423164</t>
  </si>
  <si>
    <t>Future Solution LX Extra Rich Cleansing Foam</t>
  </si>
  <si>
    <t>P504615</t>
  </si>
  <si>
    <t>Mini Deep Cleanse Gentle Exfoliating Cleanser</t>
  </si>
  <si>
    <t>P392472</t>
  </si>
  <si>
    <t>All About Clean Foaming Facial Soap</t>
  </si>
  <si>
    <t>P406941</t>
  </si>
  <si>
    <t>Multi-Active Anti-Aging Day Moisturizer with SPF 20 for Glowing Skin</t>
  </si>
  <si>
    <t>P476679</t>
  </si>
  <si>
    <t>Multi-Sculpt High-Performance Gua Sha</t>
  </si>
  <si>
    <t>P474118</t>
  </si>
  <si>
    <t>Intensive Eye Cream Concentrate for Wrinkles PLUS</t>
  </si>
  <si>
    <t>P502710</t>
  </si>
  <si>
    <t>SuperSolutions 20% Niacinamide Serum</t>
  </si>
  <si>
    <t>P449541</t>
  </si>
  <si>
    <t>Pure Vitality Skin Renewing Cream</t>
  </si>
  <si>
    <t>P480300</t>
  </si>
  <si>
    <t>Faceshot Electric Microneedling Device + Vitamin Ampoules</t>
  </si>
  <si>
    <t>P454376</t>
  </si>
  <si>
    <t>knockout daily exfoliating cleanser</t>
  </si>
  <si>
    <t>P481334</t>
  </si>
  <si>
    <t>Moon Fruit Retinol Alternative Sleep Mask</t>
  </si>
  <si>
    <t>P504441</t>
  </si>
  <si>
    <t>Prebiotic Smoothie Mask</t>
  </si>
  <si>
    <t>P501574</t>
  </si>
  <si>
    <t>Renew + Recover Face + Eye Hydration Essentials</t>
  </si>
  <si>
    <t>P438640</t>
  </si>
  <si>
    <t>The Nightly Retinol + Peptide Anti-Aging Serum</t>
  </si>
  <si>
    <t>P468671</t>
  </si>
  <si>
    <t>Clarifying Cleansing Foam with Bija Seed Oil</t>
  </si>
  <si>
    <t>P479839</t>
  </si>
  <si>
    <t>Revitalizing Supreme+ Youth Power Creme Moisturizer</t>
  </si>
  <si>
    <t>P463791</t>
  </si>
  <si>
    <t>GloPRO SCALP MicroTip Attachment Head</t>
  </si>
  <si>
    <t>P469118</t>
  </si>
  <si>
    <t>Melting Moisture Mask</t>
  </si>
  <si>
    <t>P383182</t>
  </si>
  <si>
    <t>Wrinkle Reducer Trinity Attachment</t>
  </si>
  <si>
    <t>P474122</t>
  </si>
  <si>
    <t>Advanced Retinol Nightly Renewal Face Moisturizer with Retinol</t>
  </si>
  <si>
    <t>P389097</t>
  </si>
  <si>
    <t>Arctic Repair Fine Lines and Wrinkles Supplement</t>
  </si>
  <si>
    <t>P440493</t>
  </si>
  <si>
    <t>Oil Free Moisturizer Broad Spectrum SPF 30</t>
  </si>
  <si>
    <t>P438638</t>
  </si>
  <si>
    <t>GloPRO EYE MicroTip Attachment Head</t>
  </si>
  <si>
    <t>P456997</t>
  </si>
  <si>
    <t>Night Serum</t>
  </si>
  <si>
    <t>P481336</t>
  </si>
  <si>
    <t>Resurfacing Saffron AHA Masque - Radiant Rani</t>
  </si>
  <si>
    <t>P410755</t>
  </si>
  <si>
    <t>GenOptics Spot Essence Serum</t>
  </si>
  <si>
    <t>P504240</t>
  </si>
  <si>
    <t>Mini Instant Reset Brightening Overnight Recovery Gel-Cream With Niacinamide + Kalahari Melon Oil</t>
  </si>
  <si>
    <t>P472342</t>
  </si>
  <si>
    <t>Superkind Fragrance-Free Radiance Mask</t>
  </si>
  <si>
    <t>P436343</t>
  </si>
  <si>
    <t>H2Overdose Activated Mask</t>
  </si>
  <si>
    <t>P474068</t>
  </si>
  <si>
    <t>Minty Mineral Hydration Face Mist with Aloe Vera</t>
  </si>
  <si>
    <t>P503997</t>
  </si>
  <si>
    <t>Cleanse + Treat Duo Nighttime Routine for Clean, Smooth Skin</t>
  </si>
  <si>
    <t>P457279</t>
  </si>
  <si>
    <t>Moisturizer Mini knockout brightening gel</t>
  </si>
  <si>
    <t>P472810</t>
  </si>
  <si>
    <t>Smart Response Serum</t>
  </si>
  <si>
    <t>P471000</t>
  </si>
  <si>
    <t>Algae Niacinamide Moisture Veil</t>
  </si>
  <si>
    <t>P454029</t>
  </si>
  <si>
    <t>RÃ¨nergie Lift Multi-Action Ultra Double-Wrapping Cream Face Mask</t>
  </si>
  <si>
    <t>P469831</t>
  </si>
  <si>
    <t>Equilibrium Intensive Hydrating Eye Balm</t>
  </si>
  <si>
    <t>Hourglass</t>
  </si>
  <si>
    <t>P421271</t>
  </si>
  <si>
    <t>Wrinkle Warrior Eye Gel Visible Dark Circle Eraser</t>
  </si>
  <si>
    <t>P375354</t>
  </si>
  <si>
    <t>Capture Totale Intensive Night Restorative CrÃ¨me</t>
  </si>
  <si>
    <t>P474080</t>
  </si>
  <si>
    <t>Water Drench Hyaluronic Cloud Mask Hydrating Gel</t>
  </si>
  <si>
    <t>P444225</t>
  </si>
  <si>
    <t>Clean Biotic pH-balanced yogurt cleanser with chlorophyll</t>
  </si>
  <si>
    <t>P482009</t>
  </si>
  <si>
    <t>Self-Tanning Mitt</t>
  </si>
  <si>
    <t>P469451</t>
  </si>
  <si>
    <t>All About Clean 2-in-1 Cleansing + Exfoliating Jelly</t>
  </si>
  <si>
    <t>P476009</t>
  </si>
  <si>
    <t>Radiant Reveal Clean Brightening Vitamin C Serum</t>
  </si>
  <si>
    <t>P467111</t>
  </si>
  <si>
    <t>Retinol Acne Clearing Oil</t>
  </si>
  <si>
    <t>P483078</t>
  </si>
  <si>
    <t>COOLA Scalp &amp; Hair Mist Organic Sunscreen SPF 30</t>
  </si>
  <si>
    <t>P481832</t>
  </si>
  <si>
    <t>Gradual Tan Watermelon Daily Firming Lotion</t>
  </si>
  <si>
    <t>P438642</t>
  </si>
  <si>
    <t>GloPRO Prep Pads Clarifying Skin Cleansing Wipes with Peptides</t>
  </si>
  <si>
    <t>P469523</t>
  </si>
  <si>
    <t>RESIST Anti-Aging Clear Skin Hydrator</t>
  </si>
  <si>
    <t>P447781</t>
  </si>
  <si>
    <t>Face Cream</t>
  </si>
  <si>
    <t>P424987</t>
  </si>
  <si>
    <t>SLEEP OIL Rejuvenating Miracle Tanning Oil</t>
  </si>
  <si>
    <t>P483698</t>
  </si>
  <si>
    <t>Nourishing Squalane Daily Moisturizer</t>
  </si>
  <si>
    <t>P500782</t>
  </si>
  <si>
    <t>100% Mineral SPF Starter Kit</t>
  </si>
  <si>
    <t>P476681</t>
  </si>
  <si>
    <t>Hyaluronic Acid Roller Dissolving Microneedling Tool</t>
  </si>
  <si>
    <t>P480274</t>
  </si>
  <si>
    <t>GENIUS Liquid Skin Resurfacing 2% BHA Toner</t>
  </si>
  <si>
    <t>P454936</t>
  </si>
  <si>
    <t>Mini Hyaluronic Serum</t>
  </si>
  <si>
    <t>P440496</t>
  </si>
  <si>
    <t>Buffering Lotion</t>
  </si>
  <si>
    <t>P481837</t>
  </si>
  <si>
    <t>The CrÃ¨me Gradual Self-Tanning Face Moisturizer</t>
  </si>
  <si>
    <t>P428422</t>
  </si>
  <si>
    <t>Oil Control Blotting Paper</t>
  </si>
  <si>
    <t>P433619</t>
  </si>
  <si>
    <t>Extra Rich Cleansing Milk</t>
  </si>
  <si>
    <t>P422649</t>
  </si>
  <si>
    <t>Resilience Multi-Effect Night Tri-Peptide Face and Neck Moisturizer Creme</t>
  </si>
  <si>
    <t>P427513</t>
  </si>
  <si>
    <t>Perfectionist Pro Rapid Firm + Lift Treatment</t>
  </si>
  <si>
    <t>P423163</t>
  </si>
  <si>
    <t>Future Solution LX Concentrated Balancing Softener</t>
  </si>
  <si>
    <t>P467614</t>
  </si>
  <si>
    <t>C Scription Vitamin C Brightening Serum</t>
  </si>
  <si>
    <t>P456208</t>
  </si>
  <si>
    <t>GOOPGLOW 15% Glycolic Acid Overnight Glow Peel</t>
  </si>
  <si>
    <t>P479904</t>
  </si>
  <si>
    <t>Mini Lapis Blue Tansy Face Oil - For Oily &amp; Acne-Prone Skin</t>
  </si>
  <si>
    <t>P417107</t>
  </si>
  <si>
    <t>The Moisturizing Soft Lotion</t>
  </si>
  <si>
    <t>P482321</t>
  </si>
  <si>
    <t>Mini Mineral Sheerscreen Sunscreen SPF 30 PA+++</t>
  </si>
  <si>
    <t>P503216</t>
  </si>
  <si>
    <t>Hyper Even Daily Duo Kit for Hyperpigmentation</t>
  </si>
  <si>
    <t>P383308</t>
  </si>
  <si>
    <t>Age Arrest Eye Cream</t>
  </si>
  <si>
    <t>P449150</t>
  </si>
  <si>
    <t>Hydrating Oil</t>
  </si>
  <si>
    <t>Anastasia Beverly Hills</t>
  </si>
  <si>
    <t>P232920</t>
  </si>
  <si>
    <t>Line Release Under Eye Repair Cream</t>
  </si>
  <si>
    <t>P468149</t>
  </si>
  <si>
    <t>Calm Sweet Calm Stress Management Vegan Gummies with Ashwagandha &amp; L-Theanine</t>
  </si>
  <si>
    <t>P447785</t>
  </si>
  <si>
    <t>Eye Cream</t>
  </si>
  <si>
    <t>P447787</t>
  </si>
  <si>
    <t>Super Anti-Aging Serum</t>
  </si>
  <si>
    <t>P479701</t>
  </si>
  <si>
    <t>EradiKate Acne Mark Fading Gel with Salicylic Acid</t>
  </si>
  <si>
    <t>P501421</t>
  </si>
  <si>
    <t>Dew Dream- Hydrating Makeup Removing Cleansing Balm with Tiger Grass</t>
  </si>
  <si>
    <t>P483145</t>
  </si>
  <si>
    <t>Ultra Glow Mask with Vitamins C + E</t>
  </si>
  <si>
    <t>P467129</t>
  </si>
  <si>
    <t>Acne Control 30-Day Trial Kit for Clearer Skin</t>
  </si>
  <si>
    <t>P454771</t>
  </si>
  <si>
    <t>Aglow Cleansing Butter</t>
  </si>
  <si>
    <t>P503944</t>
  </si>
  <si>
    <t>Mini Acid Potion AHA + BHA Resurfacing Exfoliator</t>
  </si>
  <si>
    <t>P504452</t>
  </si>
  <si>
    <t>Mini Must Haves Skincare Set</t>
  </si>
  <si>
    <t>P503992</t>
  </si>
  <si>
    <t>Chia + Moringa Algae Enzyme Cleansing Oil</t>
  </si>
  <si>
    <t>P474078</t>
  </si>
  <si>
    <t>Mini Goodbye Acne  AHA/BHA Acne Clearing Gel Face Body Spot Treatment</t>
  </si>
  <si>
    <t>P503912</t>
  </si>
  <si>
    <t>Firm + Bright + Glow Vitamin C Lactic Set</t>
  </si>
  <si>
    <t>P483701</t>
  </si>
  <si>
    <t>Daily Essentials Travel Set</t>
  </si>
  <si>
    <t>P504289</t>
  </si>
  <si>
    <t>Prep &amp; Treat Lip Care Gift Set</t>
  </si>
  <si>
    <t>P500757</t>
  </si>
  <si>
    <t>Microneedling Anti-Wrinkle Retinol Patches</t>
  </si>
  <si>
    <t>P448715</t>
  </si>
  <si>
    <t>Balancing Toner</t>
  </si>
  <si>
    <t>P423145</t>
  </si>
  <si>
    <t>Age Reversal Eye Complex</t>
  </si>
  <si>
    <t>P476860</t>
  </si>
  <si>
    <t>APHRODISIA Intimate Arousal Cannabis Oil</t>
  </si>
  <si>
    <t>P421249</t>
  </si>
  <si>
    <t>The Moisturizing Matte Lotion</t>
  </si>
  <si>
    <t>P454377</t>
  </si>
  <si>
    <t>Mini knockout daily exfoliating cleanser</t>
  </si>
  <si>
    <t>P471029</t>
  </si>
  <si>
    <t>GOOPGLOW Glow Lotion</t>
  </si>
  <si>
    <t>P470049</t>
  </si>
  <si>
    <t>Clearcalm Clarifying Clay Cleanser</t>
  </si>
  <si>
    <t>P456421</t>
  </si>
  <si>
    <t>Black Pine 3D Eye-Lift Super Serum</t>
  </si>
  <si>
    <t>P454090</t>
  </si>
  <si>
    <t>Cosmic Cream Collagen Protecting Moisturizer</t>
  </si>
  <si>
    <t>P473267</t>
  </si>
  <si>
    <t>Smart Clinical Repair Wrinkle Correcting Serum</t>
  </si>
  <si>
    <t>P483453</t>
  </si>
  <si>
    <t>Shave Starter Set</t>
  </si>
  <si>
    <t>P504064</t>
  </si>
  <si>
    <t>Ceramidin Cream-Infused Mask</t>
  </si>
  <si>
    <t>P440923</t>
  </si>
  <si>
    <t>Capture Youth Age-Delay Advanced Eye Treatment</t>
  </si>
  <si>
    <t>P476459</t>
  </si>
  <si>
    <t>Forest Lungs Anti-Stress Fragrance Travel Spray</t>
  </si>
  <si>
    <t>P475188</t>
  </si>
  <si>
    <t>Instant De-Puff Eye Renewal Serum</t>
  </si>
  <si>
    <t>P410657</t>
  </si>
  <si>
    <t>Extra-Firming &amp; Smoothing Face Mask</t>
  </si>
  <si>
    <t>P474830</t>
  </si>
  <si>
    <t>LUNA play plus 2</t>
  </si>
  <si>
    <t>P502756</t>
  </si>
  <si>
    <t>SuperSolutions 10% Urea Moisturizer Textured Skin Solution</t>
  </si>
  <si>
    <t>P501171</t>
  </si>
  <si>
    <t>YUZU-C Beauty Sleeping Mask</t>
  </si>
  <si>
    <t>P483128</t>
  </si>
  <si>
    <t>Scar Gel Treatment</t>
  </si>
  <si>
    <t>P446111</t>
  </si>
  <si>
    <t>V Shaping Facial Lift Depuff &amp; Contour Serum with Hyaluronic Acid</t>
  </si>
  <si>
    <t>P476436</t>
  </si>
  <si>
    <t>Clean Pro Jade</t>
  </si>
  <si>
    <t>P501185</t>
  </si>
  <si>
    <t>Luxury Lip Shine â€“ Longwear Hydration Lip Oil with Vitamin C</t>
  </si>
  <si>
    <t>P481341</t>
  </si>
  <si>
    <t>Alpha Beta Daily Moisturizer</t>
  </si>
  <si>
    <t>P502216</t>
  </si>
  <si>
    <t>Shani Darden by DÃ©esse PRO LED Light Mask</t>
  </si>
  <si>
    <t>P469806</t>
  </si>
  <si>
    <t>Abeille Royale Anti-Aging Eye Lifting Serum</t>
  </si>
  <si>
    <t>P433440</t>
  </si>
  <si>
    <t>Wonder Oil Illuminating Self-Tan Oil</t>
  </si>
  <si>
    <t>P470506</t>
  </si>
  <si>
    <t>The Cream Cleansing Gel with TFC8 Gentle Cleanser</t>
  </si>
  <si>
    <t>P503935</t>
  </si>
  <si>
    <t>Volcanic Pore Clearing Facial Cleanser with AHA + BHA</t>
  </si>
  <si>
    <t>P402992</t>
  </si>
  <si>
    <t>P472343</t>
  </si>
  <si>
    <t>Superkind Fragrance-Free Softening Cleanser</t>
  </si>
  <si>
    <t>P468850</t>
  </si>
  <si>
    <t>Signature Moisturizer</t>
  </si>
  <si>
    <t>ROSE Ingleton MD</t>
  </si>
  <si>
    <t>P472448</t>
  </si>
  <si>
    <t>Glass &amp; Gloss 2-Step Facial Retexturizing &amp; Brightening Treatment</t>
  </si>
  <si>
    <t>P442748</t>
  </si>
  <si>
    <t>Hydrating Floral Mask</t>
  </si>
  <si>
    <t>P473723</t>
  </si>
  <si>
    <t>Hydrating Petal Cream â€“ 1% Pure Hyaluronic Acid Moisturizer</t>
  </si>
  <si>
    <t>P457696</t>
  </si>
  <si>
    <t>DeliKate Soothing Cleanser</t>
  </si>
  <si>
    <t>P438629</t>
  </si>
  <si>
    <t>The Radiance Brightening Vitamin E + Rosehip Seed Facial Oil</t>
  </si>
  <si>
    <t>P462747</t>
  </si>
  <si>
    <t>Mini Clarifying Blemish &amp; Oil Control Cleanser</t>
  </si>
  <si>
    <t>P504594</t>
  </si>
  <si>
    <t>The Brightening Essentials Skincare Gift Set</t>
  </si>
  <si>
    <t>P463951</t>
  </si>
  <si>
    <t>Mini Benefiance Wrinkle Smoothing Cream Enriched</t>
  </si>
  <si>
    <t>P503226</t>
  </si>
  <si>
    <t>Sugar Triple-Action Lip Serum Advanced Therapy</t>
  </si>
  <si>
    <t>P469111</t>
  </si>
  <si>
    <t>KateCeuticals Lifting Eye Cream</t>
  </si>
  <si>
    <t>P455332</t>
  </si>
  <si>
    <t>Hydrating Water Fresh Cream Moisturizer</t>
  </si>
  <si>
    <t>P504848</t>
  </si>
  <si>
    <t>Resveratrol-Lift Ultimate Firming Set</t>
  </si>
  <si>
    <t>P500002</t>
  </si>
  <si>
    <t>Brighten. Tighten. Hydrate. 3-Piece Set</t>
  </si>
  <si>
    <t>P502192</t>
  </si>
  <si>
    <t>Acne Away Kit + Salicylic Acid + Azelaic Acid + Niacinamide</t>
  </si>
  <si>
    <t>P501236</t>
  </si>
  <si>
    <t>Abeille Royale Anti-Aging Double R Advanced Serum</t>
  </si>
  <si>
    <t>P480608</t>
  </si>
  <si>
    <t>Equilibrium Instant Plumping Eye Mask</t>
  </si>
  <si>
    <t>P474964</t>
  </si>
  <si>
    <t>Facial Spray with Aloe Adaptogens, and Coconut Water</t>
  </si>
  <si>
    <t>P480150</t>
  </si>
  <si>
    <t>Liquid Gold Midnight Reboot Serum with 14% Glycolic Acid and Tripeptide-5</t>
  </si>
  <si>
    <t>P451745</t>
  </si>
  <si>
    <t>30% Glycolic Acid Peel Concentrate</t>
  </si>
  <si>
    <t>P472058</t>
  </si>
  <si>
    <t>P503814</t>
  </si>
  <si>
    <t>Dynamic Skin Retinol Serum</t>
  </si>
  <si>
    <t>P455919</t>
  </si>
  <si>
    <t>MenoReverse Volumizing Serum-in-Moisturizer</t>
  </si>
  <si>
    <t>P481347</t>
  </si>
  <si>
    <t>Clear Skin Kit Acne Treatment Kit</t>
  </si>
  <si>
    <t>P447504</t>
  </si>
  <si>
    <t>AA (Alguronic Acid) Barrier Serum</t>
  </si>
  <si>
    <t>P456211</t>
  </si>
  <si>
    <t>GOOPGLOW Morning Skin Superpowder</t>
  </si>
  <si>
    <t>P428103</t>
  </si>
  <si>
    <t>Ultimate Revival Essence</t>
  </si>
  <si>
    <t>P483696</t>
  </si>
  <si>
    <t>Gentle Micellar Antioxidant Cleanser</t>
  </si>
  <si>
    <t>P482741</t>
  </si>
  <si>
    <t>Urban Environment Oil-Free Mineral Sunscreen Broad-Spectrum SPF 42</t>
  </si>
  <si>
    <t>P464244</t>
  </si>
  <si>
    <t>Vitamin C Brightening Toner</t>
  </si>
  <si>
    <t>P468396</t>
  </si>
  <si>
    <t>PLANTSCRIPTION Multi-powered Anti-Aging Peptide Serum</t>
  </si>
  <si>
    <t>P482754</t>
  </si>
  <si>
    <t>Mineral Magic Oil-Free Mineral Sunscreen Fluid Broad Spectrum SPF 30</t>
  </si>
  <si>
    <t>P450210</t>
  </si>
  <si>
    <t>Vitamin Nectar Glow Juice Antioxidant Face Serum</t>
  </si>
  <si>
    <t>P504786</t>
  </si>
  <si>
    <t>Solution Skin-Perfecting Daily Chemical Exfoliator</t>
  </si>
  <si>
    <t>P474121</t>
  </si>
  <si>
    <t>SD Advanced  PLUS Intensive Moisturizer For Wrinkles &amp; Stretch Marks</t>
  </si>
  <si>
    <t>P479696</t>
  </si>
  <si>
    <t>Brighten Trial Kit</t>
  </si>
  <si>
    <t>P477761</t>
  </si>
  <si>
    <t>Lovely Lashes Contour Sleep Mask</t>
  </si>
  <si>
    <t>P447608</t>
  </si>
  <si>
    <t>Rose Sorbet Cryo-Mask</t>
  </si>
  <si>
    <t>P478021</t>
  </si>
  <si>
    <t>Sleepover Retin-Oil Nighttime Treatment</t>
  </si>
  <si>
    <t>P482068</t>
  </si>
  <si>
    <t>Sacred Sleep Overnight Repair with Retinol</t>
  </si>
  <si>
    <t>P483700</t>
  </si>
  <si>
    <t>Smoothing Vitamin C Eye + Expression Lines Cream</t>
  </si>
  <si>
    <t>P443376</t>
  </si>
  <si>
    <t>White Lucent Overnight Cream &amp; Mask</t>
  </si>
  <si>
    <t>P500729</t>
  </si>
  <si>
    <t>Best Sellers Set</t>
  </si>
  <si>
    <t>P480604</t>
  </si>
  <si>
    <t>FAB Faves Trio</t>
  </si>
  <si>
    <t>P481401</t>
  </si>
  <si>
    <t>Hydrating Jasmine Mist - Royal Refresh</t>
  </si>
  <si>
    <t>P500318</t>
  </si>
  <si>
    <t>That Overnight Hustle AHA + BHA Resurfacer</t>
  </si>
  <si>
    <t>P467755</t>
  </si>
  <si>
    <t>Hydrating Toner Lotion with Aloe Vera</t>
  </si>
  <si>
    <t>P475926</t>
  </si>
  <si>
    <t>The SturmGlow Kit</t>
  </si>
  <si>
    <t>P504815</t>
  </si>
  <si>
    <t>Universal Pro-Retinol Overnight Renewing Treatment</t>
  </si>
  <si>
    <t>P442267</t>
  </si>
  <si>
    <t>Sunless Tan Express Sculpting Mousse</t>
  </si>
  <si>
    <t>P503892</t>
  </si>
  <si>
    <t>Instant Hydration Set</t>
  </si>
  <si>
    <t>P481975</t>
  </si>
  <si>
    <t>Alpha Beta Daily Essentials - Universal</t>
  </si>
  <si>
    <t>P481833</t>
  </si>
  <si>
    <t>Concentrated Ginseng Renewing Cream</t>
  </si>
  <si>
    <t>P442546</t>
  </si>
  <si>
    <t>Balancing Cleanser</t>
  </si>
  <si>
    <t>P467970</t>
  </si>
  <si>
    <t>Clean Pro Obsidian</t>
  </si>
  <si>
    <t>P433974</t>
  </si>
  <si>
    <t>Supercharge Anti-Oxidant Moisture Serum</t>
  </si>
  <si>
    <t>P500856</t>
  </si>
  <si>
    <t>Retinol Anti-Aging Power Duo</t>
  </si>
  <si>
    <t>P475183</t>
  </si>
  <si>
    <t>So Polished Exfoliating Sugar Scrub</t>
  </si>
  <si>
    <t>P467650</t>
  </si>
  <si>
    <t>Self-Tanning Body Mousse</t>
  </si>
  <si>
    <t>P483694</t>
  </si>
  <si>
    <t>Essential Comfort Balancing Water</t>
  </si>
  <si>
    <t>P503915</t>
  </si>
  <si>
    <t>Mini Floral Recovery Overnight Mask with Squalane</t>
  </si>
  <si>
    <t>P447789</t>
  </si>
  <si>
    <t>Sun Drops SPF 50</t>
  </si>
  <si>
    <t>P447790</t>
  </si>
  <si>
    <t>Anti-Pollution Drops</t>
  </si>
  <si>
    <t>P469833</t>
  </si>
  <si>
    <t>Equilibrium Restoring Essence</t>
  </si>
  <si>
    <t>P443549</t>
  </si>
  <si>
    <t>Dr. Andrew Weil for Origins Mega-Mushroom Relief &amp; Resilience Soothing Cream</t>
  </si>
  <si>
    <t>P480176</t>
  </si>
  <si>
    <t>Mini Calendula Deep Clean Foaming Face Wash</t>
  </si>
  <si>
    <t>P480162</t>
  </si>
  <si>
    <t>Cica Recover &amp; Repair Multi-Use Balm</t>
  </si>
  <si>
    <t>P422260</t>
  </si>
  <si>
    <t>Super Multi-Corrective Cream Sunscreen Broad Spectrum SPF 30</t>
  </si>
  <si>
    <t>P502046</t>
  </si>
  <si>
    <t>GinZing Energizing Gel Cream with Caffeine &amp; Niacinamide</t>
  </si>
  <si>
    <t>P504044</t>
  </si>
  <si>
    <t>Pro-Retinol Megamoisture Face Cream</t>
  </si>
  <si>
    <t>P409920</t>
  </si>
  <si>
    <t>Clarifying Lotion 1.0 Twice A Day Exfoliator</t>
  </si>
  <si>
    <t>P379009</t>
  </si>
  <si>
    <t>RÃ©nergie Lift Multi-Action Day Cream with SPF 15 - All Skin Types</t>
  </si>
  <si>
    <t>P472023</t>
  </si>
  <si>
    <t>Nomadâ€™s Cream Purifying &amp; Exfoliating AHA Cleanser</t>
  </si>
  <si>
    <t>P501264</t>
  </si>
  <si>
    <t>The Hydrating Treatment Lotion &amp; CrÃ¨me Set</t>
  </si>
  <si>
    <t>P464240</t>
  </si>
  <si>
    <t>10% Glycolic Acne Control Peel Pads</t>
  </si>
  <si>
    <t>P457272</t>
  </si>
  <si>
    <t>Abeille Royale Anti-Aging Eye Cream</t>
  </si>
  <si>
    <t>P504313</t>
  </si>
  <si>
    <t>Peptides + C Energy Eye Concentrate with Vitamin C and Caffeine</t>
  </si>
  <si>
    <t>P482313</t>
  </si>
  <si>
    <t>Eyebrow Razor Set</t>
  </si>
  <si>
    <t>P457273</t>
  </si>
  <si>
    <t>Immortelle Overnight Reset Eye Serum</t>
  </si>
  <si>
    <t>P442537</t>
  </si>
  <si>
    <t>Liquid Gold Firming Eye Cream</t>
  </si>
  <si>
    <t>P454937</t>
  </si>
  <si>
    <t>Mini Super Anti-Aging Serum</t>
  </si>
  <si>
    <t>P467028</t>
  </si>
  <si>
    <t>Glow In A Wink ExfoliKate Bestsellers Set</t>
  </si>
  <si>
    <t>P481703</t>
  </si>
  <si>
    <t>Black Tea Corset Cream Firming Moisturizer</t>
  </si>
  <si>
    <t>P468411</t>
  </si>
  <si>
    <t>SKINPOWER Cream</t>
  </si>
  <si>
    <t>P449411</t>
  </si>
  <si>
    <t>Mini Micellar Magic Makeup Remover &amp; Cleanser</t>
  </si>
  <si>
    <t>P478274</t>
  </si>
  <si>
    <t>GOOPGENES Clean Nourishing Lip Balm Trio</t>
  </si>
  <si>
    <t>P438630</t>
  </si>
  <si>
    <t>Contouring + De-Puffing Rose Quartz GloPRO Attachment Head</t>
  </si>
  <si>
    <t>P395507</t>
  </si>
  <si>
    <t>Extra Repair Moisture Cream</t>
  </si>
  <si>
    <t>P474114</t>
  </si>
  <si>
    <t>Power Starters Tightening Trio</t>
  </si>
  <si>
    <t>P501170</t>
  </si>
  <si>
    <t>SHIKULIME Color Control Oil-Free Moisturizer SPF 30</t>
  </si>
  <si>
    <t>P430405</t>
  </si>
  <si>
    <t>Mini The Moisturizing Cool Gel Cream</t>
  </si>
  <si>
    <t>P420638</t>
  </si>
  <si>
    <t>ELEVATE Advanced Lift Contouring Cream</t>
  </si>
  <si>
    <t>P448553</t>
  </si>
  <si>
    <t>Face Cream Rich</t>
  </si>
  <si>
    <t>P500109</t>
  </si>
  <si>
    <t>Hydrating Caffeine Eye Cream</t>
  </si>
  <si>
    <t>Community Sixty-Six</t>
  </si>
  <si>
    <t>P502997</t>
  </si>
  <si>
    <t>Salicylic Acid Acne Treatment Serum</t>
  </si>
  <si>
    <t>P470041</t>
  </si>
  <si>
    <t>UV Expert Aquagel Defense Sunscreen, Primer &amp; Moisturizer SPF 50 Duo</t>
  </si>
  <si>
    <t>P474107</t>
  </si>
  <si>
    <t>Hyaluronic Tripeptide Gel-Cream for Eyes</t>
  </si>
  <si>
    <t>P383054</t>
  </si>
  <si>
    <t>Do Not Age with Dr. Brandt Transforming Pearl Serum</t>
  </si>
  <si>
    <t>P468408</t>
  </si>
  <si>
    <t>SKINPOWER Eye Cream</t>
  </si>
  <si>
    <t>P504429</t>
  </si>
  <si>
    <t>Hydrating Serum</t>
  </si>
  <si>
    <t>P459301</t>
  </si>
  <si>
    <t>Mini GOOPGLOW 15% Glycolic Acid Overnight Glow Peel</t>
  </si>
  <si>
    <t>P502197</t>
  </si>
  <si>
    <t>HydraKate Recharging Water Cream Moisturizer</t>
  </si>
  <si>
    <t>P470245</t>
  </si>
  <si>
    <t>Complexion Brightening Booster Serum</t>
  </si>
  <si>
    <t>P433971</t>
  </si>
  <si>
    <t>Skin Warrior Moisture Rescue Cream</t>
  </si>
  <si>
    <t>P500716</t>
  </si>
  <si>
    <t>10 Day Results Kit</t>
  </si>
  <si>
    <t>P405286</t>
  </si>
  <si>
    <t>Smart Broad Spectrum SPF 15 Custom-Repair Moisturizer for Dry Combination Skin</t>
  </si>
  <si>
    <t>P468143</t>
  </si>
  <si>
    <t>GOOPGENES All-In-One Super Nutrient Face Oil</t>
  </si>
  <si>
    <t>P448546</t>
  </si>
  <si>
    <t>Darker Skin Tones Enzyme Cleanser</t>
  </si>
  <si>
    <t>P481363</t>
  </si>
  <si>
    <t>Smoothing Facial Polish - Imperial Glow</t>
  </si>
  <si>
    <t>P468672</t>
  </si>
  <si>
    <t>Clarifying Spot Serum with Bija Seed Oil</t>
  </si>
  <si>
    <t>P443377</t>
  </si>
  <si>
    <t>White Lucent Day Emulsion Broad Spectrum SPF 23</t>
  </si>
  <si>
    <t>P502448</t>
  </si>
  <si>
    <t>Concentrated Ginseng Renewing Eye Cream</t>
  </si>
  <si>
    <t>P479903</t>
  </si>
  <si>
    <t>Mini Phoenix Rosehip Anti-Aging Face Oil - For Dry Skin</t>
  </si>
  <si>
    <t>P502608</t>
  </si>
  <si>
    <t>Double Serum Face &amp; Eye Power Duo</t>
  </si>
  <si>
    <t>P479734</t>
  </si>
  <si>
    <t>Smart Clinical Repair Wrinkle Correcting Eye Cream</t>
  </si>
  <si>
    <t>P469200</t>
  </si>
  <si>
    <t>The Good C Vitamin C Serum</t>
  </si>
  <si>
    <t>P462748</t>
  </si>
  <si>
    <t>Mini Purifying Pore Detox Cleanser</t>
  </si>
  <si>
    <t>P476676</t>
  </si>
  <si>
    <t>Youth Reformer Firming Vitamin C Oil Serum</t>
  </si>
  <si>
    <t>P456992</t>
  </si>
  <si>
    <t>Superdefense SPF 25 Fatigue + 1st Signs of Age Multi-Correcting Cream</t>
  </si>
  <si>
    <t>P390987</t>
  </si>
  <si>
    <t>Purifying Cleansing Brush Head Refill</t>
  </si>
  <si>
    <t>P504017</t>
  </si>
  <si>
    <t>Nighttime Necessities Repair + Lift + Hydrate</t>
  </si>
  <si>
    <t>P501550</t>
  </si>
  <si>
    <t>Acne-Clear Essentials 4-Piece Acne Kit</t>
  </si>
  <si>
    <t>P442001</t>
  </si>
  <si>
    <t>Hyaluronic Facial Cream</t>
  </si>
  <si>
    <t>P446629</t>
  </si>
  <si>
    <t>Clean Pro</t>
  </si>
  <si>
    <t>P477202</t>
  </si>
  <si>
    <t>Ting Energy + Metabolism Non-Stim Supplement With Ginseng</t>
  </si>
  <si>
    <t>P474115</t>
  </si>
  <si>
    <t>Peptight  Tightening &amp; Brightening Face Serum</t>
  </si>
  <si>
    <t>P375854</t>
  </si>
  <si>
    <t>Ultimate Revival Cream</t>
  </si>
  <si>
    <t>P483457</t>
  </si>
  <si>
    <t>Shave Pillow Moisturizing Body Gel</t>
  </si>
  <si>
    <t>P483708</t>
  </si>
  <si>
    <t>Mini Essential Comfort Firming Cream</t>
  </si>
  <si>
    <t>P443550</t>
  </si>
  <si>
    <t>Dr. Andrew Weil for Origins Mega-Mushroom Relief &amp; Resilience Hydra Burst Gel Lotion</t>
  </si>
  <si>
    <t>P504447</t>
  </si>
  <si>
    <t>Gradual Tanning Drops Face &amp; Body</t>
  </si>
  <si>
    <t>P460578</t>
  </si>
  <si>
    <t>GOOPGENES All-In-One Nourishing Face Cream</t>
  </si>
  <si>
    <t>P475083</t>
  </si>
  <si>
    <t>Skincare Essentials Kit</t>
  </si>
  <si>
    <t>P503690</t>
  </si>
  <si>
    <t>Water Drench Hyaluronic Cloud Rich Barrier Moisturizer</t>
  </si>
  <si>
    <t>P429675</t>
  </si>
  <si>
    <t>Hydra Life Balancing Hydration 2 in 1 Sorbet Water</t>
  </si>
  <si>
    <t>P463110</t>
  </si>
  <si>
    <t>Clarifying Peel Off Mask</t>
  </si>
  <si>
    <t>P462378</t>
  </si>
  <si>
    <t>Anti-Aging Regimen Kit</t>
  </si>
  <si>
    <t>P457854</t>
  </si>
  <si>
    <t>Vital Perfection Uplifting and Firming Cream Day Cream</t>
  </si>
  <si>
    <t>P500060</t>
  </si>
  <si>
    <t>Play! Mineral SPF Stick</t>
  </si>
  <si>
    <t>P467649</t>
  </si>
  <si>
    <t>Clean 1 Minute Face Masks</t>
  </si>
  <si>
    <t>P462381</t>
  </si>
  <si>
    <t>Glycolic Eye Cream</t>
  </si>
  <si>
    <t>P416589</t>
  </si>
  <si>
    <t>Wrinkle Release Facial Sheet Mask</t>
  </si>
  <si>
    <t>P482746</t>
  </si>
  <si>
    <t>PLAY 100% Mineral Lotion SPF 30 with Green Algae</t>
  </si>
  <si>
    <t>P471045</t>
  </si>
  <si>
    <t>Daily Deflector Mineral Sunscreen SPF 40  PA++++</t>
  </si>
  <si>
    <t>P475906</t>
  </si>
  <si>
    <t>The Eye Cream with  TFC8</t>
  </si>
  <si>
    <t>P446102</t>
  </si>
  <si>
    <t>Mini DayWear Advanced Multi-Protection Anti-Oxidant Creme, Normal/Combination</t>
  </si>
  <si>
    <t>P454315</t>
  </si>
  <si>
    <t>Milk Cleanse Gentle Foaming Cleanser</t>
  </si>
  <si>
    <t>P480630</t>
  </si>
  <si>
    <t>Mini Jet Lag Mask</t>
  </si>
  <si>
    <t>P502761</t>
  </si>
  <si>
    <t>Advanced GÃ©nifique Night Cream with Triple Ceramide Complex</t>
  </si>
  <si>
    <t>P483090</t>
  </si>
  <si>
    <t>Firming Day Moisturizer with Peptides</t>
  </si>
  <si>
    <t>P471784</t>
  </si>
  <si>
    <t>Gentle Foaming Cleanser</t>
  </si>
  <si>
    <t>P464234</t>
  </si>
  <si>
    <t>Advanced Retinol Night Repair Treatment</t>
  </si>
  <si>
    <t>P476680</t>
  </si>
  <si>
    <t>Face Ball Tension Release Tool</t>
  </si>
  <si>
    <t>P456401</t>
  </si>
  <si>
    <t>Self Tan Express Bronzing Gel</t>
  </si>
  <si>
    <t>P450587</t>
  </si>
  <si>
    <t>Illumi-nation Anti-Fatigue Power Serum</t>
  </si>
  <si>
    <t>P503000</t>
  </si>
  <si>
    <t>Feeling Groovy Yellow Jade Eye Massager Set</t>
  </si>
  <si>
    <t>P476675</t>
  </si>
  <si>
    <t>Hydro-Bound Hyaluronic Acid + Niacinamide Serum</t>
  </si>
  <si>
    <t>P422848</t>
  </si>
  <si>
    <t>CrÃ¨me Riche Anti-Aging Peptide Night Cream</t>
  </si>
  <si>
    <t>P480191</t>
  </si>
  <si>
    <t>Contour Restore Tightening &amp; Sculpting Moisturizing Face Cream</t>
  </si>
  <si>
    <t>P449177</t>
  </si>
  <si>
    <t>AGE Smart Phyto-Nature Firming Serum</t>
  </si>
  <si>
    <t>P474125</t>
  </si>
  <si>
    <t>The Gamechangers</t>
  </si>
  <si>
    <t>P483076</t>
  </si>
  <si>
    <t>P501199</t>
  </si>
  <si>
    <t>YUZU-C Eye Awakening Essence</t>
  </si>
  <si>
    <t>P459130</t>
  </si>
  <si>
    <t>P500880</t>
  </si>
  <si>
    <t>Classic Face Organic Sunscreen Lotion SPF 50</t>
  </si>
  <si>
    <t>P502709</t>
  </si>
  <si>
    <t>Mini Mist Collection</t>
  </si>
  <si>
    <t>P474371</t>
  </si>
  <si>
    <t>Evercalm Gentle Cleansing Milk</t>
  </si>
  <si>
    <t>P502848</t>
  </si>
  <si>
    <t>LUNA 4 go Facial Cleansing &amp; Massaging Device</t>
  </si>
  <si>
    <t>P475189</t>
  </si>
  <si>
    <t>Secret Solutions Pro-Glycolic 10% Resurfacing Toner</t>
  </si>
  <si>
    <t>P408273</t>
  </si>
  <si>
    <t>Advanced Night Micro Cleansing Foam</t>
  </si>
  <si>
    <t>P461165</t>
  </si>
  <si>
    <t>GOOPGENES All-In-One Nourishing Eye Cream</t>
  </si>
  <si>
    <t>P448713</t>
  </si>
  <si>
    <t>Clarifying Spot Treatment</t>
  </si>
  <si>
    <t>P469110</t>
  </si>
  <si>
    <t>KateCeuticals Firming Serum with Hyaluronic Acid</t>
  </si>
  <si>
    <t>P383051</t>
  </si>
  <si>
    <t>Do Not Age with Dr. Brandt Time Defying Cream</t>
  </si>
  <si>
    <t>P455421</t>
  </si>
  <si>
    <t>Complete Cleansing Microfoam</t>
  </si>
  <si>
    <t>P468196</t>
  </si>
  <si>
    <t>The Glow Up</t>
  </si>
  <si>
    <t>P467945</t>
  </si>
  <si>
    <t>Capture Totale Super Potent Rich Cream</t>
  </si>
  <si>
    <t>P467608</t>
  </si>
  <si>
    <t>Smart Night Clinical MD Multi-Dimensional Repair Treatment Retinol Serum</t>
  </si>
  <si>
    <t>P443812</t>
  </si>
  <si>
    <t>R45 The Lift 3-Phase Advanced Neck Contouring Treatment</t>
  </si>
  <si>
    <t>P433446</t>
  </si>
  <si>
    <t>Mini Original Skin Matte Moisturizer with Willowherb</t>
  </si>
  <si>
    <t>P479703</t>
  </si>
  <si>
    <t>EradiKate Clarifying Acne Gel Cleanser with Salicylic Acid</t>
  </si>
  <si>
    <t>P463106</t>
  </si>
  <si>
    <t>Vital Perfection Uplifting and Firming Eye Cream</t>
  </si>
  <si>
    <t>P502237</t>
  </si>
  <si>
    <t>Head-To-Toe AfterGLO Set</t>
  </si>
  <si>
    <t>P423169</t>
  </si>
  <si>
    <t>Future Solution LX Total Regenerating Cream</t>
  </si>
  <si>
    <t>P481164</t>
  </si>
  <si>
    <t>Essential Energy Hydrating Day Cream Broad Spectrum SPF 20</t>
  </si>
  <si>
    <t>P472068</t>
  </si>
  <si>
    <t>Reusable 3-Piece Grey Face Mask Set</t>
  </si>
  <si>
    <t>P503747</t>
  </si>
  <si>
    <t>Take The Day Off Charcoal Cleansing Balm Makeup Remover</t>
  </si>
  <si>
    <t>P456210</t>
  </si>
  <si>
    <t>GOOPGLOW 20% Vitamin C and Hyaluronic Glow Serum</t>
  </si>
  <si>
    <t>P480346</t>
  </si>
  <si>
    <t>SuperFruit Gentle Brightening Cleanser</t>
  </si>
  <si>
    <t>P475196</t>
  </si>
  <si>
    <t>So Smooth Resurfacing &amp; Brightening Fruit Enzyme Mask</t>
  </si>
  <si>
    <t>P504506</t>
  </si>
  <si>
    <t>The Silk Serum Wrinkle-Smoothing Retinol Alternative</t>
  </si>
  <si>
    <t>P476553</t>
  </si>
  <si>
    <t>Skin Filter Vitamin A and Zinc Blemish + Brightening Supplement</t>
  </si>
  <si>
    <t>P445822</t>
  </si>
  <si>
    <t>Intensive Moisture Cleanser</t>
  </si>
  <si>
    <t>P482661</t>
  </si>
  <si>
    <t>The Essence</t>
  </si>
  <si>
    <t>P501164</t>
  </si>
  <si>
    <t>Hydrate &amp; Glow Skincare Set</t>
  </si>
  <si>
    <t>P475907</t>
  </si>
  <si>
    <t>The Serum with  TFC8</t>
  </si>
  <si>
    <t>P475200</t>
  </si>
  <si>
    <t>Your Best Skin at Every Age Firming &amp; Smoothing Discovery Kit</t>
  </si>
  <si>
    <t>P481973</t>
  </si>
  <si>
    <t>The Better B Niacinamide Serum</t>
  </si>
  <si>
    <t>P483692</t>
  </si>
  <si>
    <t>Essential Comfort Firming Cream</t>
  </si>
  <si>
    <t>P479974</t>
  </si>
  <si>
    <t>Brightening Eye Serum</t>
  </si>
  <si>
    <t>P448557</t>
  </si>
  <si>
    <t>P501518</t>
  </si>
  <si>
    <t>Calming Herbal Repair Overnight Recovery Balm for Skin Barrier Support</t>
  </si>
  <si>
    <t>P468390</t>
  </si>
  <si>
    <t>Ashwagandha Organic Root Extract</t>
  </si>
  <si>
    <t>P455229</t>
  </si>
  <si>
    <t>White Lucent Illuminating Micro-Spot Serum</t>
  </si>
  <si>
    <t>P447788</t>
  </si>
  <si>
    <t>Calming Serum</t>
  </si>
  <si>
    <t>P472341</t>
  </si>
  <si>
    <t>Superkind Fragrance-Free Fortifying Moisturizer</t>
  </si>
  <si>
    <t>P464242</t>
  </si>
  <si>
    <t>Hyaluronic Acid + Peptide Serum</t>
  </si>
  <si>
    <t>P472024</t>
  </si>
  <si>
    <t>Skin Mud Pure Vitamin C Brightening Mask</t>
  </si>
  <si>
    <t>P475197</t>
  </si>
  <si>
    <t>Balancing Act Purifying &amp; pH Balancing Biodegradable Toner Pads</t>
  </si>
  <si>
    <t>P405589</t>
  </si>
  <si>
    <t>Multi-Active Anti-Aging Day Cream-Gel Moisturizer for Glowing Skin</t>
  </si>
  <si>
    <t>P448542</t>
  </si>
  <si>
    <t>Clarifying Mask</t>
  </si>
  <si>
    <t>P481062</t>
  </si>
  <si>
    <t>Clean Skin, Fresh Start Acne Solutions Kit</t>
  </si>
  <si>
    <t>P476678</t>
  </si>
  <si>
    <t>Face Coach Lifting Squalane Face Oil</t>
  </si>
  <si>
    <t>P503999</t>
  </si>
  <si>
    <t>Capture Totale Le SÃ©rum Anti-Aging Serum</t>
  </si>
  <si>
    <t>P482058</t>
  </si>
  <si>
    <t>Dr. Andrew Weil for Origins Mega-Mushroom Weightless Hydrating Moisturizer</t>
  </si>
  <si>
    <t>P504987</t>
  </si>
  <si>
    <t>Refreshing Water Sunscreen Stick SPF 50</t>
  </si>
  <si>
    <t>P443810</t>
  </si>
  <si>
    <t>The Daily Vitamin C Day Serum with Antioxidant Complex</t>
  </si>
  <si>
    <t>P309409</t>
  </si>
  <si>
    <t>Repairwear Uplifting Firming Cream</t>
  </si>
  <si>
    <t>P480606</t>
  </si>
  <si>
    <t>goopglow Cloudberry Exfoliating Jelly Cleanser</t>
  </si>
  <si>
    <t>P456434</t>
  </si>
  <si>
    <t>knockout brightening gel moisturizer</t>
  </si>
  <si>
    <t>P458961</t>
  </si>
  <si>
    <t>G.Tox Malachite and Fruit Acid Pore Purifying Cleanser</t>
  </si>
  <si>
    <t>P476674</t>
  </si>
  <si>
    <t>Electro-Lite Enzyme Brightening Gel Cleanser</t>
  </si>
  <si>
    <t>P470246</t>
  </si>
  <si>
    <t>Calming Hydration Booster Serum</t>
  </si>
  <si>
    <t>P458962</t>
  </si>
  <si>
    <t>G.Tox Malachite and AHA Pore Refining Tonic</t>
  </si>
  <si>
    <t>P505211</t>
  </si>
  <si>
    <t>(Glow)Setting 100% Mineral Powder SPF 35</t>
  </si>
  <si>
    <t>P380001</t>
  </si>
  <si>
    <t>DayWear Advanced Multi-Protection Anti-Oxidant Creme, Dry</t>
  </si>
  <si>
    <t>P476432</t>
  </si>
  <si>
    <t>Capture Totale Super Potent Cleanser</t>
  </si>
  <si>
    <t>P462383</t>
  </si>
  <si>
    <t>Flower &amp; Tonic Clay Mask</t>
  </si>
  <si>
    <t>P504018</t>
  </si>
  <si>
    <t>The Skin Renewal System</t>
  </si>
  <si>
    <t>P483693</t>
  </si>
  <si>
    <t>Essential Comfort Moisture Cream</t>
  </si>
  <si>
    <t>P502640</t>
  </si>
  <si>
    <t>Microdermabrasion Renewing Age-Defying Face Exfoliator</t>
  </si>
  <si>
    <t>P474967</t>
  </si>
  <si>
    <t>NuFACE Firming and Brightening Silk CrÃ¨me</t>
  </si>
  <si>
    <t>P448558</t>
  </si>
  <si>
    <t>Clarifying Face Cream</t>
  </si>
  <si>
    <t>P459300</t>
  </si>
  <si>
    <t>Mini GOOPGLOW Morning Skin Superpowder</t>
  </si>
  <si>
    <t>P444987</t>
  </si>
  <si>
    <t>Capture Youth Age-Delay Progressive Peeling CrÃ¨me</t>
  </si>
  <si>
    <t>P473185</t>
  </si>
  <si>
    <t>Water Drench Hyaluronic Cloud Makeup Removing Gel Cleanser</t>
  </si>
  <si>
    <t>P504424</t>
  </si>
  <si>
    <t>Clarifying Peel Pads Purify + Exfoliate</t>
  </si>
  <si>
    <t>P468406</t>
  </si>
  <si>
    <t>Vital Perfection Intensive WrinkleSpot Treatment</t>
  </si>
  <si>
    <t>P471064</t>
  </si>
  <si>
    <t>Max Matte Shine Control Sunscreen Broad Spectrum SPF 45</t>
  </si>
  <si>
    <t>P448548</t>
  </si>
  <si>
    <t>Darker Skin Tones Hyaluronic Serum</t>
  </si>
  <si>
    <t>P475195</t>
  </si>
  <si>
    <t>Protect + Plump Firming &amp; Hydrating Face Moisturizer</t>
  </si>
  <si>
    <t>P450935</t>
  </si>
  <si>
    <t>Abeille Royale Night Cream</t>
  </si>
  <si>
    <t>P416588</t>
  </si>
  <si>
    <t>Wrinkle Release Neck &amp; Chest Sheet Mask</t>
  </si>
  <si>
    <t>P457468</t>
  </si>
  <si>
    <t>Brazilliance 2HR Express Deep Foaming Self-Tanner</t>
  </si>
  <si>
    <t>P481342</t>
  </si>
  <si>
    <t>Cleansing &amp; Hydrating Bestseller Set Bento Box</t>
  </si>
  <si>
    <t>P482260</t>
  </si>
  <si>
    <t>Rice Drops Face Oil Hydrating Serum</t>
  </si>
  <si>
    <t>P464233</t>
  </si>
  <si>
    <t>Mini Face Cream</t>
  </si>
  <si>
    <t>P481971</t>
  </si>
  <si>
    <t>Hydra Life Intense Sorbet CrÃ¨me Moisturizer</t>
  </si>
  <si>
    <t>P460757</t>
  </si>
  <si>
    <t>Brightening Mask with Vitamin C</t>
  </si>
  <si>
    <t>P480610</t>
  </si>
  <si>
    <t>Hello Results Baby-Smooth Glycolic Peel + Caring Oil</t>
  </si>
  <si>
    <t>P430143</t>
  </si>
  <si>
    <t>Mini Confidence in a Cleanser</t>
  </si>
  <si>
    <t>P500705</t>
  </si>
  <si>
    <t>Skin Changer Succinic Acid Essence-Toner</t>
  </si>
  <si>
    <t>P449410</t>
  </si>
  <si>
    <t>Boosted Contouring Retinol Eye Balm</t>
  </si>
  <si>
    <t>P450934</t>
  </si>
  <si>
    <t>Abeille Royale Day Cream</t>
  </si>
  <si>
    <t>P474111</t>
  </si>
  <si>
    <t>Super-C SPF 30 Vitamin C Face Moisturizer</t>
  </si>
  <si>
    <t>P470247</t>
  </si>
  <si>
    <t>Blemish Control Booster Serum</t>
  </si>
  <si>
    <t>P481354</t>
  </si>
  <si>
    <t>Renewing Bakuchi CrÃ¨me - Eternal Reign</t>
  </si>
  <si>
    <t>P427640</t>
  </si>
  <si>
    <t>DayWear Eye Cooling Anti-Oxidant Moisture GelCreme</t>
  </si>
  <si>
    <t>P501243</t>
  </si>
  <si>
    <t>GOOPGLOW Exfoliating Dark Spot Sleep Serum</t>
  </si>
  <si>
    <t>P442545</t>
  </si>
  <si>
    <t>Triple Action Cleanser</t>
  </si>
  <si>
    <t>P462379</t>
  </si>
  <si>
    <t>Witch Hazel &amp; Lavender Toner</t>
  </si>
  <si>
    <t>P475204</t>
  </si>
  <si>
    <t>Sensitive Skin Treatment Drops Calming Vitamin B Serum</t>
  </si>
  <si>
    <t>P475193</t>
  </si>
  <si>
    <t>Wrinkle Treatment Drops Retinol Alternative Serum</t>
  </si>
  <si>
    <t>P469112</t>
  </si>
  <si>
    <t>KateCeuticals Total Repair Cream</t>
  </si>
  <si>
    <t>P462377</t>
  </si>
  <si>
    <t>Acne Repair Kit</t>
  </si>
  <si>
    <t>P468409</t>
  </si>
  <si>
    <t>SKINPOWER Airy Milky Lotion</t>
  </si>
  <si>
    <t>P462375</t>
  </si>
  <si>
    <t>Hyaluronic Dew Drops Hydrating Serum</t>
  </si>
  <si>
    <t>P402993</t>
  </si>
  <si>
    <t>P481077</t>
  </si>
  <si>
    <t>Capture Totale Intensive Essence Lotion</t>
  </si>
  <si>
    <t>P481371</t>
  </si>
  <si>
    <t>Balancing CrÃ¨me Cleanser - Luminous Ceremony</t>
  </si>
  <si>
    <t>P429508</t>
  </si>
  <si>
    <t>Sunless Tan Dry Body Oil Mist</t>
  </si>
  <si>
    <t>P502235</t>
  </si>
  <si>
    <t>The Daily Essential Duo The Cream</t>
  </si>
  <si>
    <t>P505049</t>
  </si>
  <si>
    <t>barrier+ Triple Lipid + Collagen Brightening Eye Treatment</t>
  </si>
  <si>
    <t>P481138</t>
  </si>
  <si>
    <t>FIX  Line Smoothing Device</t>
  </si>
  <si>
    <t>P455010</t>
  </si>
  <si>
    <t>Knock Me Out Sleep Chews</t>
  </si>
  <si>
    <t>P478020</t>
  </si>
  <si>
    <t>Lemon-Aid Makeup-Removing Cleansing Gel</t>
  </si>
  <si>
    <t>P476736</t>
  </si>
  <si>
    <t>Superkind Fragrance-Free Bio-Barrier Serum</t>
  </si>
  <si>
    <t>P448550</t>
  </si>
  <si>
    <t>Brightening Face Cream</t>
  </si>
  <si>
    <t>P503876</t>
  </si>
  <si>
    <t>OLE Glow Icons Skincare Set</t>
  </si>
  <si>
    <t>P482747</t>
  </si>
  <si>
    <t>PLAY Mineral Mist SPF 30 with Marigold Extract</t>
  </si>
  <si>
    <t>P448565</t>
  </si>
  <si>
    <t>Clinique Smart Clinical MD Multi-Dimensional Age Transformer Duo Resculpt + Revolumize</t>
  </si>
  <si>
    <t>P504315</t>
  </si>
  <si>
    <t>Mini Skin Resolution Clarifying Acid Toner</t>
  </si>
  <si>
    <t>P467107</t>
  </si>
  <si>
    <t>GloPRO Cryo Skin Icing Attachments</t>
  </si>
  <si>
    <t>P474369</t>
  </si>
  <si>
    <t>Clear Improvement Zero Oil Cleanser With Charcoal</t>
  </si>
  <si>
    <t>P502195</t>
  </si>
  <si>
    <t>DelIKate Try Me Kit</t>
  </si>
  <si>
    <t>P410809</t>
  </si>
  <si>
    <t>ELEVATE Firming &amp; Lifting Contouring Eye Cream</t>
  </si>
  <si>
    <t>P433620</t>
  </si>
  <si>
    <t>Treatment Softener</t>
  </si>
  <si>
    <t>P504073</t>
  </si>
  <si>
    <t>Ultralight Moisture-Boosting Botanical Oil</t>
  </si>
  <si>
    <t>P504056</t>
  </si>
  <si>
    <t>Perfect Canvas Smooth, Prep &amp; Plump Essence</t>
  </si>
  <si>
    <t>P504283</t>
  </si>
  <si>
    <t>Mini Solar Power Luminous SPF 30 Serum</t>
  </si>
  <si>
    <t>P482510</t>
  </si>
  <si>
    <t>The Ultimate Soothing Cream</t>
  </si>
  <si>
    <t>P483460</t>
  </si>
  <si>
    <t>Shower Holder</t>
  </si>
  <si>
    <t>P503933</t>
  </si>
  <si>
    <t>The Night Time Edit- Jenna Rennert X OLEHENRIKSEN</t>
  </si>
  <si>
    <t>P504850</t>
  </si>
  <si>
    <t>Premier Cru Fine Lines and Wrinkles Anti-Aging Set</t>
  </si>
  <si>
    <t>P475186</t>
  </si>
  <si>
    <t>Revive + Rewind Revitalizing Eye Cream</t>
  </si>
  <si>
    <t>P481368</t>
  </si>
  <si>
    <t>Detoxifying Facial Massage Tool - Kansa Wand</t>
  </si>
  <si>
    <t>P435209</t>
  </si>
  <si>
    <t>Radiance Resurfacing Foam</t>
  </si>
  <si>
    <t>P423166</t>
  </si>
  <si>
    <t>Future Solution LX Intensive Firming Contour Serum</t>
  </si>
  <si>
    <t>P442860</t>
  </si>
  <si>
    <t>ALIVE Prebiotic Balancing Moisturizer SPF 15</t>
  </si>
  <si>
    <t>P504517</t>
  </si>
  <si>
    <t>Brightening Eye Cream Mineral SPF 15 with Peptides</t>
  </si>
  <si>
    <t>Soleil Toujours</t>
  </si>
  <si>
    <t>P423167</t>
  </si>
  <si>
    <t>Future Solution LX Total Protective Cream Broad Spectrum SPF 20 Sunscreen</t>
  </si>
  <si>
    <t>P480289</t>
  </si>
  <si>
    <t>Mini Acne Solutions Cleansing Foam</t>
  </si>
  <si>
    <t>P476447</t>
  </si>
  <si>
    <t>Debloat+ Anti-Bloat Supplement with Digestive Enzymes</t>
  </si>
  <si>
    <t>P501153</t>
  </si>
  <si>
    <t>Major Eye Impact Repair + Brighten Skincare Set</t>
  </si>
  <si>
    <t>P461937</t>
  </si>
  <si>
    <t>Serum Serum Serum</t>
  </si>
  <si>
    <t>P470248</t>
  </si>
  <si>
    <t>Retexturizing Retinol Booster Serum</t>
  </si>
  <si>
    <t>P482529</t>
  </si>
  <si>
    <t>Micro Essence Treatment Lotion with Bio-Ferment</t>
  </si>
  <si>
    <t>P451750</t>
  </si>
  <si>
    <t>Oligo Peptide Eye Cream</t>
  </si>
  <si>
    <t>P500502</t>
  </si>
  <si>
    <t>SuperFruit Exfoliating Tonic 8% AHA Solution</t>
  </si>
  <si>
    <t>P442747</t>
  </si>
  <si>
    <t>Self Tan Purity Water Gel</t>
  </si>
  <si>
    <t>P476538</t>
  </si>
  <si>
    <t>Prebiotic + Probiotic Vegan Gut Microbiome Supplement</t>
  </si>
  <si>
    <t>P501316</t>
  </si>
  <si>
    <t>Beauty Sleep Overnight Repair Treatment Cream with AHA's and Vitamin C</t>
  </si>
  <si>
    <t>P469832</t>
  </si>
  <si>
    <t>Equilibrium Rebalancing Cream Cleanser</t>
  </si>
  <si>
    <t>P502200</t>
  </si>
  <si>
    <t>HydraKate Recharging Serum with Hyaluronic Acid</t>
  </si>
  <si>
    <t>P483058</t>
  </si>
  <si>
    <t>GOOPGLOW Flower Acids Resurfacing Toner</t>
  </si>
  <si>
    <t>P464245</t>
  </si>
  <si>
    <t>Bakuchiol Hydrating Cleanser</t>
  </si>
  <si>
    <t>P503894</t>
  </si>
  <si>
    <t>Green Tea Hyaluronic Acid Hydrating Eye Cream</t>
  </si>
  <si>
    <t>P505023</t>
  </si>
  <si>
    <t>The POREfessional Deep Retreat Pore-Clearing Clay Mask</t>
  </si>
  <si>
    <t>Benefit Cosmetics</t>
  </si>
  <si>
    <t>P502827</t>
  </si>
  <si>
    <t>LUNA 4 Facial Cleansing &amp; Firming Massage for Sensitive Skin</t>
  </si>
  <si>
    <t>P501175</t>
  </si>
  <si>
    <t>White Ginseng Radiance Refining Mask</t>
  </si>
  <si>
    <t>P475084</t>
  </si>
  <si>
    <t>Extra-Firming Energy + Radiance Boosting Moisturizer</t>
  </si>
  <si>
    <t>P474838</t>
  </si>
  <si>
    <t>Boost Sweet Boost - Vegan Gummies for Immune Support</t>
  </si>
  <si>
    <t>P469452</t>
  </si>
  <si>
    <t>All About Clean 2-in-1 Charcoal Face Mask + Scrub</t>
  </si>
  <si>
    <t>P483691</t>
  </si>
  <si>
    <t>Gradual Tan Classic Daily Youth Boosting Cream</t>
  </si>
  <si>
    <t>P504852</t>
  </si>
  <si>
    <t>Aqua Bomb Everyday Hydration Set</t>
  </si>
  <si>
    <t>P477150</t>
  </si>
  <si>
    <t>Super Anti-Aging Eye Cream</t>
  </si>
  <si>
    <t>P500106</t>
  </si>
  <si>
    <t>Everyday Mineral Moisturizer SPF 30 Sunscreen</t>
  </si>
  <si>
    <t>P474940</t>
  </si>
  <si>
    <t>Mini Even Better Clinical Radical Dark Spot Corrector + Interrupter Serum</t>
  </si>
  <si>
    <t>P503820</t>
  </si>
  <si>
    <t>Daily Brightness Boosters Kit</t>
  </si>
  <si>
    <t>P468410</t>
  </si>
  <si>
    <t>SKINPOWER Essence Serum</t>
  </si>
  <si>
    <t>P454375</t>
  </si>
  <si>
    <t>Clarifying Acne Spot Treatment</t>
  </si>
  <si>
    <t>P503552</t>
  </si>
  <si>
    <t>GLOfacial Clarifying Salicylic &amp; Plumping Hyaluronic Acid Concentrate</t>
  </si>
  <si>
    <t>P504040</t>
  </si>
  <si>
    <t>Spirulina + Ashwagandha Volcanic Sea Clay Detox Masque</t>
  </si>
  <si>
    <t>P448549</t>
  </si>
  <si>
    <t>Brightening Serum</t>
  </si>
  <si>
    <t>P505208</t>
  </si>
  <si>
    <t>100% Mineral Sunscreen Starter Kit</t>
  </si>
  <si>
    <t>P451748</t>
  </si>
  <si>
    <t>15% Niacinamide Gel Serum</t>
  </si>
  <si>
    <t>P482675</t>
  </si>
  <si>
    <t>Active Blast Concentrated Collagen Daily Treatment</t>
  </si>
  <si>
    <t>P448544</t>
  </si>
  <si>
    <t>Darker Skin Tones Face Cream</t>
  </si>
  <si>
    <t>P501188</t>
  </si>
  <si>
    <t>SATOCANE Pore Purifying Scrub Mask</t>
  </si>
  <si>
    <t>P504644</t>
  </si>
  <si>
    <t>Personalized Cleanser, SPF Day Moisturizer, Night Cream Set</t>
  </si>
  <si>
    <t>PROVEN Skincare</t>
  </si>
  <si>
    <t>P409227</t>
  </si>
  <si>
    <t>Multi-Active Anti-Aging Day Moisturizer for Glowing Skin</t>
  </si>
  <si>
    <t>P460756</t>
  </si>
  <si>
    <t>Hyaluronic Dew Cream</t>
  </si>
  <si>
    <t>P502395</t>
  </si>
  <si>
    <t>Concentrated Ginseng Renewing Serum</t>
  </si>
  <si>
    <t>P462386</t>
  </si>
  <si>
    <t>Drying Cream</t>
  </si>
  <si>
    <t>P481834</t>
  </si>
  <si>
    <t>Concentrated Ginseng Renewing Cream Classic</t>
  </si>
  <si>
    <t>P469193</t>
  </si>
  <si>
    <t>Supers Set</t>
  </si>
  <si>
    <t>P476677</t>
  </si>
  <si>
    <t>Supreme Restructure Collagen-Boosting Cermide Cream</t>
  </si>
  <si>
    <t>P483141</t>
  </si>
  <si>
    <t>The Quench Eye Reviving Quadralipid Eye Balm</t>
  </si>
  <si>
    <t>P479946</t>
  </si>
  <si>
    <t>Self Tanning Face &amp; Body Tinted Gel</t>
  </si>
  <si>
    <t>P503991</t>
  </si>
  <si>
    <t>Algae + Moringa Universal Hydrating Face Oil</t>
  </si>
  <si>
    <t>P504840</t>
  </si>
  <si>
    <t>Hydrate + Purify Mini Bestsellers Discovery Skincare Set</t>
  </si>
  <si>
    <t>P483458</t>
  </si>
  <si>
    <t>Blades</t>
  </si>
  <si>
    <t>P505274</t>
  </si>
  <si>
    <t>Glucoside Foaming Cleanser</t>
  </si>
  <si>
    <t>P474323</t>
  </si>
  <si>
    <t>GOOPGENES All-in-One Nourishing Skincare Kit</t>
  </si>
  <si>
    <t>P469449</t>
  </si>
  <si>
    <t>Hydrating Gentle Foaming Cleanser with Aloe Vera</t>
  </si>
  <si>
    <t>P476554</t>
  </si>
  <si>
    <t>Skin Hydrator Ceramide and Hyaluronic Acid Supplement</t>
  </si>
  <si>
    <t>P482021</t>
  </si>
  <si>
    <t>Ultra Facial Hydrating Concentrated Cleansing Bar</t>
  </si>
  <si>
    <t>P504059</t>
  </si>
  <si>
    <t>Chlorella + Reishi Sea Vitamin C SÃ©rum</t>
  </si>
  <si>
    <t>P500096</t>
  </si>
  <si>
    <t>Oil Control Moisturizer with Niacinamide</t>
  </si>
  <si>
    <t>P502831</t>
  </si>
  <si>
    <t>LUNA 4 Facial Cleansing &amp; Firming Massage for Combination Skin</t>
  </si>
  <si>
    <t>P405825</t>
  </si>
  <si>
    <t>Repairwear Laser Focus Line Smoothing Cream Broad Spectrum SPF 15 for Very Dry to Dry Combination Skin</t>
  </si>
  <si>
    <t>P475143</t>
  </si>
  <si>
    <t>NUDESKIN 3-Step: Citrus Renew Set For Makeup</t>
  </si>
  <si>
    <t>P501189</t>
  </si>
  <si>
    <t>KOSHIRICE Acne Calming Spot Treatment</t>
  </si>
  <si>
    <t>P448551</t>
  </si>
  <si>
    <t>Brightening Face Lotion</t>
  </si>
  <si>
    <t>P504309</t>
  </si>
  <si>
    <t>Solar Power Luminous SPF 30 Brightening Serum</t>
  </si>
  <si>
    <t>P467756</t>
  </si>
  <si>
    <t>Soothing Toning Lotion with Chamomile</t>
  </si>
  <si>
    <t>P503652</t>
  </si>
  <si>
    <t>24-7 Moisture Intense Ultra Hydrating Day &amp; Night Cream with Hyaluronic Acid + Squalane</t>
  </si>
  <si>
    <t>P464235</t>
  </si>
  <si>
    <t>Inflam-Aging Night Repair Treatment</t>
  </si>
  <si>
    <t>P480354</t>
  </si>
  <si>
    <t>Glow Facial Set</t>
  </si>
  <si>
    <t>P473133</t>
  </si>
  <si>
    <t>Fruit-Tox Resurfacing Facial Remedy</t>
  </si>
  <si>
    <t>P476570</t>
  </si>
  <si>
    <t>Triple Active Retinol Gentle Overnight Renewal Cream</t>
  </si>
  <si>
    <t>P482755</t>
  </si>
  <si>
    <t>Claydate Detoxifying &amp; Toning Face Mask Stick</t>
  </si>
  <si>
    <t>P482025</t>
  </si>
  <si>
    <t>Absolue Rich Cream Moisturizer</t>
  </si>
  <si>
    <t>P481084</t>
  </si>
  <si>
    <t>Mini Revitalizing Supreme+ Youth Power Creme Moisturizer</t>
  </si>
  <si>
    <t>P502047</t>
  </si>
  <si>
    <t>Evercalm Skin Zen Trio</t>
  </si>
  <si>
    <t>P470548</t>
  </si>
  <si>
    <t>Knockout 10% Acid Complex Serum</t>
  </si>
  <si>
    <t>P500114</t>
  </si>
  <si>
    <t>Retinol Resurfacing Night Moisturizer</t>
  </si>
  <si>
    <t>P405285</t>
  </si>
  <si>
    <t>Smart Broad Spectrum SPF 15 Custom-Repair Moisturizer for Very Dry to Dry Skin</t>
  </si>
  <si>
    <t>P448563</t>
  </si>
  <si>
    <t>Clinique Smart Clinical MD Multi-Dimensional Age Transformer Revolumize</t>
  </si>
  <si>
    <t>P449601</t>
  </si>
  <si>
    <t>Face Cream Light</t>
  </si>
  <si>
    <t>P504509</t>
  </si>
  <si>
    <t>Hydra Lip Masque Mineral SPF 15 with Peptides</t>
  </si>
  <si>
    <t>P501003</t>
  </si>
  <si>
    <t>Clarifying Water Gel Moisturizer with Hyaluronic Acid</t>
  </si>
  <si>
    <t>P500116</t>
  </si>
  <si>
    <t>Hydrating Cream Cleanser with Hyaluronic Acid</t>
  </si>
  <si>
    <t>P448564</t>
  </si>
  <si>
    <t>Clinique Smart Clinical MD Multi-Dimensional Age Transformer Resculpt</t>
  </si>
  <si>
    <t>P464250</t>
  </si>
  <si>
    <t>GOOPGENES Nourishing Repair Body Butter</t>
  </si>
  <si>
    <t>P501178</t>
  </si>
  <si>
    <t>YUZU-C Glow-On Shot Serum</t>
  </si>
  <si>
    <t>P482318</t>
  </si>
  <si>
    <t>Gradual Tan Tinted Daily Firming Lotion</t>
  </si>
  <si>
    <t>P500482</t>
  </si>
  <si>
    <t>The Clean Dream Team Set</t>
  </si>
  <si>
    <t>P500420</t>
  </si>
  <si>
    <t>The Light Cream</t>
  </si>
  <si>
    <t>P504515</t>
  </si>
  <si>
    <t>Daily Defense Moisturizer Mineral SPF 60 with Vitamin C</t>
  </si>
  <si>
    <t>P503052</t>
  </si>
  <si>
    <t>Mini Flatter Me Digestive Enzyme Supplement</t>
  </si>
  <si>
    <t>P464237</t>
  </si>
  <si>
    <t>Retinol Recovery Eye Cream</t>
  </si>
  <si>
    <t>P501187</t>
  </si>
  <si>
    <t>SHIKULIME Gel-to-Oil Cleanser</t>
  </si>
  <si>
    <t>P473269</t>
  </si>
  <si>
    <t>Precision MINI Edges 8-Pack Refill</t>
  </si>
  <si>
    <t>P483089</t>
  </si>
  <si>
    <t>Eye Want It All Face + Eye Microneedling Set</t>
  </si>
  <si>
    <t>P504026</t>
  </si>
  <si>
    <t>Mini Algae + Moringa Universal Face Oil</t>
  </si>
  <si>
    <t>P475184</t>
  </si>
  <si>
    <t>Hello Radiance Illuminating Serum</t>
  </si>
  <si>
    <t>P504023</t>
  </si>
  <si>
    <t>Algae + Zinc Sea Kale Mineral Sunscreen SÃ©rum SPF 30</t>
  </si>
  <si>
    <t>P502758</t>
  </si>
  <si>
    <t>Super-C Dark Circle Brightening Eye Serum</t>
  </si>
  <si>
    <t>P504464</t>
  </si>
  <si>
    <t>Mask and Moisturize Duo Skincare Gift Set</t>
  </si>
  <si>
    <t>P500464</t>
  </si>
  <si>
    <t>NuBODY - Body Toning Device</t>
  </si>
  <si>
    <t>P500124</t>
  </si>
  <si>
    <t>EradiKate Try-Me-Kit</t>
  </si>
  <si>
    <t>P500098</t>
  </si>
  <si>
    <t>Makeup Melting Balm Cleanser</t>
  </si>
  <si>
    <t>P472022</t>
  </si>
  <si>
    <t>Paradisi Hydrating Essence Mist</t>
  </si>
  <si>
    <t>P505332</t>
  </si>
  <si>
    <t>Dior Skin Mattifying Papers</t>
  </si>
  <si>
    <t>P476726</t>
  </si>
  <si>
    <t>Evercalm Gentle Cleansing Gel</t>
  </si>
  <si>
    <t>P475187</t>
  </si>
  <si>
    <t>Firm Up Deep Wrinkle Serum</t>
  </si>
  <si>
    <t>P481081</t>
  </si>
  <si>
    <t>Revitalizing Supreme+ Night Intensive Restorative CrÃ¨me</t>
  </si>
  <si>
    <t>P500155</t>
  </si>
  <si>
    <t>ExfoliKate All Over Glow Kit</t>
  </si>
  <si>
    <t>P482258</t>
  </si>
  <si>
    <t>Mineral Face Sunscreen Sheer Matte SPF 30</t>
  </si>
  <si>
    <t>P500718</t>
  </si>
  <si>
    <t>Smart Clinical Repair Wrinkle Correcting Cream</t>
  </si>
  <si>
    <t>P476894</t>
  </si>
  <si>
    <t>NUDESKIN Lemon-Aid Detox &amp; Glow Micro-Peel</t>
  </si>
  <si>
    <t>P481970</t>
  </si>
  <si>
    <t>Hydra Life Fresh Sorbet CrÃ¨me Moisturizer</t>
  </si>
  <si>
    <t>P500113</t>
  </si>
  <si>
    <t>Detoxifying AHA/BHA Gel Cleanser</t>
  </si>
  <si>
    <t>P469448</t>
  </si>
  <si>
    <t>Purifying Gentle Foaming Cleanser with Salicylic Acid</t>
  </si>
  <si>
    <t>P376946</t>
  </si>
  <si>
    <t>Repairwear Uplifting Firming Cream Broad Spectrum SPF 15</t>
  </si>
  <si>
    <t>P504302</t>
  </si>
  <si>
    <t>Wrinkle Correcting Skincare Set</t>
  </si>
  <si>
    <t>P504277</t>
  </si>
  <si>
    <t>Face Stone Nourishing Solid Refillable Facial Oil with Tamanu + Blue Tansy</t>
  </si>
  <si>
    <t>Kate McLeod</t>
  </si>
  <si>
    <t>P504465</t>
  </si>
  <si>
    <t>Genifique Routine Set</t>
  </si>
  <si>
    <t>P504291</t>
  </si>
  <si>
    <t>Daily Hydrating Sun Protection Set</t>
  </si>
  <si>
    <t>P478269</t>
  </si>
  <si>
    <t>Rising Star Sleep Travel Set</t>
  </si>
  <si>
    <t>Erno Laszlo</t>
  </si>
  <si>
    <t>P481742</t>
  </si>
  <si>
    <t>Advanced Retinol Daily Repair Face Moisturizer Broad Spectrum SPF 30</t>
  </si>
  <si>
    <t>P503635</t>
  </si>
  <si>
    <t>Pack Up &amp; Glow Priming Mineral SPF 40</t>
  </si>
  <si>
    <t>P504199</t>
  </si>
  <si>
    <t>Plankton + PHAFlower Acid Algae Serum</t>
  </si>
  <si>
    <t>P469801</t>
  </si>
  <si>
    <t>Mini Equilibrium Rebalancing Cream Cleanser</t>
  </si>
  <si>
    <t>P448545</t>
  </si>
  <si>
    <t>Darker Skin Tones Foam Cleanser</t>
  </si>
  <si>
    <t>P467757</t>
  </si>
  <si>
    <t>Total Cleansing Oil &amp; Makeup Remover</t>
  </si>
  <si>
    <t>P481397</t>
  </si>
  <si>
    <t>Revitalizing Supreme+ Bright Soft Creme Moisturizer</t>
  </si>
  <si>
    <t>P501751</t>
  </si>
  <si>
    <t>Absolue Rose 80 Brightening Toner with Salicylic Acid</t>
  </si>
  <si>
    <t>P469121</t>
  </si>
  <si>
    <t>Microdermabrasion Scrub</t>
  </si>
  <si>
    <t>P481082</t>
  </si>
  <si>
    <t>Revitalizing Supreme+ Youth Power Eye Balm</t>
  </si>
  <si>
    <t>P502656</t>
  </si>
  <si>
    <t>Secret Sauce Moisturizer</t>
  </si>
  <si>
    <t>P474036</t>
  </si>
  <si>
    <t>Aloe Vera Gel</t>
  </si>
  <si>
    <t>P501004</t>
  </si>
  <si>
    <t>Youthful Active Roller with Niacinamide</t>
  </si>
  <si>
    <t>P504986</t>
  </si>
  <si>
    <t>Urban Environment Vita-Clear Sunscreen SPF 42</t>
  </si>
  <si>
    <t>P504446</t>
  </si>
  <si>
    <t>Restoring Moonseed Treatment - Lâ€™Immortale Empress</t>
  </si>
  <si>
    <t>P504888</t>
  </si>
  <si>
    <t>Aqua Bomb Protect &amp; Glow Travel Kit</t>
  </si>
  <si>
    <t>P502474</t>
  </si>
  <si>
    <t>Concentrated Ginseng Renewing Rescue Ampoule</t>
  </si>
  <si>
    <t>P504221</t>
  </si>
  <si>
    <t>Trinity+ Starter Kit</t>
  </si>
  <si>
    <t>P481085</t>
  </si>
  <si>
    <t>Faceshot Vitamin Ampoules Refill</t>
  </si>
  <si>
    <t>P481668</t>
  </si>
  <si>
    <t>Clarifying Do-Over Peel</t>
  </si>
  <si>
    <t>P502986</t>
  </si>
  <si>
    <t>Jade Facial Roller</t>
  </si>
  <si>
    <t>P502381</t>
  </si>
  <si>
    <t>Concentrated Ginseng Renewing Sheet Masks</t>
  </si>
  <si>
    <t>P504417</t>
  </si>
  <si>
    <t>Acne Treatment Gel</t>
  </si>
  <si>
    <t>P500094</t>
  </si>
  <si>
    <t>Hydrating Oil-Free Gel Moisturizer</t>
  </si>
  <si>
    <t>P504016</t>
  </si>
  <si>
    <t>Mini Evening Primrose + Green Tea Algae Retinol Face Oil</t>
  </si>
  <si>
    <t>P474858</t>
  </si>
  <si>
    <t>Hydra Prep Soothing &amp; Hydrating Gel</t>
  </si>
  <si>
    <t>P504861</t>
  </si>
  <si>
    <t>Gentle Eye Gel Waterproof Eye &amp; Lip Makeup Remover</t>
  </si>
  <si>
    <t>MAKE UP FOR EVER</t>
  </si>
  <si>
    <t>P504411</t>
  </si>
  <si>
    <t>Microdermabrasion Smoothing Lip Scrub</t>
  </si>
  <si>
    <t>P505054</t>
  </si>
  <si>
    <t>The POREfessional Speedy Smooth Mask</t>
  </si>
  <si>
    <t>P503560</t>
  </si>
  <si>
    <t>GLOfacial Antimicrobial Treatment Tips + Cleaning Brush Accessories</t>
  </si>
  <si>
    <t>P500763</t>
  </si>
  <si>
    <t>P504053</t>
  </si>
  <si>
    <t>Capture Dreamskin 1-Minute Mask</t>
  </si>
  <si>
    <t>P500998</t>
  </si>
  <si>
    <t>Soothe + Hydrate Barrier Building Hydrosol Mist</t>
  </si>
  <si>
    <t>P500256</t>
  </si>
  <si>
    <t>Mineral Sunscreen SPF 30</t>
  </si>
  <si>
    <t>P473148</t>
  </si>
  <si>
    <t>Mask-imum Revival Hydra-Plumping Mask</t>
  </si>
  <si>
    <t>P472471</t>
  </si>
  <si>
    <t>Acne Remedy Overnight Repair Moisturizer</t>
  </si>
  <si>
    <t>P501017</t>
  </si>
  <si>
    <t>Brightening Active Roller with Vitamin C</t>
  </si>
  <si>
    <t>P504031</t>
  </si>
  <si>
    <t>Evening Primrose + Green Tea Algae Retinol Face Oil</t>
  </si>
  <si>
    <t>P481086</t>
  </si>
  <si>
    <t>Liftwear Brightening Vitamin C Gel-Cream</t>
  </si>
  <si>
    <t>P504076</t>
  </si>
  <si>
    <t>Exfoliating Revitalizing &amp; Energizing Caffeine Micro Polish</t>
  </si>
  <si>
    <t>P471017</t>
  </si>
  <si>
    <t>Super Anti-Aging Face Cream</t>
  </si>
  <si>
    <t>P483086</t>
  </si>
  <si>
    <t>Essential Comfort Balancing Emulsion</t>
  </si>
  <si>
    <t>P504882</t>
  </si>
  <si>
    <t>Bye Bye Bumps - Best of Body Kit</t>
  </si>
  <si>
    <t>P501176</t>
  </si>
  <si>
    <t>Soft Clean Infusion Hydrating Treatment Lotion</t>
  </si>
  <si>
    <t>P502818</t>
  </si>
  <si>
    <t>LUNA 4 Facial Cleansing &amp; Firming Massage for Balanced Skin</t>
  </si>
  <si>
    <t>P477706</t>
  </si>
  <si>
    <t>35% Vitamin C Fusion Serum</t>
  </si>
  <si>
    <t>P439648</t>
  </si>
  <si>
    <t>Clinique iD:  Moisturizer + Concentrate for Pores &amp; Uneven Texture</t>
  </si>
  <si>
    <t>P458963</t>
  </si>
  <si>
    <t>G.Tox Detoxifying Superpowder</t>
  </si>
  <si>
    <t>P500755</t>
  </si>
  <si>
    <t>Cryo Skin Icing Roller + Bright Eyes Gels Set</t>
  </si>
  <si>
    <t>P476686</t>
  </si>
  <si>
    <t>Equilibrium Restorative Hydrating Cream</t>
  </si>
  <si>
    <t>P448547</t>
  </si>
  <si>
    <t>Darker Skin Tones Face Cream Rich</t>
  </si>
  <si>
    <t>P500120</t>
  </si>
  <si>
    <t>Nourishing Rich Moisturizer with Hyaluronic Acid</t>
  </si>
  <si>
    <t>P474941</t>
  </si>
  <si>
    <t>3 Step Intro Kit Type II</t>
  </si>
  <si>
    <t>P504911</t>
  </si>
  <si>
    <t>Everyday SPF Faves</t>
  </si>
  <si>
    <t>P500111</t>
  </si>
  <si>
    <t>Womb Service - OBGYN Formulated Prenatal Support Supplement</t>
  </si>
  <si>
    <t>P504050</t>
  </si>
  <si>
    <t>Advanced Retinol Nightly Multi Correct Serum</t>
  </si>
  <si>
    <t>P482256</t>
  </si>
  <si>
    <t>Classic Face Organic Sunscreen Lotion SPF 30</t>
  </si>
  <si>
    <t>P470538</t>
  </si>
  <si>
    <t>SuperPower Immune Support Supplement</t>
  </si>
  <si>
    <t>P469830</t>
  </si>
  <si>
    <t>Equilibrium Day Fluid Sunscreen Broad Spectrum SPF 30</t>
  </si>
  <si>
    <t>P504575</t>
  </si>
  <si>
    <t>PRO ACV Healthy Gut Vegan Gummies with 100% Organic Apple Cider Vinegar and Probiotics</t>
  </si>
  <si>
    <t>P504330</t>
  </si>
  <si>
    <t>5% Citrus Fruit &amp; Glycolic Glow Toner</t>
  </si>
  <si>
    <t>P504892</t>
  </si>
  <si>
    <t>Refine AHA + BHA Texture &amp; Pore Serum</t>
  </si>
  <si>
    <t>P504288</t>
  </si>
  <si>
    <t>Get Lit Skin and Mood Boosting Supplement</t>
  </si>
  <si>
    <t>caliray</t>
  </si>
  <si>
    <t>P480330</t>
  </si>
  <si>
    <t>Grab and Go Set</t>
  </si>
  <si>
    <t>P505120</t>
  </si>
  <si>
    <t>Early Bird Hydrate + Brighten Set</t>
  </si>
  <si>
    <t>P505024</t>
  </si>
  <si>
    <t>The POREfessional Get Unblocked Makeup-Removing Cleansing Oil</t>
  </si>
  <si>
    <t>P504676</t>
  </si>
  <si>
    <t>NuFACE Trinity+ &amp; Effective Lip and Eye Attachment</t>
  </si>
  <si>
    <t>P505031</t>
  </si>
  <si>
    <t>The POREfessional Smooth Sip Lightweight Gel-Cream Moisturizer</t>
  </si>
  <si>
    <t>P479947</t>
  </si>
  <si>
    <t>Self Tanning Face &amp; Body Milky Lotion</t>
  </si>
  <si>
    <t>P482005</t>
  </si>
  <si>
    <t>Fan Club - multi-symptom menopause support</t>
  </si>
  <si>
    <t>P406656</t>
  </si>
  <si>
    <t>Repairwear Laser Focus Line Smoothing Cream Broad Spectrum SPF 15 for Combination Oily to Oily Skin</t>
  </si>
  <si>
    <t>P503877</t>
  </si>
  <si>
    <t>Superkind Refining Cleanser</t>
  </si>
  <si>
    <t>P503926</t>
  </si>
  <si>
    <t>The Face Cream Mask</t>
  </si>
  <si>
    <t>P478260</t>
  </si>
  <si>
    <t>Break from the Burnout Skin Wellness Set</t>
  </si>
  <si>
    <t>P500151</t>
  </si>
  <si>
    <t>Drop of Strength All Day Strengthening Serum</t>
  </si>
  <si>
    <t>P481993</t>
  </si>
  <si>
    <t>Abeille Royale Intense Repair Youth Oil in Balm</t>
  </si>
  <si>
    <t>P478270</t>
  </si>
  <si>
    <t>Big Break Soap Set</t>
  </si>
  <si>
    <t>P505338</t>
  </si>
  <si>
    <t>Pore Perfecting Liquid Exfoliator with 2% BHA + Borage</t>
  </si>
  <si>
    <t>P476893</t>
  </si>
  <si>
    <t>NUDESKIN Citrus-C Mask &amp; Daily Moisturizer</t>
  </si>
  <si>
    <t>P500160</t>
  </si>
  <si>
    <t>Mineral Sun Defense Moisturizer Broad Spectrum SPF 30</t>
  </si>
  <si>
    <t>P423168</t>
  </si>
  <si>
    <t>Future Solution LX Total Protective Emulsion Broad Spectrum SPF 20 Sunscreen</t>
  </si>
  <si>
    <t>P505009</t>
  </si>
  <si>
    <t>The POREfessional Tight â€™n Toned Pore-Refining AHA+PHA Toner</t>
  </si>
  <si>
    <t>P502186</t>
  </si>
  <si>
    <t>Retinol Try Me Kit</t>
  </si>
  <si>
    <t>P505171</t>
  </si>
  <si>
    <t>Acne Light Shot</t>
  </si>
  <si>
    <t>P477811</t>
  </si>
  <si>
    <t>Rare Earth Pore Minimizing Lotion</t>
  </si>
  <si>
    <t>P504988</t>
  </si>
  <si>
    <t>Snow Mushroom Pore Cleanser with Exfoliating Glove</t>
  </si>
  <si>
    <t>P435790</t>
  </si>
  <si>
    <t>Radiance Revitalizing Foam</t>
  </si>
  <si>
    <t>P501585</t>
  </si>
  <si>
    <t>Super Restorative Anti-Aging Night Moisturizer</t>
  </si>
  <si>
    <t>P480441</t>
  </si>
  <si>
    <t>Retinol + Bakuchiol Serum 2.5x</t>
  </si>
  <si>
    <t>P439098</t>
  </si>
  <si>
    <t>P500771</t>
  </si>
  <si>
    <t>Smart Clinical Repair Wrinkle Correcting Rich Cream</t>
  </si>
  <si>
    <t>P501566</t>
  </si>
  <si>
    <t>Super Restorative Anti-Aging Day Moisturizer</t>
  </si>
  <si>
    <t>P505233</t>
  </si>
  <si>
    <t>Honey Infused Lip Oil</t>
  </si>
  <si>
    <t>Gisou</t>
  </si>
  <si>
    <t>P439099</t>
  </si>
  <si>
    <t>P481137</t>
  </si>
  <si>
    <t>FIX Line Smoothing Serum</t>
  </si>
  <si>
    <t>P504443</t>
  </si>
  <si>
    <t>Plump Pout Duo</t>
  </si>
  <si>
    <t>P505316</t>
  </si>
  <si>
    <t>Aquarius BHA + Blue Tansy Clarity Cleanser</t>
  </si>
  <si>
    <t>P476737</t>
  </si>
  <si>
    <t>Bio-Barrier Eye CrÃ¨me</t>
  </si>
  <si>
    <t>P469829</t>
  </si>
  <si>
    <t>Equilibrium Biomimetic Skin Active Serum</t>
  </si>
  <si>
    <t>P432240</t>
  </si>
  <si>
    <t>Oil-Control Toner</t>
  </si>
  <si>
    <t>P505280</t>
  </si>
  <si>
    <t>Wrinkle Smoothing Starter Set</t>
  </si>
  <si>
    <t>P503998</t>
  </si>
  <si>
    <t>Algae Peptide Regenerative Moisturizer</t>
  </si>
  <si>
    <t>P469850</t>
  </si>
  <si>
    <t>Mini Equilibrium Biomimetic Skin Active Serum</t>
  </si>
  <si>
    <t>P505174</t>
  </si>
  <si>
    <t>Soft Clean Moisture Rich Foaming Cleanser</t>
  </si>
  <si>
    <t>P504614</t>
  </si>
  <si>
    <t>Brighten Up 3% TXA Dark Spot Toner with Azelaic Acid</t>
  </si>
  <si>
    <t>P505020</t>
  </si>
  <si>
    <t>The POREfessional Good Cleanup Foaming Cleanser</t>
  </si>
  <si>
    <t>P505140</t>
  </si>
  <si>
    <t>Plumping High Performance Lip Filler with Hyaluronic Acid</t>
  </si>
  <si>
    <t>MACRENE actives</t>
  </si>
  <si>
    <t>P502434</t>
  </si>
  <si>
    <t>Deep Clean Kit</t>
  </si>
  <si>
    <t>P501024</t>
  </si>
  <si>
    <t>Hydrating Active Roller with Hyaluronic Acid</t>
  </si>
  <si>
    <t>P504049</t>
  </si>
  <si>
    <t>Skin Filter Daily Brightening Phyto-Retinol + AHA Serum</t>
  </si>
  <si>
    <t>P505346</t>
  </si>
  <si>
    <t>First Care Activating Serum 25th Anniversary Limited Edition</t>
  </si>
  <si>
    <t>P505265</t>
  </si>
  <si>
    <t>Eudermine Activating Essence</t>
  </si>
  <si>
    <t>P505145</t>
  </si>
  <si>
    <t>ZenBubble Bi-Phase Toner Serum</t>
  </si>
  <si>
    <t>P502823</t>
  </si>
  <si>
    <t>Absolue The Serum</t>
  </si>
  <si>
    <t>P505270</t>
  </si>
  <si>
    <t>First Care Radiance Set</t>
  </si>
  <si>
    <t>P505158</t>
  </si>
  <si>
    <t>Max Vitamin D-Fense Sunscreen Serum Broad Spectrum SPF 50</t>
  </si>
  <si>
    <t>P472470</t>
  </si>
  <si>
    <t>Acne Remedy Balancing Foam Cleanser</t>
  </si>
  <si>
    <t>P505142</t>
  </si>
  <si>
    <t>High Performance Eye Cream for Dark Circles with Hyaluronic Acid</t>
  </si>
  <si>
    <t>P476571</t>
  </si>
  <si>
    <t>Turbo Body Lotion Energizing Gel Moisturizer with Eucalyptus &amp; Aloe</t>
  </si>
  <si>
    <t>P504674</t>
  </si>
  <si>
    <t>Even Better Brightening Moisturizer SPF 20</t>
  </si>
  <si>
    <t>P505131</t>
  </si>
  <si>
    <t>Moisturizing High Performance Face Cream with Peptides</t>
  </si>
  <si>
    <t>P505160</t>
  </si>
  <si>
    <t>The Moisturizing Soft Cream Moisturizer</t>
  </si>
  <si>
    <t>P504851</t>
  </si>
  <si>
    <t>Double Serum Light Texture Firming &amp; Smoothing Anti-Aging Concentrate</t>
  </si>
  <si>
    <t>P505335</t>
  </si>
  <si>
    <t>Hydra-Essentiel Silky Moisturizer with Double Dose Hyaluronic Acid</t>
  </si>
  <si>
    <t>P504637</t>
  </si>
  <si>
    <t>Equilibrium Resurfacing Retinoid Treatment</t>
  </si>
  <si>
    <t>P460622</t>
  </si>
  <si>
    <t>25 Years of Dr. Brandt Kit</t>
  </si>
  <si>
    <t>P505139</t>
  </si>
  <si>
    <t>Phyto Nature Oxygen Cream</t>
  </si>
  <si>
    <t>P444237</t>
  </si>
  <si>
    <t>Mini Cleansing Wipes - Coconut Water</t>
  </si>
  <si>
    <t>P463109</t>
  </si>
  <si>
    <t>Overnight Vitalizing Sleeping Mask</t>
  </si>
  <si>
    <t>P505047</t>
  </si>
  <si>
    <t>High Performance Face Serum with Vitamin C and Hyaluronic Acid</t>
  </si>
  <si>
    <t>P504011</t>
  </si>
  <si>
    <t>Super Anti-Aging Night Cream</t>
  </si>
  <si>
    <t>P480440</t>
  </si>
  <si>
    <t>Advanced Revitalizing Cleanser</t>
  </si>
  <si>
    <t>P504985</t>
  </si>
  <si>
    <t>Abeille Royale Bestsellers Travel Set</t>
  </si>
  <si>
    <t>P504706</t>
  </si>
  <si>
    <t>NuFACE Effective Lip &amp; Eye Attachment</t>
  </si>
  <si>
    <t>P505133</t>
  </si>
  <si>
    <t>High Performance Face Cleanser for Clear Skin with Niacinamide</t>
  </si>
  <si>
    <t>P503906</t>
  </si>
  <si>
    <t>DRx SpectraLite LED EyeCare Max Pro</t>
  </si>
  <si>
    <t>P504322</t>
  </si>
  <si>
    <t>Gentle Hydra-Gel Face Cleanser</t>
  </si>
  <si>
    <t>P505711</t>
  </si>
  <si>
    <t>Polyglutamic Acid Dewy Sunscreen SPF 30</t>
  </si>
  <si>
    <t>P505380</t>
  </si>
  <si>
    <t>Patch &amp; Protect Summer Essentials 2-Piece Kit</t>
  </si>
  <si>
    <t>P505383</t>
  </si>
  <si>
    <t>Full-Size FIRMx Face &amp; Eye Firmers 2-Piece Kit</t>
  </si>
  <si>
    <t>P505339</t>
  </si>
  <si>
    <t>Ultra Pure High-Potency 5.0% Niacinamide Serum</t>
  </si>
  <si>
    <t>P505358</t>
  </si>
  <si>
    <t>Concentrated Ginseng Renewing Cream Set</t>
  </si>
  <si>
    <t>P504438</t>
  </si>
  <si>
    <t>Retinal Rescuplt Overnight Treatment</t>
  </si>
  <si>
    <t>P504032</t>
  </si>
  <si>
    <t>Glow Strong Mini Moisturizer + Eye Cream Duo</t>
  </si>
  <si>
    <t>P505376</t>
  </si>
  <si>
    <t>Ultra Pure High-Potency 9.8% Glycolic Acid Serum</t>
  </si>
  <si>
    <t>P505209</t>
  </si>
  <si>
    <t>Barrier Culture Moisturizer with Niacinamide &amp; Squalane</t>
  </si>
  <si>
    <t>P505378</t>
  </si>
  <si>
    <t>Multi Action Clear Acne Control 30-Day Trial Kit</t>
  </si>
  <si>
    <t>P505210</t>
  </si>
  <si>
    <t>Barrier Culture Cleanser Pre-, Pro- &amp; Postbiotic Face Wash</t>
  </si>
  <si>
    <t>P505493</t>
  </si>
  <si>
    <t>Mini Kombucha Antioxidant Facial Treatment Essence</t>
  </si>
  <si>
    <t>P505614</t>
  </si>
  <si>
    <t>Ultra Facial Cream Refill Bundle</t>
  </si>
  <si>
    <t>P505452</t>
  </si>
  <si>
    <t>Clarifique Pro-Solution Brightening &amp; Dark Spot Reducing Serum</t>
  </si>
  <si>
    <t>P505381</t>
  </si>
  <si>
    <t>Multi Action Clear Gentle Daily Brightening &amp; Retexturizing Toner for Acne and Breakouts</t>
  </si>
  <si>
    <t>P505379</t>
  </si>
  <si>
    <t>Multi Action Clear Gentle Daily Clarifying Cleanser for Acne and Breakouts</t>
  </si>
  <si>
    <t>P505509</t>
  </si>
  <si>
    <t>Kombucha Antioxidant Facial Treatment Essence</t>
  </si>
  <si>
    <t>P504635</t>
  </si>
  <si>
    <t>Ultra Pure Hyaluronic Acid 1.5% Serum</t>
  </si>
  <si>
    <t>P505343</t>
  </si>
  <si>
    <t>Retinol Youth Renewal Value Duo</t>
  </si>
  <si>
    <t>P505499</t>
  </si>
  <si>
    <t>Deep Pore Cleansing Kit</t>
  </si>
  <si>
    <t>P505392</t>
  </si>
  <si>
    <t>Multi Action Clear Acne Clearing Treatment Lotion for Breakouts</t>
  </si>
  <si>
    <t>P504324</t>
  </si>
  <si>
    <t>Ultimune Eye Power Infusing Eye Concentrate</t>
  </si>
  <si>
    <t>P505409</t>
  </si>
  <si>
    <t>24-7 Ultra Hydration Triple-Hydra Complex Day &amp; Night Serum with Hyaluronic Acid, Squalane &amp; Collagen</t>
  </si>
  <si>
    <t>P505408</t>
  </si>
  <si>
    <t>GOOPGLOW Vita-C Brightening Eye Cream</t>
  </si>
  <si>
    <t>P505615</t>
  </si>
  <si>
    <t>Ultra Facial Cleanser Home &amp; Away Bundle</t>
  </si>
  <si>
    <t>P505172</t>
  </si>
  <si>
    <t>Acne Light Shot Strips</t>
  </si>
  <si>
    <t>P504698</t>
  </si>
  <si>
    <t>Bio Hyaluronic Moisturizer Cream</t>
  </si>
  <si>
    <t>P505385</t>
  </si>
  <si>
    <t>Anti-Aging Skincare Essentials Set</t>
  </si>
  <si>
    <t>P427731</t>
  </si>
  <si>
    <t>Capture Youth Glow Booster Age-Delay Illuminating Serum</t>
  </si>
  <si>
    <t>P440922</t>
  </si>
  <si>
    <t>Capture Youth Intense Rescue Age-Delay Revitalizing Oil-Serum</t>
  </si>
  <si>
    <t>P427732</t>
  </si>
  <si>
    <t>Capture Youth Plump Filler Age-Delay Plumping Serum</t>
  </si>
  <si>
    <t>P457012</t>
  </si>
  <si>
    <t>Cryo Rubber Mask with Brightening Vitamin C</t>
  </si>
  <si>
    <t>P457011</t>
  </si>
  <si>
    <t>Cryo Rubber Mask with Firming Collagen</t>
  </si>
  <si>
    <t>P457009</t>
  </si>
  <si>
    <t>Cryo Rubber Mask with Moisturizing Hyaluronic Acid</t>
  </si>
  <si>
    <t>P457010</t>
  </si>
  <si>
    <t>Cryo Rubber Mask with Soothing Allantoin</t>
  </si>
  <si>
    <t>P503345</t>
  </si>
  <si>
    <t>P442853</t>
  </si>
  <si>
    <t>Focuspot Blemish Micro Tip Patch</t>
  </si>
  <si>
    <t>P442854</t>
  </si>
  <si>
    <t>Focuspot Dark Spot Micro Tip Patch</t>
  </si>
  <si>
    <t>P446820</t>
  </si>
  <si>
    <t>Grapefruit Peeling Mask - Skin Perfection</t>
  </si>
  <si>
    <t>P450271</t>
  </si>
  <si>
    <t>Green Clean Makeup Meltaway Cleansing Balm Limited Edition Jumbo</t>
  </si>
  <si>
    <t>P446822</t>
  </si>
  <si>
    <t>Hemp Mousse Mask - Anti-Blemish</t>
  </si>
  <si>
    <t>P429538</t>
  </si>
  <si>
    <t>Lotus Youth Preseve Rescue Mask Mini</t>
  </si>
  <si>
    <t>Shop by Concern</t>
  </si>
  <si>
    <t>P477160</t>
  </si>
  <si>
    <t>Mini Age Adapting CBD Serum</t>
  </si>
  <si>
    <t>P432255</t>
  </si>
  <si>
    <t>Mini Black Tea Firming Overnight Mask</t>
  </si>
  <si>
    <t>P454800</t>
  </si>
  <si>
    <t>Mini Glow2OH Dark Spot Toner</t>
  </si>
  <si>
    <t>P477785</t>
  </si>
  <si>
    <t>Mini Luxury Beauty Serum Calming Treatment</t>
  </si>
  <si>
    <t>P455915</t>
  </si>
  <si>
    <t>Mini MultiVitamin Power Recovery Mask</t>
  </si>
  <si>
    <t>P435387</t>
  </si>
  <si>
    <t>Mini Rose Floral Toner</t>
  </si>
  <si>
    <t>P454795</t>
  </si>
  <si>
    <t>Mini The Dewy Skin Cream</t>
  </si>
  <si>
    <t>P481168</t>
  </si>
  <si>
    <t>Mini The Dewy Skin Cream Plumping &amp; Hydrating Moisturizer</t>
  </si>
  <si>
    <t>P504286</t>
  </si>
  <si>
    <t>Nudestix Lemon-Aid Detox &amp; Glow Micro-Peel</t>
  </si>
  <si>
    <t>P503716</t>
  </si>
  <si>
    <t>P468407</t>
  </si>
  <si>
    <t>Vital Perfection Uplifting and Firming Day Cream SPF 30</t>
  </si>
  <si>
    <t>Product Id</t>
  </si>
  <si>
    <t>Product Name</t>
  </si>
  <si>
    <t>Brand Id</t>
  </si>
  <si>
    <t>Brand Name</t>
  </si>
  <si>
    <t>Loves Count</t>
  </si>
  <si>
    <t>Rating</t>
  </si>
  <si>
    <t>Has Rating</t>
  </si>
  <si>
    <t>Rating Band</t>
  </si>
  <si>
    <t>Reviews</t>
  </si>
  <si>
    <t>Price USD</t>
  </si>
  <si>
    <t>New</t>
  </si>
  <si>
    <t>Out of Stock</t>
  </si>
  <si>
    <t>Row Labels</t>
  </si>
  <si>
    <t>Grand Total</t>
  </si>
  <si>
    <t>Engagement Range</t>
  </si>
  <si>
    <t>High</t>
  </si>
  <si>
    <t>Low</t>
  </si>
  <si>
    <t>Medium</t>
  </si>
  <si>
    <t>Very Low</t>
  </si>
  <si>
    <t>Viral</t>
  </si>
  <si>
    <t>0–1K</t>
  </si>
  <si>
    <t>10K–50K</t>
  </si>
  <si>
    <t>1K–5K</t>
  </si>
  <si>
    <t>1L–5L</t>
  </si>
  <si>
    <t>50K–1L</t>
  </si>
  <si>
    <t>5K–10K</t>
  </si>
  <si>
    <t>5L+</t>
  </si>
  <si>
    <t>Count of Enganement Range</t>
  </si>
  <si>
    <t>Engagement Tier</t>
  </si>
  <si>
    <t>Price Tier</t>
  </si>
  <si>
    <t>Extremely Viral</t>
  </si>
  <si>
    <t>Very High</t>
  </si>
  <si>
    <t>Not Rated</t>
  </si>
  <si>
    <t>Count of Product Id</t>
  </si>
  <si>
    <t>Yes</t>
  </si>
  <si>
    <t>Budget</t>
  </si>
  <si>
    <t>Premium</t>
  </si>
  <si>
    <t>Mid-range</t>
  </si>
  <si>
    <t>Details for Count of Product Id - Engagement Tier: High, Rating Band: Low</t>
  </si>
  <si>
    <t>Details for Count of Product Id - Engagement Tier: Very Low, Rating Band: High</t>
  </si>
  <si>
    <t>Details for Count of Product Id - Engagement Tier: Low, Rating Band: High</t>
  </si>
  <si>
    <t>Details for Count of Product Id - Engagement Tier: High, Rating Band: High</t>
  </si>
  <si>
    <t>Details for Count of Product Id - Engagement Tier: Low, Rating Band: Low</t>
  </si>
  <si>
    <t>Details for Count of Product Id - Engagement Tier: Very Low, Rating Band: Low</t>
  </si>
  <si>
    <t>high-engagement products and also highly rated, indicating strong alignment between customer interest and satisfaction.</t>
  </si>
  <si>
    <t>high-engagement but low-rated products indicates expectation mismatch and potential formulation or usability issues.</t>
  </si>
  <si>
    <t>Several low-visibility products receive strong ratings and high review counts, suggesting loyal usage despite limited discovery.</t>
  </si>
  <si>
    <t>Problem Products (High Engagement, Low Rating)</t>
  </si>
  <si>
    <t>Hidden Gems Spotlight (Low engagement, High rating)</t>
  </si>
  <si>
    <t>(= New Columns Created for analysis)</t>
  </si>
  <si>
    <t>(= Existing Columns )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</si>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</sst>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7D8C"/>
        <bgColor indexed="64"/>
      </patternFill>
    </fill>
    <fill>
      <patternFill patternType="solid">
        <fgColor rgb="FF74CA68"/>
        <bgColor indexed="64"/>
      </patternFill>
    </fill>
    <fill>
      <patternFill patternType="solid">
        <fgColor rgb="FFA1DB99"/>
        <bgColor indexed="64"/>
      </patternFill>
    </fill>
    <fill>
      <patternFill patternType="solid">
        <fgColor rgb="FFC3E8BE"/>
        <bgColor indexed="64"/>
      </patternFill>
    </fill>
    <fill>
      <patternFill patternType="solid">
        <fgColor rgb="FFFFC1C8"/>
        <bgColor indexed="64"/>
      </patternFill>
    </fill>
    <fill>
      <patternFill patternType="solid">
        <fgColor rgb="FF74CA68"/>
      </patternFill>
    </fill>
    <fill>
      <patternFill patternType="solid">
        <fgColor rgb="FFA1DB99"/>
      </patternFill>
    </fill>
    <fill>
      <patternFill patternType="solid">
        <fgColor rgb="FFC3E8BE"/>
      </patternFill>
    </fill>
    <fill>
      <patternFill patternType="solid">
        <fgColor rgb="FFFF7D8C"/>
      </patternFill>
    </fill>
    <fill>
      <patternFill patternType="solid">
        <fgColor rgb="FFFFC1C8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5" borderId="0" applyNumberFormat="0" applyBorder="0" applyAlignment="0" applyProtection="0"/>
  </cellStyleXfs>
  <cellXfs count="60">
    <xf numFmtId="0" fontId="0" fillId="0" borderId="0" xfId="0"/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3" fillId="3" borderId="0" xfId="2"/>
    <xf numFmtId="10" fontId="0" fillId="0" borderId="0" xfId="0" applyNumberFormat="1"/>
    <xf numFmtId="0" fontId="2" fillId="0" borderId="0" xfId="0" applyFont="1"/>
    <xf numFmtId="10" fontId="4" fillId="5" borderId="0" xfId="0" applyNumberFormat="1" applyFont="1" applyFill="1"/>
    <xf numFmtId="10" fontId="5" fillId="6" borderId="0" xfId="0" applyNumberFormat="1" applyFont="1" applyFill="1"/>
    <xf numFmtId="0" fontId="1" fillId="10" borderId="0" xfId="0" applyFont="1" applyFill="1" applyAlignment="1">
      <alignment horizontal="left"/>
    </xf>
    <xf numFmtId="10" fontId="1" fillId="9" borderId="0" xfId="0" applyNumberFormat="1" applyFont="1" applyFill="1"/>
    <xf numFmtId="0" fontId="4" fillId="5" borderId="0" xfId="3"/>
    <xf numFmtId="10" fontId="0" fillId="0" borderId="2" xfId="0" applyNumberFormat="1" applyBorder="1"/>
    <xf numFmtId="0" fontId="6" fillId="0" borderId="2" xfId="0" pivotButton="1" applyFont="1" applyBorder="1"/>
    <xf numFmtId="0" fontId="6" fillId="0" borderId="2" xfId="0" applyFont="1" applyBorder="1"/>
    <xf numFmtId="0" fontId="6" fillId="12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6" fillId="11" borderId="2" xfId="0" applyFont="1" applyFill="1" applyBorder="1"/>
    <xf numFmtId="0" fontId="6" fillId="0" borderId="2" xfId="0" applyFont="1" applyBorder="1" applyAlignment="1">
      <alignment horizontal="left"/>
    </xf>
    <xf numFmtId="10" fontId="6" fillId="12" borderId="2" xfId="0" applyNumberFormat="1" applyFont="1" applyFill="1" applyBorder="1"/>
    <xf numFmtId="10" fontId="6" fillId="7" borderId="2" xfId="0" applyNumberFormat="1" applyFont="1" applyFill="1" applyBorder="1"/>
    <xf numFmtId="10" fontId="6" fillId="8" borderId="2" xfId="0" applyNumberFormat="1" applyFont="1" applyFill="1" applyBorder="1"/>
    <xf numFmtId="10" fontId="6" fillId="11" borderId="2" xfId="0" applyNumberFormat="1" applyFont="1" applyFill="1" applyBorder="1"/>
    <xf numFmtId="10" fontId="6" fillId="0" borderId="2" xfId="0" applyNumberFormat="1" applyFont="1" applyBorder="1"/>
    <xf numFmtId="0" fontId="6" fillId="13" borderId="2" xfId="0" applyFont="1" applyFill="1" applyBorder="1"/>
    <xf numFmtId="10" fontId="6" fillId="13" borderId="2" xfId="0" applyNumberFormat="1" applyFont="1" applyFill="1" applyBorder="1"/>
    <xf numFmtId="0" fontId="6" fillId="14" borderId="2" xfId="0" applyFont="1" applyFill="1" applyBorder="1"/>
    <xf numFmtId="10" fontId="6" fillId="14" borderId="2" xfId="0" applyNumberFormat="1" applyFont="1" applyFill="1" applyBorder="1"/>
    <xf numFmtId="0" fontId="6" fillId="15" borderId="2" xfId="0" applyFont="1" applyFill="1" applyBorder="1"/>
    <xf numFmtId="10" fontId="6" fillId="15" borderId="2" xfId="0" applyNumberFormat="1" applyFont="1" applyFill="1" applyBorder="1"/>
    <xf numFmtId="0" fontId="0" fillId="12" borderId="2" xfId="0" applyFill="1" applyBorder="1"/>
    <xf numFmtId="0" fontId="0" fillId="13" borderId="2" xfId="0" applyFill="1" applyBorder="1"/>
    <xf numFmtId="0" fontId="0" fillId="11" borderId="2" xfId="0" applyFill="1" applyBorder="1"/>
    <xf numFmtId="0" fontId="0" fillId="15" borderId="2" xfId="0" applyFill="1" applyBorder="1"/>
    <xf numFmtId="10" fontId="0" fillId="12" borderId="2" xfId="0" applyNumberFormat="1" applyFill="1" applyBorder="1"/>
    <xf numFmtId="10" fontId="0" fillId="13" borderId="2" xfId="0" applyNumberFormat="1" applyFill="1" applyBorder="1"/>
    <xf numFmtId="10" fontId="0" fillId="8" borderId="2" xfId="0" applyNumberFormat="1" applyFill="1" applyBorder="1"/>
    <xf numFmtId="0" fontId="0" fillId="8" borderId="2" xfId="0" applyFill="1" applyBorder="1"/>
    <xf numFmtId="10" fontId="0" fillId="11" borderId="2" xfId="0" applyNumberFormat="1" applyFill="1" applyBorder="1"/>
    <xf numFmtId="10" fontId="0" fillId="15" borderId="2" xfId="0" applyNumberFormat="1" applyFill="1" applyBorder="1"/>
    <xf numFmtId="0" fontId="6" fillId="16" borderId="2" xfId="0" applyFont="1" applyFill="1" applyBorder="1"/>
    <xf numFmtId="0" fontId="6" fillId="17" borderId="2" xfId="0" applyFont="1" applyFill="1" applyBorder="1"/>
    <xf numFmtId="0" fontId="6" fillId="18" borderId="2" xfId="0" applyFont="1" applyFill="1" applyBorder="1"/>
    <xf numFmtId="0" fontId="6" fillId="19" borderId="2" xfId="0" applyFont="1" applyFill="1" applyBorder="1"/>
    <xf numFmtId="0" fontId="6" fillId="20" borderId="2" xfId="0" applyFont="1" applyFill="1" applyBorder="1"/>
    <xf numFmtId="0" fontId="7" fillId="21" borderId="4" xfId="0" applyFont="1" applyFill="1" applyBorder="1"/>
    <xf numFmtId="0" fontId="7" fillId="21" borderId="5" xfId="0" applyFont="1" applyFill="1" applyBorder="1"/>
    <xf numFmtId="0" fontId="7" fillId="21" borderId="6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2" fillId="2" borderId="0" xfId="1" applyFont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/>
    <xf numFmtId="0" fontId="2" fillId="2" borderId="0" xfId="1" applyFont="1" applyAlignment="1">
      <alignment horizontal="left"/>
    </xf>
  </cellXfs>
  <cellStyles count="4">
    <cellStyle name="60% - Accent5" xfId="1" builtinId="48"/>
    <cellStyle name="Accent6" xfId="2" builtinId="49"/>
    <cellStyle name="Good" xfId="3" builtinId="26"/>
    <cellStyle name="Normal" xfId="0" builtinId="0"/>
  </cellStyles>
  <dxfs count="15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ont>
        <color auto="1"/>
      </font>
    </dxf>
    <dxf>
      <font>
        <color auto="1"/>
      </font>
    </dxf>
    <dxf>
      <fill>
        <patternFill>
          <bgColor rgb="FFFF7D8C"/>
        </patternFill>
      </fill>
    </dxf>
    <dxf>
      <fill>
        <patternFill>
          <bgColor rgb="FFFF7D8C"/>
        </patternFill>
      </fill>
    </dxf>
    <dxf>
      <fill>
        <patternFill>
          <bgColor rgb="FFFFC1C8"/>
        </patternFill>
      </fill>
    </dxf>
    <dxf>
      <fill>
        <patternFill>
          <bgColor rgb="FFFFC1C8"/>
        </patternFill>
      </fill>
    </dxf>
    <dxf>
      <fill>
        <patternFill patternType="solid">
          <bgColor rgb="FFFFC1C8"/>
        </patternFill>
      </fill>
    </dxf>
    <dxf>
      <fill>
        <patternFill patternType="solid">
          <bgColor rgb="FFFFC1C8"/>
        </patternFill>
      </fill>
    </dxf>
    <dxf>
      <fill>
        <patternFill patternType="solid">
          <bgColor rgb="FFFF7D8C"/>
        </patternFill>
      </fill>
    </dxf>
    <dxf>
      <fill>
        <patternFill patternType="solid">
          <bgColor rgb="FFFF7D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74CA68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7D8C"/>
        </patternFill>
      </fill>
    </dxf>
    <dxf>
      <fill>
        <patternFill>
          <bgColor rgb="FFFF7D8C"/>
        </patternFill>
      </fill>
    </dxf>
    <dxf>
      <fill>
        <patternFill>
          <bgColor rgb="FFFFC1C8"/>
        </patternFill>
      </fill>
    </dxf>
    <dxf>
      <fill>
        <patternFill>
          <bgColor rgb="FFFFC1C8"/>
        </patternFill>
      </fill>
    </dxf>
    <dxf>
      <fill>
        <patternFill patternType="solid">
          <bgColor rgb="FFFFC1C8"/>
        </patternFill>
      </fill>
    </dxf>
    <dxf>
      <fill>
        <patternFill patternType="solid">
          <bgColor rgb="FFFFC1C8"/>
        </patternFill>
      </fill>
    </dxf>
    <dxf>
      <fill>
        <patternFill patternType="solid">
          <bgColor rgb="FFFF7D8C"/>
        </patternFill>
      </fill>
    </dxf>
    <dxf>
      <fill>
        <patternFill patternType="solid">
          <bgColor rgb="FFFF7D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A1DB99"/>
        </patternFill>
      </fill>
    </dxf>
    <dxf>
      <fill>
        <patternFill patternType="solid">
          <bgColor rgb="FF74CA68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C1C8"/>
        </patternFill>
      </fill>
    </dxf>
    <dxf>
      <fill>
        <patternFill>
          <bgColor rgb="FFFFC1C8"/>
        </patternFill>
      </fill>
    </dxf>
    <dxf>
      <fill>
        <patternFill>
          <bgColor rgb="FFFF7D8C"/>
        </patternFill>
      </fill>
    </dxf>
    <dxf>
      <fill>
        <patternFill>
          <bgColor rgb="FFFF7D8C"/>
        </patternFill>
      </fill>
    </dxf>
    <dxf>
      <fill>
        <patternFill>
          <bgColor rgb="FFC3E8BE"/>
        </patternFill>
      </fill>
    </dxf>
    <dxf>
      <fill>
        <patternFill>
          <bgColor rgb="FFC3E8BE"/>
        </patternFill>
      </fill>
    </dxf>
    <dxf>
      <fill>
        <patternFill>
          <bgColor rgb="FFA1DB99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74CA68"/>
        </patternFill>
      </fill>
    </dxf>
    <dxf>
      <fill>
        <patternFill>
          <bgColor rgb="FF74CA6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numFmt numFmtId="0" formatCode="General"/>
    </dxf>
    <dxf>
      <fill>
        <patternFill>
          <bgColor rgb="FFFFC1C8"/>
        </patternFill>
      </fill>
    </dxf>
    <dxf>
      <fill>
        <patternFill>
          <bgColor rgb="FFFFC1C8"/>
        </patternFill>
      </fill>
    </dxf>
    <dxf>
      <fill>
        <patternFill>
          <bgColor rgb="FFFF7D8C"/>
        </patternFill>
      </fill>
    </dxf>
    <dxf>
      <fill>
        <patternFill>
          <bgColor rgb="FFFF7D8C"/>
        </patternFill>
      </fill>
    </dxf>
    <dxf>
      <fill>
        <patternFill>
          <bgColor rgb="FFC3E8BE"/>
        </patternFill>
      </fill>
    </dxf>
    <dxf>
      <fill>
        <patternFill>
          <bgColor rgb="FFC3E8BE"/>
        </patternFill>
      </fill>
    </dxf>
    <dxf>
      <fill>
        <patternFill>
          <bgColor rgb="FFA1DB99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74CA68"/>
        </patternFill>
      </fill>
    </dxf>
    <dxf>
      <fill>
        <patternFill>
          <bgColor rgb="FF74CA6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E8E8E"/>
      <color rgb="FFB6B6B6"/>
      <color rgb="FFD9D9D9"/>
      <color rgb="FF69A4D9"/>
      <color rgb="FF2F78BB"/>
      <color rgb="FF1F4E79"/>
      <color rgb="FF1E4B74"/>
      <color rgb="FF0F2A44"/>
      <color rgb="FFC9C9C9"/>
      <color rgb="FFC2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[Sephora Skincare Products Data Analysis Project MS EXCEL.xlsx]4 Dashboard!PivotTable10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Product Distribution by Engagement Tier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2A44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4B74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  <c:pivotFmt>
        <c:idx val="2"/>
        <c:spPr>
          <a:solidFill>
            <a:srgbClr val="69A4D9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  <c:pivotFmt>
        <c:idx val="3"/>
        <c:spPr>
          <a:solidFill>
            <a:srgbClr val="2F78BB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  <c:pivotFmt>
        <c:idx val="4"/>
        <c:spPr>
          <a:solidFill>
            <a:srgbClr val="D9D9D9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  <c:pivotFmt>
        <c:idx val="5"/>
        <c:spPr>
          <a:solidFill>
            <a:srgbClr val="B6B6B6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  <c:pivotFmt>
        <c:idx val="6"/>
        <c:spPr>
          <a:solidFill>
            <a:srgbClr val="8E8E8E"/>
          </a:solidFill>
          <a:ln>
            <a:noFill/>
          </a:ln>
          <a:effectLst>
            <a:outerShdw blurRad="57150" dist="12700" dir="5400000" algn="ctr" rotWithShape="0">
              <a:srgbClr val="000000">
                <a:alpha val="64000"/>
              </a:srgbClr>
            </a:outerShdw>
          </a:effectLst>
          <a:scene3d>
            <a:camera prst="orthographicFront"/>
            <a:lightRig rig="threePt" dir="t"/>
          </a:scene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2A44"/>
            </a:solidFill>
            <a:ln>
              <a:noFill/>
            </a:ln>
            <a:effectLst>
              <a:outerShdw blurRad="57150" dist="12700" dir="5400000" algn="ctr" rotWithShape="0">
                <a:srgbClr val="000000">
                  <a:alpha val="64000"/>
                </a:srgbClr>
              </a:outerShdw>
            </a:effectLst>
            <a:scene3d>
              <a:camera prst="orthographicFront"/>
              <a:lightRig rig="threePt" dir="t"/>
            </a:scene3d>
          </c:spPr>
          <c:invertIfNegative val="0"/>
          <c:dPt>
            <c:idx val="1"/>
            <c:invertIfNegative val="0"/>
            <c:bubble3D val="0"/>
            <c:spPr>
              <a:solidFill>
                <a:srgbClr val="1E4B74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0-CE4B-4E3A-8939-6676FBBFE42D}"/>
              </c:ext>
            </c:extLst>
          </c:dPt>
          <c:dPt>
            <c:idx val="2"/>
            <c:invertIfNegative val="0"/>
            <c:bubble3D val="0"/>
            <c:spPr>
              <a:solidFill>
                <a:srgbClr val="2F78BB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2-CE4B-4E3A-8939-6676FBBFE42D}"/>
              </c:ext>
            </c:extLst>
          </c:dPt>
          <c:dPt>
            <c:idx val="3"/>
            <c:invertIfNegative val="0"/>
            <c:bubble3D val="0"/>
            <c:spPr>
              <a:solidFill>
                <a:srgbClr val="69A4D9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CE4B-4E3A-8939-6676FBBFE42D}"/>
              </c:ext>
            </c:extLst>
          </c:dPt>
          <c:dPt>
            <c:idx val="4"/>
            <c:invertIfNegative val="0"/>
            <c:bubble3D val="0"/>
            <c:spPr>
              <a:solidFill>
                <a:srgbClr val="D9D9D9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CE4B-4E3A-8939-6676FBBFE42D}"/>
              </c:ext>
            </c:extLst>
          </c:dPt>
          <c:dPt>
            <c:idx val="5"/>
            <c:invertIfNegative val="0"/>
            <c:bubble3D val="0"/>
            <c:spPr>
              <a:solidFill>
                <a:srgbClr val="B6B6B6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4-CE4B-4E3A-8939-6676FBBFE42D}"/>
              </c:ext>
            </c:extLst>
          </c:dPt>
          <c:dPt>
            <c:idx val="6"/>
            <c:invertIfNegative val="0"/>
            <c:bubble3D val="0"/>
            <c:spPr>
              <a:solidFill>
                <a:srgbClr val="8E8E8E"/>
              </a:solidFill>
              <a:ln>
                <a:noFill/>
              </a:ln>
              <a:effectLst>
                <a:outerShdw blurRad="57150" dist="12700" dir="5400000" algn="ctr" rotWithShape="0">
                  <a:srgbClr val="000000">
                    <a:alpha val="64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CE4B-4E3A-8939-6676FBBFE4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Dashboard'!$A$4:$A$11</c:f>
              <c:strCache>
                <c:ptCount val="7"/>
                <c:pt idx="0">
                  <c:v>Extremely Viral</c:v>
                </c:pt>
                <c:pt idx="1">
                  <c:v>Viral</c:v>
                </c:pt>
                <c:pt idx="2">
                  <c:v>Very High</c:v>
                </c:pt>
                <c:pt idx="3">
                  <c:v>High</c:v>
                </c:pt>
                <c:pt idx="4">
                  <c:v>Medium</c:v>
                </c:pt>
                <c:pt idx="5">
                  <c:v>Low</c:v>
                </c:pt>
                <c:pt idx="6">
                  <c:v>Very Low</c:v>
                </c:pt>
              </c:strCache>
            </c:strRef>
          </c:cat>
          <c:val>
            <c:numRef>
              <c:f>'4 Dashboard'!$B$4:$B$11</c:f>
              <c:numCache>
                <c:formatCode>General</c:formatCode>
                <c:ptCount val="7"/>
                <c:pt idx="0">
                  <c:v>5</c:v>
                </c:pt>
                <c:pt idx="1">
                  <c:v>125</c:v>
                </c:pt>
                <c:pt idx="2">
                  <c:v>189</c:v>
                </c:pt>
                <c:pt idx="3">
                  <c:v>897</c:v>
                </c:pt>
                <c:pt idx="4">
                  <c:v>489</c:v>
                </c:pt>
                <c:pt idx="5">
                  <c:v>556</c:v>
                </c:pt>
                <c:pt idx="6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41AE-92EB-F9ECDA5C0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0"/>
        <c:axId val="1965972896"/>
        <c:axId val="1965977216"/>
      </c:barChart>
      <c:catAx>
        <c:axId val="1965972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Engagement Tier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5977216"/>
        <c:crosses val="autoZero"/>
        <c:auto val="1"/>
        <c:lblAlgn val="ctr"/>
        <c:lblOffset val="100"/>
        <c:noMultiLvlLbl val="0"/>
      </c:catAx>
      <c:valAx>
        <c:axId val="19659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r>
                  <a:rPr lang="en-IN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Procducts</a:t>
                </a:r>
                <a:endParaRPr lang="en-IN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7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[Sephora Skincare Products Data Analysis Project MS EXCEL.xlsx]4 Dashboard!PivotTable2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Performance Across Price Tiers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F2A44"/>
          </a:solidFill>
          <a:ln>
            <a:solidFill>
              <a:srgbClr val="0F2A4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4B74"/>
          </a:solidFill>
          <a:ln>
            <a:solidFill>
              <a:srgbClr val="1F4E7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F78BB"/>
          </a:solidFill>
          <a:ln>
            <a:solidFill>
              <a:srgbClr val="2F78BB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9A4D9"/>
          </a:solidFill>
          <a:ln>
            <a:solidFill>
              <a:srgbClr val="69A4D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9D9D9"/>
          </a:solidFill>
          <a:ln>
            <a:solidFill>
              <a:srgbClr val="D9D9D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B6B6"/>
          </a:solidFill>
          <a:ln>
            <a:solidFill>
              <a:srgbClr val="B6B6B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E8E8E"/>
          </a:solidFill>
          <a:ln>
            <a:solidFill>
              <a:srgbClr val="8E8E8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E8E8E"/>
          </a:solidFill>
          <a:ln>
            <a:solidFill>
              <a:srgbClr val="8E8E8E"/>
            </a:solidFill>
          </a:ln>
          <a:effectLst/>
        </c:spPr>
      </c:pivotFmt>
      <c:pivotFmt>
        <c:idx val="8"/>
        <c:spPr>
          <a:solidFill>
            <a:srgbClr val="1E4B74"/>
          </a:solidFill>
          <a:ln>
            <a:solidFill>
              <a:srgbClr val="1F4E79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Dashboard'!$B$39:$B$40</c:f>
              <c:strCache>
                <c:ptCount val="1"/>
                <c:pt idx="0">
                  <c:v>Extremely Viral</c:v>
                </c:pt>
              </c:strCache>
            </c:strRef>
          </c:tx>
          <c:spPr>
            <a:solidFill>
              <a:srgbClr val="0F2A44"/>
            </a:solidFill>
            <a:ln>
              <a:solidFill>
                <a:srgbClr val="0F2A4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Dashboard'!$B$41:$B$44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F-4FC9-A1D3-B9ED56FF2752}"/>
            </c:ext>
          </c:extLst>
        </c:ser>
        <c:ser>
          <c:idx val="1"/>
          <c:order val="1"/>
          <c:tx>
            <c:strRef>
              <c:f>'4 Dashboard'!$C$39:$C$40</c:f>
              <c:strCache>
                <c:ptCount val="1"/>
                <c:pt idx="0">
                  <c:v>Viral</c:v>
                </c:pt>
              </c:strCache>
            </c:strRef>
          </c:tx>
          <c:spPr>
            <a:solidFill>
              <a:srgbClr val="1E4B74"/>
            </a:solidFill>
            <a:ln>
              <a:solidFill>
                <a:srgbClr val="1F4E7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Dashboard'!$C$41:$C$44</c:f>
              <c:numCache>
                <c:formatCode>General</c:formatCode>
                <c:ptCount val="3"/>
                <c:pt idx="0">
                  <c:v>36</c:v>
                </c:pt>
                <c:pt idx="1">
                  <c:v>53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F-4FC9-A1D3-B9ED56FF2752}"/>
            </c:ext>
          </c:extLst>
        </c:ser>
        <c:ser>
          <c:idx val="2"/>
          <c:order val="2"/>
          <c:tx>
            <c:strRef>
              <c:f>'4 Dashboard'!$D$39:$D$40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rgbClr val="2F78BB"/>
            </a:solidFill>
            <a:ln>
              <a:solidFill>
                <a:srgbClr val="2F78B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Dashboard'!$D$41:$D$44</c:f>
              <c:numCache>
                <c:formatCode>General</c:formatCode>
                <c:ptCount val="3"/>
                <c:pt idx="0">
                  <c:v>40</c:v>
                </c:pt>
                <c:pt idx="1">
                  <c:v>93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F-4FC9-A1D3-B9ED56FF2752}"/>
            </c:ext>
          </c:extLst>
        </c:ser>
        <c:ser>
          <c:idx val="3"/>
          <c:order val="3"/>
          <c:tx>
            <c:strRef>
              <c:f>'4 Dashboard'!$E$39:$E$40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69A4D9"/>
            </a:solidFill>
            <a:ln>
              <a:solidFill>
                <a:srgbClr val="69A4D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Dashboard'!$E$41:$E$44</c:f>
              <c:numCache>
                <c:formatCode>General</c:formatCode>
                <c:ptCount val="3"/>
                <c:pt idx="0">
                  <c:v>144</c:v>
                </c:pt>
                <c:pt idx="1">
                  <c:v>456</c:v>
                </c:pt>
                <c:pt idx="2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F-4FC9-A1D3-B9ED56FF2752}"/>
            </c:ext>
          </c:extLst>
        </c:ser>
        <c:ser>
          <c:idx val="4"/>
          <c:order val="4"/>
          <c:tx>
            <c:strRef>
              <c:f>'4 Dashboard'!$F$39:$F$40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D9D9D9"/>
            </a:solidFill>
            <a:ln>
              <a:solidFill>
                <a:srgbClr val="D9D9D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Dashboard'!$F$41:$F$44</c:f>
              <c:numCache>
                <c:formatCode>General</c:formatCode>
                <c:ptCount val="3"/>
                <c:pt idx="0">
                  <c:v>58</c:v>
                </c:pt>
                <c:pt idx="1">
                  <c:v>218</c:v>
                </c:pt>
                <c:pt idx="2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F-4FC9-A1D3-B9ED56FF2752}"/>
            </c:ext>
          </c:extLst>
        </c:ser>
        <c:ser>
          <c:idx val="5"/>
          <c:order val="5"/>
          <c:tx>
            <c:strRef>
              <c:f>'4 Dashboard'!$G$39:$G$40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B6B6B6"/>
            </a:solidFill>
            <a:ln>
              <a:solidFill>
                <a:srgbClr val="B6B6B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Dashboard'!$G$41:$G$44</c:f>
              <c:numCache>
                <c:formatCode>General</c:formatCode>
                <c:ptCount val="3"/>
                <c:pt idx="0">
                  <c:v>47</c:v>
                </c:pt>
                <c:pt idx="1">
                  <c:v>202</c:v>
                </c:pt>
                <c:pt idx="2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3F-4FC9-A1D3-B9ED56FF2752}"/>
            </c:ext>
          </c:extLst>
        </c:ser>
        <c:ser>
          <c:idx val="6"/>
          <c:order val="6"/>
          <c:tx>
            <c:strRef>
              <c:f>'4 Dashboard'!$H$39:$H$40</c:f>
              <c:strCache>
                <c:ptCount val="1"/>
                <c:pt idx="0">
                  <c:v>Very Low</c:v>
                </c:pt>
              </c:strCache>
            </c:strRef>
          </c:tx>
          <c:spPr>
            <a:solidFill>
              <a:srgbClr val="8E8E8E"/>
            </a:solidFill>
            <a:ln>
              <a:solidFill>
                <a:srgbClr val="8E8E8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 Dashboard'!$A$41:$A$44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'4 Dashboard'!$H$41:$H$44</c:f>
              <c:numCache>
                <c:formatCode>General</c:formatCode>
                <c:ptCount val="3"/>
                <c:pt idx="0">
                  <c:v>14</c:v>
                </c:pt>
                <c:pt idx="1">
                  <c:v>66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F-4FC9-A1D3-B9ED56FF27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2948992"/>
        <c:axId val="372952832"/>
      </c:barChart>
      <c:catAx>
        <c:axId val="3729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52832"/>
        <c:crosses val="autoZero"/>
        <c:auto val="1"/>
        <c:lblAlgn val="ctr"/>
        <c:lblOffset val="100"/>
        <c:noMultiLvlLbl val="0"/>
      </c:catAx>
      <c:valAx>
        <c:axId val="3729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4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[Sephora Skincare Products Data Analysis Project MS EXCEL.xlsx]4 Dashboard!PivotTable3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 Dashboard'!$B$56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 Dashboard'!$A$57:$A$69</c:f>
              <c:strCache>
                <c:ptCount val="12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Sunscreen</c:v>
                </c:pt>
                <c:pt idx="9">
                  <c:v>Treatments</c:v>
                </c:pt>
                <c:pt idx="10">
                  <c:v>Value &amp; Gift Sets</c:v>
                </c:pt>
                <c:pt idx="11">
                  <c:v>Wellness</c:v>
                </c:pt>
              </c:strCache>
            </c:strRef>
          </c:cat>
          <c:val>
            <c:numRef>
              <c:f>'4 Dashboard'!$B$57:$B$69</c:f>
              <c:numCache>
                <c:formatCode>General</c:formatCode>
                <c:ptCount val="12"/>
                <c:pt idx="0">
                  <c:v>57</c:v>
                </c:pt>
                <c:pt idx="1">
                  <c:v>24</c:v>
                </c:pt>
                <c:pt idx="2">
                  <c:v>17</c:v>
                </c:pt>
                <c:pt idx="3">
                  <c:v>3</c:v>
                </c:pt>
                <c:pt idx="4">
                  <c:v>24</c:v>
                </c:pt>
                <c:pt idx="5">
                  <c:v>8</c:v>
                </c:pt>
                <c:pt idx="6">
                  <c:v>108</c:v>
                </c:pt>
                <c:pt idx="7">
                  <c:v>6</c:v>
                </c:pt>
                <c:pt idx="8">
                  <c:v>10</c:v>
                </c:pt>
                <c:pt idx="9">
                  <c:v>74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E3-4BB4-AAC8-D20EC2DE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0223664"/>
        <c:axId val="490217904"/>
        <c:axId val="0"/>
      </c:bar3DChart>
      <c:catAx>
        <c:axId val="49022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17904"/>
        <c:crosses val="autoZero"/>
        <c:auto val="1"/>
        <c:lblAlgn val="ctr"/>
        <c:lblOffset val="100"/>
        <c:noMultiLvlLbl val="0"/>
      </c:catAx>
      <c:valAx>
        <c:axId val="4902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2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[Sephora Skincare Products Data Analysis Project MS EXCEL.xlsx]4 Dashboard!PivotTable1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Distribution Across Skincare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C75D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7E8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EFF5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373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832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C75D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7E8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EFF5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832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373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F2A4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1E4B7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F78BB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9A4D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9D9D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B6B6B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8E8E8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'4 Dashboard'!$B$21:$B$22</c:f>
              <c:strCache>
                <c:ptCount val="1"/>
                <c:pt idx="0">
                  <c:v>Extremely Viral</c:v>
                </c:pt>
              </c:strCache>
            </c:strRef>
          </c:tx>
          <c:spPr>
            <a:solidFill>
              <a:srgbClr val="0F2A4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Dashboard'!$B$23:$B$36</c:f>
              <c:numCache>
                <c:formatCode>General</c:formatCode>
                <c:ptCount val="13"/>
                <c:pt idx="0">
                  <c:v>1</c:v>
                </c:pt>
                <c:pt idx="3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4-41E3-9611-F85EF7F3614E}"/>
            </c:ext>
          </c:extLst>
        </c:ser>
        <c:ser>
          <c:idx val="1"/>
          <c:order val="1"/>
          <c:tx>
            <c:strRef>
              <c:f>'4 Dashboard'!$C$21:$C$22</c:f>
              <c:strCache>
                <c:ptCount val="1"/>
                <c:pt idx="0">
                  <c:v>Viral</c:v>
                </c:pt>
              </c:strCache>
            </c:strRef>
          </c:tx>
          <c:spPr>
            <a:solidFill>
              <a:srgbClr val="1E4B7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Dashboard'!$C$23:$C$36</c:f>
              <c:numCache>
                <c:formatCode>General</c:formatCode>
                <c:ptCount val="13"/>
                <c:pt idx="0">
                  <c:v>19</c:v>
                </c:pt>
                <c:pt idx="1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4</c:v>
                </c:pt>
                <c:pt idx="6">
                  <c:v>35</c:v>
                </c:pt>
                <c:pt idx="7">
                  <c:v>1</c:v>
                </c:pt>
                <c:pt idx="9">
                  <c:v>3</c:v>
                </c:pt>
                <c:pt idx="10">
                  <c:v>35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4-41E3-9611-F85EF7F3614E}"/>
            </c:ext>
          </c:extLst>
        </c:ser>
        <c:ser>
          <c:idx val="2"/>
          <c:order val="2"/>
          <c:tx>
            <c:strRef>
              <c:f>'4 Dashboard'!$D$21:$D$22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rgbClr val="2F78BB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Dashboard'!$D$23:$D$36</c:f>
              <c:numCache>
                <c:formatCode>General</c:formatCode>
                <c:ptCount val="13"/>
                <c:pt idx="0">
                  <c:v>29</c:v>
                </c:pt>
                <c:pt idx="1">
                  <c:v>17</c:v>
                </c:pt>
                <c:pt idx="2">
                  <c:v>3</c:v>
                </c:pt>
                <c:pt idx="3">
                  <c:v>9</c:v>
                </c:pt>
                <c:pt idx="4">
                  <c:v>22</c:v>
                </c:pt>
                <c:pt idx="5">
                  <c:v>8</c:v>
                </c:pt>
                <c:pt idx="6">
                  <c:v>40</c:v>
                </c:pt>
                <c:pt idx="7">
                  <c:v>2</c:v>
                </c:pt>
                <c:pt idx="9">
                  <c:v>7</c:v>
                </c:pt>
                <c:pt idx="10">
                  <c:v>45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4-41E3-9611-F85EF7F3614E}"/>
            </c:ext>
          </c:extLst>
        </c:ser>
        <c:ser>
          <c:idx val="3"/>
          <c:order val="3"/>
          <c:tx>
            <c:strRef>
              <c:f>'4 Dashboard'!$E$21:$E$22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69A4D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Dashboard'!$E$23:$E$36</c:f>
              <c:numCache>
                <c:formatCode>General</c:formatCode>
                <c:ptCount val="13"/>
                <c:pt idx="0">
                  <c:v>129</c:v>
                </c:pt>
                <c:pt idx="1">
                  <c:v>89</c:v>
                </c:pt>
                <c:pt idx="2">
                  <c:v>25</c:v>
                </c:pt>
                <c:pt idx="3">
                  <c:v>29</c:v>
                </c:pt>
                <c:pt idx="4">
                  <c:v>66</c:v>
                </c:pt>
                <c:pt idx="5">
                  <c:v>50</c:v>
                </c:pt>
                <c:pt idx="6">
                  <c:v>186</c:v>
                </c:pt>
                <c:pt idx="7">
                  <c:v>22</c:v>
                </c:pt>
                <c:pt idx="9">
                  <c:v>44</c:v>
                </c:pt>
                <c:pt idx="10">
                  <c:v>170</c:v>
                </c:pt>
                <c:pt idx="11">
                  <c:v>52</c:v>
                </c:pt>
                <c:pt idx="1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04-41E3-9611-F85EF7F3614E}"/>
            </c:ext>
          </c:extLst>
        </c:ser>
        <c:ser>
          <c:idx val="4"/>
          <c:order val="4"/>
          <c:tx>
            <c:strRef>
              <c:f>'4 Dashboard'!$F$21:$F$22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Dashboard'!$F$23:$F$36</c:f>
              <c:numCache>
                <c:formatCode>General</c:formatCode>
                <c:ptCount val="13"/>
                <c:pt idx="0">
                  <c:v>85</c:v>
                </c:pt>
                <c:pt idx="1">
                  <c:v>30</c:v>
                </c:pt>
                <c:pt idx="2">
                  <c:v>18</c:v>
                </c:pt>
                <c:pt idx="3">
                  <c:v>7</c:v>
                </c:pt>
                <c:pt idx="4">
                  <c:v>24</c:v>
                </c:pt>
                <c:pt idx="5">
                  <c:v>27</c:v>
                </c:pt>
                <c:pt idx="6">
                  <c:v>114</c:v>
                </c:pt>
                <c:pt idx="7">
                  <c:v>12</c:v>
                </c:pt>
                <c:pt idx="9">
                  <c:v>28</c:v>
                </c:pt>
                <c:pt idx="10">
                  <c:v>82</c:v>
                </c:pt>
                <c:pt idx="11">
                  <c:v>46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04-41E3-9611-F85EF7F3614E}"/>
            </c:ext>
          </c:extLst>
        </c:ser>
        <c:ser>
          <c:idx val="5"/>
          <c:order val="5"/>
          <c:tx>
            <c:strRef>
              <c:f>'4 Dashboard'!$G$21:$G$22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B6B6B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Dashboard'!$G$23:$G$36</c:f>
              <c:numCache>
                <c:formatCode>General</c:formatCode>
                <c:ptCount val="13"/>
                <c:pt idx="0">
                  <c:v>74</c:v>
                </c:pt>
                <c:pt idx="1">
                  <c:v>40</c:v>
                </c:pt>
                <c:pt idx="2">
                  <c:v>27</c:v>
                </c:pt>
                <c:pt idx="3">
                  <c:v>5</c:v>
                </c:pt>
                <c:pt idx="4">
                  <c:v>31</c:v>
                </c:pt>
                <c:pt idx="5">
                  <c:v>16</c:v>
                </c:pt>
                <c:pt idx="6">
                  <c:v>142</c:v>
                </c:pt>
                <c:pt idx="7">
                  <c:v>15</c:v>
                </c:pt>
                <c:pt idx="9">
                  <c:v>19</c:v>
                </c:pt>
                <c:pt idx="10">
                  <c:v>101</c:v>
                </c:pt>
                <c:pt idx="11">
                  <c:v>65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04-41E3-9611-F85EF7F3614E}"/>
            </c:ext>
          </c:extLst>
        </c:ser>
        <c:ser>
          <c:idx val="6"/>
          <c:order val="6"/>
          <c:tx>
            <c:strRef>
              <c:f>'4 Dashboard'!$H$21:$H$22</c:f>
              <c:strCache>
                <c:ptCount val="1"/>
                <c:pt idx="0">
                  <c:v>Very Low</c:v>
                </c:pt>
              </c:strCache>
            </c:strRef>
          </c:tx>
          <c:spPr>
            <a:solidFill>
              <a:srgbClr val="8E8E8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 Dashboard'!$A$23:$A$36</c:f>
              <c:strCache>
                <c:ptCount val="13"/>
                <c:pt idx="0">
                  <c:v>Cleansers</c:v>
                </c:pt>
                <c:pt idx="1">
                  <c:v>Eye Care</c:v>
                </c:pt>
                <c:pt idx="2">
                  <c:v>High Tech Tools</c:v>
                </c:pt>
                <c:pt idx="3">
                  <c:v>Lip Balms &amp; Treatments</c:v>
                </c:pt>
                <c:pt idx="4">
                  <c:v>Masks</c:v>
                </c:pt>
                <c:pt idx="5">
                  <c:v>Mini Size</c:v>
                </c:pt>
                <c:pt idx="6">
                  <c:v>Moisturizers</c:v>
                </c:pt>
                <c:pt idx="7">
                  <c:v>Self Tanners</c:v>
                </c:pt>
                <c:pt idx="8">
                  <c:v>Shop by Concern</c:v>
                </c:pt>
                <c:pt idx="9">
                  <c:v>Sunscreen</c:v>
                </c:pt>
                <c:pt idx="10">
                  <c:v>Treatments</c:v>
                </c:pt>
                <c:pt idx="11">
                  <c:v>Value &amp; Gift Sets</c:v>
                </c:pt>
                <c:pt idx="12">
                  <c:v>Wellness</c:v>
                </c:pt>
              </c:strCache>
            </c:strRef>
          </c:cat>
          <c:val>
            <c:numRef>
              <c:f>'4 Dashboard'!$H$23:$H$36</c:f>
              <c:numCache>
                <c:formatCode>General</c:formatCode>
                <c:ptCount val="13"/>
                <c:pt idx="0">
                  <c:v>24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11</c:v>
                </c:pt>
                <c:pt idx="5">
                  <c:v>7</c:v>
                </c:pt>
                <c:pt idx="6">
                  <c:v>34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30</c:v>
                </c:pt>
                <c:pt idx="11">
                  <c:v>25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04-41E3-9611-F85EF7F36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0247664"/>
        <c:axId val="490255344"/>
      </c:barChart>
      <c:catAx>
        <c:axId val="490247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0255344"/>
        <c:crosses val="autoZero"/>
        <c:auto val="1"/>
        <c:lblAlgn val="ctr"/>
        <c:lblOffset val="100"/>
        <c:noMultiLvlLbl val="0"/>
      </c:catAx>
      <c:valAx>
        <c:axId val="49025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67696</xdr:colOff>
      <xdr:row>0</xdr:row>
      <xdr:rowOff>19050</xdr:rowOff>
    </xdr:from>
    <xdr:to>
      <xdr:col>9</xdr:col>
      <xdr:colOff>88447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0CC98-2733-5736-8A08-BD6C45B99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146338</xdr:colOff>
      <xdr:row>36</xdr:row>
      <xdr:rowOff>168852</xdr:rowOff>
    </xdr:from>
    <xdr:to>
      <xdr:col>16</xdr:col>
      <xdr:colOff>475384</xdr:colOff>
      <xdr:row>53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B42DE8-4A20-8900-EAD6-0942097D7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2324100</xdr:colOff>
      <xdr:row>50</xdr:row>
      <xdr:rowOff>185737</xdr:rowOff>
    </xdr:from>
    <xdr:to>
      <xdr:col>0</xdr:col>
      <xdr:colOff>6896100</xdr:colOff>
      <xdr:row>65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D9A7E4-8CFC-184F-2B9A-964487F87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71437</xdr:colOff>
      <xdr:row>19</xdr:row>
      <xdr:rowOff>130969</xdr:rowOff>
    </xdr:from>
    <xdr:to>
      <xdr:col>17</xdr:col>
      <xdr:colOff>195995</xdr:colOff>
      <xdr:row>35</xdr:row>
      <xdr:rowOff>126207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8E33A-4834-4F3A-9B38-CF39AFC7E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0.117352314817" createdVersion="8" refreshedVersion="8" minRefreshableVersion="3" recordCount="2420" xr:uid="{42A8D7BD-019B-4DED-8F69-F75E44034A50}">
  <cacheSource type="worksheet">
    <worksheetSource name="Table1"/>
  </cacheSource>
  <cacheFields count="15">
    <cacheField name="Product Id" numFmtId="0">
      <sharedItems/>
    </cacheField>
    <cacheField name="Product Name" numFmtId="0">
      <sharedItems/>
    </cacheField>
    <cacheField name="Brand Id" numFmtId="0">
      <sharedItems containsSemiMixedTypes="0" containsString="0" containsNumber="1" containsInteger="1" minValue="1063" maxValue="8017"/>
    </cacheField>
    <cacheField name="Brand Name" numFmtId="0">
      <sharedItems/>
    </cacheField>
    <cacheField name="Loves Count" numFmtId="0">
      <sharedItems containsSemiMixedTypes="0" containsString="0" containsNumber="1" containsInteger="1" minValue="0" maxValue="1081315"/>
    </cacheField>
    <cacheField name="Enganement Range" numFmtId="0">
      <sharedItems count="7">
        <s v="5L+"/>
        <s v="1L–5L"/>
        <s v="10K–50K"/>
        <s v="50K–1L"/>
        <s v="1K–5K"/>
        <s v="5K–10K"/>
        <s v="0–1K"/>
      </sharedItems>
    </cacheField>
    <cacheField name="Rating" numFmtId="0">
      <sharedItems containsString="0" containsBlank="1" containsNumber="1" minValue="1" maxValue="5"/>
    </cacheField>
    <cacheField name="Has Rating" numFmtId="0">
      <sharedItems/>
    </cacheField>
    <cacheField name="Rating Band" numFmtId="0">
      <sharedItems/>
    </cacheField>
    <cacheField name="Reviews" numFmtId="0">
      <sharedItems containsSemiMixedTypes="0" containsString="0" containsNumber="1" containsInteger="1" minValue="0" maxValue="16118"/>
    </cacheField>
    <cacheField name="Price USD" numFmtId="0">
      <sharedItems containsSemiMixedTypes="0" containsString="0" containsNumber="1" minValue="3" maxValue="1900" count="224">
        <n v="24"/>
        <n v="6"/>
        <n v="15.7"/>
        <n v="13"/>
        <n v="9.5"/>
        <n v="18"/>
        <n v="68"/>
        <n v="39"/>
        <n v="36"/>
        <n v="35"/>
        <n v="70"/>
        <n v="30.8"/>
        <n v="38"/>
        <n v="19"/>
        <n v="48"/>
        <n v="78"/>
        <n v="8.9"/>
        <n v="90"/>
        <n v="34"/>
        <n v="80"/>
        <n v="3"/>
        <n v="122"/>
        <n v="6.5"/>
        <n v="52"/>
        <n v="40"/>
        <n v="49"/>
        <n v="10.9"/>
        <n v="92"/>
        <n v="74"/>
        <n v="32"/>
        <n v="54"/>
        <n v="29"/>
        <n v="12.99"/>
        <n v="11.7"/>
        <n v="17"/>
        <n v="11.1"/>
        <n v="42"/>
        <n v="60"/>
        <n v="105"/>
        <n v="10.99"/>
        <n v="66"/>
        <n v="9.99"/>
        <n v="82"/>
        <n v="13.3"/>
        <n v="45"/>
        <n v="46"/>
        <n v="11.99"/>
        <n v="16"/>
        <n v="62"/>
        <n v="33"/>
        <n v="50"/>
        <n v="12"/>
        <n v="28"/>
        <n v="89"/>
        <n v="7.8"/>
        <n v="72"/>
        <n v="64"/>
        <n v="10"/>
        <n v="14"/>
        <n v="9"/>
        <n v="20"/>
        <n v="110"/>
        <n v="245"/>
        <n v="100"/>
        <n v="15"/>
        <n v="7.2"/>
        <n v="12.2"/>
        <n v="7.5"/>
        <n v="51"/>
        <n v="58"/>
        <n v="56"/>
        <n v="41"/>
        <n v="260"/>
        <n v="95"/>
        <n v="118"/>
        <n v="22"/>
        <n v="75"/>
        <n v="53"/>
        <n v="30"/>
        <n v="5.5"/>
        <n v="63"/>
        <n v="125"/>
        <n v="159"/>
        <n v="59"/>
        <n v="47"/>
        <n v="149"/>
        <n v="23.5"/>
        <n v="130"/>
        <n v="195"/>
        <n v="93"/>
        <n v="94"/>
        <n v="73"/>
        <n v="65"/>
        <n v="79"/>
        <n v="25"/>
        <n v="26"/>
        <n v="37"/>
        <n v="165"/>
        <n v="180"/>
        <n v="85"/>
        <n v="5"/>
        <n v="329"/>
        <n v="99"/>
        <n v="55"/>
        <n v="139"/>
        <n v="86"/>
        <n v="129"/>
        <n v="112"/>
        <n v="299"/>
        <n v="145"/>
        <n v="8"/>
        <n v="77"/>
        <n v="23"/>
        <n v="76"/>
        <n v="24.99"/>
        <n v="380"/>
        <n v="69"/>
        <n v="449"/>
        <n v="88"/>
        <n v="120"/>
        <n v="270"/>
        <n v="300"/>
        <n v="87"/>
        <n v="31.5"/>
        <n v="44"/>
        <n v="43"/>
        <n v="290"/>
        <n v="7"/>
        <n v="21"/>
        <n v="27"/>
        <n v="179"/>
        <n v="98"/>
        <n v="83"/>
        <n v="19.5"/>
        <n v="5.99"/>
        <n v="8.5"/>
        <n v="71"/>
        <n v="39.5"/>
        <n v="67"/>
        <n v="26.5"/>
        <n v="40.700000000000003"/>
        <n v="199"/>
        <n v="3.5"/>
        <n v="6.4"/>
        <n v="15.99"/>
        <n v="34.5"/>
        <n v="32.5"/>
        <n v="7.49"/>
        <n v="14.3"/>
        <n v="14.99"/>
        <n v="84"/>
        <n v="7.99"/>
        <n v="19.8"/>
        <n v="115"/>
        <n v="49.5"/>
        <n v="96"/>
        <n v="8.3000000000000007"/>
        <n v="132"/>
        <n v="10.5"/>
        <n v="9.4"/>
        <n v="30.9"/>
        <n v="395"/>
        <n v="102"/>
        <n v="399"/>
        <n v="249"/>
        <n v="215"/>
        <n v="205"/>
        <n v="61"/>
        <n v="279"/>
        <n v="12.5"/>
        <n v="210"/>
        <n v="169.99"/>
        <n v="225"/>
        <n v="310"/>
        <n v="11"/>
        <n v="240"/>
        <n v="146"/>
        <n v="305"/>
        <n v="429"/>
        <n v="170"/>
        <n v="140"/>
        <n v="200"/>
        <n v="185"/>
        <n v="24.5"/>
        <n v="150"/>
        <n v="255"/>
        <n v="390"/>
        <n v="155"/>
        <n v="230"/>
        <n v="220"/>
        <n v="400"/>
        <n v="57"/>
        <n v="152"/>
        <n v="135"/>
        <n v="315"/>
        <n v="1900"/>
        <n v="19.989999999999998"/>
        <n v="320"/>
        <n v="370"/>
        <n v="175"/>
        <n v="119"/>
        <n v="275"/>
        <n v="17.989999999999998"/>
        <n v="410"/>
        <n v="97"/>
        <n v="38.5"/>
        <n v="106"/>
        <n v="4"/>
        <n v="13.99"/>
        <n v="31"/>
        <n v="465"/>
        <n v="219"/>
        <n v="425"/>
        <n v="190"/>
        <n v="160"/>
        <n v="21.99"/>
        <n v="340"/>
        <n v="16.5"/>
        <n v="126"/>
        <n v="124"/>
        <n v="198"/>
        <n v="235"/>
        <n v="495"/>
        <n v="360"/>
      </sharedItems>
      <fieldGroup base="10">
        <rangePr autoStart="0" autoEnd="0" startNum="0" endNum="495" groupInterval="100"/>
        <groupItems count="7">
          <s v="&lt;0"/>
          <s v="0-100"/>
          <s v="100-200"/>
          <s v="200-300"/>
          <s v="300-400"/>
          <s v="400-500"/>
          <s v="&gt;500"/>
        </groupItems>
      </fieldGroup>
    </cacheField>
    <cacheField name="Price Band" numFmtId="0">
      <sharedItems/>
    </cacheField>
    <cacheField name="New" numFmtId="0">
      <sharedItems containsSemiMixedTypes="0" containsString="0" containsNumber="1" containsInteger="1" minValue="0" maxValue="1"/>
    </cacheField>
    <cacheField name="Out of Stock" numFmtId="0">
      <sharedItems containsSemiMixedTypes="0" containsString="0" containsNumber="1" containsInteger="1" minValue="0" maxValue="1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0.272575694442" createdVersion="8" refreshedVersion="8" minRefreshableVersion="3" recordCount="2420" xr:uid="{D4833B28-4B6C-424E-987F-CD987FDC3A93}">
  <cacheSource type="worksheet">
    <worksheetSource name="Table13"/>
  </cacheSource>
  <cacheFields count="16">
    <cacheField name="Product Id" numFmtId="0">
      <sharedItems/>
    </cacheField>
    <cacheField name="Product Name" numFmtId="0">
      <sharedItems count="2401">
        <s v="Lip Sleeping Mask Intense Hydration with Vitamin C"/>
        <s v="Niacinamide 10% + Zinc 1% Oil Control Serum"/>
        <s v="Hyaluronic Acid 2% + B5 Hydrating Serum"/>
        <s v="Glycolic Acid 7% Exfoliating Toning Solution"/>
        <s v="AHA 30% + BHA 2% Exfoliating Peeling Solution"/>
        <s v="Lip Glowy Balm"/>
        <s v="Protini Polypeptide Firming Refillable Moisturizer"/>
        <s v="Superfood Antioxidant Cleanser"/>
        <s v="Green Clean Makeup Removing Cleansing Balm"/>
        <s v="Watermelon Glow Niacinamide Dew Drops"/>
        <s v="The Dewy Skin Cream Plumping &amp; Hydrating Moisturizer"/>
        <s v="The Water Cream Oil-Free Pore Minimizing Moisturizer"/>
        <s v="Lip Butter Balm"/>
        <s v="Multi-Peptide + HA Serum"/>
        <s v="D-Bronzi Anti-Pollution Bronzing Drops with Peptides"/>
        <s v="Salicylic Acid Acne Healing Dots"/>
        <s v="Unseen Sunscreen SPF 40 PA+++"/>
        <s v="C-Firma Fresh Vitamin-C Day Serum"/>
        <s v="Ultra Repair Cream Intense Hydration"/>
        <s v="Lactic Acid 10% + HA 2% Exfoliating Serum"/>
        <s v="T.L.C. Framboos Glycolic Resurfacing Night Serum"/>
        <s v="Soy Hydrating Gentle Face Cleanser"/>
        <s v="Caffeine 5% + EGCG Depuffing Eye Serum"/>
        <s v="Skin Perfecting 2% BHA Liquid Exfoliant"/>
        <s v="T.L.C. Sukari Babyfacial AHA + BHA Mask"/>
        <s v="Cleansing &amp; Exfoliating Wipes"/>
        <s v="The True Cream Aqua Bomb"/>
        <s v="Good Genes All-In-One AHA Lactic Acid Treatment"/>
        <s v="Natural Moisturizing Factors + HA"/>
        <s v="Watermelon Glow PHA + BHA Pore-Tight Toner"/>
        <s v="Superberry Hydrate + Glow Dream Night Mask with Vitamin C"/>
        <s v="The Deep Cleanse Gentle Exfoliating Cleanser"/>
        <s v="Jet Lag Mask"/>
        <s v="100% Organic Cold-Pressed Rose Hip Seed Oil"/>
        <s v="Alpha Beta Extra Strength Daily Peel Pads"/>
        <s v="Glowscreen Sunscreen SPF 40 PA+++ with Hyaluronic Acid + Niacinamide"/>
        <s v="B-Hydra Intensive Hydration Serum with Hyaluronic Acid"/>
        <s v="A-Passioni Retinol Cream"/>
        <s v="Cicapair Tiger Grass Color Correcting Treatment SPF 30"/>
        <s v="Self Tanning Bronzing Face Drops"/>
        <s v="Luminous Dewy Skin Mist"/>
        <s v="Barrier+ Triple Lipid-Peptide Face Cream"/>
        <s v="The Kissu Lip Mask"/>
        <s v="Ultra Facial Moisturizing Cream with Squalane"/>
        <s v="Retinol Anti-Aging Serum"/>
        <s v="Granactive Retinoid* 2% Emulsion"/>
        <s v="Clear Improvement Active Charcoal Mask to Clear Pores"/>
        <s v="The Rice Wash Skin-Softening Cleanser"/>
        <s v="Azelaic Acid 10% Suspension Brightening Cream"/>
        <s v="Alpha Arbutin 2% + HA Hyperpigmentation Serum"/>
        <s v="Pore Minimizing Instant Detox Mask"/>
        <s v="Take The Day Off Cleansing Balm Makeup Remover"/>
        <s v="The Rice Polish Foaming Enzyme Powder"/>
        <s v="Glow2OH Dark Spot Toner"/>
        <s v="Mini Skin Perfecting 2% BHA Liquid Exfoliant"/>
        <s v="Honeymoon Glow AHA Resurfacing Night Serum"/>
        <s v="Avocado Fine Line Eye Cream with Retinol"/>
        <s v="Virgin Marula Luxury Face Oil"/>
        <s v="Luna Sleeping Retinoid Night Oil"/>
        <s v="Caffeine Eye Cream"/>
        <s v="Vitamin Enriched Face Base Priming Moisturizer"/>
        <s v="Hyaluronic Acid Hydrating Serum"/>
        <s v="Squalane + Vitamin C Rose Firming Oil"/>
        <s v="Vinoperfect Radiance Dark Spot Serum Vitamin C Alternative"/>
        <s v="Salicylic Acid 2% Masque"/>
        <s v="Watermelon Pink Juice Oil-Free Moisturizer"/>
        <s v="Plum Plump Hyaluronic Acid Serum"/>
        <s v="Rose &amp; Hyaluronic Acid Deep Hydration Toner"/>
        <s v="The True Cream Moisturizing Bomb"/>
        <s v="Salicylic Acid Acne + Pore Cleanser"/>
        <s v="Pure Skin Face Cleanser"/>
        <s v="Plum Plump Hyaluronic Acid Moisturizer"/>
        <s v="Daily UV Defense Invisible Broad Spectrum SPF 36 Sunscreen"/>
        <s v="Lala Retro Whipped Refillable Moisturizer with Ceramides"/>
        <s v="Cream Skin Toner &amp; Moisturizer"/>
        <s v="The Camellia Oil 2-in-1 Makeup Remover &amp; Cleanser"/>
        <s v="Grape Water Moisturizing Face Mist"/>
        <s v="Faded Serum for Dark Spots &amp; Discoloration"/>
        <s v="Retinol Eye Stick"/>
        <s v="Silk Pillowcase - Standard/Queen"/>
        <s v="100 percent Pure Argan Oil"/>
        <s v="Superfood Air-Whip Lightweight Moisturizer with Hyaluronic Acid"/>
        <s v="Facial Cotton"/>
        <s v="Sugar Hydrating Lip Balm"/>
        <s v="Vitamin C Suspension 23% + HA Spheres 2%"/>
        <s v="Honey Halo Ultra-Hydrating Ceramide Moisturizer"/>
        <s v="Violet-C Brightening Serum 20% Vitamin C + 10% AHA"/>
        <s v="Power Couple Advanced Retinol and Lactic Acid Duo"/>
        <s v="Oat Cleansing Balm"/>
        <s v="Facial Radiance Pads"/>
        <s v="Brightening Eye Cream with Caffeine and Hyaluronic Acid"/>
        <s v="Blue Tansy BHA and Enzyme Pore Refining Mask"/>
        <s v="Rose Face Mask"/>
        <s v="Sugar Advanced Lip Balm Intense Hydration Treatment"/>
        <s v="C-Tango Vitamin C Eye Cream"/>
        <s v="Intense Therapy Lip Balm SPF 25"/>
        <s v="U.F.O. Salicylic Acid BHA Acne Treatment Face Oil"/>
        <s v="Mini Superfood Antioxidant Cleanser"/>
        <s v="Squalane Cleanser"/>
        <s v="Alpha Beta Universal Daily Peel Pads"/>
        <s v="Watermelon Glow Ultra-Fine Mist"/>
        <s v="Cherry Treat Conditioning + Strengthening Lip Oil"/>
        <s v="Brazilian Kiss CupuaÃ§u Lip Butter"/>
        <s v="Strawberry Smooth BHA + AHA Salicylic Acid Serum"/>
        <s v="Ultra Glow Serum: Glow + Strengthen Vitamin C Serum"/>
        <s v="The Essence Skincare Boosting Treatment"/>
        <s v="Beste No. 9 Jelly Cleanser"/>
        <s v="Avocado Soothing Skin Barrier Serum with Ceramides"/>
        <s v="Rare Earth Deep Pore Minimizing Cleansing Clay Mask"/>
        <s v="Facial Treatment Essence (Pitera Essence)"/>
        <s v="Magic Cream Moisturizer with Hyaluronic Acid"/>
        <s v="Mini Watermelon Glow PHA + BHA Pore-Tight Toner"/>
        <s v="Mini Daily Microfoliant Exfoliator"/>
        <s v="Salicylic Acid 2% Anhydrous Solution Pore Clearing Serum"/>
        <s v="Superberry Hydrate + Glow Dream Oil"/>
        <s v="100% Plant-Derived Squalane"/>
        <s v="Cooling Water"/>
        <s v="Guava Vitamin C Dark Spot Treatment Serum"/>
        <s v="Ascorbic Acid 8% + Alpha Arbutin 2%"/>
        <s v="Mandelic Acid 10% + HA"/>
        <s v="C-Rush Vitamin C Gel Moisturizer"/>
        <s v="Volcanic AHA Pore Clearing Clay Mask"/>
        <s v="Adaptogen Deep Moisturizing Cream with Ashwagandha + Reishi"/>
        <s v="Indigo Overnight Repair Serum in Cream Treatment"/>
        <s v="Lotus Anti-Aging Night Moisturizer"/>
        <s v="Original Skin Retexturizing Mask with Rose Clay"/>
        <s v="Cold Plunge Pore Mask"/>
        <s v="Oil-Absorbing Pore Treatment Strips"/>
        <s v="Midnight Recovery Concentrate Moisturizing Face Oil"/>
        <s v="Moisturizing Eye Bomb with Squalane"/>
        <s v="Youth Stacks: Daily Skin Health Your Way for Pores and Oiliness"/>
        <s v="Youth Stacks: Plump It Up for Dry, Dehydrated Skin"/>
        <s v="Clarifying Cleanse + Hydrate Duo"/>
        <s v="Anytime, Anyface Lactic Acid Serum + Protini Moisturizer Duo"/>
        <s v="Mini Collagen Superfusion Firming &amp; Plumping Facial Oil"/>
        <s v="Masking Minis 5-Piece Mask Kit"/>
        <s v="Advanced GÃ©nifique Face &amp; Eye Serum Set"/>
        <s v="Let's Get Luminous Brightening Essentials Set"/>
        <s v="Tonique Confort Hydrating &amp; Toning Duo"/>
        <s v="Refresh in 5"/>
        <s v="The Littles Skincare Travel Set"/>
        <s v="Complexion Clarity Kit"/>
        <s v="Radiantly Rose Duo Set"/>
        <s v="Double-Ended Textured Facial Roller"/>
        <s v="Overnight Recovery Duo"/>
        <s v="The Skinimalist Set"/>
        <s v="Extra Eye Repair Cream Intense"/>
        <s v="Hydrating Boob and Bum Sheet Mask Duo"/>
        <s v="Go To Bed With Me Anti-Aging Night Routine"/>
        <s v="Vitamin C Skincare Set"/>
        <s v="Collagen Superfusion Firming &amp; Plumping Facial Oil"/>
        <s v="Wake Up With Me Morning Routine Kit"/>
        <s v="CrÃ¨me de La Mer Duet"/>
        <s v="Mini Watermelon Glow Niacinamide Dew Drops"/>
        <s v="Skin in the Clouds Set"/>
        <s v="Mini Hydra Vizor Invisible Moisturizer Broad Spectrum SPF 30 Sunscreen with Niacinamide"/>
        <s v="Advanced Night Repair Concentrated Eye Treatment Mask"/>
        <s v="GloPRO BODY MicroTip Attachment Head"/>
        <s v="Vitamin Face Masks"/>
        <s v="Super Bounce Hyaluronic Acid + Vitamin B5 Hydrating Face Serum"/>
        <s v="The Bright Set"/>
        <s v="Super Pure Clarifying Face Serum with Niacinamide + Zinc"/>
        <s v="Rose Hydration Pore-Minimizing Mist"/>
        <s v="Party Recharge Cryo Me Crazy Under-eye Masks"/>
        <s v="Mini Favorites Set"/>
        <s v="Metal Facial Razor Refills"/>
        <s v="Ageless Revitalizing Neck Cream"/>
        <s v="3-in-1 Extractor Tool"/>
        <s v="Mini Clearly Corrective Dark Spot Correcting Serum"/>
        <s v="Call It A Night Activated Mask"/>
        <s v="BTS |  Amorepacific Lip Sleeping Mask Lip &amp; Pop Edition Set"/>
        <s v="Day Dream Vitamin C + Hydration Serum Duo 2.0"/>
        <s v="Mini Mineral Mattescreen Sunscreen SPF 40 PA+++"/>
        <s v="RESIST Weightless Advanced Repairing Toner"/>
        <s v="Cicapair Tiger Grass Calming Serum Mask"/>
        <s v="Vitamin Enriched Face Base Jumbo"/>
        <s v="Superstars Anti-Aging Serum and Eye Kit"/>
        <s v="Lift &amp; Contour 1% Bakuchiol &amp; Peptide Eye Serum"/>
        <s v="Cryo-Recovery Lifting Face Mask with Acupressure Technology"/>
        <s v="Rose Quartz Facial De-Puffing &amp; Lifting Gua Sha"/>
        <s v="Glow One Step Further Radiance Kit"/>
        <s v="Glow Peel Pads with AHA + PHA"/>
        <s v="Mini Squalane + Omega Repair Deep Hydration Moisturizer"/>
        <s v="Rouge Dior Lip Balm"/>
        <s v="Soothing Face Cleanser Oil"/>
        <s v="Mini The Rich Cream with TFC8 Face Moisturizer"/>
        <s v="Prep It Self-Tan Priming Spray"/>
        <s v="Youth Renewal Retinol Trial Kit for Smoother, Younger-Looking Skin"/>
        <s v="Mini Liquid Gold Exfoliating Treatment with Glycolic Acid"/>
        <s v="Witch Hazel &amp; Rosewater Toner"/>
        <s v="Vitamin Eye Masks"/>
        <s v="Mini Beste No. 9 Jelly Cleanser"/>
        <s v="Clean Hemp Mask"/>
        <s v="Blending Brush"/>
        <s v="Advanced Night Repair Treatment Intense Reset Concentrate"/>
        <s v="Mini Water Bank Blue Hyaluronic Cream Moisturizer"/>
        <s v="Hydra Vizor Invisible Moisturizer Broad Spectrum SPF 30 Sunscreen with Niacinamide Refill"/>
        <s v="RESIST Barrier Repair Moisturizer with Retinol"/>
        <s v="Dewy Cleanse + Hydrate Duo"/>
        <s v="UFO 2"/>
        <s v="Mini THE FACE Illuminating Self-Tan Drops"/>
        <s v="Face Mask Applicator"/>
        <s v="Midnight to Morning Hydration Set"/>
        <s v="AHA Peeling Masks"/>
        <s v="Plantscription Retinol Night Moisturizer"/>
        <s v="Full-Size Water Drench Hydra-Pair 2-Piece Kit"/>
        <s v="Black Obsidian Face and Body Gua Sha"/>
        <s v="Mini Rose Quartz Facial Roller"/>
        <s v="MINI GINZING VITAMIN C EYE CREAM TO BRIGHTEN AND DEPUFF"/>
        <s v="Mini Squalane + Vitamin C Rose Firming Oil"/>
        <s v="Mini Charlotteâ€™s Magic Serum with Vitamin C"/>
        <s v="FAB Pharma Calamine Pore Purging Mask"/>
        <s v="Facial Razor Set"/>
        <s v="Self-Tanning Water Refill"/>
        <s v="The Lifting and Firming Mask"/>
        <s v="Ethylated Ascorbic Acid 15% Solution"/>
        <s v="Bestsellers Recruitment Set"/>
        <s v="Firming Eye Cream with Peptides"/>
        <s v="Calendula Petal-Infused Calming Mask with Aloe Vera"/>
        <s v="Here Comes The Sun Vitamin D Immune System Support Supplement"/>
        <s v="Firming Night Cream with Peptides"/>
        <s v="Mini Facial Spray with Aloe, Chamomile and Lavender"/>
        <s v="Mini Confidence in a Cream Hydrating Moisturizer"/>
        <s v="Skin Perfecting 8% AHA Gel Exfoliant"/>
        <s v="Aqua Bomb Mist"/>
        <s v="Vitamin Tonic"/>
        <s v="Vitamin C Serum"/>
        <s v="Midnight Secret Late Night Recovery Treatment Anti-Fatigue Serum"/>
        <s v="Mini Lemonade Smoothing Scrub"/>
        <s v="Mini Cream Skin Toner &amp; Moisturizer"/>
        <s v="Mini Rose &amp; Hyaluronic Acid Deep Hydration Moisturizer"/>
        <s v="Water Bank Blue Hyaluronic Hydration Set"/>
        <s v="Instant Magic Facial Dry Sheet Mask"/>
        <s v="Amethyst Roller"/>
        <s v="Aburatorigami Japanese Blotting Papers"/>
        <s v="G.Tox Ultimate Dry Brush"/>
        <s v="The Eye Balm Intense"/>
        <s v="CLEAR Anti-Redness Exfoliating Solution with 2% Salicylic Acid"/>
        <s v="Pores Target Serum"/>
        <s v="Omega+ Complex Serum"/>
        <s v="The Lip Volumizer"/>
        <s v="Milky Jelly Gentle Gel Face Cleanser"/>
        <s v="Reusable Cotton Pads"/>
        <s v="Lip Comfort Hydrating Oil"/>
        <s v="C-50 Blemish Night Treatment"/>
        <s v="Tan Build Up Remover Mitt"/>
        <s v="CLEAR Ultra-Light Daily Hydrating Fluid SPF 30+"/>
        <s v="Personal Microderm"/>
        <s v="IRIS Illuminating Eye Massager"/>
        <s v="Benefiance Pure Retinol Intensive Revitalizing Face Mask"/>
        <s v="Immortelle Reset Overnight Reset Oil-In Serum"/>
        <s v="Goddess Clay Mask"/>
        <s v="The UnScrub Gentle Cleansing Scrub"/>
        <s v="Clarifying Serum"/>
        <s v="Plantscription SPF 25 Power Anti-Aging Cream"/>
        <s v="Dermask Intra Jet Wrinkless Solution"/>
        <s v="Sun-Kissed Face Gelee Complexion Multitasker Bronzer"/>
        <s v="Rose Quartz Facial Roller"/>
        <s v="Wing Man Liver Detox and Dark Circle Supplement"/>
        <s v="Black Tea Firming Eye Serum"/>
        <s v="Barrier+ Lip Repair Balm"/>
        <s v="Uber Energy Adrenal Fatigue and Adaptogen Supplement"/>
        <s v="OMG! Omega The Great Fish Oil Supplement"/>
        <s v="FAB Pharma White Clay Acne Treatment Pads 2% Salicylic Acid"/>
        <s v="CLEAR Daily Skin Clearing Treatment with 2.5% Benzoyl Peroxide"/>
        <s v="Clean Hand Mask"/>
        <s v="Beauty Oil with Gold Leaf"/>
        <s v="Gold Sculpting Bar"/>
        <s v="The Broad Spectrum SPF 50 UV Protecting Fluid"/>
        <s v="Rose Hibiscus Hydrating Mist"/>
        <s v="Mini Facial Spray with Aloe, Cucumber and Green Tea"/>
        <s v="Rose Quartz Gua Sha"/>
        <s v="Big ChillAdaptogenStress Management Supplement"/>
        <s v="Stop Being So Sensitive Evercalm Kit"/>
        <s v="Dermask Micro Jet Brightening Solution"/>
        <s v="Hydrating Eye Cream with Hyaluronic Acid"/>
        <s v="Flash Nap Instant Revival Priming Eye Gel-Cream With Green Tea + Persian Silk Tree"/>
        <s v="Honey Potion Plus Ceramide Hydration Mask"/>
        <s v="Night Glow Self-Tan Face Mist"/>
        <s v="Baggage Claim Rose Gold Eye Masks"/>
        <s v="Salicylic Acid 2% Exfoliating Blemish Solution"/>
        <s v="Glycolic Acid Toner"/>
        <s v="CLEAR Pore Normalizing Acne Cleanser"/>
        <s v="Barrier+ Besties Hydrating and Nourishing Kit"/>
        <s v="100% Organic Virgin Chia Seed Oil"/>
        <s v="Pro Glow Spray Tan Kit"/>
        <s v="Hyaluronic Eye Cream"/>
        <s v="Retinoic Nutrient Face Oil With Vitamin A"/>
        <s v="Mini Lotus Youth Preserve Moisturizer"/>
        <s v="De-Puffing Rose Quartz Facial Roller"/>
        <s v="4 Piece Facial Razor Set"/>
        <s v="Party Recharge Hydrating Hyaluronic Under Eye Masks"/>
        <s v="PMD Personal Microderm with Hand &amp; Foot Kit"/>
        <s v="Classic Body Organic Sunscreen Spray SPF 50 Fragrance-Free"/>
        <s v="FAB Pharma BHA Acne Spot Treatment Gel 2% Salicylic Acid"/>
        <s v="SuperSolutions 1% Retinol Serum"/>
        <s v="White Lucent Power Brightening Mask"/>
        <s v="Acne Facial Cleanser"/>
        <s v="Kombucha + 10% AHA Liquid Exfoliant with Lactic Acid and Glycolic Acid"/>
        <s v="Epidermal Re-Texturizing Micro-Dermabrasion"/>
        <s v="3 Mega Wonders"/>
        <s v="Luminous Deep Hydration Lifting Mask"/>
        <s v="Fab Faves To Go Kit"/>
        <s v="The Pout Sparkling RosÃ© Hyaluronic Acid Collagen Plumping Lip Serum"/>
        <s v="PITERA First Experience Kit"/>
        <s v="Ultra Facial Moisturizer"/>
        <s v="Contouring + De-Puffing Rose Quartz Roller"/>
        <s v="Mini A-Passioni Retinol Cream"/>
        <s v="Mini Greek Yoghurt Foaming Cream Cleanser"/>
        <s v="Crystal Facial Roller Set"/>
        <s v="Mega-Mushroom Skin Relief Micellar Cleanser"/>
        <s v="SEA Mini Drink of H2O Hydrating Boost Moisturizer"/>
        <s v="Futuredew Facial Oil-Serum Hybrid"/>
        <s v="Silk Pillowcase - King"/>
        <s v="The Balance pH Balancing Gel Cleanser"/>
        <s v="SUPERMASK - The Charcoal Mask"/>
        <s v="CLEAR Oil-Free Moisturizer"/>
        <s v="Mini Natural Moisturizing Factors + HA"/>
        <s v="THE WATER Hydrating Self-Tan Water"/>
        <s v="Brumisateur Natural Mineral Water Facial Spray Travel Trio"/>
        <s v="Ultra Facial Moisturizer Sunscreen SPF 30"/>
        <s v="Facial Spray with Aloe, Chamomile and Lavender"/>
        <s v="Even Better Clinical Radical Dark Spot Corrector + Interrupter Serum"/>
        <s v="100% Niacinamide Powder"/>
        <s v="Noni Glow Overnight Plumping Hydration Mask"/>
        <s v="Hydrating Hyaluronic Acid Floral Essence"/>
        <s v="Perfectionist CP+R Wrinkle Lifting/Firming Serum"/>
        <s v="Pink Drink Firming Resurfacing Peptide Face Mist"/>
        <s v="Plumping Power Duo"/>
        <s v="Blue Orchid Radiance &amp; Hydrating Natural Face Treatment Oil"/>
        <s v="Healthy Skin Starter Kit"/>
        <s v="Squalane + Hyaluronic Toning Mist"/>
        <s v="Full Spectrum 360Â° Refreshing Water Mist Organic Face Sunscreen SPF 18"/>
        <s v="Honey Halo Moisturizer Jumbo"/>
        <s v="Touch Home Permanent Hair Removal Device"/>
        <s v="Facial Cleansing Tool"/>
        <s v="Black Tea Corset Firming Serum"/>
        <s v="Pore Clearing Matte Moisturizer with Volcanic Clusters"/>
        <s v="Ultra Glow Toner with Vitamins C + E"/>
        <s v="Trinity + Eye and Lip Enhancer Attachment Bundle"/>
        <s v="Mini Drink Up Intensive Overnight Hydrating Mask with Avocado &amp; Swiss Glacier Water"/>
        <s v="Mini Original Skin Retexturizing Mask with Rose Clay"/>
        <s v="Overnight Vitalizing Mask"/>
        <s v="LUNA Mini 3"/>
        <s v="Blue Algae Vitamin C Dark Spot Correcting Peel"/>
        <s v="Advanced GÃ©nifique Hydrogel Melting Mask"/>
        <s v="Mini Squalane Cleanser"/>
        <s v="Clarifying Cleansing Foam"/>
        <s v="Pout Preserve Peptide Lip Treatment"/>
        <s v="Moon Fruit 1% Bakuchiol + Peptides Retinol Alternative Serum"/>
        <s v="Call It A Night Glycolic Serum + Moisturizer duo"/>
        <s v="Strawberry Lip Balm"/>
        <s v="Crystal Ball Roller Gloss"/>
        <s v="Glowy Skin Prep Besties Set"/>
        <s v="Supplement Case"/>
        <s v="Dry Skin Saver"/>
        <s v="Power Cleanse Duo"/>
        <s v="Super-C Retinol Brighten &amp; Correct Vitamin C Serum"/>
        <s v="Alpha Arbutin Brightening Serum"/>
        <s v="Clarifying Peel Pads"/>
        <s v="ALIVE Prebiotic Balancing Mask"/>
        <s v="The Cleansing Foam"/>
        <s v="GLO Lit Teeth Whitening Vials 7 Pack + Lip Care"/>
        <s v="Tata's Daily Essentials Kit"/>
        <s v="1 Minute Face Masks"/>
        <s v="Refillable Magic Night Moisturizer with Retinol"/>
        <s v="Mini Facial Spray with Aloe, Herbs and Rosewater"/>
        <s v="Super Fluid Daily UV Defense Sunscreen Broad Spectrum SPF 50+"/>
        <s v="Personal Microderm Pro"/>
        <s v="Rapid Collagen Infusion"/>
        <s v="GENIUS Collagen Calming Relief"/>
        <s v="Eye Recharge + Replenish Pro-Ferm Overnight Eye Cream with Bakuchiol and Peptides"/>
        <s v="Facial Spray with Aloe, Cucumber and Green Tea"/>
        <s v="Mini Clear Improvement Active Charcoal Mask to Clear Pore"/>
        <s v="Truth Serum Vitamin C Serum"/>
        <s v="Plantscription Anti-Aging Power Eye Cream"/>
        <s v="Super Glow Hyaluronic Self-Tan Serum"/>
        <s v="Purifying Pore &amp; Blackhead Detox Mask"/>
        <s v="Water Bank Blue Hyaluronic Eye Cream"/>
        <s v="Retinol Firming Eye Cream"/>
        <s v="Dermask Water Jet Soothing Hydra Solution"/>
        <s v="Mineral Mattescreen Sunscreen SPF 40 PA+++"/>
        <s v="GenOptics Aura Essence Serum"/>
        <s v="GLO Brilliant Teeth Whitening GLO Vials 10 Pack plus Lip Care"/>
        <s v="RESIST Super-Light Daily Wrinkle Defense SPF 30"/>
        <s v="Baba Bomb Moisturizer"/>
        <s v="Baby Bar Travel Duo with Case"/>
        <s v="Pro Facial Steamer"/>
        <s v="Collagen Love Skin Firming Supplement with Hyaluronic Acid &amp; Vitamin C"/>
        <s v="Sex Dust   Adaptogens For Fire*"/>
        <s v="Mini Vitamin Nectar Glow Juice Antioxidant Face Serum"/>
        <s v="Acne Clearing Wash"/>
        <s v="Hyaluronic Marine Hydration Booster"/>
        <s v="Ultimate Sun Protection Spray Broad Spectrum SPF 50+ For Face/Body"/>
        <s v="Skin Perfecting 25% AHA + 2% BHA Exfoliant Peel"/>
        <s v="Youth or Dare Multi-Acid &amp; C-Serum"/>
        <s v="CLINICAL Discoloration Repair Serum"/>
        <s v="Daily Reviving Concentrate"/>
        <s v="Hydro Ungrip Makeup Remover + Cleansing Water"/>
        <s v="Vinopure Oil-Control Moisturizer for Acne Prone Skin"/>
        <s v="Plump + Juicy Vegan Collagen + Probiotic Spray-On Serum"/>
        <s v="EUK 134 0.1%"/>
        <s v="Advanced Retinol + Ferulic Intense Wrinkle Cream"/>
        <s v="Moisture Surge Eye 96-Hour Hydro-Filler Concentrate"/>
        <s v="ESPADA Blue Light Acne Treatment"/>
        <s v="Volcanic Clusters Pore Clearing Toner"/>
        <s v="Brightening Dark Spot Vitamin C Serum"/>
        <s v="Vinopure Purifying Clay Mask"/>
        <s v="Perfect Cleansing Oil"/>
        <s v="Skin Perfecting BHA 9 Treatment"/>
        <s v="Hyaluronic Marine Oil-Free Moisture Cushion"/>
        <s v="Advanced Retinol + Ferulic Overnight Texture Renewal Peel"/>
        <s v="Hyaluronic Marine Dew It Right Eye Gel"/>
        <s v="Cicapair Redness Rescue Kit"/>
        <s v="Squalane Oil"/>
        <s v="Willow &amp; Sweet Agave Plumping Lip Mask"/>
        <s v="Moon Dew 1% Bakuchiol + Peptides Retinol Alternative Eye Cream"/>
        <s v="Blue Aventurine De-Puffing Facial Roller"/>
        <s v="GLO Lit Teeth Whitening Vials 3 Pack"/>
        <s v="Intensive Moisture Balance Moisturizer"/>
        <s v="Cloud Cushion Plush Moisturizer with Ceramides + Peptides"/>
        <s v="Hydro UV Defense Sunscreen Broad Spectrum SPF 50+"/>
        <s v="Coconut Milk Bath Soak"/>
        <s v="Capture Youth Serum Collection"/>
        <s v="TL Advanced  Tightening Neck Cream PLUS for Firming &amp; Brightening"/>
        <s v="Melting Cleansing Balm Cleanse + Balance"/>
        <s v="Vinoclean Gentle Foam Cleanser"/>
        <s v="Mini Lotus Anti-Aging Night Moisturizer"/>
        <s v="Organic Sunless Tan Anti-Aging Face Serum"/>
        <s v="Clean Foot Mask"/>
        <s v="Fresh Pressed Daily Booster with Pure Vitamin C 10%"/>
        <s v="Ultra Facial Cream Sunscreen SPF 30"/>
        <s v="O-Bloos Rosi Glow Drops"/>
        <s v="FAB Skin Lab Retinol Serum 0.25% Pure Concentrate"/>
        <s v="V-Facial Instant Depuffing Face Mask"/>
        <s v="Vinosource-Hydra Moisturizing Mask"/>
        <s v="FAB Skin Lab Retinol Eye Cream with Triple Hyaluronic Acid"/>
        <s v="Ascorbyl Glucoside Solution 12%"/>
        <s v="Smoothing Cleanser"/>
        <s v="SOS Intensive Redness Relief Serum"/>
        <s v="Hydro Ungrip Makeup Removing Cleansing Balm"/>
        <s v="Extra Illuminating Moisture Balm"/>
        <s v="Omega + Complex Cleansing Balm"/>
        <s v="Instant Reset Brightening Overnight Recovery Gel-Cream With Niacinamide + Kalahari Melon Oil"/>
        <s v="Vitamin C &amp; Bearberry Instant Glow Serum"/>
        <s v="Creamy Bubbling Cleanser with Vitamin C &amp; AHAs"/>
        <s v="Lip Balm"/>
        <s v="Water Bank Blue Hyaluronic Gel Moisturizer"/>
        <s v="Clinical 0.3% Retinol + 2% Bakuchiol Treatment"/>
        <s v="Purifying Pore Detox Cleanser"/>
        <s v="Clean Smart Facial Cleansing Device"/>
        <s v="THE GRADUAL Illuminating Gradual Tan Lotion"/>
        <s v="Prism AHA + BHA Exfoliating Glow Serum"/>
        <s v="Silk Sleepmask"/>
        <s v="Resveratrol Lift Retinol Alternative Firming Night Moisturizer"/>
        <s v="Max Mineral Tinted Sunscreen Broad Spectrum SPF 45"/>
        <s v="Premier Cru Skin Barrier Rich Moisturizer with Bio-Ceramides"/>
        <s v="Super Nova 5% THD Vitamin C + Caffeine Brightening Eye Cream"/>
        <s v="Goat Milk Moisturizing Cleanser"/>
        <s v="Resveratrol Lift Firming Eye Gel-Cream"/>
        <s v="NuFACE Mini+ Petite Facial Toning Device"/>
        <s v="Rosehip Nourishing Night Oil"/>
        <s v="Vinoclean Moisturizing Toner with Rose Water"/>
        <s v="+Retinol Vitamin C Moisturizer"/>
        <s v="Age Adapting CBD Serum"/>
        <s v="Puffy Under-Eye Patches"/>
        <s v="De-Puffing Jade Facial Roller"/>
        <s v="Sunvisor Radiant Moisturizing Face Sunscreen SPF 35"/>
        <s v="THE BUTTER Illuminating Tanning Butter"/>
        <s v="Gold Camellia Beauty Oil"/>
        <s v="Bright &amp; Tight Dark Circle Firming Eye Cream with Vitamin C &amp; Peptides"/>
        <s v="Mini Sugar Strawberry Exfoliating Face Wash"/>
        <s v="Ultra Facial Toner"/>
        <s v="Great Skin, Great Deal Set for Dry Combination Skin"/>
        <s v="Clean Charcoal Nose Strip"/>
        <s v="Pre-Show Glow Instant Retexturizing 10% AHA Treatment + Reusable Applicator"/>
        <s v="Vitamin C Lactic Firm &amp; Bright Eye Treatment"/>
        <s v="Facial Radiance Niacinamide Dark Spot Serum"/>
        <s v="Glow Sweet Glow - Skin Hydration Vegan Gummies with Hyaluronic Acid &amp; Vitamin C + E"/>
        <s v="Bye Bye Pores Leave-On Solution Pore-Refining Toner"/>
        <s v="Rare Earth Deep Pore Daily Cleanser"/>
        <s v="Vinosource-Hydra SOS Hydrating Hyaluronic Acid Serum"/>
        <s v="LUXE+ Advanced Sonic Dermaplaning + Peach Fuzz Removal"/>
        <s v="Buttermask Intense Repair Lip Treatment"/>
        <s v="Vinoperfect Brightening Glycolic Peel Mask"/>
        <s v="The Lip Balm"/>
        <s v="Face Glaze Skin Barrier Protect &amp; Glow Moisturizer"/>
        <s v="Plump + Juicy Lip Booster Buttery Treatment"/>
        <s v="THE BODY Illuminating Self-Tan Drops"/>
        <s v="Calendula Herbal Extract Alcohol Free Toner"/>
        <s v="The Renewal Oil"/>
        <s v="Mandelic Acid Treatment"/>
        <s v="24K Gold Mask Pure Luxury Lift &amp; Firm"/>
        <s v="Blackhead Solutions Self-heating Blackhead Extractor"/>
        <s v="Ultracalming Cleanser"/>
        <s v="Watch Ya Tone 5% Niacinamide Dark Spot Serum with Vitamin C"/>
        <s v="RESIST Perfectly Balanced Foaming Cleanser"/>
        <s v="Ultra Facial Oil-Free Gel Cream"/>
        <s v="Vitamin Mask"/>
        <s v="Bright Eyes Collagen-Infused Brightening Colloidal Silver Eye Masks"/>
        <s v="Radian-C Brightening Treatment Essence"/>
        <s v="Hydrabarrier Nourishing Face Oil"/>
        <s v="Targeted Anti-Aging Bakuchiol Serum"/>
        <s v="POWER Recharging Night Pressed Serum"/>
        <s v="Pout Prep Lip Exfoliant"/>
        <s v="Glaze Lip Oil"/>
        <s v="Benefiance Wrinkle Smoothing Day Cream SPF 23"/>
        <s v="Dr. Andrew Weil For Origins Mega-Bright SPF 30 Skin Tone Correcting Oil-Free Moisturizer"/>
        <s v="Cactus Water Cleansing Lactic Acid Toner"/>
        <s v="Restorative Plumping + Brightening Eye Cream"/>
        <s v="CLOUD JELLY Plumping Hydration Serum"/>
        <s v="The Clarifying Clay Mask Exfoliating Pore Treatment"/>
        <s v="Multi-Peptide Eye Serum"/>
        <s v="Premier Cru Anti-Aging Serum with Niacinamide and Hyaluronic Acid"/>
        <s v="Squalane + Retinol Night Serum"/>
        <s v="Heavenly Sixteen All-In-One Face Oil"/>
        <s v="Beauty zzZz Sleep Support Supplement with Melatonin"/>
        <s v="Plump Jelly Hyaluronic Serum"/>
        <s v="Milk Marvel Dark Spot Serum with Niacinamide and Vitamin C"/>
        <s v="10% Azelaic Acid Booster"/>
        <s v="Aquarius Pore Purifying BHA Cream"/>
        <s v="FIRMx Collagen Face &amp; Eye Hydra-Gel Patches"/>
        <s v="Hyaluronic Acid Cleanser"/>
        <s v="The Texture Tonic AHA Liquid Exfoliating Treatment"/>
        <s v="CLINICAL Niacinamide 20% Treatment"/>
        <s v="Isle Lip Balm SPF 30 with Sea Moss and Aloe Stem Cells"/>
        <s v="Rich Bitch Cactus + Vitamin C Moisturizer"/>
        <s v="Cannabis Sativa Seed Oil Herbal Concentrate (Hemp-Derived)"/>
        <s v="Retinol Remix 1% Retinol Treatment With Peptide &amp; Tranexamic Acid"/>
        <s v="Hydrating Face Cream Moisturizer"/>
        <s v="Midnight Recovery Botanical Cleansing Oil"/>
        <s v="Ultra Sun Protection Lotion Broad Spectrum SPF 50+ WetForce for Sensitive Skin &amp; Children"/>
        <s v="The Neck Serum - With 5 Peptides | 9% Peptide Blend"/>
        <s v="Kaolin Mask"/>
        <s v="Midnight Ritual Retinol Renewal Serum"/>
        <s v="GENIUS Ultimate Anti-Aging Vitamin C+ Serum"/>
        <s v="Pink Cloud Soft Moisture Cream"/>
        <s v="BEAR Facial Toning Device"/>
        <s v="Vitamin C Lactic 15% Firm &amp; Bright Serum"/>
        <s v="Squalane + Elderberry Nourishing Jelly Cleanser"/>
        <s v="RESIST Advanced Replenishing Toner with Hyaluronic Acid"/>
        <s v="Metal Facial Razor"/>
        <s v="Broad Spectrum SPF 50 Sunscreen Face Cream"/>
        <s v="Face Serum"/>
        <s v="Overnight Restorative Cream"/>
        <s v="pores no more Vacuum Cleaner Pore Purifying Mask"/>
        <s v="Alpha Beta Ultra Gentle Daily Peel Pads for Sensitive Skin"/>
        <s v="Vinoperfect Brightening Glycolic Night Cream"/>
        <s v="Redness Recovery+ Antioxidant Redness Treatment Overnight Mask"/>
        <s v="Vegan Makeup Remover and Cleansing Brush"/>
        <s v="Resurfacing Peel Mask"/>
        <s v="Vitamin Enriched Eye Base"/>
        <s v="Orchid Antioxidant Beauty Face Oil - For Combination Skin"/>
        <s v="Blemish Balm Cleanser"/>
        <s v="Premier Cru Anti Aging Cream Moisturizer with Hyaluronic Acid"/>
        <s v="Moisture Surge Hydrating Supercharged Concentrate"/>
        <s v="Marine Hyaluronics"/>
        <s v="Advanced Anti-Aging Repairing Oil"/>
        <s v="&quot;B&quot; Oil"/>
        <s v="Raw Beauty Skin &amp; Energy Green Superfood Powder"/>
        <s v="Advanced Retinol + Ferulic Overnight Wrinkle Treatment"/>
        <s v="Clarifying AHA + BHA Mask"/>
        <s v="Vitamin C Lactic Dewy Deep Cream"/>
        <s v="Set The Stage Hydrating Primer Serum"/>
        <s v="Pimple Paste Overnight Blemish Drying Paste"/>
        <s v="GO OFF Makeup Dissolving Mist"/>
        <s v="Nova 15% Vitamin C + Turmeric Brightening Serum"/>
        <s v="Renewing Eye Cream"/>
        <s v="Intensive Eye Renewal Cream with Firming Peptides"/>
        <s v="Instant Pore Perfector"/>
        <s v="GinZing Into the Glow Brightening Serum"/>
        <s v="Outsmart Acne Clarifying Treatment"/>
        <s v="The Silk Cream"/>
        <s v="Line-Filling Eye Cream with Bakuchiol and Caffeine"/>
        <s v="Glowscreen Body Sunscreen SPF 40 PA+++"/>
        <s v="Pro Collagen Multi-Peptide Booster"/>
        <s v="Mini Virgin Marula LuxuryFace Oil"/>
        <s v="Clarifying Blemish &amp; Oil Control Cleanser"/>
        <s v="Daily Dose Hydra-Ceramide Boost + SPF 40 Sunscreen Oil PA+++"/>
        <s v="Dewy Glow Moisturizer with Cherry Blossom &amp; Niacinamide"/>
        <s v="Great Skin, Great Deal Set for Combination Oily Skin"/>
        <s v="Bye Bye Pores 10% Glycolic Acid Serum"/>
        <s v="Repairwear Intensive Lip Treatment"/>
        <s v="Retinol Face Stick"/>
        <s v="Bye Bye Dark Spots 4% Niacinamide Serum"/>
        <s v="Essential-C Toner"/>
        <s v="Brightening Treatment Drops Triple Vitamin C Serum"/>
        <s v="Blue Moon Clean-Rinse Cleansing Balm"/>
        <s v="Dermask Water Jet Vital Hydra Solution"/>
        <s v="Hydrating Oil Stick"/>
        <s v="Mini Gentle Cleansing Foam Hydrating Makeup Remover"/>
        <s v="Gentle Cleansing Foam Hydrating Makeup Remover"/>
        <s v="Squalane+ Rose Vegan Lip Balm"/>
        <s v="Private Party: Supports Vaginal &amp; Urinary Tract Health"/>
        <s v="Fenty Skin Travel Size Start'r Set"/>
        <s v="Own Your Glow Kit"/>
        <s v="Acne Solutions Oil-Control Cleansing Mask"/>
        <s v="Luxury Sun Ritual Pore Smoothing Sunscreen SPF 30"/>
        <s v="Repairwear Anti-Gravity Eye Cream"/>
        <s v="Liquid ExfoliKate Triple Acid Resurfacing Treatment"/>
        <s v="Cleansing Spa Water Cloths"/>
        <s v="Advanced Retinol + Ferulic Texture Renewal Serum"/>
        <s v="Wild Nettle &amp; Niacinamide Instant Firming Serum"/>
        <s v="Ultra Repair Oil-Control Moisturizer"/>
        <s v="Vitamin C Dark Circle Correcting Eye Serum"/>
        <s v="Cream Skin Mist"/>
        <s v="Glycolic Acid Exfoliating Toner"/>
        <s v="C5 Super Boost Vitamin C Moisturizer"/>
        <s v="Jade De-Puffing Face Roller"/>
        <s v="10 + 10 Moisturizer with 10% Vitamin C + 10% Peptide Complex + Ceramides"/>
        <s v="PLAY Antioxidant Body Sunscreen Mist SPF 50 PA++++"/>
        <s v="100% Plant-Derived Hemi-Squalane"/>
        <s v="Fat Water Hydrating Milky Toner Essence with Hyaluronic Acid + Tamarind"/>
        <s v="Banana Bright+ Vitamin CC Eye Sticks"/>
        <s v="Cocoa Cleans'r Soothing All-Over Cleansing Bar"/>
        <s v="Watermelon Brightening Serum"/>
        <s v="Midnight  Recovery Omega-Rich Cloud Cream"/>
        <s v="Green Defense Daily Mineral Sunscreen SPF 30"/>
        <s v="Facial Spray with Aloe, Herbs and Rosewater"/>
        <s v="SEA Mermaid Skin Hyaluronic H2O Serum"/>
        <s v="Bestsellers Trial Kit"/>
        <s v="Prism AHA + BHA Exfoliating Glow Facial"/>
        <s v="Cream Skin Milk Oil Cleanser"/>
        <s v="Advanced Retinol + Ferulic Triple Correction Eye Serum"/>
        <s v="Milk-Peel Gentle Exfoliating Toner"/>
        <s v="MAGNETIGHT Age-Defier Mask"/>
        <s v="Calendula Deep Clean Foaming Face Wash"/>
        <s v="That Limitless Glow Sheet Mask"/>
        <s v="Ceramide Hydrating Night Treatment"/>
        <s v="Daily Superfoliant Exfoliator"/>
        <s v="Water Bank Blue Hyaluronic Serum"/>
        <s v="Honey Grail Ultra-Hydrating Face Oil"/>
        <s v="Super Amino Gel Cleanser"/>
        <s v="Jasmine Green Tea Oil Control Toner"/>
        <s v="Retinal + Niacinamide Youth Serum"/>
        <s v="Mini Multi-Active Toner"/>
        <s v="Multi-Active Toner"/>
        <s v="Avocado Nourishing Hydration Mask"/>
        <s v="PoreDermabrasion Pore Perfecting Exfoliator"/>
        <s v="Lip Sleeping Mask"/>
        <s v="Mini Blueberry Bounce Gentle Cleanser"/>
        <s v="Hydrating Toner"/>
        <s v="Targeted Dark Spots Serum with Enzymes"/>
        <s v="The Eye Concentrate Cream"/>
        <s v="Self-Tanning Oil Mist"/>
        <s v="Resurfacing AHA + BHA Serum"/>
        <s v="Pore Remedy Purifying Mud Mask"/>
        <s v="24K Gold Pure Luxury Lift &amp; Firm Hydra-Gel Eye Patches"/>
        <s v="Dermask Micro Jet Clearing Solution"/>
        <s v="Every Sun Day Sun Fluid SPF 50+"/>
        <s v="Superfood Hydrate + Firm Peptide Eye Cream"/>
        <s v="Honey Whip Peptide and Collagen Moisturizer"/>
        <s v="Glow + Get It Cooling &amp; Brightening Eye Balm"/>
        <s v="Squalane + Vitamin C Rose Brightening Moisturizer"/>
        <s v="Retinol Youth Renewal Night Cream"/>
        <s v="Mochi Mochi Luminous Plumping &amp; Hydrating Moisturizer"/>
        <s v="Resveratrol Lift Retinol Alternative Firming Cashmere Moisturizer"/>
        <s v="Dewtopia 5% AHA Firming Night CrÃ¨me"/>
        <s v="Targeted Pores Serum with BHA + PHA"/>
        <s v="C5 Super Boost Vitamin C Eye Cream"/>
        <s v="Bamboo Charcoal Detoxifying Soap Bar"/>
        <s v="Water-Lock Moisturizer with Skin-Smoothing Peptides"/>
        <s v="Phoenix Rosehip Anti-Aging Face Oil - For Dry Skin"/>
        <s v="Potent-C Vitamin C Power Eye Cream"/>
        <s v="Mini Fulvic Acid Brightening Cleanser"/>
        <s v="Fulvic Acid Brightening Cleanser"/>
        <s v="Bakuchiol Retinol Alternative Moisturizer"/>
        <s v="Wild Huckleberry 8-Acid Polishing Peel Mask"/>
        <s v="Mini Vitamin C Glycolic Brightening Serum"/>
        <s v="10% Vitamin C Brightening Serum"/>
        <s v="City Skin Age Defense Broad Spectrum SPF 50 PA++++"/>
        <s v="Vitamin C Glycolic Brightening Serum"/>
        <s v="Every. Single. Face. Watery Lotion SPF 50"/>
        <s v="Resveratrol Lift Instant Firming Retinol Alternative Serum"/>
        <s v="Zincscreen 100% Mineral Sunscreen Lotion SPF 40 PA+++"/>
        <s v="Luxury Beauty Serum Calming Treatment"/>
        <s v="Daily Glycolic Cleanser"/>
        <s v="Bio-Performance Advanced Super Revitalizing Cream"/>
        <s v="Ceramidin Skin Barrier Moisturizing Mask"/>
        <s v="Wrinkle Warrior 2-in-1 Plumping Moisturizer + Serum"/>
        <s v="Retinol Youth Renewal Eye Serum"/>
        <s v="Microneedling Dark Spot Brightening Dots"/>
        <s v="Pep-Start Daily UV Protector Broad Spectrum SPF 50"/>
        <s v="Green Tea Hyaluronic Acid Hydrating Serum"/>
        <s v="Daily Dose Bioretinol + Mineral SPF 40 with Bakuchiol"/>
        <s v="Retinol Youth Renewal Eye Masks"/>
        <s v="PRO Strength Niacinamide Discoloration Treatment"/>
        <s v="Rose Glow + Get It Cooling &amp; Brightening Eye Balm"/>
        <s v="Brightening Dark Circle Eye Cream"/>
        <s v="Green Machine Vitamin C + Green Superfoods Jelly Serum"/>
        <s v="Get Even Rose Face Oil"/>
        <s v="Polypeptide-121 Future Cream with Peptides and Ceramides"/>
        <s v="Double Sided Luxe Tan Applicator Mitt"/>
        <s v="(Re) Setting Refreshing Mist SPF 40"/>
        <s v="Light Aura Vitamin C + Peptide Eye Cream"/>
        <s v="Even Better Eyes Dark Circle Corrector"/>
        <s v="Salicylic Acid Acne Day Dots"/>
        <s v="Brumisateur Natural Mineral Water Facial Spray"/>
        <s v="Invisible Physical Defense Mineral Sunscreen SPF30"/>
        <s v="JuJu Exfoliating Bar"/>
        <s v="Slushy Serum Moisturizer Crush Infused with Bakuchiol"/>
        <s v="Noni Bright 12% Vitamin C Serum"/>
        <s v="Powerful-Strength Vitamin C Serum"/>
        <s v="MultiVitamin Power Recovery Mask"/>
        <s v="Essential-C Cleanser"/>
        <s v="Eye Duty Niacinamide Brightening Eye Cream"/>
        <s v="White Lucent Anti-Dark Circles Eye Cream"/>
        <s v="CrÃ¨me Radiance Gentle Cleansing Creamy-Foam Cleanser"/>
        <s v="Glow Clear, Color Correcting Self-Tanning Mousse"/>
        <s v="Adaptogen Soothe + Hydrate Activated Mist with Peptides"/>
        <s v="Mini Glow Oil SPF 50 PA++++"/>
        <s v="Glow Oil Body Sunscreen SPF 50 PA++++"/>
        <s v="Total Eye Lift Firming &amp; Smoothing Anti-Aging Eye Cream"/>
        <s v="24-7 Moisture Hydrating Day &amp; Night Cream"/>
        <s v="Noni Radiant Brightening Eye Oil"/>
        <s v="Self Tan Purity Bronzing Water Face Mist"/>
        <s v="Menthol And Eucalyptus Lip Balm"/>
        <s v="Flatter Me Digestive Enzyme Supplement"/>
        <s v="Self Tan Purity Vitamins Bronzing Water Body Mist"/>
        <s v="High-Potency Night-A-Mins Oil-Free Resurfacing Cream with Fruit Derived AHAs"/>
        <s v="Hydrating Eye Cream"/>
        <s v="Premier Cru Dark Circle Correcting Eye Cream"/>
        <s v="Acid Potion AHA + BHA Resurfacing Exfoliator"/>
        <s v="RESIST Youth-Extending Daily Hydrating Fluid SPF 50"/>
        <s v="The Cult Classic Purifying Face Cleanser"/>
        <s v="Mini Gentle Cleansing Oil Makeup Remover"/>
        <s v="Gentle Cleansing Oil Makeup Remover"/>
        <s v="Berry Bright Firming Vitamin C Eye Cream"/>
        <s v="Green Tea Hyaluronic Acid Hydrating Moisturizer"/>
        <s v="Confidence in Your Beauty Sleep Night Cream"/>
        <s v="Confidence in a Cleanser Hydrating Facial Cleanser Serum"/>
        <s v="D-Scar Scar Diminishing Serum"/>
        <s v="Discover Healthy Skin Kit"/>
        <s v="Clean Screen Mineral SPF 30 Mattifying Face Sunscreen"/>
        <s v="Ceramidin Skin Barrier Moisturizing Cream"/>
        <s v="Vitamin C Glow Moisturizer"/>
        <s v="Barrier+ Triple Lipid-Hyaluronate Serum"/>
        <s v="Clean Skin Gel Cleanser with Prebiotics"/>
        <s v="The True Cream - Aqua Bomb Sunscreen Broad Spectrum SPF 50"/>
        <s v="Acne+ 2% BHA and Azelaic Acid Acne Spot Treatment"/>
        <s v="Bouncy Brightfacial Brightening Mask with 10% Azelaic Acid + 1% Salicylic Acid"/>
        <s v="Santorini Grape Velvet Skin Drink"/>
        <s v="Total Cleans'r Makeup-Removing Cleanser with Barbados Cherry"/>
        <s v="Active Moist Moisturizer"/>
        <s v="Ceramighty  AF Eye Cream with Ceramides"/>
        <s v="The Cream with TFC8 Face Moisturizer"/>
        <s v="Pore Remedy PHA Exfoliating Serum"/>
        <s v="Acne+ 2% BHA + Azelaic Acid + Niacinamide + AHA Cleanser"/>
        <s v="Ceramidin  Eye Cream with Niacinamide"/>
        <s v="Thirst Trap Juice Hyaluronic Acid &amp; Peptide Hydrating Facial Serum"/>
        <s v="Ultra Facial Overnight Hydrating Face Mask with 10.5% Squalane"/>
        <s v="Alpha Beta AHA/BHA Daily Cleansing Gel"/>
        <s v="Vinoclean Makeup Removing Cleansing Oil"/>
        <s v="Ultra Repair Oat &amp; Hemp Seed Dry Oil"/>
        <s v="Isle Glow Face Moisturizer SPF 45 with Sea Moss and Niacinamide"/>
        <s v="Self Tan Express Bronzing Mousse"/>
        <s v="PRO Strength Lactic Pore Treatment"/>
        <s v="Polyhydroxy Acid (PHA) Gentle Exfoliating Toner"/>
        <s v="Bright-Eyed 100% Mineral Eye Cream SPF 40 PA+++"/>
        <s v="Hydro-Dynamic Ultimate Moisture"/>
        <s v="Confidence in a Gel Lotion"/>
        <s v="Pekee Cleansing Bar"/>
        <s v="The Sunscreen - 100% Mineral, Broad Spectrum SPF 30 with 20% Non-Nano Zinc, Hyaluronic Acid and Niacinamide"/>
        <s v="Glow Peel Pads"/>
        <s v="1% Vitamin A Retinol Serum"/>
        <s v="Barrier+ Triple Lipid + Collagen + Niacinamide Activating Serum"/>
        <s v="Mineral Sheerscreen Sunscreen SPF 30 PA+++"/>
        <s v="Bright Start Retinol Alternative Brightening Eye Cream"/>
        <s v="Acne Solutions Cleansing Bar For Face and Body"/>
        <s v="Vinopure Natural Salicylic Acid Pore Minimizing Toner"/>
        <s v="Eczema+ Dermatitis Face Balm"/>
        <s v="Moisture Surge Overnight Face Mask"/>
        <s v="Melt Moisturizer with Bakuchiol and Squalane"/>
        <s v="PRO Strength Microdermabrasion Blackhead Eliminator"/>
        <s v="Clean Lip Balm &amp; Scrub"/>
        <s v="Skin Smoothing Cream Moisturizer"/>
        <s v="Instant FIRMx Temporary Face Tightener"/>
        <s v="Overnight Glow Dark Spot Sleeping Cream"/>
        <s v="Emerald Hemp Seed Deep Moisture Glow Oil"/>
        <s v="Great Skin Instant Glow Serum with Niacinamide and Hyaluronic Acid"/>
        <s v="Every Sun Day Mineral Sunscreen SPF 50+"/>
        <s v="Whipped Greens Oil-Free Foaming Cleanser with Moringa and Papaya"/>
        <s v="The Silk Sunscreen Mineral Broad Spectrum SPF 50 PA++++ with Hyaluronic Acid and Niacinamide"/>
        <s v="Targeted Wrinkle Corrector"/>
        <s v="Dream Oasis Deep Hydration Serum"/>
        <s v="Argan Daily Moisturizer Tinted SPF 47 Protect + Perfect"/>
        <s v="A-Gloei Retinol Oil"/>
        <s v="Lotus Youth Preserve Rescue Mask"/>
        <s v="Baggage Claim Eye Masks"/>
        <s v="Mini Turmeric BHA Pore &amp; Brightening Treatment Mask"/>
        <s v="Turmeric BHA Pore &amp; Brightening Treatment Mask"/>
        <s v="The Rich Cream with TFC8 Face Moisturizer"/>
        <s v="R + R Mask"/>
        <s v="Eye Doctor Moisture Care For Skin Around Eyes"/>
        <s v="Resurface+ AHA/BHA Niacinamide Exfoliating Pads for Face and Targeted Body"/>
        <s v="Vinosource-Hydra SOS Intense Hydration Moisturizer"/>
        <s v="GENIUS Ultimate Anti-Aging Cream"/>
        <s v="SuperYou Daily Stress Management"/>
        <s v="Evercalm Ultra Comforting Rescue Mask"/>
        <s v="Needles No More Wrinkle Smoothing Cream"/>
        <s v="SUBLIME DEFENSE Ultra Lightweight UV Defense Fluid SPF 50"/>
        <s v="Greek Yoghurt Probiotic Superdose Face Mask"/>
        <s v="Cryo-Recovery Depuffing Eye Serum"/>
        <s v="Pure Skin Clarifying Dietary Supplement"/>
        <s v="Platinum Lip Plump SPF 30"/>
        <s v="Ferulic Brew Facial Treatment Essence with Lactic Acid"/>
        <s v="Self Tan Classic Bronzing Mousse"/>
        <s v="Deep Relief Acne Treatment with Salicylic Acid"/>
        <s v="Vitamin C Brightening Cream"/>
        <s v="Squalane + Copper Peptide Rapid Plumping Serum"/>
        <s v="One-Step Gentle Exfoliating Cleanser with Orange Extract"/>
        <s v="Clean Cleansing &amp; Gentle Exfoliating Wipes"/>
        <s v="Mini Rare Earth Deep Pore Minimizing Cleansing Clay Mask"/>
        <s v="C.E.O. Afterglow Brightening Vitamin C Moisturizer"/>
        <s v="CC Screen 100% Mineral CC Cream SPF 50 PA++++"/>
        <s v="Truth Juice Daily Cleanser"/>
        <s v="Sugar Mint Rush Freshening Lip Treatment"/>
        <s v="Squalane + Amino Aloe Gentle Pore-Minimizing Cleanser"/>
        <s v="Honey Savior All-in-One Skin Repair Salve"/>
        <s v="Argan Bright Skin Vitamin C Serum"/>
        <s v="Cucumber Gel Mask Extreme Detoxifying Hydrator"/>
        <s v="Strawberry BHA Pore-Smooth Blur Drops"/>
        <s v="Irish Moor Mud Purifying Black Mask"/>
        <s v="Acne Clearing Skin Wash Cleanser"/>
        <s v="Oil and Pore Control Mattifier Broad Spectrum SPF 45 PA++++"/>
        <s v="Peptide 21 Amino Acid Exfoliating Peel Pads"/>
        <s v="Take The Day Off  Cleansing Oil Makeup Remover"/>
        <s v="Cicapair Tiger Grass Calming Mist"/>
        <s v="Acne-Clear Invisible Dots"/>
        <s v="Even Skin Tone Self-Tanning Body Butter"/>
        <s v="Emerald CBD + Adaptogens Deep Moisture Glow Oil"/>
        <s v="Omega Water Cream Moisturizer"/>
        <s v="Retinol Fusion PM Night Serum"/>
        <s v="Blackhead Solutions 7 Day Deep Pore Cleanse &amp; Face Scrub"/>
        <s v="Barrier+ Triple Lipid-Peptide Lotion Moisturizer"/>
        <s v="Wake Up Honey Eye Cream with Brightening Vitamin C"/>
        <s v="Daily Dose Vitamin C + SPF 40 Sunscreen Serum PA+++"/>
        <s v="Banana Bright+ Vitamin C Eye CrÃ¨me"/>
        <s v="Super Multi-Corrective Anti-Aging Eye Cream"/>
        <s v="Redness Solutions with Probiotic Technology Daily Relief Cream"/>
        <s v="Mini Mandelic Acid + Superfood Unity Exfoliant"/>
        <s v="Rapid Relief Acne Spot Treatment"/>
        <s v="Vital Skin-Strengthening Hyaluronic Acid Super Serum"/>
        <s v="Sugar Recovery Lip Mask Advanced Therapy"/>
        <s v="Micro-Dose Anti-Aging Retinol Serum with Ceramides and Peptide"/>
        <s v="Vital-E Antioxidant Recovery Eye Cream"/>
        <s v="That Jlo Glow Brightening &amp; Firming Serum with Niacinamide"/>
        <s v="Truth Barrier Booster Orange Ferment Vitamin C Essence"/>
        <s v="Premium BB Tinted Moisturizer with Niacinamide and SPF 40"/>
        <s v="Anti Bac Acne Clearing Lotion"/>
        <s v="Q10 Antioxidant Serum"/>
        <s v="BioLumin-C Vitamin C Serum"/>
        <s v="Daily Cleanse Clear Skin and Body Detox Supplement"/>
        <s v="Clearly Clean Makeup Removing Cleansing Balm"/>
        <s v="Teatreement Moisturizer"/>
        <s v="Avocado Ceramide Moisture Barrier Cleanser"/>
        <s v="Goat Milk Moisturizing Cream"/>
        <s v="Makeup Setting Spray Organic Sunscreen SPF 30"/>
        <s v="EradiKate Daily Cleanser Acne Treatment"/>
        <s v="Evercalm Overnight Recovery Balm"/>
        <s v="Goodbye Acne AHA/BHA Acne Clearing Gel Face Body Spot Treatment"/>
        <s v="Instant FIRMx Eye Temporary Eye Tightener"/>
        <s v="Superberry Dream Cleansing Balm"/>
        <s v="Pink Cloud Rosewater + Squalane Makeup Removing Face Wash"/>
        <s v="Radian-C Cream with Vitamin C"/>
        <s v="Nutrient-Charged Water Gel"/>
        <s v="C Beyond Triple Serum SPF 40 Mineral Sunscreen with Vitamin C 10% + Niacinamide"/>
        <s v="Acne Control Clarifying Body Spray"/>
        <s v="Squalane + 10% Vitamin C Dark Spot Serum"/>
        <s v="Argan Pro-Retinol Eye Cream"/>
        <s v="Cicapair Tiger Grass Calming Gel Cream"/>
        <s v="Mini Cloud Dew Oil-Free Gel Cream"/>
        <s v="Superscreen Daily Moisturizer Sunscreen SPF 40 PA+++"/>
        <s v="GENIUS Liquid Collagen Lip Treatment"/>
        <s v="Honey Balm Niacinamide Moisturizer"/>
        <s v="Skin Squad Pre + ProbioticSupplement for Acne-Prone Skin"/>
        <s v="Rapid Dark Spot Correcting Serum"/>
        <s v="Vinoclean Cleansing Micellar Water"/>
        <s v="Camellia Gold Spun Lip Balm"/>
        <s v="Sweet Biome Fermented Sake Hydrating Spray"/>
        <s v="Pineapple Enzyme Pore Clearing Cleanser"/>
        <s v="Aqua Bomb Jelly Cleanser"/>
        <s v="Rose Petal-Soft Deep Hydration Lip Balm"/>
        <s v="Regenerating Exfoliating Cleanser"/>
        <s v="Water Bank Blue Hyaluronic Cream Moisturizer"/>
        <s v="Vinoperfect Instant Brightening Moisturizer with Niacinamide"/>
        <s v="Oil Free Moisturizer"/>
        <s v="Advanced GÃ©nifique Wrinkle &amp; Dark Circle Eye Cream"/>
        <s v="InvisiScar Post-Acne Resurfacing Treatment"/>
        <s v="Acne Solutions All-Over Clearing Treatment Oil-Free"/>
        <s v="Mini Special Cleansing Gel"/>
        <s v="Dramatically Different Hydrating Jelly"/>
        <s v="Special Cleansing Gel"/>
        <s v="Watermelon Glow AHA Night Treatment"/>
        <s v="Mini AHA/BHA Exfoliating Cleanser"/>
        <s v="Cicapair Tiger Grass Sleepair Intensive Mask"/>
        <s v="Argan Beta Retinol Pink Algae Serum"/>
        <s v="Potent-C Vitamin C Power Serum"/>
        <s v="Lotus Youth Preserve Eye Cream"/>
        <s v="Barrier+ Skin Barrier Niacinamide Restoring Gel Cream"/>
        <s v="Invisiblur Perfecting Shield Broad Spectrum SPF 30 PA+++"/>
        <s v="Vegan Milk Cleanser"/>
        <s v="Full Spectrum 360Â° Sun Silk Drops Organic Sunscreen SPF 30"/>
        <s v="7 Day Face Scrub Cream Rinse-Off Formula"/>
        <s v="Mini Deep Sweep 2% BHA Pore Cleaning Toner with Moringa + Papaya"/>
        <s v="Rinse-Off Foaming Cleanser"/>
        <s v="10% Waterless Vitamin C Serum"/>
        <s v="Essential-C Day Moisture Broad Spectrum SPF 30 PA+++"/>
        <s v="Water Drench Hyaluronic Hydrating Moisturizer SPF 45"/>
        <s v="Charlotteâ€™s Magic Eye Cream with Retinol"/>
        <s v="Umbra Tinte Physical Daily Defense SPF 30"/>
        <s v="Clarifique Exfoliating &amp; Hydrating Face Essence with Glycolic Acid"/>
        <s v="Strength Trainer Peptide Boost Moisturizer"/>
        <s v="Wrinkle Blur Bakuchiol Eye Gel CrÃ¨me"/>
        <s v="Clarifying Toner"/>
        <s v="Maracuja C-Brighter Eye Treatment"/>
        <s v="All About Eyes Serum De-Puffing Eye Massage"/>
        <s v="Acne Control Clarifying Cream Cleanser"/>
        <s v="FILLING GOOD hyaluronic acid plumping serum"/>
        <s v="Clearly Corrective Dark Spot Solution Duo"/>
        <s v="Liquid Gold Exfoliating Treatment with Glycolic acid"/>
        <s v="Clarifying Lotion 3"/>
        <s v="Facial Treatment Cleanser"/>
        <s v="Barrier+ Triple Lipid-Boost 360Â° Brightening Eye Cream"/>
        <s v="Biolumin-C Vitamin C Eye Serum"/>
        <s v="Benefiance Wrinkle Smoothing Cream Enriched"/>
        <s v="Vinopure Pore Purifying Gel Cleanser"/>
        <s v="Polyglutamic Acid Hydrating Serum"/>
        <s v="Ginzing Vitamin C Eye Cream to Brighten and Depuff"/>
        <s v="Sunshine Vitamin C + Squalane Face Oil"/>
        <s v="SEA FRXXXTION Stick Exfoliating Cleanser"/>
        <s v="Mini First Care Activating Serum"/>
        <s v="Anti-Aging First Care Activating Serum"/>
        <s v="Aqua Bomb Sleeping Mask"/>
        <s v="Mini Retinol Youth Renewal Serum"/>
        <s v="Facial Treatment Clear Lotion Toner"/>
        <s v="Advanced GÃ©nifique Yeux Light-Pearl Eye Serum"/>
        <s v="Pep-Start Eye Cream"/>
        <s v="Acne Solutions Clarifying Lotion"/>
        <s v="Mini Retinol Reform"/>
        <s v="Turmeric Glow Brightening Moisturizer"/>
        <s v="E-Rase Milki Micellar Water Mini"/>
        <s v="E-Rase Milki Micellar Water"/>
        <s v="Evercalm Barrier Support Antioxidant Moisturizer"/>
        <s v="Retinol Youth Renewal Serum"/>
        <s v="Cold Plunge Pore Remedy Moisturizer with BHA/LHA"/>
        <s v="Acne Solutions Cleansing Foam"/>
        <s v="ExfoliKate Glow Moisturizer"/>
        <s v="Powerful-Strength Dark Circle Reducing Vitamin C Eye Serum"/>
        <s v="Aqua Bomb Hydrating Toner"/>
        <s v="Tan Tonic Glow Drops"/>
        <s v="Mini PLAY Everyday Lotion SPF 50 with Sunflower Extract"/>
        <s v="Deep Cleanser with Red Clay"/>
        <s v="Clear Improvement Charcoal Honey Mask to Purify and Nourish"/>
        <s v="Pure Argan Milk Intensive Hydrating Treatment"/>
        <s v="Mini Indigo Overnight Repair Serum in Cream Treatment"/>
        <s v="Noni Glow Plumping Face Oil"/>
        <s v="Floral Recovery Overnight Mask with Squalane"/>
        <s v="Triple Algae Eye Renewal Balm Eye Cream"/>
        <s v="Sugar Lip Balm Hydrating Treatment"/>
        <s v="SEA Deep Dive Cleansing Gel"/>
        <s v="Mini Noni Glow Face Oil"/>
        <s v="ICE Ceramide Moisturizer with Vitamin F"/>
        <s v="Hydro Biotic Recovery Sleeping Mask"/>
        <s v="Exfoliating Face Scrub"/>
        <s v="Argan Infinity Cream Intensive Creamy Oil"/>
        <s v="Abeille Royale Advanced Youth Watery Oil"/>
        <s v="Mini Precleanse Cleansing Oil"/>
        <s v="Precleanse Cleansing Oil"/>
        <s v="Rose Deep Hydration Sleeping Mask"/>
        <s v="Mini Ready Steady Glow Daily AHA Tonic"/>
        <s v="Glow Cycle Retin-ALT Power Serum"/>
        <s v="Aqua Bomb Brightening Vitamin C Cream"/>
        <s v="Hydra Zen Gel-Cream Oil-Free Moisturizer with Salicylic Acid"/>
        <s v="Clear Improvement Pore Clearing Moisturizer with Salicylic Acid"/>
        <s v="Lemonade Smoothing Scrub"/>
        <s v="GENIUS Sleeping Collagen Moisturizer"/>
        <s v="Aqua Bomb Cleansing Balm"/>
        <s v="High-Potency Night-a-Mins Resurfacing Cream with Fruit-Derived AHAs"/>
        <s v="Urban Environment Oil-Free Sunscreen Broad-Spectrum SPF 42"/>
        <s v="The Serum Stick: Treatment &amp; Touch Up Balm"/>
        <s v="Vinopure Natural Salicylic Acid Pore Minimizing Serum"/>
        <s v="Umbra Sheer Physical Daily Defense SPF 30"/>
        <s v="Clarifying Lotion 2"/>
        <s v="Mini CrÃ¨me de la Mer Moisturizer"/>
        <s v="Whipped Argan Oil Face Butter"/>
        <s v="Benefiance Wrinkle Smoothing Eye Cream"/>
        <s v="Wild Rose Night-Brightening Sleeping Facial"/>
        <s v="Mini Plum Plump Hyaluronic Acid Moisturizer"/>
        <s v="Dreamskin Skin Perfector"/>
        <s v="Dewtopia 20% Acid Night Treatment"/>
        <s v="Alpha Beta Pore Perfecting &amp; Refining Serum"/>
        <s v="Brumisateur Natural Mineral Water Facial Spray Travel Duo"/>
        <s v="Anti-Aging Cleansing Gel"/>
        <s v="GinZing Refreshing Scrub Cleanser"/>
        <s v="All About Eyes Eye Cream"/>
        <s v="Drink Up Intensive Overnight Hydrating Mask with Avocado &amp; Swiss Glacier Water"/>
        <s v="Vegan Milk Moisturizer"/>
        <s v="Mini FIRMx Exfoliating Peel Gel"/>
        <s v="5 Stars Retinol + Niacinamide Eye Serum"/>
        <s v="Moisture Surge 100H Auto-Replenishing Hydrator Moisturizer"/>
        <s v="PHAT Glow Facial Mask"/>
        <s v="Advanced Night Repair Eye Gel-Cream"/>
        <s v="Tea Elixir Niacinamide &amp; Hyaluronic Acid Anti-Aging Serum"/>
        <s v="Aqua Bomb Overnight Lip Mask"/>
        <s v="Minted Rose Lip Balm"/>
        <s v="Argan Cleansing Oil"/>
        <s v="Mini Adaptogen Deep Moisture Cream with Ashwagandha + Reishi"/>
        <s v="Mini GOOPGLOW Microderm Instant Glow Exfoliator"/>
        <s v="GOOPGLOW Microderm Instant Glow Exfoliator"/>
        <s v="Mini Yo Glow AHA &amp; BHA Facial Enzyme Scrub"/>
        <s v="Advanced Night Repair Synchronized Multi-Recovery Complex Duo"/>
        <s v="Mini Advanced Night Repair Synchronized Multi-Recovery Complex"/>
        <s v="Mini Acne Control Clarifying Cleanser"/>
        <s v="Mini Barrier+ Triple Lipid-Peptide Face Cream"/>
        <s v="Mini The Essence  Skincare Boosting Treatment"/>
        <s v="Mini Ultra Facial Moisturizing Cream with Squalane"/>
        <s v="Ultimate Sun Protector Lotion SPF 50+ Sunscreen"/>
        <s v="Mini Facial Treatment Essence (Pitera Essence)"/>
        <s v="Mini Oat Cleansing Balm"/>
        <s v="Beauty Elixir Prep, Set, Glow Face Mist"/>
        <s v="Mini The Water Cream"/>
        <s v="Greek Yoghurt Foaming Cream Cleanser"/>
        <s v="Mini Take The Day Off Cleansing Balm Makeup Remover"/>
        <s v="Instant Masks"/>
        <s v="Ceramic Slip French Green Clay Cleanser"/>
        <s v="DERMAPORE Ultrasonic Pore Extractor &amp; Serum Infuser"/>
        <s v="Protini Powerpeptide Resurfacing Serum with Lactic Acid"/>
        <s v="Squalane + Antioxidant Makeup Removing Cleansing Oil"/>
        <s v="Cloud Dew Gel Cream Moisturizer"/>
        <s v="Mini Protini Polypeptide Moisturizer"/>
        <s v="Squalane + BHA Pore-Minimizing Toner"/>
        <s v="Cucumber De-Tox Hydra-Gel Eye Patches"/>
        <s v="Clean Bee Ultra Gentle Facial Cleanser"/>
        <s v="Auto Correct Brightening + Depuffing Eye Cream for Dark Circles"/>
        <s v="Rose &amp; Hyaluronic Acid Deep Hydration Moisturizer"/>
        <s v="Lotus Anti- Aging Daily Moisturizer"/>
        <s v="Vitamin B, C, and E Moisturizer"/>
        <s v="The Youth System"/>
        <s v="All Day Hyaluronic Acid Hydrator Moisturizer"/>
        <s v="Ultra Repair Hydra-Firm Night Cream"/>
        <s v="Squalane + Zinc Sheer Mineral Sunscreen SPF 30 PA +++"/>
        <s v="Dream Eye Cream with Vitamin C and Ceramides"/>
        <s v="Ultra Repair Wild Oat Hydrating Toner"/>
        <s v="Multivitamins 15% Vitamin C + Retinol Mini Set"/>
        <s v="Original Skin Matte Moisturizer with Willowherb"/>
        <s v="AHA/BHA Exfoliating Cleanser"/>
        <s v="Focuspot Micro Tip Patches"/>
        <s v="Triple Peptide Hydrating + Firming Oasis Serum with Hyaluronic Acid"/>
        <s v="Pumpkin Enzyme Mask Enzymatic Dermal Resurfacer"/>
        <s v="Charlotteâ€™s Magic Serum with Vitamin C"/>
        <s v="Resurfacing BHA Glow Mask"/>
        <s v="Honey Butter Beeswax Lip Balm"/>
        <s v="Rose &amp; Squalane Deep Hydration Oil-Infused Serum"/>
        <s v="Tonique Confort Re-Hydrating Comforting Toner with Acacia Honey"/>
        <s v="Rapid Radiance Set"/>
        <s v="Goodnight Glow Bakuchiol Sleeping CrÃ¨me"/>
        <s v="Baby Pekee Bar + Juju Bar Travel Duo"/>
        <s v="THE FACE Illuminating Self-Tan Drops"/>
        <s v="Amino Acids + B5"/>
        <s v="Pycnogenol 5%"/>
        <s v="10% Niacinamide Night Mask"/>
        <s v="FIRMx Exfoliating Peel Gel"/>
        <s v="Barrier+ Foaming Oil Hydrating Cleanser"/>
        <s v="SEA Pack Your Bags Undereye Patches"/>
        <s v="Goodbye Acne  Max Complexion Correction Pads"/>
        <s v="Acne Control Clarifying Cleanser"/>
        <s v="Drying Lotion"/>
        <s v="Fruit Babies Bestsellers Kit"/>
        <s v="All About Clean Liquid Facial Soap"/>
        <s v="Glycol Lactic Radiance Renewal Mask"/>
        <s v="Ascorbyl Tetraisopalmitate Solution 20% in Vitamin F"/>
        <s v="Black Tea Firming and De-Puffing Eye Cream"/>
        <s v="Squalane + Probiotic Balancing Gel Moisturizer"/>
        <s v="Estee Lauder Advanced Night Repair Synchronized Multi-Recovery Complex Serum"/>
        <s v="Ultra Repair Face Moisturizer"/>
        <s v="Nourishing Moisturizer with Prebiotics"/>
        <s v="Squalane + Peptide Brightening &amp; De-Puffing Eye Gel"/>
        <s v="Acne Solutions Clinical Clearing Gel"/>
        <s v="Double Serum Firming &amp; Smoothing Anti-Aging Concentrate"/>
        <s v="Clinique iD Custom-Blend Hydrator Collection"/>
        <s v="Water Drench Hyaluronic Cloud Hydra-Gel Eye Patches"/>
        <s v="Ultra Repair Firming Collagen Cream with Peptides and Niacinamide"/>
        <s v="Resveratrol 3% + Ferulic Acid 3%"/>
        <s v="CLINICAL 1% Retinol Treatment"/>
        <s v="PLAY Everyday Sunscreen Lotion SPF 50 PA++++"/>
        <s v="Tranexamic Acid Hyperpigmentation Treatment"/>
        <s v="Sugar Strawberry Exfoliating Face Wash"/>
        <s v="Cicapair  Tiger Grass Camo Drops Color Corrector SPF 35"/>
        <s v="ExfoliKate Cleanser Daily Foaming Wash"/>
        <s v="Superclay Purify + Clear Power Mask with Niacinamide"/>
        <s v="Mini Charlotte's Magic Cream"/>
        <s v="Confidence in a Cream Anti-Aging Hydrating Moisturizer"/>
        <s v="Ultra Facial Cleanser"/>
        <s v="Yo Glow AHA &amp; BHA Facial Enzyme Scrub"/>
        <s v="Mini C.E.O. Vitamin C Brightening Rich Hydration Moisturizer"/>
        <s v="Retinol Reform Treatment Serum"/>
        <s v="Bye Bye Redness Neutralizing Color-Correcting Cream"/>
        <s v="Watermelon Glow Niacinamide Sunscreen SPF 50"/>
        <s v="Hydra Vizor Invisible Moisturizer Broad Spectrum SPF 30 Sunscreen with Niacinamide + Kalahari Melon"/>
        <s v="Mini Glowscreen Sunscreen SPF 40 PA+++ with Hyaluronic Acid + Niacinamide"/>
        <s v="Hello FAB Coconut Water Cream"/>
        <s v="Mini SOS Daily Rescue Facial Spray"/>
        <s v="Bye Bye Under Eye Brightening Eye Cream for Dark Circles"/>
        <s v="Mini Liquid Silk Canvas: Featherweight Protective Primer"/>
        <s v="100% L-Ascorbic Acid Powder"/>
        <s v="100% Organic Cold-Pressed Moroccan Argan Oil"/>
        <s v="Pitera Facial Treatment Mask"/>
        <s v="Mini Rose &amp; Hyaluronic Acid Deep Hydration Toner"/>
        <s v="Rosebud Salve in a Tube"/>
        <s v="Black Tea Instant Perfecting Mask"/>
        <s v="Collagen Booster Firming Peptide Serum"/>
        <s v="A+ High-Dose Retinol Serum"/>
        <s v="Vinoperfect Brightening Glycolic Essence"/>
        <s v="Mini Unseen Sunscreen SPF 40 PA+++"/>
        <s v="Succinic Acid Acne Treatment"/>
        <s v="GENIUS Liquid Collagen Serum"/>
        <s v="Creamy Eye Treatment with Avocado"/>
        <s v="(Re)setting 100% Mineral Powder Sunscreen SPF 35 PA+++"/>
        <s v="Overtime Mask"/>
        <s v="Lapis Blue Tansy Face Oil - For Oily &amp; Acne-Prone Skin"/>
        <s v="All About Eyes Rich Eye Cream"/>
        <s v="Peptide Moisturizer"/>
        <s v="Pearly Girl Vegan Teeth Whitening Pen"/>
        <s v="Juno Antioxidant + Superfood Face Oil"/>
        <s v="Therapeutic Sulfur Acne Treatment Mask"/>
        <s v="100% Sugarcane Squalane Oil"/>
        <s v="Mini Watermelon Pink Juice Oil-Free Moisturizer"/>
        <s v="Pore-Balance Facial Sauna Scrub"/>
        <s v="SEA drink of H2O hydrating boost moisturizer"/>
        <s v="Berries n' Choco Kisses Set"/>
        <s v="F-Balm Electrolyte Waterfacial Mask"/>
        <s v="Squalane + 10% Lactic Acid Resurfacing Serum"/>
        <s v="Glow Stick Sunscreen SPF 50 PA++++"/>
        <s v="Daily Greens Oil-Free Gel Moisturizer with Moringa and Papaya"/>
        <s v="Guava Vitamin C Bright-Eye Gel Cream"/>
        <s v="Blueberry Bounce Gentle Cleanser"/>
        <s v="Find Your Balance Oil Control Cleanser"/>
        <s v="Vitamin C Suspension 30% in Silicone"/>
        <s v="Beta Hydroxy Acid (BHA) Blemish + Blackhead Serum"/>
        <s v="Self-Tanning Water"/>
        <s v="Black Tea Firming Overnight Mask"/>
        <s v="Cicapair Tiger Grass Serum"/>
        <s v="Cookies N Clean Whipped Clay Pore Detox Face Mask with Salicylic Acid + Charcoal"/>
        <s v="Glow Lip Pop Lip Balm"/>
        <s v="Water Drench Hyaluronic Acid Moisturizer"/>
        <s v="Cicapair Tiger Grass Cream"/>
        <s v="Lactic Acid 5% + HA"/>
        <s v="C15 Vitamin C Super Booster"/>
        <s v="Clear Sunscreen Stick SPF 50+"/>
        <s v="Mini Cicapair Tiger Grass Color Correcting Treatment SPF 30"/>
        <s v="ExfoliKate Intensive Pore Exfoliating Treatment"/>
        <s v="Clearly Corrective Dark Spot Correcting Serum"/>
        <s v="C.E.O Glow Vitamin C + Turmeric Face Oil"/>
        <s v="Shaba Complex Firming Eye Serum"/>
        <s v="Watermelon Glow Hyaluronic Clay Pore-Tight Facial Mask"/>
        <s v="Ready Steady Glow Daily AHA Tonic"/>
        <s v="Squalane + Omega Repair Deep Hydration Moisturizer"/>
        <s v="Retinol Eye Cream"/>
        <s v="Plush Puddinâ€™ Intensive Recovery Lip Mask With Pomegranate Sterols + Vitamin E"/>
        <s v="The Dewy Serum Resurfacing and Plumping Treatment"/>
        <s v="Fat Water Niacinamide Pore-Refining Toner Serum with Barbados Cherry"/>
        <s v="Sheet Masks"/>
        <s v="Hello FAB Coconut Skin Smoothie Priming Moisturizer"/>
        <s v="Sugar Face Polish Exfoliator"/>
        <s v="Water Sleeping Mask with Squalane"/>
        <s v="Out of Trouble 10 Minute Mask to Rescue Problem Skin"/>
        <s v="Mini Superberry Hydrate + Glow Dream Mask"/>
        <s v="Maracuja Oil"/>
        <s v="Cica Sleeping Mask"/>
        <s v="Niacinamide Oil Control Serum"/>
        <s v="Clean Face Mask"/>
        <s v="Rose Floral Toner"/>
        <s v="CC Me Vitamin C + Niacinamide Serum"/>
        <s v="Benefiance WrinkleResist24 Pure Retinol Express Smoothing Eye Mask"/>
        <s v="Rosebud Salve"/>
        <s v="Yerba Mate Resurfacing + Exfoliating Energy Facial with Enzymes + Niacinamide"/>
        <s v="Advanced GÃ©nifique Radiance Boosting Face Serum"/>
        <s v="Matrixyl* 10% + HA"/>
        <s v="Lippe Balm"/>
        <s v="Argireline Solution 10%"/>
        <s v="Papaya Sorbet Smoothing Enzyme Cleansing Balm &amp; Makeup Remover"/>
        <s v="15% Vitamin C and EGF Brightening Serum"/>
        <s v="Brighten-i Eye Cream"/>
        <s v="GinZing Ultra-Hydrating Energy-Boosting Cream"/>
        <s v="Slaai  Makeup-Melting Butter Cleanser"/>
        <s v="Banana Bright 15% Vitamin C Serum"/>
        <s v="CrÃ¨me de la Mer Moisturizer"/>
        <s v="&quot;Buffet&quot; + Copper Peptides 1%"/>
        <s v="SOS Daily Rescue Facial Spray"/>
        <s v="The Silk Peony Melting Eye Cream"/>
        <s v="Dramatically Different Moisturizing Lotion+"/>
        <s v="Squalane + Marine Algae Firming &amp; Lifting Eye Cream"/>
        <s v="Deep Sweep 2% BHA Pore Cleaning Toner with Moringa + Papaya"/>
        <s v="Mini Faded Serum for Dark Spots &amp; Discoloration"/>
        <s v="Lip Treatment Balm"/>
        <s v="Gua Sha Facial Lifting Tool"/>
        <s v="Cryo Rubber Masks"/>
        <s v="EradiKate Acne Treatment"/>
        <s v="CC+ Cream Oil-Free Matte with SPF 40"/>
        <s v="Clean Eye Mask"/>
        <s v="Daily Microfoliant Exfoliator"/>
        <s v="15% Vitamin C + Clean Caffeine Energy Serum"/>
        <s v="Dramatically Different Moisturizing Gel"/>
        <s v="GLO Brilliant White Smile - At Home Teeth Whitening Device"/>
        <s v="Violet-C Radiance Mask"/>
        <s v="C.E.O. 15% Vitamin C Brightening Serum"/>
        <s v="Balancing Force Oil Control Toner"/>
        <s v="Super Spot Remover Acne Treatment Gel"/>
        <s v="The Silk Canvas Protective Primer Mini"/>
        <s v="Checks and Balances Frothy Face Wash"/>
        <s v="GLOfacial Antimicrobial Treatment Tips + Cleaning Brush Accessories"/>
        <s v="The POREfessional Speedy Smooth Mask"/>
        <s v="Microdermabrasion Smoothing Lip Scrub"/>
        <s v="Gentle Eye Gel Waterproof Eye &amp; Lip Makeup Remover"/>
        <s v="Hydra Prep Soothing &amp; Hydrating Gel"/>
        <s v="Acne Treatment Gel"/>
        <s v="Hydrating Oil-Free Gel Moisturizer"/>
        <s v="Mini Evening Primrose + Green Tea Algae Retinol Face Oil"/>
        <s v="Concentrated Ginseng Renewing Sheet Masks"/>
        <s v="Jade Facial Roller"/>
        <s v="Clarifying Do-Over Peel"/>
        <s v="Faceshot Vitamin Ampoules Refill"/>
        <s v="Concentrated Ginseng Renewing Rescue Ampoule"/>
        <s v="Trinity+ Starter Kit"/>
        <s v="Aqua Bomb Protect &amp; Glow Travel Kit"/>
        <s v="Restoring Moonseed Treatment - Lâ€™Immortale Empress"/>
        <s v="Urban Environment Vita-Clear Sunscreen SPF 42"/>
        <s v="Youthful Active Roller with Niacinamide"/>
        <s v="Aloe Vera Gel"/>
        <s v="Secret Sauce Moisturizer"/>
        <s v="Microdermabrasion Scrub"/>
        <s v="Revitalizing Supreme+ Youth Power Eye Balm"/>
        <s v="Absolue Rose 80 Brightening Toner with Salicylic Acid"/>
        <s v="Revitalizing Supreme+ Bright Soft Creme Moisturizer"/>
        <s v="Total Cleansing Oil &amp; Makeup Remover"/>
        <s v="Darker Skin Tones Foam Cleanser"/>
        <s v="Mini Equilibrium Rebalancing Cream Cleanser"/>
        <s v="Plankton + PHAFlower Acid Algae Serum"/>
        <s v="Pack Up &amp; Glow Priming Mineral SPF 40"/>
        <s v="Advanced Retinol Daily Repair Face Moisturizer Broad Spectrum SPF 30"/>
        <s v="Rising Star Sleep Travel Set"/>
        <s v="Daily Hydrating Sun Protection Set"/>
        <s v="Genifique Routine Set"/>
        <s v="Face Stone Nourishing Solid Refillable Facial Oil with Tamanu + Blue Tansy"/>
        <s v="Wrinkle Correcting Skincare Set"/>
        <s v="Purifying Gentle Foaming Cleanser with Salicylic Acid"/>
        <s v="Repairwear Uplifting Firming Cream Broad Spectrum SPF 15"/>
        <s v="Detoxifying AHA/BHA Gel Cleanser"/>
        <s v="Hydra Life Fresh Sorbet CrÃ¨me Moisturizer"/>
        <s v="NUDESKIN Lemon-Aid Detox &amp; Glow Micro-Peel"/>
        <s v="Mineral Face Sunscreen Sheer Matte SPF 30"/>
        <s v="Smart Clinical Repair Wrinkle Correcting Cream"/>
        <s v="ExfoliKate All Over Glow Kit"/>
        <s v="Revitalizing Supreme+ Night Intensive Restorative CrÃ¨me"/>
        <s v="Firm Up Deep Wrinkle Serum"/>
        <s v="Evercalm Gentle Cleansing Gel"/>
        <s v="Dior Skin Mattifying Papers"/>
        <s v="Paradisi Hydrating Essence Mist"/>
        <s v="Makeup Melting Balm Cleanser"/>
        <s v="EradiKate Try-Me-Kit"/>
        <s v="NuBODY - Body Toning Device"/>
        <s v="Mask and Moisturize Duo Skincare Gift Set"/>
        <s v="Super-C Dark Circle Brightening Eye Serum"/>
        <s v="Algae + Zinc Sea Kale Mineral Sunscreen SÃ©rum SPF 30"/>
        <s v="Hello Radiance Illuminating Serum"/>
        <s v="Mini Algae + Moringa Universal Face Oil"/>
        <s v="Eye Want It All Face + Eye Microneedling Set"/>
        <s v="Precision MINI Edges 8-Pack Refill"/>
        <s v="SHIKULIME Gel-to-Oil Cleanser"/>
        <s v="Retinol Recovery Eye Cream"/>
        <s v="Mini Flatter Me Digestive Enzyme Supplement"/>
        <s v="Daily Defense Moisturizer Mineral SPF 60 with Vitamin C"/>
        <s v="The Light Cream"/>
        <s v="The Clean Dream Team Set"/>
        <s v="Gradual Tan Tinted Daily Firming Lotion"/>
        <s v="YUZU-C Glow-On Shot Serum"/>
        <s v="GOOPGENES Nourishing Repair Body Butter"/>
        <s v="Clinique Smart Clinical MD Multi-Dimensional Age Transformer Resculpt"/>
        <s v="Hydrating Cream Cleanser with Hyaluronic Acid"/>
        <s v="Clarifying Water Gel Moisturizer with Hyaluronic Acid"/>
        <s v="Hydra Lip Masque Mineral SPF 15 with Peptides"/>
        <s v="Face Cream Light"/>
        <s v="Clinique Smart Clinical MD Multi-Dimensional Age Transformer Revolumize"/>
        <s v="Smart Broad Spectrum SPF 15 Custom-Repair Moisturizer for Very Dry to Dry Skin"/>
        <s v="Retinol Resurfacing Night Moisturizer"/>
        <s v="Knockout 10% Acid Complex Serum"/>
        <s v="Evercalm Skin Zen Trio"/>
        <s v="Mini Revitalizing Supreme+ Youth Power Creme Moisturizer"/>
        <s v="Absolue Rich Cream Moisturizer"/>
        <s v="Claydate Detoxifying &amp; Toning Face Mask Stick"/>
        <s v="Triple Active Retinol Gentle Overnight Renewal Cream"/>
        <s v="Fruit-Tox Resurfacing Facial Remedy"/>
        <s v="Glow Facial Set"/>
        <s v="Inflam-Aging Night Repair Treatment"/>
        <s v="24-7 Moisture Intense Ultra Hydrating Day &amp; Night Cream with Hyaluronic Acid + Squalane"/>
        <s v="Soothing Toning Lotion with Chamomile"/>
        <s v="Solar Power Luminous SPF 30 Brightening Serum"/>
        <s v="Brightening Face Lotion"/>
        <s v="KOSHIRICE Acne Calming Spot Treatment"/>
        <s v="NUDESKIN 3-Step: Citrus Renew Set For Makeup"/>
        <s v="Repairwear Laser Focus Line Smoothing Cream Broad Spectrum SPF 15 for Very Dry to Dry Combination Skin"/>
        <s v="LUNA 4 Facial Cleansing &amp; Firming Massage for Combination Skin"/>
        <s v="Oil Control Moisturizer with Niacinamide"/>
        <s v="Chlorella + Reishi Sea Vitamin C SÃ©rum"/>
        <s v="Ultra Facial Hydrating Concentrated Cleansing Bar"/>
        <s v="Skin Hydrator Ceramide and Hyaluronic Acid Supplement"/>
        <s v="Hydrating Gentle Foaming Cleanser with Aloe Vera"/>
        <s v="GOOPGENES All-in-One Nourishing Skincare Kit"/>
        <s v="Glucoside Foaming Cleanser"/>
        <s v="Blades"/>
        <s v="Hydrate + Purify Mini Bestsellers Discovery Skincare Set"/>
        <s v="Algae + Moringa Universal Hydrating Face Oil"/>
        <s v="Self Tanning Face &amp; Body Tinted Gel"/>
        <s v="The Quench Eye Reviving Quadralipid Eye Balm"/>
        <s v="Supreme Restructure Collagen-Boosting Cermide Cream"/>
        <s v="Supers Set"/>
        <s v="Concentrated Ginseng Renewing Cream Classic"/>
        <s v="Drying Cream"/>
        <s v="Concentrated Ginseng Renewing Serum"/>
        <s v="Hyaluronic Dew Cream"/>
        <s v="Multi-Active Anti-Aging Day Moisturizer for Glowing Skin"/>
        <s v="Personalized Cleanser, SPF Day Moisturizer, Night Cream Set"/>
        <s v="SATOCANE Pore Purifying Scrub Mask"/>
        <s v="Darker Skin Tones Face Cream"/>
        <s v="Active Blast Concentrated Collagen Daily Treatment"/>
        <s v="100% Mineral Sunscreen Starter Kit"/>
        <s v="15% Niacinamide Gel Serum"/>
        <s v="Brightening Serum"/>
        <s v="Spirulina + Ashwagandha Volcanic Sea Clay Detox Masque"/>
        <s v="GLOfacial Clarifying Salicylic &amp; Plumping Hyaluronic Acid Concentrate"/>
        <s v="Clarifying Acne Spot Treatment"/>
        <s v="SKINPOWER Essence Serum"/>
        <s v="Daily Brightness Boosters Kit"/>
        <s v="Mini Even Better Clinical Radical Dark Spot Corrector + Interrupter Serum"/>
        <s v="Everyday Mineral Moisturizer SPF 30 Sunscreen"/>
        <s v="Super Anti-Aging Eye Cream"/>
        <s v="Aqua Bomb Everyday Hydration Set"/>
        <s v="Gradual Tan Classic Daily Youth Boosting Cream"/>
        <s v="All About Clean 2-in-1 Charcoal Face Mask + Scrub"/>
        <s v="Boost Sweet Boost - Vegan Gummies for Immune Support"/>
        <s v="Extra-Firming Energy + Radiance Boosting Moisturizer"/>
        <s v="White Ginseng Radiance Refining Mask"/>
        <s v="LUNA 4 Facial Cleansing &amp; Firming Massage for Sensitive Skin"/>
        <s v="The POREfessional Deep Retreat Pore-Clearing Clay Mask"/>
        <s v="Green Tea Hyaluronic Acid Hydrating Eye Cream"/>
        <s v="Bakuchiol Hydrating Cleanser"/>
        <s v="GOOPGLOW Flower Acids Resurfacing Toner"/>
        <s v="HydraKate Recharging Serum with Hyaluronic Acid"/>
        <s v="Equilibrium Rebalancing Cream Cleanser"/>
        <s v="Beauty Sleep Overnight Repair Treatment Cream with AHA's and Vitamin C"/>
        <s v="Prebiotic + Probiotic Vegan Gut Microbiome Supplement"/>
        <s v="Self Tan Purity Water Gel"/>
        <s v="SuperFruit Exfoliating Tonic 8% AHA Solution"/>
        <s v="Oligo Peptide Eye Cream"/>
        <s v="Micro Essence Treatment Lotion with Bio-Ferment"/>
        <s v="Retexturizing Retinol Booster Serum"/>
        <s v="Serum Serum Serum"/>
        <s v="Major Eye Impact Repair + Brighten Skincare Set"/>
        <s v="Debloat+ Anti-Bloat Supplement with Digestive Enzymes"/>
        <s v="Mini Acne Solutions Cleansing Foam"/>
        <s v="Future Solution LX Total Protective Cream Broad Spectrum SPF 20 Sunscreen"/>
        <s v="Brightening Eye Cream Mineral SPF 15 with Peptides"/>
        <s v="ALIVE Prebiotic Balancing Moisturizer SPF 15"/>
        <s v="Future Solution LX Intensive Firming Contour Serum"/>
        <s v="Radiance Resurfacing Foam"/>
        <s v="Detoxifying Facial Massage Tool - Kansa Wand"/>
        <s v="Revive + Rewind Revitalizing Eye Cream"/>
        <s v="Premier Cru Fine Lines and Wrinkles Anti-Aging Set"/>
        <s v="The Night Time Edit- Jenna Rennert X OLEHENRIKSEN"/>
        <s v="Shower Holder"/>
        <s v="The Ultimate Soothing Cream"/>
        <s v="Mini Solar Power Luminous SPF 30 Serum"/>
        <s v="Perfect Canvas Smooth, Prep &amp; Plump Essence"/>
        <s v="Ultralight Moisture-Boosting Botanical Oil"/>
        <s v="Treatment Softener"/>
        <s v="ELEVATE Firming &amp; Lifting Contouring Eye Cream"/>
        <s v="Clear Improvement Zero Oil Cleanser With Charcoal"/>
        <s v="DelIKate Try Me Kit"/>
        <s v="GloPRO Cryo Skin Icing Attachments"/>
        <s v="Mini Skin Resolution Clarifying Acid Toner"/>
        <s v="Clinique Smart Clinical MD Multi-Dimensional Age Transformer Duo Resculpt + Revolumize"/>
        <s v="PLAY Mineral Mist SPF 30 with Marigold Extract"/>
        <s v="OLE Glow Icons Skincare Set"/>
        <s v="Brightening Face Cream"/>
        <s v="Superkind Fragrance-Free Bio-Barrier Serum"/>
        <s v="Lemon-Aid Makeup-Removing Cleansing Gel"/>
        <s v="Knock Me Out Sleep Chews"/>
        <s v="FIX  Line Smoothing Device"/>
        <s v="barrier+ Triple Lipid + Collagen Brightening Eye Treatment"/>
        <s v="The Daily Essential Duo The Cream"/>
        <s v="Sunless Tan Dry Body Oil Mist"/>
        <s v="Balancing CrÃ¨me Cleanser - Luminous Ceremony"/>
        <s v="Capture Totale Intensive Essence Lotion"/>
        <s v="Hyaluronic Dew Drops Hydrating Serum"/>
        <s v="Trinity Facial Toning Device + Wrinkle Reducer Attachment Bundle"/>
        <s v="SKINPOWER Airy Milky Lotion"/>
        <s v="Acne Repair Kit"/>
        <s v="KateCeuticals Total Repair Cream"/>
        <s v="Wrinkle Treatment Drops Retinol Alternative Serum"/>
        <s v="Sensitive Skin Treatment Drops Calming Vitamin B Serum"/>
        <s v="Witch Hazel &amp; Lavender Toner"/>
        <s v="Triple Action Cleanser"/>
        <s v="GOOPGLOW Exfoliating Dark Spot Sleep Serum"/>
        <s v="DayWear Eye Cooling Anti-Oxidant Moisture GelCreme"/>
        <s v="Renewing Bakuchi CrÃ¨me - Eternal Reign"/>
        <s v="Blemish Control Booster Serum"/>
        <s v="Super-C SPF 30 Vitamin C Face Moisturizer"/>
        <s v="Abeille Royale Day Cream"/>
        <s v="Boosted Contouring Retinol Eye Balm"/>
        <s v="Skin Changer Succinic Acid Essence-Toner"/>
        <s v="Mini Confidence in a Cleanser"/>
        <s v="Hello Results Baby-Smooth Glycolic Peel + Caring Oil"/>
        <s v="Brightening Mask with Vitamin C"/>
        <s v="Hydra Life Intense Sorbet CrÃ¨me Moisturizer"/>
        <s v="Mini Face Cream"/>
        <s v="Rice Drops Face Oil Hydrating Serum"/>
        <s v="Cleansing &amp; Hydrating Bestseller Set Bento Box"/>
        <s v="Brazilliance 2HR Express Deep Foaming Self-Tanner"/>
        <s v="Wrinkle Release Neck &amp; Chest Sheet Mask"/>
        <s v="Abeille Royale Night Cream"/>
        <s v="Protect + Plump Firming &amp; Hydrating Face Moisturizer"/>
        <s v="Darker Skin Tones Hyaluronic Serum"/>
        <s v="Max Matte Shine Control Sunscreen Broad Spectrum SPF 45"/>
        <s v="Vital Perfection Intensive WrinkleSpot Treatment"/>
        <s v="Clarifying Peel Pads Purify + Exfoliate"/>
        <s v="Water Drench Hyaluronic Cloud Makeup Removing Gel Cleanser"/>
        <s v="Capture Youth Age-Delay Progressive Peeling CrÃ¨me"/>
        <s v="Mini GOOPGLOW Morning Skin Superpowder"/>
        <s v="Clarifying Face Cream"/>
        <s v="NuFACE Firming and Brightening Silk CrÃ¨me"/>
        <s v="Microdermabrasion Renewing Age-Defying Face Exfoliator"/>
        <s v="Essential Comfort Moisture Cream"/>
        <s v="The Skin Renewal System"/>
        <s v="Flower &amp; Tonic Clay Mask"/>
        <s v="Capture Totale Super Potent Cleanser"/>
        <s v="DayWear Advanced Multi-Protection Anti-Oxidant Creme, Dry"/>
        <s v="(Glow)Setting 100% Mineral Powder SPF 35"/>
        <s v="G.Tox Malachite and AHA Pore Refining Tonic"/>
        <s v="Calming Hydration Booster Serum"/>
        <s v="Electro-Lite Enzyme Brightening Gel Cleanser"/>
        <s v="G.Tox Malachite and Fruit Acid Pore Purifying Cleanser"/>
        <s v="knockout brightening gel moisturizer"/>
        <s v="goopglow Cloudberry Exfoliating Jelly Cleanser"/>
        <s v="Repairwear Uplifting Firming Cream"/>
        <s v="The Daily Vitamin C Day Serum with Antioxidant Complex"/>
        <s v="Refreshing Water Sunscreen Stick SPF 50"/>
        <s v="Dr. Andrew Weil for Origins Mega-Mushroom Weightless Hydrating Moisturizer"/>
        <s v="Capture Totale Le SÃ©rum Anti-Aging Serum"/>
        <s v="Face Coach Lifting Squalane Face Oil"/>
        <s v="Clean Skin, Fresh Start Acne Solutions Kit"/>
        <s v="Clarifying Mask"/>
        <s v="Multi-Active Anti-Aging Day Cream-Gel Moisturizer for Glowing Skin"/>
        <s v="Balancing Act Purifying &amp; pH Balancing Biodegradable Toner Pads"/>
        <s v="Skin Mud Pure Vitamin C Brightening Mask"/>
        <s v="Hyaluronic Acid + Peptide Serum"/>
        <s v="Superkind Fragrance-Free Fortifying Moisturizer"/>
        <s v="Calming Serum"/>
        <s v="White Lucent Illuminating Micro-Spot Serum"/>
        <s v="Ashwagandha Organic Root Extract"/>
        <s v="Calming Herbal Repair Overnight Recovery Balm for Skin Barrier Support"/>
        <s v="Brightening Eye Serum"/>
        <s v="Essential Comfort Firming Cream"/>
        <s v="The Better B Niacinamide Serum"/>
        <s v="Your Best Skin at Every Age Firming &amp; Smoothing Discovery Kit"/>
        <s v="The Serum with  TFC8"/>
        <s v="Hydrate &amp; Glow Skincare Set"/>
        <s v="The Essence"/>
        <s v="Intensive Moisture Cleanser"/>
        <s v="Skin Filter Vitamin A and Zinc Blemish + Brightening Supplement"/>
        <s v="The Silk Serum Wrinkle-Smoothing Retinol Alternative"/>
        <s v="So Smooth Resurfacing &amp; Brightening Fruit Enzyme Mask"/>
        <s v="SuperFruit Gentle Brightening Cleanser"/>
        <s v="GOOPGLOW 20% Vitamin C and Hyaluronic Glow Serum"/>
        <s v="Take The Day Off Charcoal Cleansing Balm Makeup Remover"/>
        <s v="Reusable 3-Piece Grey Face Mask Set"/>
        <s v="Essential Energy Hydrating Day Cream Broad Spectrum SPF 20"/>
        <s v="Future Solution LX Total Regenerating Cream"/>
        <s v="Head-To-Toe AfterGLO Set"/>
        <s v="Vital Perfection Uplifting and Firming Eye Cream"/>
        <s v="EradiKate Clarifying Acne Gel Cleanser with Salicylic Acid"/>
        <s v="Mini Original Skin Matte Moisturizer with Willowherb"/>
        <s v="R45 The Lift 3-Phase Advanced Neck Contouring Treatment"/>
        <s v="Smart Night Clinical MD Multi-Dimensional Repair Treatment Retinol Serum"/>
        <s v="Capture Totale Super Potent Rich Cream"/>
        <s v="The Glow Up"/>
        <s v="Complete Cleansing Microfoam"/>
        <s v="Do Not Age with Dr. Brandt Time Defying Cream"/>
        <s v="KateCeuticals Firming Serum with Hyaluronic Acid"/>
        <s v="Clarifying Spot Treatment"/>
        <s v="GOOPGENES All-In-One Nourishing Eye Cream"/>
        <s v="Advanced Night Micro Cleansing Foam"/>
        <s v="Secret Solutions Pro-Glycolic 10% Resurfacing Toner"/>
        <s v="LUNA 4 go Facial Cleansing &amp; Massaging Device"/>
        <s v="Evercalm Gentle Cleansing Milk"/>
        <s v="Mini Mist Collection"/>
        <s v="Classic Face Organic Sunscreen Lotion SPF 50"/>
        <s v="Hyaluronic Serum"/>
        <s v="YUZU-C Eye Awakening Essence"/>
        <s v="The Gamechangers"/>
        <s v="AGE Smart Phyto-Nature Firming Serum"/>
        <s v="Contour Restore Tightening &amp; Sculpting Moisturizing Face Cream"/>
        <s v="CrÃ¨me Riche Anti-Aging Peptide Night Cream"/>
        <s v="Hydro-Bound Hyaluronic Acid + Niacinamide Serum"/>
        <s v="Feeling Groovy Yellow Jade Eye Massager Set"/>
        <s v="Illumi-nation Anti-Fatigue Power Serum"/>
        <s v="Self Tan Express Bronzing Gel"/>
        <s v="Face Ball Tension Release Tool"/>
        <s v="Advanced Retinol Night Repair Treatment"/>
        <s v="Gentle Foaming Cleanser"/>
        <s v="Firming Day Moisturizer with Peptides"/>
        <s v="Advanced GÃ©nifique Night Cream with Triple Ceramide Complex"/>
        <s v="Mini Jet Lag Mask"/>
        <s v="Milk Cleanse Gentle Foaming Cleanser"/>
        <s v="Mini DayWear Advanced Multi-Protection Anti-Oxidant Creme, Normal/Combination"/>
        <s v="The Eye Cream with  TFC8"/>
        <s v="Daily Deflector Mineral Sunscreen SPF 40  PA++++"/>
        <s v="PLAY 100% Mineral Lotion SPF 30 with Green Algae"/>
        <s v="Wrinkle Release Facial Sheet Mask"/>
        <s v="Glycolic Eye Cream"/>
        <s v="Clean 1 Minute Face Masks"/>
        <s v="Play! Mineral SPF Stick"/>
        <s v="Vital Perfection Uplifting and Firming Cream Day Cream"/>
        <s v="Anti-Aging Regimen Kit"/>
        <s v="Clarifying Peel Off Mask"/>
        <s v="Hydra Life Balancing Hydration 2 in 1 Sorbet Water"/>
        <s v="Water Drench Hyaluronic Cloud Rich Barrier Moisturizer"/>
        <s v="Skincare Essentials Kit"/>
        <s v="GOOPGENES All-In-One Nourishing Face Cream"/>
        <s v="Gradual Tanning Drops Face &amp; Body"/>
        <s v="Dr. Andrew Weil for Origins Mega-Mushroom Relief &amp; Resilience Hydra Burst Gel Lotion"/>
        <s v="Mini Essential Comfort Firming Cream"/>
        <s v="Shave Pillow Moisturizing Body Gel"/>
        <s v="Ultimate Revival Cream"/>
        <s v="Peptight  Tightening &amp; Brightening Face Serum"/>
        <s v="Ting Energy + Metabolism Non-Stim Supplement With Ginseng"/>
        <s v="Clean Pro"/>
        <s v="Hyaluronic Facial Cream"/>
        <s v="Acne-Clear Essentials 4-Piece Acne Kit"/>
        <s v="Nighttime Necessities Repair + Lift + Hydrate"/>
        <s v="Purifying Cleansing Brush Head Refill"/>
        <s v="Superdefense SPF 25 Fatigue + 1st Signs of Age Multi-Correcting Cream"/>
        <s v="Mini Purifying Pore Detox Cleanser"/>
        <s v="Youth Reformer Firming Vitamin C Oil Serum"/>
        <s v="The Good C Vitamin C Serum"/>
        <s v="Smart Clinical Repair Wrinkle Correcting Eye Cream"/>
        <s v="Double Serum Face &amp; Eye Power Duo"/>
        <s v="Mini Phoenix Rosehip Anti-Aging Face Oil - For Dry Skin"/>
        <s v="Concentrated Ginseng Renewing Eye Cream"/>
        <s v="White Lucent Day Emulsion Broad Spectrum SPF 23"/>
        <s v="Clarifying Spot Serum with Bija Seed Oil"/>
        <s v="Smoothing Facial Polish - Imperial Glow"/>
        <s v="Darker Skin Tones Enzyme Cleanser"/>
        <s v="GOOPGENES All-In-One Super Nutrient Face Oil"/>
        <s v="Smart Broad Spectrum SPF 15 Custom-Repair Moisturizer for Dry Combination Skin"/>
        <s v="10 Day Results Kit"/>
        <s v="Skin Warrior Moisture Rescue Cream"/>
        <s v="Complexion Brightening Booster Serum"/>
        <s v="HydraKate Recharging Water Cream Moisturizer"/>
        <s v="Mini GOOPGLOW 15% Glycolic Acid Overnight Glow Peel"/>
        <s v="Hydrating Serum"/>
        <s v="SKINPOWER Eye Cream"/>
        <s v="Do Not Age with Dr. Brandt Transforming Pearl Serum"/>
        <s v="Hyaluronic Tripeptide Gel-Cream for Eyes"/>
        <s v="UV Expert Aquagel Defense Sunscreen, Primer &amp; Moisturizer SPF 50 Duo"/>
        <s v="Salicylic Acid Acne Treatment Serum"/>
        <s v="Hydrating Caffeine Eye Cream"/>
        <s v="Face Cream Rich"/>
        <s v="ELEVATE Advanced Lift Contouring Cream"/>
        <s v="Mini The Moisturizing Cool Gel Cream"/>
        <s v="SHIKULIME Color Control Oil-Free Moisturizer SPF 30"/>
        <s v="Power Starters Tightening Trio"/>
        <s v="Extra Repair Moisture Cream"/>
        <s v="Contouring + De-Puffing Rose Quartz GloPRO Attachment Head"/>
        <s v="GOOPGENES Clean Nourishing Lip Balm Trio"/>
        <s v="Mini Micellar Magic Makeup Remover &amp; Cleanser"/>
        <s v="SKINPOWER Cream"/>
        <s v="Black Tea Corset Cream Firming Moisturizer"/>
        <s v="Glow In A Wink ExfoliKate Bestsellers Set"/>
        <s v="Mini Super Anti-Aging Serum"/>
        <s v="Liquid Gold Firming Eye Cream"/>
        <s v="Immortelle Overnight Reset Eye Serum"/>
        <s v="Eyebrow Razor Set"/>
        <s v="Peptides + C Energy Eye Concentrate with Vitamin C and Caffeine"/>
        <s v="Abeille Royale Anti-Aging Eye Cream"/>
        <s v="10% Glycolic Acne Control Peel Pads"/>
        <s v="The Hydrating Treatment Lotion &amp; CrÃ¨me Set"/>
        <s v="Nomadâ€™s Cream Purifying &amp; Exfoliating AHA Cleanser"/>
        <s v="RÃ©nergie Lift Multi-Action Day Cream with SPF 15 - All Skin Types"/>
        <s v="Clarifying Lotion 1.0 Twice A Day Exfoliator"/>
        <s v="Pro-Retinol Megamoisture Face Cream"/>
        <s v="GinZing Energizing Gel Cream with Caffeine &amp; Niacinamide"/>
        <s v="Super Multi-Corrective Cream Sunscreen Broad Spectrum SPF 30"/>
        <s v="Cica Recover &amp; Repair Multi-Use Balm"/>
        <s v="Mini Calendula Deep Clean Foaming Face Wash"/>
        <s v="Dr. Andrew Weil for Origins Mega-Mushroom Relief &amp; Resilience Soothing Cream"/>
        <s v="Equilibrium Restoring Essence"/>
        <s v="Anti-Pollution Drops"/>
        <s v="Sun Drops SPF 50"/>
        <s v="Mini Floral Recovery Overnight Mask with Squalane"/>
        <s v="Essential Comfort Balancing Water"/>
        <s v="Self-Tanning Body Mousse"/>
        <s v="So Polished Exfoliating Sugar Scrub"/>
        <s v="Retinol Anti-Aging Power Duo"/>
        <s v="Supercharge Anti-Oxidant Moisture Serum"/>
        <s v="Clean Pro Obsidian"/>
        <s v="Balancing Cleanser"/>
        <s v="Concentrated Ginseng Renewing Cream"/>
        <s v="Alpha Beta Daily Essentials - Universal"/>
        <s v="Instant Hydration Set"/>
        <s v="Sunless Tan Express Sculpting Mousse"/>
        <s v="Universal Pro-Retinol Overnight Renewing Treatment"/>
        <s v="The SturmGlow Kit"/>
        <s v="Hydrating Toner Lotion with Aloe Vera"/>
        <s v="That Overnight Hustle AHA + BHA Resurfacer"/>
        <s v="Hydrating Jasmine Mist - Royal Refresh"/>
        <s v="FAB Faves Trio"/>
        <s v="Best Sellers Set"/>
        <s v="White Lucent Overnight Cream &amp; Mask"/>
        <s v="Smoothing Vitamin C Eye + Expression Lines Cream"/>
        <s v="Sacred Sleep Overnight Repair with Retinol"/>
        <s v="Sleepover Retin-Oil Nighttime Treatment"/>
        <s v="Rose Sorbet Cryo-Mask"/>
        <s v="Lovely Lashes Contour Sleep Mask"/>
        <s v="Brighten Trial Kit"/>
        <s v="SD Advanced  PLUS Intensive Moisturizer For Wrinkles &amp; Stretch Marks"/>
        <s v="Solution Skin-Perfecting Daily Chemical Exfoliator"/>
        <s v="Vitamin Nectar Glow Juice Antioxidant Face Serum"/>
        <s v="Mineral Magic Oil-Free Mineral Sunscreen Fluid Broad Spectrum SPF 30"/>
        <s v="PLANTSCRIPTION Multi-powered Anti-Aging Peptide Serum"/>
        <s v="Vitamin C Brightening Toner"/>
        <s v="Urban Environment Oil-Free Mineral Sunscreen Broad-Spectrum SPF 42"/>
        <s v="Gentle Micellar Antioxidant Cleanser"/>
        <s v="Ultimate Revival Essence"/>
        <s v="GOOPGLOW Morning Skin Superpowder"/>
        <s v="AA (Alguronic Acid) Barrier Serum"/>
        <s v="Clear Skin Kit Acne Treatment Kit"/>
        <s v="MenoReverse Volumizing Serum-in-Moisturizer"/>
        <s v="Dynamic Skin Retinol Serum"/>
        <s v="30% Glycolic Acid Peel Concentrate"/>
        <s v="Liquid Gold Midnight Reboot Serum with 14% Glycolic Acid and Tripeptide-5"/>
        <s v="Facial Spray with Aloe Adaptogens, and Coconut Water"/>
        <s v="Equilibrium Instant Plumping Eye Mask"/>
        <s v="Abeille Royale Anti-Aging Double R Advanced Serum"/>
        <s v="Acne Away Kit + Salicylic Acid + Azelaic Acid + Niacinamide"/>
        <s v="Brighten. Tighten. Hydrate. 3-Piece Set"/>
        <s v="Resveratrol-Lift Ultimate Firming Set"/>
        <s v="Hydrating Water Fresh Cream Moisturizer"/>
        <s v="KateCeuticals Lifting Eye Cream"/>
        <s v="Sugar Triple-Action Lip Serum Advanced Therapy"/>
        <s v="Mini Benefiance Wrinkle Smoothing Cream Enriched"/>
        <s v="The Brightening Essentials Skincare Gift Set"/>
        <s v="Mini Clarifying Blemish &amp; Oil Control Cleanser"/>
        <s v="The Radiance Brightening Vitamin E + Rosehip Seed Facial Oil"/>
        <s v="DeliKate Soothing Cleanser"/>
        <s v="Hydrating Petal Cream â€“ 1% Pure Hyaluronic Acid Moisturizer"/>
        <s v="Hydrating Floral Mask"/>
        <s v="Glass &amp; Gloss 2-Step Facial Retexturizing &amp; Brightening Treatment"/>
        <s v="Signature Moisturizer"/>
        <s v="Superkind Fragrance-Free Softening Cleanser"/>
        <s v="Volcanic Pore Clearing Facial Cleanser with AHA + BHA"/>
        <s v="The Cream Cleansing Gel with TFC8 Gentle Cleanser"/>
        <s v="Wonder Oil Illuminating Self-Tan Oil"/>
        <s v="Abeille Royale Anti-Aging Eye Lifting Serum"/>
        <s v="Shani Darden by DÃ©esse PRO LED Light Mask"/>
        <s v="Alpha Beta Daily Moisturizer"/>
        <s v="Luxury Lip Shine â€“ Longwear Hydration Lip Oil with Vitamin C"/>
        <s v="Clean Pro Jade"/>
        <s v="V Shaping Facial Lift Depuff &amp; Contour Serum with Hyaluronic Acid"/>
        <s v="Scar Gel Treatment"/>
        <s v="YUZU-C Beauty Sleeping Mask"/>
        <s v="SuperSolutions 10% Urea Moisturizer Textured Skin Solution"/>
        <s v="LUNA play plus 2"/>
        <s v="Extra-Firming &amp; Smoothing Face Mask"/>
        <s v="Instant De-Puff Eye Renewal Serum"/>
        <s v="Forest Lungs Anti-Stress Fragrance Travel Spray"/>
        <s v="Capture Youth Age-Delay Advanced Eye Treatment"/>
        <s v="Ceramidin Cream-Infused Mask"/>
        <s v="Shave Starter Set"/>
        <s v="Smart Clinical Repair Wrinkle Correcting Serum"/>
        <s v="Cosmic Cream Collagen Protecting Moisturizer"/>
        <s v="Black Pine 3D Eye-Lift Super Serum"/>
        <s v="Clearcalm Clarifying Clay Cleanser"/>
        <s v="GOOPGLOW Glow Lotion"/>
        <s v="Mini knockout daily exfoliating cleanser"/>
        <s v="The Moisturizing Matte Lotion"/>
        <s v="APHRODISIA Intimate Arousal Cannabis Oil"/>
        <s v="Age Reversal Eye Complex"/>
        <s v="Balancing Toner"/>
        <s v="Microneedling Anti-Wrinkle Retinol Patches"/>
        <s v="Prep &amp; Treat Lip Care Gift Set"/>
        <s v="Daily Essentials Travel Set"/>
        <s v="Firm + Bright + Glow Vitamin C Lactic Set"/>
        <s v="Mini Goodbye Acne  AHA/BHA Acne Clearing Gel Face Body Spot Treatment"/>
        <s v="Chia + Moringa Algae Enzyme Cleansing Oil"/>
        <s v="Mini Must Haves Skincare Set"/>
        <s v="Mini Acid Potion AHA + BHA Resurfacing Exfoliator"/>
        <s v="Aglow Cleansing Butter"/>
        <s v="Acne Control 30-Day Trial Kit for Clearer Skin"/>
        <s v="Ultra Glow Mask with Vitamins C + E"/>
        <s v="Dew Dream- Hydrating Makeup Removing Cleansing Balm with Tiger Grass"/>
        <s v="EradiKate Acne Mark Fading Gel with Salicylic Acid"/>
        <s v="Super Anti-Aging Serum"/>
        <s v="Eye Cream"/>
        <s v="Calm Sweet Calm Stress Management Vegan Gummies with Ashwagandha &amp; L-Theanine"/>
        <s v="Line Release Under Eye Repair Cream"/>
        <s v="Hydrating Oil"/>
        <s v="Age Arrest Eye Cream"/>
        <s v="Hyper Even Daily Duo Kit for Hyperpigmentation"/>
        <s v="Mini Mineral Sheerscreen Sunscreen SPF 30 PA+++"/>
        <s v="The Moisturizing Soft Lotion"/>
        <s v="Mini Lapis Blue Tansy Face Oil - For Oily &amp; Acne-Prone Skin"/>
        <s v="GOOPGLOW 15% Glycolic Acid Overnight Glow Peel"/>
        <s v="C Scription Vitamin C Brightening Serum"/>
        <s v="Future Solution LX Concentrated Balancing Softener"/>
        <s v="Perfectionist Pro Rapid Firm + Lift Treatment"/>
        <s v="Resilience Multi-Effect Night Tri-Peptide Face and Neck Moisturizer Creme"/>
        <s v="Extra Rich Cleansing Milk"/>
        <s v="Oil Control Blotting Paper"/>
        <s v="Buffering Lotion"/>
        <s v="The CrÃ¨me Gradual Self-Tanning Face Moisturizer"/>
        <s v="Mini Hyaluronic Serum"/>
        <s v="GENIUS Liquid Skin Resurfacing 2% BHA Toner"/>
        <s v="Hyaluronic Acid Roller Dissolving Microneedling Tool"/>
        <s v="100% Mineral SPF Starter Kit"/>
        <s v="Nourishing Squalane Daily Moisturizer"/>
        <s v="SLEEP OIL Rejuvenating Miracle Tanning Oil"/>
        <s v="Face Cream"/>
        <s v="RESIST Anti-Aging Clear Skin Hydrator"/>
        <s v="GloPRO Prep Pads Clarifying Skin Cleansing Wipes with Peptides"/>
        <s v="Gradual Tan Watermelon Daily Firming Lotion"/>
        <s v="COOLA Scalp &amp; Hair Mist Organic Sunscreen SPF 30"/>
        <s v="Retinol Acne Clearing Oil"/>
        <s v="Radiant Reveal Clean Brightening Vitamin C Serum"/>
        <s v="All About Clean 2-in-1 Cleansing + Exfoliating Jelly"/>
        <s v="Self-Tanning Mitt"/>
        <s v="Clean Biotic pH-balanced yogurt cleanser with chlorophyll"/>
        <s v="Water Drench Hyaluronic Cloud Mask Hydrating Gel"/>
        <s v="Capture Totale Intensive Night Restorative CrÃ¨me"/>
        <s v="Wrinkle Warrior Eye Gel Visible Dark Circle Eraser"/>
        <s v="Equilibrium Intensive Hydrating Eye Balm"/>
        <s v="RÃ¨nergie Lift Multi-Action Ultra Double-Wrapping Cream Face Mask"/>
        <s v="Algae Niacinamide Moisture Veil"/>
        <s v="Smart Response Serum"/>
        <s v="Moisturizer Mini knockout brightening gel"/>
        <s v="Cleanse + Treat Duo Nighttime Routine for Clean, Smooth Skin"/>
        <s v="Minty Mineral Hydration Face Mist with Aloe Vera"/>
        <s v="H2Overdose Activated Mask"/>
        <s v="Mini Instant Reset Brightening Overnight Recovery Gel-Cream With Niacinamide + Kalahari Melon Oil"/>
        <s v="Superkind Fragrance-Free Radiance Mask"/>
        <s v="GenOptics Spot Essence Serum"/>
        <s v="Resurfacing Saffron AHA Masque - Radiant Rani"/>
        <s v="Night Serum"/>
        <s v="GloPRO EYE MicroTip Attachment Head"/>
        <s v="Oil Free Moisturizer Broad Spectrum SPF 30"/>
        <s v="Arctic Repair Fine Lines and Wrinkles Supplement"/>
        <s v="Advanced Retinol Nightly Renewal Face Moisturizer with Retinol"/>
        <s v="Wrinkle Reducer Trinity Attachment"/>
        <s v="Melting Moisture Mask"/>
        <s v="GloPRO SCALP MicroTip Attachment Head"/>
        <s v="Revitalizing Supreme+ Youth Power Creme Moisturizer"/>
        <s v="Clarifying Cleansing Foam with Bija Seed Oil"/>
        <s v="The Nightly Retinol + Peptide Anti-Aging Serum"/>
        <s v="Renew + Recover Face + Eye Hydration Essentials"/>
        <s v="Prebiotic Smoothie Mask"/>
        <s v="Moon Fruit Retinol Alternative Sleep Mask"/>
        <s v="knockout daily exfoliating cleanser"/>
        <s v="Faceshot Electric Microneedling Device + Vitamin Ampoules"/>
        <s v="Pure Vitality Skin Renewing Cream"/>
        <s v="SuperSolutions 20% Niacinamide Serum"/>
        <s v="Intensive Eye Cream Concentrate for Wrinkles PLUS"/>
        <s v="Multi-Sculpt High-Performance Gua Sha"/>
        <s v="Multi-Active Anti-Aging Day Moisturizer with SPF 20 for Glowing Skin"/>
        <s v="All About Clean Foaming Facial Soap"/>
        <s v="Mini Deep Cleanse Gentle Exfoliating Cleanser"/>
        <s v="Future Solution LX Extra Rich Cleansing Foam"/>
        <s v="Evercalm Redness Relief Serum"/>
        <s v="needles no more 3-D LIP PLUMPFIX"/>
        <s v="Super Gloss Instant Bronzing Face Drops with SPF 30"/>
        <s v="ELEVATE Firming &amp; Lifting Neck Cream"/>
        <s v="pores no more Pore Purifying Cleanser"/>
        <s v="FIRMx Collagen Moisturizer"/>
        <s v="Mini Magic Night 15ml Travel Size"/>
        <s v="POWER Advanced Wrinkle Fighter Moisturizer"/>
        <s v="Gentle Brightening Gel Cleanser with Mandelic Acid"/>
        <s v="Essential Energy Hydrating Cream"/>
        <s v="Even Smoother Glycolic Retinol Resurfacing Serum"/>
        <s v="Vital-E Antioxidant Recovery Cream"/>
        <s v="Mini The Treatment Lotion"/>
        <s v="Cryo Skin Icing Dual-Ended Roller"/>
        <s v="Dew Good Illuminating Serum SPF 30"/>
        <s v="Rare Earth Pore Refining Tonic"/>
        <s v="Prep Set Tan Face and Body Brush"/>
        <s v="Disco Tan Instant Wash-Off Body Bronzer"/>
        <s v="Hydra Zen Anti-Stress Moisturizing Face Cream"/>
        <s v="Dynamic Skin Recovery SPF50 Moisturizer"/>
        <s v="Potent-C Vitamin C Bright &amp; Plump Moisturizer"/>
        <s v="Blend It Multi-Purpose Self-Tan Blender"/>
        <s v="Waves of Clarity Skincare Set"/>
        <s v="The Quench Quadralipid Rapid Recovery Facial Moisturizer"/>
        <s v="Germanium Stone Facial Massager"/>
        <s v="Cleanser Concentrate AHA Clarifying and Exfoliating Face Wash"/>
        <s v="Mini SuperYou Daily Stress Management"/>
        <s v="The Weighted Razor Kit"/>
        <s v="NuFACE Hydrating Aqua Gel"/>
        <s v="Personal Microderm Elite Pro"/>
        <s v="The Regenerating Serum"/>
        <s v="Vinoperfect  Brightening Solution Set"/>
        <s v="Refreshing Cleansing Sheets"/>
        <s v="Bye Bye Makeup 3-in-1 Makeup Melting Cleansing Balm"/>
        <s v="Collagen POP + Vitamin C Dissolvable Tablets"/>
        <s v="Massaging Jade Textured Facial Roller"/>
        <s v="Active Algae Lightweight Moisturizer"/>
        <s v="Spritz. Mist. Glow. Facial Spray Trio"/>
        <s v="That Big Screen Moisturizer with Broad Spectrum SPF 30"/>
        <s v="Extra-Firming &amp; Smoothing Day Moisturizer with SPF 15"/>
        <s v="Full Face Sculpt Kit - 14-Day Challenge"/>
        <s v="Mini Facial Spray with Aloe Adaptogens, and Coconut Water"/>
        <s v="The Essence Skincare Boosting Treatment â€“ Lunar New Year Edition"/>
        <s v="The Healthy Skin Edit Bestsellers Kit"/>
        <s v="Mini Rice Wash Skin-Softening Cleanser"/>
        <s v="ELEVATE Advanced Retinol Serum"/>
        <s v="Max Clear Invisible Priming Sunscreen Broad Spectrum SPF 45"/>
        <s v="Wild Rose Brightening Absolute Oil"/>
        <s v="Peptide Eye Cream"/>
        <s v="Advanced Night Repair Eye Concentrate Matrix Synchronized Multi-Recovery Complex"/>
        <s v="Counter Cravings - Helps Reduce Cravings and Boosts Metabolism"/>
        <s v="Hydra Life Deep Hydration Sorbet Water Essence"/>
        <s v="Peptide + Ceramide Repairing Moisturizer"/>
        <s v="Rose Milk Re-Hydrating Mist"/>
        <s v="Clarifying Lotion 4"/>
        <s v="Absolue Revitalizing Eye Cream"/>
        <s v="Mini Baba Bomb Moisturizer"/>
        <s v="Multi-Vitamin Infusion Oil"/>
        <s v="Benefiance NutriPerfect Night Cream"/>
        <s v="Overnight Hydrating Mask"/>
        <s v="Strengthening Nighttime Ritual Set"/>
        <s v="Restorative Niacinamide Night Cream"/>
        <s v="The ZenBubble Gel Cream"/>
        <s v="Buttermilk Moisturizer"/>
        <s v="Perfectly Clean Multi-Action Toning Lotion/Refiner"/>
        <s v="NÂ°39 Facial Sunscreen Mist with SPF 39"/>
        <s v="The C Drops â€“ 20% Vitamin C Blend Brightening Serum"/>
        <s v="Mini City Skin Age Defense Broad Spectrum SPF 50 PA++++"/>
        <s v="Hydration Replenish Microencapsulated Plumping Gel Moisturizer"/>
        <s v="Correct &amp; Protect Broad Spectrum SPF 45| PA++++"/>
        <s v="Deluxe Facial Roller Set"/>
        <s v="Fresh Pressed Renewing Powder Cleanser with Pure Vitamin C"/>
        <s v="Superdefense City Block Broad Spectrum SPF 50 Daily Energy + Face Protector Primer"/>
        <s v="Goodbye Acne   Complete Acne Treatment Gel"/>
        <s v="Prep &amp; Plane Facial Razors"/>
        <s v="Pore Remedy 5% Multi-Acid Radiance Peel"/>
        <s v="Nudescreen Daily Mineral Veil SPF 30"/>
        <s v="On The Go Best Sellers Travel Kit"/>
        <s v="Benefiance Wrinkle Smoothing Retinol Serum"/>
        <s v="Clarifying Lotion"/>
        <s v="Over It Magic Self-Tan Eraser"/>
        <s v="Treatment Softener Enriched"/>
        <s v="Juneberry &amp; Collagen Hydrating Cold Cream Cleanser"/>
        <s v="Pillowgasm Vitamin-Rich Cherry Glow Sleep Mask"/>
        <s v="Face Mask"/>
        <s v="Targeted Wrinkle Serum"/>
        <s v="Rejuvenating Scalp + Fuller Hair Therapy Set"/>
        <s v="Priming Moisturizer Balance Oil-Control Gel-Cream"/>
        <s v="Extra-Firming &amp; Smoothing Night Moisturizer"/>
        <s v="Get That Glow - GloPRO Facial Microneedling Discovery Set"/>
        <s v="Santorini Grape Poreless Skin Cream"/>
        <s v="C.E.O. Vitamin C Brightening Rich Hydration Moisturizer"/>
        <s v="Priming Moisturizer Rich Face Cream with Ceramides"/>
        <s v="One Essential Eye Serum"/>
        <s v="Ceramidin Skin Barrier Serum Toner"/>
        <s v="Absolue Soft Cream Revitalizing &amp; Brightening Moisturizer"/>
        <s v="Water Drench Hyaluronic Cloud Hydrating Eye Gel"/>
        <s v="Hydrating Ultra Repair Cream Duo"/>
        <s v="Advanced Night Micro Cleansing Balm"/>
        <s v="Aloe Vera Blemish Soothing Moisturizer"/>
        <s v="Self Tan Express Starter Kit"/>
        <s v="Smooth Like Butter Kit"/>
        <s v="Deep Cleansing Foam"/>
        <s v="Wishing You Essentials Skincare Kit"/>
        <s v="Repairative Anti-Aging Moisturizer"/>
        <s v="Perfect Canvas Clean Jelly Oil Cleanser"/>
        <s v="Blue Algae Vitamin C Skinclarity Brightening Serum"/>
        <s v="Dermatologist Solutions Centella Sensitive Cica-Cream"/>
        <s v="needles no more Neck Sculpting Cream"/>
        <s v="Beauty Sleep Power Peel Age-Defying Night Peel"/>
        <s v="Glow Daily Vitamin C Gel Cream"/>
        <s v="HYDRA MOUSSE Hydrating Self-Tan Mousse"/>
        <s v="Do Not Age with Dr. Brandt Moisturizing Neck Cream"/>
        <s v="Age Arrest Anti-Wrinkle Cream"/>
        <s v="PLAY Body Sunscreen Mousse SPF 50"/>
        <s v="SuperSolutions 5% Benzoyl Peroxide Cleanser Acne Solution"/>
        <s v="Immortelle Divine Cream"/>
        <s v="White Lucent Brightening Gel Cream"/>
        <s v="Bright Start Vitamin C Antioxidant Brightening Moisturizer"/>
        <s v="Peptight  360Ëš Tightening Eye Serum"/>
        <s v="Lip Service - Lip Balm Duo Mint &amp; Shea"/>
        <s v="Prep Set Tan Tanning Mist with Hyaluronic Acid"/>
        <s v="Clear Complexion Acne Solutions System"/>
        <s v="Benefiance Wrinkle Smoothing Cream"/>
        <s v="PRO Strength 10% PHA Exfoliating Clarifying Liquid"/>
        <s v="Mini Abeille Royale Advanced Youth Watery Oil"/>
        <s v="The Afterglow Deep Moisturizing Cream with Hyaluronic Acid &amp; Vegan Collagen"/>
        <s v="Acne Salicylic Acid Day &amp; Night Duo"/>
        <s v="The Intensive Revitalizing Mask"/>
        <s v="That Hit Single Gel-Cream Cleanser"/>
        <s v="Cleanser"/>
        <s v="4.5% Retinol Serum"/>
        <s v="PLAY Antioxidant Body Sunscreen Mist SPF 30 PA++++"/>
        <s v="Enzyme Cleansing Gel"/>
        <s v="Black Tea Anti-Aging Moisturizer with Retinol-Alternative BT Matrix"/>
        <s v="COOLA Organic Liplux Classic Sunscreen Lip Oil SPF 30"/>
        <s v="Micro Essence Infusion Mask"/>
        <s v="Mini Debloat+ Anti-Bloat Supplement with Digestive Enzymes"/>
        <s v="DayWear Advanced Multi-Protection Anti-Oxidant Moisturizer, Normal/Combination"/>
        <s v="Mini The Renewal Oil"/>
        <s v="Mini Alpha Beta Exfoliating Body Treatment Peel"/>
        <s v="Mattifying Blotting Papers"/>
        <s v="Prisma Protect SPF 30 Moisturizer"/>
        <s v="Smooth + FAB Travel Size Duo"/>
        <s v="Vitamin B Serum with 5% Niacinamide and Peptides"/>
        <s v="Active Clay Prebiotic Cleanser"/>
        <s v="Silver Powder"/>
        <s v="Classic Face Sunscreen SPF 50 White Tea"/>
        <s v="Future Solution LX Eye and Lip Contour Regenerating Cream"/>
        <s v="Umbrian Clay Pore Purifying Face Mask"/>
        <s v="Skin Resurfacing Lactic Acid Cleanser"/>
        <s v="Mini The Concentrate Serum"/>
        <s v="Vitamin C Lactic Biocellulose Brightening Treatment Mask"/>
        <s v="Mini Goddess Clay Mask 15ml Travel Size"/>
        <s v="Perfectionist Pro Rapid Brightening Serum with FermentÂ² + Vitamin C"/>
        <s v="Peel and Plump Skin-Smoothing Duo"/>
        <s v="Moisture Surge Intense 72H Lipid-Replenishing Hydrator Moisturizer"/>
        <s v="Kx Active Concentrates Bio-Mimicking Peptides Serum"/>
        <s v="Abeille Royale Anti-Aging Fortifying Lotion Toner"/>
        <s v="Brume de BeautÃ© Beauty Mist"/>
        <s v="Symbright Brightening Moisturizer"/>
        <s v="Capture Totale Firming &amp; Wrinkle-Correcting Eye Cream"/>
        <s v="Nutritious Super-Pomegranate Radiant Energy Moisturizer Creme"/>
        <s v="Clarifying Moisturizer"/>
        <s v="Mini Cleansing Bar Duo + Case"/>
        <s v="Silk Rice Makeup-Removing Cleansing Oil"/>
        <s v="Sea Silk Lip Balm"/>
        <s v="All About Lips"/>
        <s v="Full Spectrum 360Âº Refreshing Water Cream Organic Face Sunscreen SPF 50"/>
        <s v="Tonique Radiance Clarifying Refining Toner"/>
        <s v="Green Tea Hydrating Cleansing Oil"/>
        <s v="Hydra Life Cooling Hydration Sorbet Eye Gel"/>
        <s v="Plantscription SPF 25 Power Anti-Aging Oil-Free Cream"/>
        <s v="Botanical Exfoliating Scrub"/>
        <s v="Ultimate Sun Protector Cream SPF 50+ Face Sunscreen"/>
        <s v="Vitamin C Lactic Oil-Free Radiant Moisturizer"/>
        <s v="Back to Basics: Hydration Heroes Skincare Set"/>
        <s v="Mini Urban Environment Oil-Free Sunscreen Broad-Spectrum SPF 42"/>
        <s v="Refillable Jumbo Magic Cream Moisturizer with Hyaluronic Acid"/>
        <s v="Hydro Masque Exfoliant"/>
        <s v="The Cleansing Micellar Water"/>
        <s v="Green Tea Hyaluronic Acid Hydrating Eye Serum"/>
        <s v="Dr. Andrew Weil for Origins Mega-Mushroom Relief &amp; Resilience Soothing Treatment Lotion"/>
        <s v="Targeted Dark Spots Serum"/>
        <s v="Sephora City Reusable Water Bottle"/>
        <s v="Besties Set"/>
        <s v="Illuminating Hydrator - Radiance + Smoothing"/>
        <s v="Get Even Sun Milk SPF 33"/>
        <s v="Facial Spray with Aloe Sage &amp; Orange Blossom"/>
        <s v="Mini Truth Juice Daily Cleanser"/>
        <s v="Mini Aglow Cleansing Butter"/>
        <s v="SuperBeauty Daily Antioxidant SkinSupplement"/>
        <s v="Regenerative Anti-Aging Moisturizer"/>
        <s v="Balance It All Oil Control &amp; Pore-Refining Set"/>
        <s v="The Eyelighter Concentrate"/>
        <s v="Ultra Facial Advanced Repair Barrier Cream"/>
        <s v="BioLumin-C Vitamin-C Gel Moisturizer"/>
        <s v="DRx SpectraLite BodyWare Pro"/>
        <s v="Hydrating Skincare Gift Set"/>
        <s v="Isle Body Oil SPF 30 with Sea Moss and Squalane"/>
        <s v="NuBODY Skin Toning Device"/>
        <s v="Mini 24-7 Moisture Hydrating Day &amp; Night Cream"/>
        <s v="Hydrate &amp; Glow Trio"/>
        <s v="Fade and Glow AHA Mask"/>
        <s v="Mini The Cream with TFC8 Face Moisturizer"/>
        <s v="GENIUS Ultimate Anti-Aging Eye Cream"/>
        <s v="Mini The Cult Classic Purifying Face Cleanser"/>
        <s v="Turnaround Revitalizing Serum"/>
        <s v="Brain Dust"/>
        <s v="Jade Tension Melting Massager for Face &amp; Neck"/>
        <s v="Night Magic Restorative Face Oil with Firming Botanicals"/>
        <s v="Super Glow Body Hyaluronic Self-Tan Serum"/>
        <s v="pores no more Mattifying Hydrator Pore Minimizing Gel"/>
        <s v="Turn Back Time Turmeric Supplement for UV Damage"/>
        <s v="KateCeuticals Resurfacing Overnight Peel with Glycolic Acid, Retinol &amp; Niacinamide"/>
        <s v="Hello Results Wrinkle-Reducing Daily Retinol Serum-in-Cream"/>
        <s v="Zero Baggage Anti-Dark Circle Eye Cream"/>
        <s v="After-Dark Natural Peptide Sleeping Cream"/>
        <s v="Hydration Heroes Green Tea Skincare Routine Set"/>
        <s v="Gentle Foaming Face Wash"/>
        <s v="Mini Melt Moisturizer with Bakuchiol and Squalane"/>
        <s v="Super Rich Repair Moisturizer"/>
        <s v="Mini Alpha Beta AHA/BHA Daily Cleansing Gel"/>
        <s v="Foam Around Clarifying Daily Cleanser Infused with Glycolic Acid"/>
        <s v="Capture Totale Firming &amp; Wrinkle-Correcting Cream"/>
        <s v="Vitamin A Serum with 0.5% Retinol"/>
        <s v="Triple Acid Signature Peel"/>
        <s v="Daily Reveal  Exfoliating Face Pads with AHA + BHA + PHA + TXA"/>
        <s v="Large Supplement Case"/>
        <s v="AHA/BHA/Retinoid Daily Clarifying Peel"/>
        <s v="5% Benzoyl Peroxide Acne Spot Treatment"/>
        <s v="Enzyme Cleanser"/>
        <s v="Teatreement Toner"/>
        <s v="Mini Alpha Beta Ultra Gentle Daily Peel Pads for Sensitive Skin"/>
        <s v="Mini SEA Deep Dive Cleansing Gel"/>
        <s v="Bounce-Boosting Serum with Collagen + Peptides"/>
        <s v="Acne Solutions Cleansing Gel"/>
        <s v="Alpha Beta Daily Essentials - Extra Strength"/>
        <s v="Keep It Clean Hydrating Gel Cleanser with Ceramides &amp; 10 Amino Acids"/>
        <s v="Hyaluronic Acid Booster"/>
        <s v="Clean Peeling Mask"/>
        <s v="Ultimate Sun Protector SPF 50+ Sunscreen Duo"/>
        <s v="Priming Moisturizer Lightweight Buildable Face Cream"/>
        <s v="So Poreless Deep Exfoliating Blackhead Scrub"/>
        <s v="Brightening Saffron Serum - Radiant Rani"/>
        <s v="Checks and Balances Polishing Exfoliator"/>
        <s v="Multi-Masker 4-Piece Mask Kit"/>
        <s v="Mini SEA Mermaid Skin Hyaluronic H2O Serum"/>
        <s v="24-7 Power Swipe Hydrating Day &amp; Night Treatment Eye Balm"/>
        <s v="Bright Repair Eye Cream â€“ 10% Vitamin C"/>
        <s v="Water Bank Cleansing Foam"/>
        <s v="City Block Sheer Oil-Free Daily Face Protector Broad Spectrum SPF 25 Primer"/>
        <s v="Ultracalming Serum Concentrate"/>
        <s v="Water Drench Hyaluronic Glow Serum"/>
        <s v="BEAR mini Facial Toning Device"/>
        <s v="GREEN MACHINE insta-glo resurfacing acid mask"/>
        <s v="Invisible Shield Water-Gel Transparent Sunscreen SPF 35"/>
        <s v="That Fresh Take Eye Cream with Peptides"/>
        <s v="Vitamin C Triple Exfoliating Facial"/>
        <s v="Gentle Daily Wash"/>
        <s v="Deepwater Nourishing Lip Mask with Sea Moss and Aloe Stem Cells"/>
        <s v="The Concentrate Serum"/>
        <s v="The Glow Around 4-Piece Travel Skincare Essentials Set"/>
        <s v="Mini TL Advanced  Tightening Neck Cream PLUS for Firming &amp; Brightening"/>
        <s v="Revitalixir Recovery Serum"/>
        <s v="Self-Tan Luxe Whipped CrÃ¨me Mousse"/>
        <s v="The Canopy Humidifier Starter Set"/>
        <s v="Radiance Vitamin C Glow Serum"/>
        <s v="Isle Glow Body Lotion SPF 45 with Sea Moss and Cocoa Seed Butter"/>
        <s v="Clarifying Lotion 1"/>
        <s v="Mini The Lifting and Firming Mask"/>
        <s v="The Lifting Eye Serum"/>
        <s v="Multi-Miracle Glow Cleansing Balm"/>
        <s v="Skinlongevity Long Life Herb Anti-Aging Face Serum"/>
        <s v="Sound Sleep Cocoon Night Gel-Cream"/>
        <s v="Even Smoother Glycolic Retinol Resurfacing Peel Pads"/>
        <s v="Confidence in a Neck Cream"/>
        <s v="Mini Brightening Dark Spot Vitamin C Serum"/>
        <s v="Gentle Rejuvenating Cleanser"/>
        <s v="Renewing Cleansing Cream"/>
        <s v="SuperSolutions 10% Azelaic Serum Redness Relief Solution"/>
        <s v="Firming Vegan Collagen Prep Serum"/>
        <s v="Triple Vitamin C Brightening Bounce Cream Moisturizer"/>
        <s v="Brightening Derm Revival Mask"/>
        <s v="Goddess Cleansing Ritual Duo"/>
        <s v="Capture Youth Age-Delay Advanced CrÃ¨me"/>
        <s v="Facial Sculpting Wand"/>
        <s v="Weightless Oil-Free Moisturizer"/>
        <s v="Vinosource-Hydra Grape Water Gel Moisturizer"/>
        <s v="Rose Sugar Scrub"/>
        <s v="Brightening Dual Facial Enzyme Exfoliator"/>
        <s v="Perfecting Day Cream Broad Spectrum SPF 30 PA+++"/>
        <s v="GLOfacial Hydro-Infusion Pore Cleansing + Blue LED Clarifying Tool"/>
        <s v="Eye Revival Brightening Eye Cream"/>
        <s v="Seaweed Night Cream"/>
        <s v="Take The Day Off Cleansing Balm Makeup Remover Duo"/>
        <s v="Pore Refining Solutions Stay-Matte Hydrator"/>
        <s v="Rejuvenating Anti-Aging Serum"/>
        <s v="Daily Glow Toner with Niacinamide"/>
        <s v="PRO Strength Vitamin A/C/E Retinoid Treatment"/>
        <s v="GloPRO FACE MicroTip Attachment Head"/>
        <s v="Dark Spots Serum"/>
        <s v="NightWear Plus Anti-Oxidant Night Detox Moisturizer Creme"/>
        <s v="Green Tea Hyaluronic Acid Face Cleanser"/>
        <s v="Nutritious Super-Pomegranate Radiant Energy Night Moisturizer Creme/Mask"/>
        <s v="Classic Body Organic Sunscreen Spray SPF 70 Peach Blossom"/>
        <s v="Water Bank Blue Hyaluronic Revitalizing Toner"/>
        <s v="THE ESSENTIALS Sonic Dermaplaning Refill Kit"/>
        <s v="MINI Precision Peach Fuzz Removal Device"/>
        <s v="GLO to Go Teeth Whitening Pen"/>
        <s v="Mini The Cleansing Foam"/>
        <s v="Water Bank Blue Hyaluronic Exfoliating Toner"/>
        <s v="Sake Toning Essence"/>
        <s v="The Treatment Lotion"/>
        <s v="CLINICAL Ceramide-Enriched Firming Eye Cream"/>
        <s v="Get Even Cold-Pressed Peel Pads"/>
        <s v="Retinol Firming Cream Treatment with Peptides + Hyaluronic Acid"/>
        <s v="Treatment Lotion Hydrating Mask"/>
        <s v="Youth Stacks: Brighter Tomorrow Duo for Dullness"/>
        <s v="Cool Biotic Prebiotic Redness Relief Cream"/>
        <s v="Melt Awf Jelly Oil Makeup-Melting Cleanser"/>
        <s v="EradiKate Salicylic Acid Acne Treatment"/>
        <s v="Skin Saviors"/>
        <s v="Extra-Firming + Smoothing Neck &amp; DÃ©colletÃ© Moisturizer"/>
        <s v="Potent-C Vitamin C Targeted Spot Brightener"/>
        <s v="Milky Mushroom Gentle Cleansing Oil Makeup Remover"/>
        <s v="Daily Blemish Repairing Moisturizer"/>
        <s v="Instant Reset Brightening Overnight Recovery Gel-Cream with Niacinamide Refill"/>
        <s v="Super Glow Vitamin C Brightening Face Serum"/>
        <s v="Hand Cream Trio"/>
        <s v="Evercalm Barrier Support Face Oil"/>
        <s v="Plantscription Anti-Aging Cleanser"/>
        <s v="RÃ©nergie Lift Multi-Action Night Cream"/>
        <s v="The Revitalizing Hydrating Serum"/>
        <s v="Circular Hydration Serum with Hyaluronic Acid"/>
        <s v="Daily Microfoliant Exfoliator Refill Pack"/>
        <s v="Yo Detox Charcoal Face &amp; Body Enzyme Scrub"/>
        <s v="10% Benzoyl Peroxide Acne Cleanser"/>
        <s v="MultiVitamin Power Firm Eye Cream"/>
        <s v="Retinol Fast-Release Wrinkle Reducing Night Serum"/>
        <s v="Peptide 21 Wrinkle Resist Serum"/>
        <s v="Water-Infusing Electrolyte Moisturizer"/>
        <s v="DermalQuench +Retinol Advanced Resurfacing Treatment"/>
        <s v="Glow Addict Activated Mask"/>
        <s v="Ultimune Power Infusing Anti-Aging Serum"/>
        <s v="24/7 Retinol Eye Cream"/>
        <s v="Facial Cooling Wands"/>
        <s v="Capture Totale Super Potent Eye Serum"/>
        <s v="Dramatically Different Moisturizing Cream"/>
        <s v="Santal Soothing &amp; Hydrating Natural Face Treatment Oil"/>
        <s v="Lip Balm Trio"/>
        <s v="Treat &amp; Tint Mini Lip Care Gift Set"/>
        <s v="Perfectly Clean Multi-Action Foam Cleanser/Purifying Mask"/>
        <s v="DayWear Matte Oil-Control Anti-Oxidant Moisturizer Gel Creme"/>
        <s v="Mini Liquid ExfoliKate Triple Acid Resurfacing Treatment"/>
        <s v="Replenishing Multi-Acid Peel"/>
        <s v="Urban Environment Fresh-Moisture Sunscreen Broad-Spectrum SPF 42"/>
        <s v="Glycolic Foaming Cleanser"/>
        <s v="Mini Glow Drops"/>
        <s v="Multi-Active Anti-Aging Night Moisturizer for Glowing Skin"/>
        <s v="The Replenishing Oil Exfoliator"/>
        <s v="Hyaluronic Marine Makeup Removing Meltaway Cleanser"/>
        <s v="Saturn Sulfur + Niacinamide Spot Treatment Mask"/>
        <s v="Skin Resolution Clean Exfoliating Acid Toner"/>
        <s v="Awaken Peptide Depuffing Eye Gel"/>
        <s v="Calm Water Gel Moisturizer"/>
        <s v="Noni Night AHA Pore &amp; Resurfacing Serum"/>
        <s v="Bye Bye Lines 1.5% Hyaluronic Acid Serum"/>
        <s v="Mini Moisture Surge 100H Auto-Replenishing Hydrator Moisturizer"/>
        <s v="Lotus Balancing &amp; Hydrating Natural Face Treatment Oil"/>
        <s v="The Moisturizing Cool Gel Cream"/>
        <s v="DeliKate Recovery Serum"/>
        <s v="Purity Tanning Waters Mini Kit"/>
        <s v="Next Level Moisturizer"/>
        <s v="Gentle Buffing Cream"/>
        <s v="De-Puffing Jade Eye Treatment Tool"/>
        <s v="Milky Oil Dual-Phase Waterproof Makeup Remover"/>
        <s v="Broad Spectrum SPF 50 Mineral Sunscreen Fluid for Face"/>
        <s v="The Hydrating Kit"/>
        <s v="One Essential Skin Boosting Super Serum"/>
        <s v="Hydrating Serum with Hyaluronic Acid"/>
        <s v="+Retinol Vita C Power Serum"/>
        <s v="RÃ©nergie Lift Multi-Action Ultra Dark Spot Correcting Cream SPF 30"/>
        <s v="Sunless Tan Firming Lotion"/>
        <s v="Mini GENIUS Liquid Collagen"/>
        <s v="Glow Drops"/>
        <s v="NÂ°38 Facial Sunscreen Mist with SPF 38"/>
        <s v="The Hydrating Infused Emulsion"/>
        <s v="Stress Positive Eye Lift Mask"/>
        <s v="That Blockbuster Cream with Hyaluronic Acid"/>
        <s v="Do Not Age with Dr. Brandt Triple Peptide Eye Cream"/>
        <s v="Green Tea Hyaluronic Acid Hydrating Toner"/>
        <s v="Kombucha 2-in-1 No-Rinse Cleanser &amp; Prebiotic Treatment"/>
        <s v="DeliKate Recovery Cream"/>
        <s v="Pitera Power Kit"/>
        <s v="Protect + Glow Daily Sunscreen Gel Broad Spectrum SPF 30"/>
        <s v="The Youth Vault: 13-Piece Vegan Skincare + Apparel Set"/>
        <s v="Clean Pro Rose Quartz"/>
        <s v="Clean Watermelon After Sun Mask"/>
        <s v="Peptide 21 Wrinkle Resist Moisturizer"/>
        <s v="Teatreement Cleansing Foam"/>
        <s v="Mini PLAY Everyday Sunscreen Lotion SPF 30 PA++++"/>
        <s v="RÃ©nergie H.C.F. Triple Serum: For Plumping &amp; Anti-Aging"/>
        <s v="POWER Advanced Wrinkle Fighter 360Â° Eye Serum"/>
        <s v="Dermask Intra Jet Firming Solution"/>
        <s v="Dewy Glow Jam Cleanser with Jeju Cherry Blossom"/>
        <s v="Day Dew Self-Tan Face Mist"/>
        <s v="Greek Yoghurt Nourishing Probiotic Gel-Cream"/>
        <s v="Liquid Sun Shield Daily Brightening Mineral Sunscreen SPF 50"/>
        <s v="Deep Exfoliating Cleanser"/>
        <s v="Vinosource-Hydra Moisturizing Sorbet"/>
        <s v="Self Tan Purity Bronzing Water Mousse"/>
        <s v="Vitamin C+B+E Ferulic Serum"/>
        <s v="Barrier+ Foaming Clay Cleanser"/>
        <s v="Peptight Tightening Neck Serum Roller"/>
        <s v="Mini Grape Water Moisturizing Face Mist"/>
        <s v="2-in-1 Cleansing Oil + Makeup Remover"/>
        <s v="AGE Bright Clearing Serum"/>
        <s v="GENIUS Ultimate Anti-Aging Melting Cleanser"/>
        <s v="SPF Bestsellers Kit"/>
        <s v="Mini GO OFF Makeup Dissolving Mist"/>
        <s v="Hydra Zen Glow Liquid Lightweight Moisturizer with Hyaluronic Acid"/>
        <s v="Moody Bird PMS Support Supplement"/>
        <s v="Nourishing Makeup Removing Oil Cleanser"/>
        <s v="Mini Maracuja Oil"/>
        <s v="La Mousse OFF/ON Foaming Face Cleanser"/>
        <s v="After Baume Moisture Barrier Recovery Cream"/>
        <s v="Double Serum Eye Firming &amp; Hydrating Anti-Aging Concentrate"/>
        <s v="Hyaluronic Marine Hydrating Modeling Mask"/>
        <s v="NÂ°41 Facial Sunscreen Mist with SPF 41"/>
        <s v="The Clarifying Kit"/>
        <s v="Down to Tone Resurfacing Acid Toner"/>
        <s v="Dreamskin Skin Perfector Refill"/>
        <s v="The Tonic"/>
        <s v="Omega+ Complex Moisturizer"/>
        <s v="Repairwear Laser Focus Wrinkle Correcting Eye Cream"/>
        <s v="Eczema+ Care Kit"/>
        <s v="10% Niacinamide Booster"/>
        <s v="Youth Junkie Activated Mask"/>
        <s v="Clarifying Toner with Niacinamide and Zinc"/>
        <s v="Mineral Sunscreen Zinc Oxide Broad Spectrum SPF 30"/>
        <s v="Mini Total Cleans'r Makeup Removing Cleanser"/>
        <s v="Daily Milkfoliant Exfoliator"/>
        <s v="Dermask Ultra Jet Peeling Solution"/>
        <s v="DermalQuench Hyaluronic Acid Hydration Treatment"/>
        <s v="Mini Black Tea Instant Perfecting Mask"/>
        <s v="Super Multi-Corrective Anti-Aging Face and Neck Cream"/>
        <s v="Gradual Self-Tanning Face Gel"/>
        <s v="Lactic Acid AHA Exfoliating Serum"/>
        <s v="Acne Solutions Acne + Line Correcting Serum"/>
        <s v="Pore Refining Solutions Correcting Serum"/>
        <s v="Potent-C Power Brightening Hydra-Gels"/>
        <s v="LUNA fofo"/>
        <s v="SHIKULIME Mega Hydrating Moisturizer"/>
        <s v="All About Acne Breakout + Blackhead Set"/>
        <s v="Dark Spots No More Triple Acid Spot Minimizing Concentrate"/>
        <s v="Mini Anti-Aging Cleansing Gel"/>
        <s v="RÃ©nergie Lift Multi-Action Ultra Dark Circle Correcting Eye Cream"/>
        <s v="Redness Solutions Soothing Cleanser"/>
        <s v="Make My Day Activated Mask"/>
        <s v="Mini Water Drench  Hyaluronic Hydrating Moisturizer SPF 45"/>
        <s v="Express Ultra Dark Mousse"/>
        <s v="Cleansing Serum"/>
        <s v="De-Puffing Rose Quartz Eye Treatment Tool"/>
        <s v="B3 Nice 10% Niacinamide Serum"/>
        <s v="Plantscription Youth-Renewing Power Night Cream"/>
        <s v="Hyaluronic Acid + Peptide Lip Treatment Booster"/>
        <s v="Super Collagen Mask"/>
        <s v="Turmeric Glow Foaming Cleanser"/>
        <s v="Vinoclean Gentle Cleansing Almond Milk"/>
        <s v="Grapefruit Peeling Mask - Skin Perfection"/>
        <s v="Hemp Mousse Mask - Anti-Blemish"/>
        <s v="Mini Rose Floral Toner"/>
        <s v="Cryo Rubber Mask with Brightening Vitamin C"/>
        <s v="Cryo Rubber Mask with Moisturizing Hyaluronic Acid"/>
        <s v="Cryo Rubber Mask with Soothing Allantoin"/>
        <s v="Cryo Rubber Mask with Firming Collagen"/>
        <s v="Mini MultiVitamin Power Recovery Mask"/>
        <s v="Mini Glow2OH Dark Spot Toner"/>
        <s v="Focuspot Dark Spot Micro Tip Patch"/>
        <s v="Focuspot Blemish Micro Tip Patch"/>
        <s v="Mini The Dewy Skin Cream"/>
        <s v="Mini The Dewy Skin Cream Plumping &amp; Hydrating Moisturizer"/>
        <s v="Lotus Youth Preseve Rescue Mask Mini"/>
        <s v="Nudestix Lemon-Aid Detox &amp; Glow Micro-Peel"/>
        <s v="Mini Luxury Beauty Serum Calming Treatment"/>
        <s v="Mini Age Adapting CBD Serum"/>
        <s v="Mini Black Tea Firming Overnight Mask"/>
        <s v="Green Clean Makeup Meltaway Cleansing Balm Limited Edition Jumbo"/>
        <s v="Capture Youth Intense Rescue Age-Delay Revitalizing Oil-Serum"/>
        <s v="Capture Youth Plump Filler Age-Delay Plumping Serum"/>
        <s v="Capture Youth Glow Booster Age-Delay Illuminating Serum"/>
        <s v="Vital Perfection Uplifting and Firming Day Cream SPF 30"/>
        <s v="Anti-Aging Skincare Essentials Set"/>
        <s v="Bio Hyaluronic Moisturizer Cream"/>
        <s v="Acne Light Shot Strips"/>
        <s v="Ultra Facial Cleanser Home &amp; Away Bundle"/>
        <s v="GOOPGLOW Vita-C Brightening Eye Cream"/>
        <s v="24-7 Ultra Hydration Triple-Hydra Complex Day &amp; Night Serum with Hyaluronic Acid, Squalane &amp; Collagen"/>
        <s v="Multi Action Clear Acne Clearing Treatment Lotion for Breakouts"/>
        <s v="Deep Pore Cleansing Kit"/>
        <s v="Ultimune Eye Power Infusing Eye Concentrate"/>
        <s v="Retinol Youth Renewal Value Duo"/>
        <s v="Ultra Pure Hyaluronic Acid 1.5% Serum"/>
        <s v="Kombucha Antioxidant Facial Treatment Essence"/>
        <s v="Multi Action Clear Gentle Daily Clarifying Cleanser for Acne and Breakouts"/>
        <s v="Multi Action Clear Gentle Daily Brightening &amp; Retexturizing Toner for Acne and Breakouts"/>
        <s v="Clarifique Pro-Solution Brightening &amp; Dark Spot Reducing Serum"/>
        <s v="Ultra Facial Cream Refill Bundle"/>
        <s v="Mini Kombucha Antioxidant Facial Treatment Essence"/>
        <s v="Barrier Culture Cleanser Pre-, Pro- &amp; Postbiotic Face Wash"/>
        <s v="Multi Action Clear Acne Control 30-Day Trial Kit"/>
        <s v="Barrier Culture Moisturizer with Niacinamide &amp; Squalane"/>
        <s v="Ultra Pure High-Potency 9.8% Glycolic Acid Serum"/>
        <s v="Glow Strong Mini Moisturizer + Eye Cream Duo"/>
        <s v="Retinal Rescuplt Overnight Treatment"/>
        <s v="Concentrated Ginseng Renewing Cream Set"/>
        <s v="Ultra Pure High-Potency 5.0% Niacinamide Serum"/>
        <s v="Full-Size FIRMx Face &amp; Eye Firmers 2-Piece Kit"/>
        <s v="Patch &amp; Protect Summer Essentials 2-Piece Kit"/>
        <s v="Polyglutamic Acid Dewy Sunscreen SPF 30"/>
        <s v="Gentle Hydra-Gel Face Cleanser"/>
        <s v="DRx SpectraLite LED EyeCare Max Pro"/>
        <s v="High Performance Face Cleanser for Clear Skin with Niacinamide"/>
        <s v="NuFACE Effective Lip &amp; Eye Attachment"/>
        <s v="Abeille Royale Bestsellers Travel Set"/>
        <s v="Advanced Revitalizing Cleanser"/>
        <s v="Super Anti-Aging Night Cream"/>
        <s v="High Performance Face Serum with Vitamin C and Hyaluronic Acid"/>
        <s v="Overnight Vitalizing Sleeping Mask"/>
        <s v="Mini Cleansing Wipes - Coconut Water"/>
        <s v="Phyto Nature Oxygen Cream"/>
        <s v="25 Years of Dr. Brandt Kit"/>
        <s v="Equilibrium Resurfacing Retinoid Treatment"/>
        <s v="Hydra-Essentiel Silky Moisturizer with Double Dose Hyaluronic Acid"/>
        <s v="Double Serum Light Texture Firming &amp; Smoothing Anti-Aging Concentrate"/>
        <s v="The Moisturizing Soft Cream Moisturizer"/>
        <s v="Moisturizing High Performance Face Cream with Peptides"/>
        <s v="Even Better Brightening Moisturizer SPF 20"/>
        <s v="Turbo Body Lotion Energizing Gel Moisturizer with Eucalyptus &amp; Aloe"/>
        <s v="High Performance Eye Cream for Dark Circles with Hyaluronic Acid"/>
        <s v="Acne Remedy Balancing Foam Cleanser"/>
        <s v="Max Vitamin D-Fense Sunscreen Serum Broad Spectrum SPF 50"/>
        <s v="First Care Radiance Set"/>
        <s v="Absolue The Serum"/>
        <s v="ZenBubble Bi-Phase Toner Serum"/>
        <s v="Eudermine Activating Essence"/>
        <s v="First Care Activating Serum 25th Anniversary Limited Edition"/>
        <s v="Skin Filter Daily Brightening Phyto-Retinol + AHA Serum"/>
        <s v="Hydrating Active Roller with Hyaluronic Acid"/>
        <s v="Deep Clean Kit"/>
        <s v="Plumping High Performance Lip Filler with Hyaluronic Acid"/>
        <s v="The POREfessional Good Cleanup Foaming Cleanser"/>
        <s v="Brighten Up 3% TXA Dark Spot Toner with Azelaic Acid"/>
        <s v="Soft Clean Moisture Rich Foaming Cleanser"/>
        <s v="Mini Equilibrium Biomimetic Skin Active Serum"/>
        <s v="Algae Peptide Regenerative Moisturizer"/>
        <s v="Wrinkle Smoothing Starter Set"/>
        <s v="Oil-Control Toner"/>
        <s v="Equilibrium Biomimetic Skin Active Serum"/>
        <s v="Bio-Barrier Eye CrÃ¨me"/>
        <s v="Aquarius BHA + Blue Tansy Clarity Cleanser"/>
        <s v="Plump Pout Duo"/>
        <s v="FIX Line Smoothing Serum"/>
        <s v="Honey Infused Lip Oil"/>
        <s v="Super Restorative Anti-Aging Day Moisturizer"/>
        <s v="Smart Clinical Repair Wrinkle Correcting Rich Cream"/>
        <s v="Retinol + Bakuchiol Serum 2.5x"/>
        <s v="Super Restorative Anti-Aging Night Moisturizer"/>
        <s v="Radiance Revitalizing Foam"/>
        <s v="Rare Earth Pore Minimizing Lotion"/>
        <s v="Snow Mushroom Pore Cleanser with Exfoliating Glove"/>
        <s v="Acne Light Shot"/>
        <s v="Retinol Try Me Kit"/>
        <s v="The POREfessional Tight â€™n Toned Pore-Refining AHA+PHA Toner"/>
        <s v="Future Solution LX Total Protective Emulsion Broad Spectrum SPF 20 Sunscreen"/>
        <s v="Mineral Sun Defense Moisturizer Broad Spectrum SPF 30"/>
        <s v="NUDESKIN Citrus-C Mask &amp; Daily Moisturizer"/>
        <s v="Pore Perfecting Liquid Exfoliator with 2% BHA + Borage"/>
        <s v="Big Break Soap Set"/>
        <s v="Abeille Royale Intense Repair Youth Oil in Balm"/>
        <s v="Drop of Strength All Day Strengthening Serum"/>
        <s v="Break from the Burnout Skin Wellness Set"/>
        <s v="The Face Cream Mask"/>
        <s v="Superkind Refining Cleanser"/>
        <s v="Repairwear Laser Focus Line Smoothing Cream Broad Spectrum SPF 15 for Combination Oily to Oily Skin"/>
        <s v="Fan Club - multi-symptom menopause support"/>
        <s v="Self Tanning Face &amp; Body Milky Lotion"/>
        <s v="The POREfessional Smooth Sip Lightweight Gel-Cream Moisturizer"/>
        <s v="NuFACE Trinity+ &amp; Effective Lip and Eye Attachment"/>
        <s v="The POREfessional Get Unblocked Makeup-Removing Cleansing Oil"/>
        <s v="Early Bird Hydrate + Brighten Set"/>
        <s v="Grab and Go Set"/>
        <s v="Get Lit Skin and Mood Boosting Supplement"/>
        <s v="Refine AHA + BHA Texture &amp; Pore Serum"/>
        <s v="5% Citrus Fruit &amp; Glycolic Glow Toner"/>
        <s v="PRO ACV Healthy Gut Vegan Gummies with 100% Organic Apple Cider Vinegar and Probiotics"/>
        <s v="Equilibrium Day Fluid Sunscreen Broad Spectrum SPF 30"/>
        <s v="SuperPower Immune Support Supplement"/>
        <s v="Classic Face Organic Sunscreen Lotion SPF 30"/>
        <s v="Advanced Retinol Nightly Multi Correct Serum"/>
        <s v="Womb Service - OBGYN Formulated Prenatal Support Supplement"/>
        <s v="3 Step Intro Kit Type II"/>
        <s v="Everyday SPF Faves"/>
        <s v="Nourishing Rich Moisturizer with Hyaluronic Acid"/>
        <s v="Darker Skin Tones Face Cream Rich"/>
        <s v="Equilibrium Restorative Hydrating Cream"/>
        <s v="Cryo Skin Icing Roller + Bright Eyes Gels Set"/>
        <s v="G.Tox Detoxifying Superpowder"/>
        <s v="Clinique iD:  Moisturizer + Concentrate for Pores &amp; Uneven Texture"/>
        <s v="35% Vitamin C Fusion Serum"/>
        <s v="LUNA 4 Facial Cleansing &amp; Firming Massage for Balanced Skin"/>
        <s v="Soft Clean Infusion Hydrating Treatment Lotion"/>
        <s v="Bye Bye Bumps - Best of Body Kit"/>
        <s v="Essential Comfort Balancing Emulsion"/>
        <s v="Super Anti-Aging Face Cream"/>
        <s v="Exfoliating Revitalizing &amp; Energizing Caffeine Micro Polish"/>
        <s v="Liftwear Brightening Vitamin C Gel-Cream"/>
        <s v="Evening Primrose + Green Tea Algae Retinol Face Oil"/>
        <s v="Brightening Active Roller with Vitamin C"/>
        <s v="Acne Remedy Overnight Repair Moisturizer"/>
        <s v="Mask-imum Revival Hydra-Plumping Mask"/>
        <s v="Mineral Sunscreen SPF 30"/>
        <s v="Soothe + Hydrate Barrier Building Hydrosol Mist"/>
        <s v="Capture Dreamskin 1-Minute Mask"/>
      </sharedItems>
    </cacheField>
    <cacheField name="Brand Id" numFmtId="0">
      <sharedItems containsSemiMixedTypes="0" containsString="0" containsNumber="1" containsInteger="1" minValue="1063" maxValue="8017"/>
    </cacheField>
    <cacheField name="Brand Name" numFmtId="0">
      <sharedItems count="143">
        <s v="LANEIGE"/>
        <s v="The Ordinary"/>
        <s v="Drunk Elephant"/>
        <s v="Youth To The People"/>
        <s v="Farmacy"/>
        <s v="Glow Recipe"/>
        <s v="Tatcha"/>
        <s v="Summer Fridays"/>
        <s v="Peace Out"/>
        <s v="Supergoop!"/>
        <s v="First Aid Beauty"/>
        <s v="fresh"/>
        <s v="Paula's Choice"/>
        <s v="SEPHORA COLLECTION"/>
        <s v="belif"/>
        <s v="Sunday Riley"/>
        <s v="Dr. Dennis Gross Skincare"/>
        <s v="Dr. Jart+"/>
        <s v="Isle of Paradise"/>
        <s v="Skinfix"/>
        <s v="Kiehl's Since 1851"/>
        <s v="The INKEY List"/>
        <s v="Origins"/>
        <s v="Caudalie"/>
        <s v="CLINIQUE"/>
        <s v="OLEHENRIKSEN"/>
        <s v="Bobbi Brown"/>
        <s v="Biossance"/>
        <s v="innisfree"/>
        <s v="Topicals"/>
        <s v="Slip"/>
        <s v="Josie Maran"/>
        <s v="Shiseido"/>
        <s v="Herbivore"/>
        <s v="Jack Black"/>
        <s v="Fenty Skin"/>
        <s v="Sol de Janeiro"/>
        <s v="SK-II"/>
        <s v="Charlotte Tilbury"/>
        <s v="Dermalogica"/>
        <s v="MILK MAKEUP"/>
        <s v="Peter Thomas Roth"/>
        <s v="LancÃ´me"/>
        <s v="INC.redible"/>
        <s v="La Mer"/>
        <s v="EstÃ©e Lauder"/>
        <s v="BeautyBio"/>
        <s v="Glossier"/>
        <s v="FOREO"/>
        <s v="Wishful"/>
        <s v="KORA Organics"/>
        <s v="REN Clean Skincare"/>
        <s v="Dior"/>
        <s v="Augustinus Bader"/>
        <s v="Murad"/>
        <s v="Alpha-H"/>
        <s v="Mario Badescu"/>
        <s v="TAN-LUXE"/>
        <s v="HUM Nutrition"/>
        <s v="IT Cosmetics"/>
        <s v="GUERLAIN"/>
        <s v="Mount Lai"/>
        <s v="goop"/>
        <s v="Clarins"/>
        <s v="St. Tropez"/>
        <s v="PMD"/>
        <s v="L'Occitane"/>
        <s v="Danessa Myricks Beauty"/>
        <s v="Jillian Dempsey"/>
        <s v="Wander Beauty"/>
        <s v="Tata Harper"/>
        <s v="COOLA"/>
        <s v="KORRES"/>
        <s v="tarte"/>
        <s v="Evian"/>
        <s v="iluminage"/>
        <s v="NuFACE"/>
        <s v="Sulwhasoo"/>
        <s v="Algenist"/>
        <s v="Rosebud Perfume Co."/>
        <s v="Kate Somerville"/>
        <s v="StriVectin"/>
        <s v="GLO Science"/>
        <s v="TULA Skincare"/>
        <s v="Moon Juice"/>
        <s v="Kosas"/>
        <s v="Hyper Skin"/>
        <s v="alpyn beauty"/>
        <s v="EADEM"/>
        <s v="Tower 28 Beauty"/>
        <s v="Flora + Bast"/>
        <s v="Saie"/>
        <s v="iNNBEAUTY PROJECT"/>
        <s v="DERMAFLASH"/>
        <s v="Freck Beauty"/>
        <s v="CAY SKIN"/>
        <s v="NÃ©cessaire"/>
        <s v="Dr. Brandt Skincare"/>
        <s v="LAWLESS"/>
        <s v="ONE/SIZE by Patrick Starrr"/>
        <s v="Shani Darden Skin Care"/>
        <s v="Saint Jane Beauty"/>
        <s v="Koh Gen Do"/>
        <s v="JLo Beauty"/>
        <s v="DAMDAM"/>
        <s v="ILIA"/>
        <s v="MERIT"/>
        <s v="Dr. Lara Devgan Scientific Beauty"/>
        <s v="Benefit Cosmetics"/>
        <s v="MAKE UP FOR EVER"/>
        <s v="Community Sixty-Six"/>
        <s v="MARA"/>
        <s v="FaceGym"/>
        <s v="RANAVAT"/>
        <s v="Dr. Barbara Sturm"/>
        <s v="Hourglass"/>
        <s v="Erno Laszlo"/>
        <s v="Kate McLeod"/>
        <s v="NUDESTIX"/>
        <s v="WASO"/>
        <s v="Dr. Zenovia Skincare"/>
        <s v="Soleil Toujours"/>
        <s v="Naturally Serious"/>
        <s v="ROSE INC"/>
        <s v="The Nue Co."/>
        <s v="Hanni"/>
        <s v="PROVEN Skincare"/>
        <s v="SOBEL SKIN Rx"/>
        <s v="ROSE Ingleton MD"/>
        <s v="The Outset"/>
        <s v="Skin Laundry"/>
        <s v="lilah b."/>
        <s v="Anastasia Beverly Hills"/>
        <s v="Iconic London"/>
        <s v="HABIT"/>
        <s v="TWEEZERMAN"/>
        <s v="Prima"/>
        <s v="Gucci"/>
        <s v="CANOPY"/>
        <s v="bareMinerals"/>
        <s v="MACRENE actives"/>
        <s v="Gisou"/>
        <s v="caliray"/>
      </sharedItems>
    </cacheField>
    <cacheField name="Category" numFmtId="0">
      <sharedItems count="13">
        <s v="Lip Balms &amp; Treatments"/>
        <s v="Treatments"/>
        <s v="Cleansers"/>
        <s v="Moisturizers"/>
        <s v="Sunscreen"/>
        <s v="Masks"/>
        <s v="Self Tanners"/>
        <s v="Mini Size"/>
        <s v="Eye Care"/>
        <s v="Wellness"/>
        <s v="Value &amp; Gift Sets"/>
        <s v="High Tech Tools"/>
        <s v="Shop by Concern"/>
      </sharedItems>
    </cacheField>
    <cacheField name="Loves Count" numFmtId="0">
      <sharedItems containsSemiMixedTypes="0" containsString="0" containsNumber="1" containsInteger="1" minValue="0" maxValue="1081315"/>
    </cacheField>
    <cacheField name="Engagement Range" numFmtId="0">
      <sharedItems/>
    </cacheField>
    <cacheField name="Engagement Tier" numFmtId="0">
      <sharedItems count="7">
        <s v="Extremely Viral"/>
        <s v="Viral"/>
        <s v="High"/>
        <s v="Very High"/>
        <s v="Low"/>
        <s v="Medium"/>
        <s v="Very Low"/>
      </sharedItems>
    </cacheField>
    <cacheField name="Rating" numFmtId="0">
      <sharedItems containsString="0" containsBlank="1" containsNumber="1" minValue="1" maxValue="5"/>
    </cacheField>
    <cacheField name="Has Rating" numFmtId="0">
      <sharedItems/>
    </cacheField>
    <cacheField name="Rating Band" numFmtId="0">
      <sharedItems count="4">
        <s v="High"/>
        <s v="Medium"/>
        <s v="Low"/>
        <s v="Not Rated"/>
      </sharedItems>
    </cacheField>
    <cacheField name="Reviews" numFmtId="0">
      <sharedItems containsSemiMixedTypes="0" containsString="0" containsNumber="1" containsInteger="1" minValue="0" maxValue="16118"/>
    </cacheField>
    <cacheField name="Price USD" numFmtId="0">
      <sharedItems containsSemiMixedTypes="0" containsString="0" containsNumber="1" minValue="3" maxValue="1900"/>
    </cacheField>
    <cacheField name="Price Tier" numFmtId="0">
      <sharedItems count="3">
        <s v="Mid-range"/>
        <s v="Budget"/>
        <s v="Premium"/>
      </sharedItems>
    </cacheField>
    <cacheField name="New" numFmtId="0">
      <sharedItems containsSemiMixedTypes="0" containsString="0" containsNumber="1" containsInteger="1" minValue="0" maxValue="1"/>
    </cacheField>
    <cacheField name="Out of Stock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9165368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s v="P420652"/>
    <s v="Lip Sleeping Mask Intense Hydration with Vitamin C"/>
    <n v="6125"/>
    <s v="LANEIGE"/>
    <n v="1081315"/>
    <x v="0"/>
    <n v="4.3507999999999996"/>
    <s v="Yes"/>
    <s v="High"/>
    <n v="16118"/>
    <x v="0"/>
    <s v="Mid"/>
    <n v="0"/>
    <n v="0"/>
    <s v="Lip Balms &amp; Treatments"/>
  </r>
  <r>
    <s v="P427417"/>
    <s v="Niacinamide 10% + Zinc 1% Oil Control Serum"/>
    <n v="6234"/>
    <s v="The Ordinary"/>
    <n v="763168"/>
    <x v="0"/>
    <n v="4.2439"/>
    <s v="Yes"/>
    <s v="High"/>
    <n v="5778"/>
    <x v="1"/>
    <s v="Budget"/>
    <n v="0"/>
    <n v="0"/>
    <s v="Treatments"/>
  </r>
  <r>
    <s v="P427419"/>
    <s v="Hyaluronic Acid 2% + B5 Hydrating Serum"/>
    <n v="6234"/>
    <s v="The Ordinary"/>
    <n v="720504"/>
    <x v="0"/>
    <n v="4.2133000000000003"/>
    <s v="Yes"/>
    <s v="High"/>
    <n v="3788"/>
    <x v="2"/>
    <s v="Budget"/>
    <n v="0"/>
    <n v="0"/>
    <s v="Treatments"/>
  </r>
  <r>
    <s v="P427406"/>
    <s v="Glycolic Acid 7% Exfoliating Toning Solution"/>
    <n v="6234"/>
    <s v="The Ordinary"/>
    <n v="542743"/>
    <x v="0"/>
    <n v="4.3456000000000001"/>
    <s v="Yes"/>
    <s v="High"/>
    <n v="2891"/>
    <x v="3"/>
    <s v="Budget"/>
    <n v="0"/>
    <n v="0"/>
    <s v="Cleansers"/>
  </r>
  <r>
    <s v="P442563"/>
    <s v="AHA 30% + BHA 2% Exfoliating Peeling Solution"/>
    <n v="6234"/>
    <s v="The Ordinary"/>
    <n v="533877"/>
    <x v="0"/>
    <n v="4.5734000000000004"/>
    <s v="Yes"/>
    <s v="High"/>
    <n v="3242"/>
    <x v="4"/>
    <s v="Budget"/>
    <n v="0"/>
    <n v="0"/>
    <s v="Treatments"/>
  </r>
  <r>
    <s v="P443563"/>
    <s v="Lip Glowy Balm"/>
    <n v="6125"/>
    <s v="LANEIGE"/>
    <n v="471406"/>
    <x v="1"/>
    <n v="4.3922999999999996"/>
    <s v="Yes"/>
    <s v="High"/>
    <n v="3722"/>
    <x v="5"/>
    <s v="Budget"/>
    <n v="0"/>
    <n v="0"/>
    <s v="Lip Balms &amp; Treatments"/>
  </r>
  <r>
    <s v="P427421"/>
    <s v="Protini Polypeptide Firming Refillable Moisturizer"/>
    <n v="7083"/>
    <s v="Drunk Elephant"/>
    <n v="411372"/>
    <x v="1"/>
    <n v="3.9620000000000002"/>
    <s v="Yes"/>
    <s v="Medium"/>
    <n v="6048"/>
    <x v="6"/>
    <s v="Premium"/>
    <n v="0"/>
    <n v="0"/>
    <s v="Moisturizers"/>
  </r>
  <r>
    <s v="P411387"/>
    <s v="Superfood Antioxidant Cleanser"/>
    <n v="6169"/>
    <s v="Youth To The People"/>
    <n v="404142"/>
    <x v="1"/>
    <n v="4.2111999999999998"/>
    <s v="Yes"/>
    <s v="High"/>
    <n v="5851"/>
    <x v="7"/>
    <s v="Mid"/>
    <n v="0"/>
    <n v="0"/>
    <s v="Cleansers"/>
  </r>
  <r>
    <s v="P417238"/>
    <s v="Green Clean Makeup Removing Cleansing Balm"/>
    <n v="8001"/>
    <s v="Farmacy"/>
    <n v="403801"/>
    <x v="1"/>
    <n v="4.4958"/>
    <s v="Yes"/>
    <s v="High"/>
    <n v="6158"/>
    <x v="8"/>
    <s v="Mid"/>
    <n v="0"/>
    <n v="0"/>
    <s v="Cleansers"/>
  </r>
  <r>
    <s v="P466123"/>
    <s v="Watermelon Glow Niacinamide Dew Drops"/>
    <n v="6189"/>
    <s v="Glow Recipe"/>
    <n v="389213"/>
    <x v="1"/>
    <n v="4.3975"/>
    <s v="Yes"/>
    <s v="High"/>
    <n v="2136"/>
    <x v="9"/>
    <s v="Mid"/>
    <n v="0"/>
    <n v="0"/>
    <s v="Treatments"/>
  </r>
  <r>
    <s v="P441101"/>
    <s v="The Dewy Skin Cream Plumping &amp; Hydrating Moisturizer"/>
    <n v="6041"/>
    <s v="Tatcha"/>
    <n v="388775"/>
    <x v="1"/>
    <n v="4.1022999999999996"/>
    <s v="Yes"/>
    <s v="High"/>
    <n v="3148"/>
    <x v="10"/>
    <s v="Premium"/>
    <n v="0"/>
    <n v="0"/>
    <s v="Moisturizers"/>
  </r>
  <r>
    <s v="P418218"/>
    <s v="The Water Cream Oil-Free Pore Minimizing Moisturizer"/>
    <n v="6041"/>
    <s v="Tatcha"/>
    <n v="373877"/>
    <x v="1"/>
    <n v="4.0244999999999997"/>
    <s v="Yes"/>
    <s v="High"/>
    <n v="4168"/>
    <x v="10"/>
    <s v="Premium"/>
    <n v="0"/>
    <n v="0"/>
    <s v="Moisturizers"/>
  </r>
  <r>
    <s v="P455936"/>
    <s v="Lip Butter Balm"/>
    <n v="6247"/>
    <s v="Summer Fridays"/>
    <n v="359649"/>
    <x v="1"/>
    <n v="4.2662000000000004"/>
    <s v="Yes"/>
    <s v="High"/>
    <n v="1157"/>
    <x v="0"/>
    <s v="Mid"/>
    <n v="0"/>
    <n v="0"/>
    <s v="Lip Balms &amp; Treatments"/>
  </r>
  <r>
    <s v="P427420"/>
    <s v="Multi-Peptide + HA Serum"/>
    <n v="6234"/>
    <s v="The Ordinary"/>
    <n v="338410"/>
    <x v="1"/>
    <n v="4.1429"/>
    <s v="Yes"/>
    <s v="High"/>
    <n v="1609"/>
    <x v="11"/>
    <s v="Mid"/>
    <n v="0"/>
    <n v="0"/>
    <s v="Treatments"/>
  </r>
  <r>
    <s v="P432668"/>
    <s v="D-Bronzi Anti-Pollution Bronzing Drops with Peptides"/>
    <n v="7083"/>
    <s v="Drunk Elephant"/>
    <n v="328059"/>
    <x v="1"/>
    <n v="4.4329999999999998"/>
    <s v="Yes"/>
    <s v="High"/>
    <n v="2037"/>
    <x v="12"/>
    <s v="Mid"/>
    <n v="0"/>
    <n v="1"/>
    <s v="Treatments"/>
  </r>
  <r>
    <s v="P421275"/>
    <s v="Salicylic Acid Acne Healing Dots"/>
    <n v="6209"/>
    <s v="Peace Out"/>
    <n v="316297"/>
    <x v="1"/>
    <n v="4.1779000000000002"/>
    <s v="Yes"/>
    <s v="High"/>
    <n v="4560"/>
    <x v="13"/>
    <s v="Budget"/>
    <n v="0"/>
    <n v="0"/>
    <s v="Treatments"/>
  </r>
  <r>
    <s v="P454380"/>
    <s v="Unseen Sunscreen SPF 40 PA+++"/>
    <n v="5987"/>
    <s v="Supergoop!"/>
    <n v="302951"/>
    <x v="1"/>
    <n v="4.26"/>
    <s v="Yes"/>
    <s v="High"/>
    <n v="3262"/>
    <x v="14"/>
    <s v="Mid"/>
    <n v="0"/>
    <n v="0"/>
    <s v="Sunscreen"/>
  </r>
  <r>
    <s v="P400259"/>
    <s v="C-Firma Fresh Vitamin-C Day Serum"/>
    <n v="7083"/>
    <s v="Drunk Elephant"/>
    <n v="300467"/>
    <x v="1"/>
    <n v="4.1561000000000003"/>
    <s v="Yes"/>
    <s v="High"/>
    <n v="1602"/>
    <x v="15"/>
    <s v="Premium"/>
    <n v="0"/>
    <n v="0"/>
    <s v="Treatments"/>
  </r>
  <r>
    <s v="P248407"/>
    <s v="Ultra Repair Cream Intense Hydration"/>
    <n v="5972"/>
    <s v="First Aid Beauty"/>
    <n v="300432"/>
    <x v="1"/>
    <n v="4.5199999999999996"/>
    <s v="Yes"/>
    <s v="High"/>
    <n v="7539"/>
    <x v="12"/>
    <s v="Mid"/>
    <n v="0"/>
    <n v="0"/>
    <s v="Moisturizers"/>
  </r>
  <r>
    <s v="P427413"/>
    <s v="Lactic Acid 10% + HA 2% Exfoliating Serum"/>
    <n v="6234"/>
    <s v="The Ordinary"/>
    <n v="295071"/>
    <x v="1"/>
    <n v="4.5034999999999998"/>
    <s v="Yes"/>
    <s v="High"/>
    <n v="1289"/>
    <x v="16"/>
    <s v="Budget"/>
    <n v="0"/>
    <n v="0"/>
    <s v="Treatments"/>
  </r>
  <r>
    <s v="P392246"/>
    <s v="T.L.C. Framboos Glycolic Resurfacing Night Serum"/>
    <n v="7083"/>
    <s v="Drunk Elephant"/>
    <n v="290028"/>
    <x v="1"/>
    <n v="4.3491999999999997"/>
    <s v="Yes"/>
    <s v="High"/>
    <n v="3439"/>
    <x v="17"/>
    <s v="Premium"/>
    <n v="0"/>
    <n v="0"/>
    <s v="Treatments"/>
  </r>
  <r>
    <s v="P7880"/>
    <s v="Soy Hydrating Gentle Face Cleanser"/>
    <n v="4348"/>
    <s v="fresh"/>
    <n v="282865"/>
    <x v="1"/>
    <n v="4.3628"/>
    <s v="Yes"/>
    <s v="High"/>
    <n v="8733"/>
    <x v="7"/>
    <s v="Mid"/>
    <n v="0"/>
    <n v="0"/>
    <s v="Cleansers"/>
  </r>
  <r>
    <s v="P427416"/>
    <s v="Caffeine 5% + EGCG Depuffing Eye Serum"/>
    <n v="6234"/>
    <s v="The Ordinary"/>
    <n v="281928"/>
    <x v="1"/>
    <n v="3.7715000000000001"/>
    <s v="Yes"/>
    <s v="Medium"/>
    <n v="2118"/>
    <x v="16"/>
    <s v="Budget"/>
    <n v="0"/>
    <n v="0"/>
    <s v="Treatments"/>
  </r>
  <r>
    <s v="P469502"/>
    <s v="Skin Perfecting 2% BHA Liquid Exfoliant"/>
    <n v="6341"/>
    <s v="Paula's Choice"/>
    <n v="275846"/>
    <x v="1"/>
    <n v="4.4398999999999997"/>
    <s v="Yes"/>
    <s v="High"/>
    <n v="1182"/>
    <x v="18"/>
    <s v="Mid"/>
    <n v="0"/>
    <n v="0"/>
    <s v="Cleansers"/>
  </r>
  <r>
    <s v="P415777"/>
    <s v="T.L.C. Sukari Babyfacial AHA + BHA Mask"/>
    <n v="7083"/>
    <s v="Drunk Elephant"/>
    <n v="274915"/>
    <x v="1"/>
    <n v="4.2908999999999997"/>
    <s v="Yes"/>
    <s v="High"/>
    <n v="2554"/>
    <x v="19"/>
    <s v="Premium"/>
    <n v="0"/>
    <n v="0"/>
    <s v="Masks"/>
  </r>
  <r>
    <s v="P409800"/>
    <s v="Cleansing &amp; Exfoliating Wipes"/>
    <n v="3902"/>
    <s v="SEPHORA COLLECTION"/>
    <n v="266116"/>
    <x v="1"/>
    <n v="4.3383000000000003"/>
    <s v="Yes"/>
    <s v="High"/>
    <n v="3837"/>
    <x v="20"/>
    <s v="Budget"/>
    <n v="0"/>
    <n v="1"/>
    <s v="Cleansers"/>
  </r>
  <r>
    <s v="P394639"/>
    <s v="The True Cream Aqua Bomb"/>
    <n v="7075"/>
    <s v="belif"/>
    <n v="265050"/>
    <x v="1"/>
    <n v="4.4840999999999998"/>
    <s v="Yes"/>
    <s v="High"/>
    <n v="7292"/>
    <x v="12"/>
    <s v="Mid"/>
    <n v="0"/>
    <n v="0"/>
    <s v="Moisturizers"/>
  </r>
  <r>
    <s v="P309308"/>
    <s v="Good Genes All-In-One AHA Lactic Acid Treatment"/>
    <n v="6073"/>
    <s v="Sunday Riley"/>
    <n v="262434"/>
    <x v="1"/>
    <n v="4.3375000000000004"/>
    <s v="Yes"/>
    <s v="High"/>
    <n v="5393"/>
    <x v="21"/>
    <s v="Premium"/>
    <n v="0"/>
    <n v="0"/>
    <s v="Treatments"/>
  </r>
  <r>
    <s v="P427414"/>
    <s v="Natural Moisturizing Factors + HA"/>
    <n v="6234"/>
    <s v="The Ordinary"/>
    <n v="258456"/>
    <x v="1"/>
    <n v="4.1471999999999998"/>
    <s v="Yes"/>
    <s v="High"/>
    <n v="2052"/>
    <x v="22"/>
    <s v="Budget"/>
    <n v="0"/>
    <n v="0"/>
    <s v="Treatments"/>
  </r>
  <r>
    <s v="P458219"/>
    <s v="Watermelon Glow PHA + BHA Pore-Tight Toner"/>
    <n v="6189"/>
    <s v="Glow Recipe"/>
    <n v="252846"/>
    <x v="1"/>
    <n v="4.3727999999999998"/>
    <s v="Yes"/>
    <s v="High"/>
    <n v="3305"/>
    <x v="18"/>
    <s v="Mid"/>
    <n v="0"/>
    <n v="0"/>
    <s v="Cleansers"/>
  </r>
  <r>
    <s v="P440307"/>
    <s v="Superberry Hydrate + Glow Dream Night Mask with Vitamin C"/>
    <n v="6169"/>
    <s v="Youth To The People"/>
    <n v="248887"/>
    <x v="1"/>
    <n v="4.3236999999999997"/>
    <s v="Yes"/>
    <s v="High"/>
    <n v="2354"/>
    <x v="23"/>
    <s v="Premium"/>
    <n v="0"/>
    <n v="0"/>
    <s v="Masks"/>
  </r>
  <r>
    <s v="P427536"/>
    <s v="The Deep Cleanse Gentle Exfoliating Cleanser"/>
    <n v="6041"/>
    <s v="Tatcha"/>
    <n v="245976"/>
    <x v="1"/>
    <n v="4.1478000000000002"/>
    <s v="Yes"/>
    <s v="High"/>
    <n v="2361"/>
    <x v="24"/>
    <s v="Mid"/>
    <n v="0"/>
    <n v="0"/>
    <s v="Cleansers"/>
  </r>
  <r>
    <s v="P429952"/>
    <s v="Jet Lag Mask"/>
    <n v="6247"/>
    <s v="Summer Fridays"/>
    <n v="245435"/>
    <x v="1"/>
    <n v="4.0262000000000002"/>
    <s v="Yes"/>
    <s v="High"/>
    <n v="4427"/>
    <x v="25"/>
    <s v="Mid"/>
    <n v="0"/>
    <n v="0"/>
    <s v="Masks"/>
  </r>
  <r>
    <s v="P427415"/>
    <s v="100% Organic Cold-Pressed Rose Hip Seed Oil"/>
    <n v="6234"/>
    <s v="The Ordinary"/>
    <n v="240783"/>
    <x v="1"/>
    <n v="4.3987999999999996"/>
    <s v="Yes"/>
    <s v="High"/>
    <n v="1620"/>
    <x v="26"/>
    <s v="Budget"/>
    <n v="0"/>
    <n v="0"/>
    <s v="Moisturizers"/>
  </r>
  <r>
    <s v="P269122"/>
    <s v="Alpha Beta Extra Strength Daily Peel Pads"/>
    <n v="5668"/>
    <s v="Dr. Dennis Gross Skincare"/>
    <n v="234295"/>
    <x v="1"/>
    <n v="4.5454999999999997"/>
    <s v="Yes"/>
    <s v="High"/>
    <n v="7412"/>
    <x v="27"/>
    <s v="Premium"/>
    <n v="0"/>
    <n v="0"/>
    <s v="Treatments"/>
  </r>
  <r>
    <s v="P456218"/>
    <s v="Glowscreen Sunscreen SPF 40 PA+++ with Hyaluronic Acid + Niacinamide"/>
    <n v="5987"/>
    <s v="Supergoop!"/>
    <n v="231004"/>
    <x v="1"/>
    <n v="4.1513"/>
    <s v="Yes"/>
    <s v="High"/>
    <n v="2049"/>
    <x v="12"/>
    <s v="Mid"/>
    <n v="0"/>
    <n v="0"/>
    <s v="Sunscreen"/>
  </r>
  <r>
    <s v="P406712"/>
    <s v="B-Hydra Intensive Hydration Serum with Hyaluronic Acid"/>
    <n v="7083"/>
    <s v="Drunk Elephant"/>
    <n v="216418"/>
    <x v="1"/>
    <n v="4.1863000000000001"/>
    <s v="Yes"/>
    <s v="High"/>
    <n v="2561"/>
    <x v="25"/>
    <s v="Mid"/>
    <n v="0"/>
    <n v="0"/>
    <s v="Treatments"/>
  </r>
  <r>
    <s v="P439926"/>
    <s v="A-Passioni Retinol Cream"/>
    <n v="7083"/>
    <s v="Drunk Elephant"/>
    <n v="214435"/>
    <x v="1"/>
    <n v="4.2008000000000001"/>
    <s v="Yes"/>
    <s v="High"/>
    <n v="1265"/>
    <x v="28"/>
    <s v="Premium"/>
    <n v="0"/>
    <n v="0"/>
    <s v="Treatments"/>
  </r>
  <r>
    <s v="P411540"/>
    <s v="Cicapair Tiger Grass Color Correcting Treatment SPF 30"/>
    <n v="6014"/>
    <s v="Dr. Jart+"/>
    <n v="210786"/>
    <x v="1"/>
    <n v="3.9904000000000002"/>
    <s v="Yes"/>
    <s v="Medium"/>
    <n v="5309"/>
    <x v="23"/>
    <s v="Premium"/>
    <n v="0"/>
    <n v="0"/>
    <s v="Moisturizers"/>
  </r>
  <r>
    <s v="P431180"/>
    <s v="Self Tanning Bronzing Face Drops"/>
    <n v="8008"/>
    <s v="Isle of Paradise"/>
    <n v="209716"/>
    <x v="1"/>
    <n v="3.9546999999999999"/>
    <s v="Yes"/>
    <s v="Medium"/>
    <n v="2849"/>
    <x v="29"/>
    <s v="Mid"/>
    <n v="0"/>
    <n v="0"/>
    <s v="Self Tanners"/>
  </r>
  <r>
    <s v="P399623"/>
    <s v="Luminous Dewy Skin Mist"/>
    <n v="6041"/>
    <s v="Tatcha"/>
    <n v="209577"/>
    <x v="1"/>
    <n v="3.9510000000000001"/>
    <s v="Yes"/>
    <s v="Medium"/>
    <n v="2041"/>
    <x v="25"/>
    <s v="Mid"/>
    <n v="0"/>
    <n v="0"/>
    <s v="Moisturizers"/>
  </r>
  <r>
    <s v="P442840"/>
    <s v="Barrier+ Triple Lipid-Peptide Face Cream"/>
    <n v="6289"/>
    <s v="Skinfix"/>
    <n v="206494"/>
    <x v="1"/>
    <n v="4.2923999999999998"/>
    <s v="Yes"/>
    <s v="High"/>
    <n v="2449"/>
    <x v="30"/>
    <s v="Premium"/>
    <n v="0"/>
    <n v="0"/>
    <s v="Moisturizers"/>
  </r>
  <r>
    <s v="P453225"/>
    <s v="The Kissu Lip Mask"/>
    <n v="6041"/>
    <s v="Tatcha"/>
    <n v="202204"/>
    <x v="1"/>
    <n v="3.7724000000000002"/>
    <s v="Yes"/>
    <s v="Medium"/>
    <n v="1226"/>
    <x v="31"/>
    <s v="Mid"/>
    <n v="0"/>
    <n v="0"/>
    <s v="Lip Balms &amp; Treatments"/>
  </r>
  <r>
    <s v="P421996"/>
    <s v="Ultra Facial Moisturizing Cream with Squalane"/>
    <n v="6218"/>
    <s v="Kiehl's Since 1851"/>
    <n v="201776"/>
    <x v="1"/>
    <n v="4.4469000000000003"/>
    <s v="Yes"/>
    <s v="High"/>
    <n v="2515"/>
    <x v="15"/>
    <s v="Premium"/>
    <n v="1"/>
    <n v="0"/>
    <s v="Moisturizers"/>
  </r>
  <r>
    <s v="P443842"/>
    <s v="Retinol Anti-Aging Serum"/>
    <n v="6285"/>
    <s v="The INKEY List"/>
    <n v="200087"/>
    <x v="1"/>
    <n v="4.3826000000000001"/>
    <s v="Yes"/>
    <s v="High"/>
    <n v="1137"/>
    <x v="32"/>
    <s v="Budget"/>
    <n v="0"/>
    <n v="0"/>
    <s v="Treatments"/>
  </r>
  <r>
    <s v="P427418"/>
    <s v="Granactive Retinoid* 2% Emulsion"/>
    <n v="6234"/>
    <s v="The Ordinary"/>
    <n v="195325"/>
    <x v="1"/>
    <n v="4.4547999999999996"/>
    <s v="Yes"/>
    <s v="High"/>
    <n v="708"/>
    <x v="33"/>
    <s v="Budget"/>
    <n v="0"/>
    <n v="0"/>
    <s v="Treatments"/>
  </r>
  <r>
    <s v="P297524"/>
    <s v="Clear Improvement Active Charcoal Mask to Clear Pores"/>
    <n v="3733"/>
    <s v="Origins"/>
    <n v="194892"/>
    <x v="1"/>
    <n v="4.3292000000000002"/>
    <s v="Yes"/>
    <s v="High"/>
    <n v="4526"/>
    <x v="34"/>
    <s v="Budget"/>
    <n v="0"/>
    <n v="0"/>
    <s v="Masks"/>
  </r>
  <r>
    <s v="P461537"/>
    <s v="The Rice Wash Skin-Softening Cleanser"/>
    <n v="6041"/>
    <s v="Tatcha"/>
    <n v="190401"/>
    <x v="1"/>
    <n v="4.5018000000000002"/>
    <s v="Yes"/>
    <s v="High"/>
    <n v="2449"/>
    <x v="24"/>
    <s v="Mid"/>
    <n v="0"/>
    <n v="0"/>
    <s v="Cleansers"/>
  </r>
  <r>
    <s v="P427411"/>
    <s v="Azelaic Acid 10% Suspension Brightening Cream"/>
    <n v="6234"/>
    <s v="The Ordinary"/>
    <n v="190367"/>
    <x v="1"/>
    <n v="4.1577999999999999"/>
    <s v="Yes"/>
    <s v="High"/>
    <n v="957"/>
    <x v="35"/>
    <s v="Budget"/>
    <n v="0"/>
    <n v="0"/>
    <s v="Treatments"/>
  </r>
  <r>
    <s v="P427412"/>
    <s v="Alpha Arbutin 2% + HA Hyperpigmentation Serum"/>
    <n v="6234"/>
    <s v="The Ordinary"/>
    <n v="190345"/>
    <x v="1"/>
    <n v="4.0411000000000001"/>
    <s v="Yes"/>
    <s v="High"/>
    <n v="755"/>
    <x v="35"/>
    <s v="Budget"/>
    <n v="0"/>
    <n v="0"/>
    <s v="Treatments"/>
  </r>
  <r>
    <s v="P395615"/>
    <s v="Pore Minimizing Instant Detox Mask"/>
    <n v="4171"/>
    <s v="Caudalie"/>
    <n v="185939"/>
    <x v="1"/>
    <n v="4.5015000000000001"/>
    <s v="Yes"/>
    <s v="High"/>
    <n v="1029"/>
    <x v="36"/>
    <s v="Mid"/>
    <n v="0"/>
    <n v="0"/>
    <s v="Masks"/>
  </r>
  <r>
    <s v="P126301"/>
    <s v="Take The Day Off Cleansing Balm Makeup Remover"/>
    <n v="1254"/>
    <s v="CLINIQUE"/>
    <n v="185324"/>
    <x v="1"/>
    <n v="4.5293999999999999"/>
    <s v="Yes"/>
    <s v="High"/>
    <n v="4375"/>
    <x v="12"/>
    <s v="Mid"/>
    <n v="0"/>
    <n v="0"/>
    <s v="Cleansers"/>
  </r>
  <r>
    <s v="P426340"/>
    <s v="The Rice Polish Foaming Enzyme Powder"/>
    <n v="6041"/>
    <s v="Tatcha"/>
    <n v="184011"/>
    <x v="1"/>
    <n v="4.4278000000000004"/>
    <s v="Yes"/>
    <s v="High"/>
    <n v="1725"/>
    <x v="6"/>
    <s v="Premium"/>
    <n v="0"/>
    <n v="0"/>
    <s v="Cleansers"/>
  </r>
  <r>
    <s v="P439061"/>
    <s v="Glow2OH Dark Spot Toner"/>
    <n v="5674"/>
    <s v="OLEHENRIKSEN"/>
    <n v="182201"/>
    <x v="1"/>
    <n v="4.1921999999999997"/>
    <s v="Yes"/>
    <s v="High"/>
    <n v="2955"/>
    <x v="9"/>
    <s v="Mid"/>
    <n v="0"/>
    <n v="0"/>
    <s v="Cleansers"/>
  </r>
  <r>
    <s v="P469503"/>
    <s v="Mini Skin Perfecting 2% BHA Liquid Exfoliant"/>
    <n v="6341"/>
    <s v="Paula's Choice"/>
    <n v="179137"/>
    <x v="1"/>
    <n v="4.2217000000000002"/>
    <s v="Yes"/>
    <s v="High"/>
    <n v="406"/>
    <x v="3"/>
    <s v="Budget"/>
    <n v="0"/>
    <n v="0"/>
    <s v="Mini Size"/>
  </r>
  <r>
    <s v="P434548"/>
    <s v="Honeymoon Glow AHA Resurfacing Night Serum"/>
    <n v="8001"/>
    <s v="Farmacy"/>
    <n v="177152"/>
    <x v="1"/>
    <n v="4.3154000000000003"/>
    <s v="Yes"/>
    <s v="High"/>
    <n v="1931"/>
    <x v="37"/>
    <s v="Premium"/>
    <n v="0"/>
    <n v="0"/>
    <s v="Moisturizers"/>
  </r>
  <r>
    <s v="P447791"/>
    <s v="Avocado Fine Line Eye Cream with Retinol"/>
    <n v="6189"/>
    <s v="Glow Recipe"/>
    <n v="176653"/>
    <x v="1"/>
    <n v="4.1086999999999998"/>
    <s v="Yes"/>
    <s v="High"/>
    <n v="1886"/>
    <x v="36"/>
    <s v="Mid"/>
    <n v="0"/>
    <n v="0"/>
    <s v="Eye Care"/>
  </r>
  <r>
    <s v="P392245"/>
    <s v="Virgin Marula Luxury Face Oil"/>
    <n v="7083"/>
    <s v="Drunk Elephant"/>
    <n v="174857"/>
    <x v="1"/>
    <n v="4.3106999999999998"/>
    <s v="Yes"/>
    <s v="High"/>
    <n v="1651"/>
    <x v="6"/>
    <s v="Premium"/>
    <n v="0"/>
    <n v="0"/>
    <s v="Moisturizers"/>
  </r>
  <r>
    <s v="P393718"/>
    <s v="Luna Sleeping Retinoid Night Oil"/>
    <n v="6073"/>
    <s v="Sunday Riley"/>
    <n v="174483"/>
    <x v="1"/>
    <n v="4.0827"/>
    <s v="Yes"/>
    <s v="High"/>
    <n v="2442"/>
    <x v="38"/>
    <s v="Premium"/>
    <n v="0"/>
    <n v="0"/>
    <s v="Moisturizers"/>
  </r>
  <r>
    <s v="P443840"/>
    <s v="Caffeine Eye Cream"/>
    <n v="6285"/>
    <s v="The INKEY List"/>
    <n v="174319"/>
    <x v="1"/>
    <n v="3.8980000000000001"/>
    <s v="Yes"/>
    <s v="Medium"/>
    <n v="1598"/>
    <x v="39"/>
    <s v="Budget"/>
    <n v="0"/>
    <n v="0"/>
    <s v="Eye Care"/>
  </r>
  <r>
    <s v="P270594"/>
    <s v="Vitamin Enriched Face Base Priming Moisturizer"/>
    <n v="5644"/>
    <s v="Bobbi Brown"/>
    <n v="171118"/>
    <x v="1"/>
    <n v="4.6058000000000003"/>
    <s v="Yes"/>
    <s v="High"/>
    <n v="3440"/>
    <x v="40"/>
    <s v="Premium"/>
    <n v="0"/>
    <n v="0"/>
    <s v="Moisturizers"/>
  </r>
  <r>
    <s v="P443845"/>
    <s v="Hyaluronic Acid Hydrating Serum"/>
    <n v="6285"/>
    <s v="The INKEY List"/>
    <n v="169217"/>
    <x v="1"/>
    <n v="4.4073000000000002"/>
    <s v="Yes"/>
    <s v="High"/>
    <n v="1964"/>
    <x v="41"/>
    <s v="Budget"/>
    <n v="0"/>
    <n v="0"/>
    <s v="Treatments"/>
  </r>
  <r>
    <s v="P416563"/>
    <s v="Squalane + Vitamin C Rose Firming Oil"/>
    <n v="6195"/>
    <s v="Biossance"/>
    <n v="167407"/>
    <x v="1"/>
    <n v="4.3483000000000001"/>
    <s v="Yes"/>
    <s v="High"/>
    <n v="1470"/>
    <x v="28"/>
    <s v="Premium"/>
    <n v="0"/>
    <n v="0"/>
    <s v="Moisturizers"/>
  </r>
  <r>
    <s v="P94421"/>
    <s v="Vinoperfect Radiance Dark Spot Serum Vitamin C Alternative"/>
    <n v="4171"/>
    <s v="Caudalie"/>
    <n v="166423"/>
    <x v="1"/>
    <n v="4.2442000000000002"/>
    <s v="Yes"/>
    <s v="High"/>
    <n v="2911"/>
    <x v="42"/>
    <s v="Premium"/>
    <n v="0"/>
    <n v="0"/>
    <s v="Treatments"/>
  </r>
  <r>
    <s v="P448530"/>
    <s v="Salicylic Acid 2% Masque"/>
    <n v="6234"/>
    <s v="The Ordinary"/>
    <n v="164697"/>
    <x v="1"/>
    <n v="4.3735999999999997"/>
    <s v="Yes"/>
    <s v="High"/>
    <n v="637"/>
    <x v="43"/>
    <s v="Budget"/>
    <n v="0"/>
    <n v="0"/>
    <s v="Masks"/>
  </r>
  <r>
    <s v="P428819"/>
    <s v="Watermelon Pink Juice Oil-Free Moisturizer"/>
    <n v="6189"/>
    <s v="Glow Recipe"/>
    <n v="162336"/>
    <x v="1"/>
    <n v="3.9994999999999998"/>
    <s v="Yes"/>
    <s v="Medium"/>
    <n v="1927"/>
    <x v="7"/>
    <s v="Mid"/>
    <n v="0"/>
    <n v="0"/>
    <s v="Moisturizers"/>
  </r>
  <r>
    <s v="P462699"/>
    <s v="Plum Plump Hyaluronic Acid Serum"/>
    <n v="6189"/>
    <s v="Glow Recipe"/>
    <n v="159339"/>
    <x v="1"/>
    <n v="4.4249000000000001"/>
    <s v="Yes"/>
    <s v="High"/>
    <n v="1918"/>
    <x v="44"/>
    <s v="Mid"/>
    <n v="0"/>
    <n v="0"/>
    <s v="Treatments"/>
  </r>
  <r>
    <s v="P417936"/>
    <s v="Rose &amp; Hyaluronic Acid Deep Hydration Toner"/>
    <n v="4348"/>
    <s v="fresh"/>
    <n v="159149"/>
    <x v="1"/>
    <n v="4.1635999999999997"/>
    <s v="Yes"/>
    <s v="High"/>
    <n v="1351"/>
    <x v="45"/>
    <s v="Mid"/>
    <n v="0"/>
    <n v="0"/>
    <s v="Cleansers"/>
  </r>
  <r>
    <s v="P394624"/>
    <s v="The True Cream Moisturizing Bomb"/>
    <n v="7075"/>
    <s v="belif"/>
    <n v="151868"/>
    <x v="1"/>
    <n v="4.5631000000000004"/>
    <s v="Yes"/>
    <s v="High"/>
    <n v="4523"/>
    <x v="12"/>
    <s v="Mid"/>
    <n v="0"/>
    <n v="0"/>
    <s v="Moisturizers"/>
  </r>
  <r>
    <s v="P443833"/>
    <s v="Salicylic Acid Acne + Pore Cleanser"/>
    <n v="6285"/>
    <s v="The INKEY List"/>
    <n v="150051"/>
    <x v="1"/>
    <n v="4.3775000000000004"/>
    <s v="Yes"/>
    <s v="High"/>
    <n v="1547"/>
    <x v="46"/>
    <s v="Budget"/>
    <n v="0"/>
    <n v="0"/>
    <s v="Cleansers"/>
  </r>
  <r>
    <s v="P248404"/>
    <s v="Pure Skin Face Cleanser"/>
    <n v="5972"/>
    <s v="First Aid Beauty"/>
    <n v="146805"/>
    <x v="1"/>
    <n v="4.3738000000000001"/>
    <s v="Yes"/>
    <s v="High"/>
    <n v="4727"/>
    <x v="0"/>
    <s v="Mid"/>
    <n v="0"/>
    <n v="0"/>
    <s v="Cleansers"/>
  </r>
  <r>
    <s v="P479327"/>
    <s v="Plum Plump Hyaluronic Acid Moisturizer"/>
    <n v="6189"/>
    <s v="Glow Recipe"/>
    <n v="146036"/>
    <x v="1"/>
    <n v="4.4623999999999997"/>
    <s v="Yes"/>
    <s v="High"/>
    <n v="1449"/>
    <x v="7"/>
    <s v="Mid"/>
    <n v="0"/>
    <n v="0"/>
    <s v="Moisturizers"/>
  </r>
  <r>
    <s v="P456392"/>
    <s v="Daily UV Defense Invisible Broad Spectrum SPF 36 Sunscreen"/>
    <n v="6295"/>
    <s v="innisfree"/>
    <n v="145749"/>
    <x v="1"/>
    <n v="4.5392999999999999"/>
    <s v="Yes"/>
    <s v="High"/>
    <n v="1452"/>
    <x v="47"/>
    <s v="Budget"/>
    <n v="0"/>
    <n v="0"/>
    <s v="Sunscreen"/>
  </r>
  <r>
    <s v="P446938"/>
    <s v="Lala Retro Whipped Refillable Moisturizer with Ceramides"/>
    <n v="7083"/>
    <s v="Drunk Elephant"/>
    <n v="145717"/>
    <x v="1"/>
    <n v="4.1535000000000002"/>
    <s v="Yes"/>
    <s v="High"/>
    <n v="1993"/>
    <x v="48"/>
    <s v="Premium"/>
    <n v="0"/>
    <n v="0"/>
    <s v="Moisturizers"/>
  </r>
  <r>
    <s v="P446930"/>
    <s v="Cream Skin Toner &amp; Moisturizer"/>
    <n v="6125"/>
    <s v="LANEIGE"/>
    <n v="143173"/>
    <x v="1"/>
    <n v="4.4481000000000002"/>
    <s v="Yes"/>
    <s v="High"/>
    <n v="1859"/>
    <x v="49"/>
    <s v="Mid"/>
    <n v="0"/>
    <n v="0"/>
    <s v="Moisturizers"/>
  </r>
  <r>
    <s v="P392235"/>
    <s v="The Camellia Oil 2-in-1 Makeup Remover &amp; Cleanser"/>
    <n v="6041"/>
    <s v="Tatcha"/>
    <n v="142010"/>
    <x v="1"/>
    <n v="4.4814999999999996"/>
    <s v="Yes"/>
    <s v="High"/>
    <n v="1836"/>
    <x v="50"/>
    <s v="Premium"/>
    <n v="0"/>
    <n v="0"/>
    <s v="Cleansers"/>
  </r>
  <r>
    <s v="P12045"/>
    <s v="Grape Water Moisturizing Face Mist"/>
    <n v="4171"/>
    <s v="Caudalie"/>
    <n v="140024"/>
    <x v="1"/>
    <n v="4.4431000000000003"/>
    <s v="Yes"/>
    <s v="High"/>
    <n v="1686"/>
    <x v="51"/>
    <s v="Budget"/>
    <n v="0"/>
    <n v="0"/>
    <s v="Moisturizers"/>
  </r>
  <r>
    <s v="P470259"/>
    <s v="Faded Serum for Dark Spots &amp; Discoloration"/>
    <n v="6355"/>
    <s v="Topicals"/>
    <n v="139007"/>
    <x v="1"/>
    <n v="3.6634000000000002"/>
    <s v="Yes"/>
    <s v="Medium"/>
    <n v="906"/>
    <x v="12"/>
    <s v="Mid"/>
    <n v="0"/>
    <n v="0"/>
    <s v="Treatments"/>
  </r>
  <r>
    <s v="P467038"/>
    <s v="Retinol Eye Stick"/>
    <n v="6209"/>
    <s v="Peace Out"/>
    <n v="136726"/>
    <x v="1"/>
    <n v="4.2061999999999999"/>
    <s v="Yes"/>
    <s v="High"/>
    <n v="1329"/>
    <x v="52"/>
    <s v="Mid"/>
    <n v="0"/>
    <n v="0"/>
    <s v="Eye Care"/>
  </r>
  <r>
    <s v="P402944"/>
    <s v="Silk Pillowcase - Standard/Queen"/>
    <n v="6130"/>
    <s v="Slip"/>
    <n v="136640"/>
    <x v="1"/>
    <n v="4.0094000000000003"/>
    <s v="Yes"/>
    <s v="High"/>
    <n v="427"/>
    <x v="53"/>
    <s v="Premium"/>
    <n v="0"/>
    <n v="0"/>
    <s v="Wellness"/>
  </r>
  <r>
    <s v="P218700"/>
    <s v="100 percent Pure Argan Oil"/>
    <n v="5922"/>
    <s v="Josie Maran"/>
    <n v="134089"/>
    <x v="1"/>
    <n v="4.4997999999999996"/>
    <s v="Yes"/>
    <s v="High"/>
    <n v="7763"/>
    <x v="25"/>
    <s v="Mid"/>
    <n v="0"/>
    <n v="0"/>
    <s v="Moisturizers"/>
  </r>
  <r>
    <s v="P411388"/>
    <s v="Superfood Air-Whip Lightweight Moisturizer with Hyaluronic Acid"/>
    <n v="6169"/>
    <s v="Youth To The People"/>
    <n v="133769"/>
    <x v="1"/>
    <n v="4.0491000000000001"/>
    <s v="Yes"/>
    <s v="High"/>
    <n v="1670"/>
    <x v="14"/>
    <s v="Mid"/>
    <n v="0"/>
    <n v="0"/>
    <s v="Moisturizers"/>
  </r>
  <r>
    <s v="P173726"/>
    <s v="Facial Cotton"/>
    <n v="5337"/>
    <s v="Shiseido"/>
    <n v="133163"/>
    <x v="1"/>
    <n v="4.8284000000000002"/>
    <s v="Yes"/>
    <s v="High"/>
    <n v="2827"/>
    <x v="3"/>
    <s v="Budget"/>
    <n v="0"/>
    <n v="0"/>
    <s v="Cleansers"/>
  </r>
  <r>
    <s v="P421243"/>
    <s v="Sugar Hydrating Lip Balm"/>
    <n v="4348"/>
    <s v="fresh"/>
    <n v="132861"/>
    <x v="1"/>
    <n v="4.1990999999999996"/>
    <s v="Yes"/>
    <s v="High"/>
    <n v="2200"/>
    <x v="13"/>
    <s v="Budget"/>
    <n v="0"/>
    <n v="0"/>
    <s v="Lip Balms &amp; Treatments"/>
  </r>
  <r>
    <s v="P427410"/>
    <s v="Vitamin C Suspension 23% + HA Spheres 2%"/>
    <n v="6234"/>
    <s v="The Ordinary"/>
    <n v="132601"/>
    <x v="1"/>
    <n v="3.4453999999999998"/>
    <s v="Yes"/>
    <s v="Medium"/>
    <n v="1109"/>
    <x v="54"/>
    <s v="Budget"/>
    <n v="0"/>
    <n v="0"/>
    <s v="Treatments"/>
  </r>
  <r>
    <s v="P463036"/>
    <s v="Honey Halo Ultra-Hydrating Ceramide Moisturizer"/>
    <n v="8001"/>
    <s v="Farmacy"/>
    <n v="131912"/>
    <x v="1"/>
    <n v="4.4484000000000004"/>
    <s v="Yes"/>
    <s v="High"/>
    <n v="1327"/>
    <x v="14"/>
    <s v="Mid"/>
    <n v="0"/>
    <n v="0"/>
    <s v="Moisturizers"/>
  </r>
  <r>
    <s v="P439058"/>
    <s v="Violet-C Brightening Serum 20% Vitamin C + 10% AHA"/>
    <n v="6041"/>
    <s v="Tatcha"/>
    <n v="129875"/>
    <x v="1"/>
    <n v="4.2123999999999997"/>
    <s v="Yes"/>
    <s v="High"/>
    <n v="1610"/>
    <x v="53"/>
    <s v="Premium"/>
    <n v="0"/>
    <n v="0"/>
    <s v="Treatments"/>
  </r>
  <r>
    <s v="P402718"/>
    <s v="Power Couple Advanced Retinol and Lactic Acid Duo"/>
    <n v="6073"/>
    <s v="Sunday Riley"/>
    <n v="127982"/>
    <x v="1"/>
    <n v="4.3017000000000003"/>
    <s v="Yes"/>
    <s v="High"/>
    <n v="1495"/>
    <x v="55"/>
    <s v="Premium"/>
    <n v="0"/>
    <n v="0"/>
    <s v="Value &amp; Gift Sets"/>
  </r>
  <r>
    <s v="P455364"/>
    <s v="Oat Cleansing Balm"/>
    <n v="6285"/>
    <s v="The INKEY List"/>
    <n v="127819"/>
    <x v="1"/>
    <n v="3.6097999999999999"/>
    <s v="Yes"/>
    <s v="Medium"/>
    <n v="2968"/>
    <x v="46"/>
    <s v="Budget"/>
    <n v="0"/>
    <n v="0"/>
    <s v="Cleansers"/>
  </r>
  <r>
    <s v="P278317"/>
    <s v="Facial Radiance Pads"/>
    <n v="5972"/>
    <s v="First Aid Beauty"/>
    <n v="127405"/>
    <x v="1"/>
    <n v="4.2781000000000002"/>
    <s v="Yes"/>
    <s v="High"/>
    <n v="2571"/>
    <x v="8"/>
    <s v="Mid"/>
    <n v="0"/>
    <n v="0"/>
    <s v="Treatments"/>
  </r>
  <r>
    <s v="P438619"/>
    <s v="Brightening Eye Cream with Caffeine and Hyaluronic Acid"/>
    <n v="3902"/>
    <s v="SEPHORA COLLECTION"/>
    <n v="126673"/>
    <x v="1"/>
    <n v="4.375"/>
    <s v="Yes"/>
    <s v="High"/>
    <n v="528"/>
    <x v="5"/>
    <s v="Budget"/>
    <n v="0"/>
    <n v="0"/>
    <s v="Eye Care"/>
  </r>
  <r>
    <s v="P400207"/>
    <s v="Blue Tansy BHA and Enzyme Pore Refining Mask"/>
    <n v="6117"/>
    <s v="Herbivore"/>
    <n v="126177"/>
    <x v="1"/>
    <n v="4.2447999999999997"/>
    <s v="Yes"/>
    <s v="High"/>
    <n v="1928"/>
    <x v="50"/>
    <s v="Premium"/>
    <n v="0"/>
    <n v="0"/>
    <s v="Masks"/>
  </r>
  <r>
    <s v="P12336"/>
    <s v="Rose Face Mask"/>
    <n v="4348"/>
    <s v="fresh"/>
    <n v="125801"/>
    <x v="1"/>
    <n v="4.1886999999999999"/>
    <s v="Yes"/>
    <s v="High"/>
    <n v="2411"/>
    <x v="56"/>
    <s v="Premium"/>
    <n v="0"/>
    <n v="0"/>
    <s v="Masks"/>
  </r>
  <r>
    <s v="P302103"/>
    <s v="Sugar Advanced Lip Balm Intense Hydration Treatment"/>
    <n v="4348"/>
    <s v="fresh"/>
    <n v="125611"/>
    <x v="1"/>
    <n v="4.2836999999999996"/>
    <s v="Yes"/>
    <s v="High"/>
    <n v="2957"/>
    <x v="52"/>
    <s v="Mid"/>
    <n v="0"/>
    <n v="0"/>
    <s v="Lip Balms &amp; Treatments"/>
  </r>
  <r>
    <s v="P429515"/>
    <s v="C-Tango Vitamin C Eye Cream"/>
    <n v="7083"/>
    <s v="Drunk Elephant"/>
    <n v="124160"/>
    <x v="1"/>
    <n v="3.7473000000000001"/>
    <s v="Yes"/>
    <s v="Medium"/>
    <n v="1484"/>
    <x v="56"/>
    <s v="Premium"/>
    <n v="0"/>
    <n v="0"/>
    <s v="Eye Care"/>
  </r>
  <r>
    <s v="P12573"/>
    <s v="Intense Therapy Lip Balm SPF 25"/>
    <n v="3297"/>
    <s v="Jack Black"/>
    <n v="123439"/>
    <x v="1"/>
    <n v="4.6818"/>
    <s v="Yes"/>
    <s v="High"/>
    <n v="3595"/>
    <x v="57"/>
    <s v="Budget"/>
    <n v="0"/>
    <n v="0"/>
    <s v="Lip Balms &amp; Treatments"/>
  </r>
  <r>
    <s v="P410400"/>
    <s v="U.F.O. Salicylic Acid BHA Acne Treatment Face Oil"/>
    <n v="6073"/>
    <s v="Sunday Riley"/>
    <n v="123202"/>
    <x v="1"/>
    <n v="4.1349999999999998"/>
    <s v="Yes"/>
    <s v="High"/>
    <n v="2281"/>
    <x v="19"/>
    <s v="Premium"/>
    <n v="0"/>
    <n v="0"/>
    <s v="Moisturizers"/>
  </r>
  <r>
    <s v="P441644"/>
    <s v="Mini Superfood Antioxidant Cleanser"/>
    <n v="6169"/>
    <s v="Youth To The People"/>
    <n v="121678"/>
    <x v="1"/>
    <n v="4.2121000000000004"/>
    <s v="Yes"/>
    <s v="High"/>
    <n v="5841"/>
    <x v="58"/>
    <s v="Budget"/>
    <n v="0"/>
    <n v="0"/>
    <s v="Mini Size"/>
  </r>
  <r>
    <s v="P444718"/>
    <s v="Squalane Cleanser"/>
    <n v="6234"/>
    <s v="The Ordinary"/>
    <n v="121486"/>
    <x v="1"/>
    <n v="4.0068000000000001"/>
    <s v="Yes"/>
    <s v="High"/>
    <n v="888"/>
    <x v="59"/>
    <s v="Budget"/>
    <n v="0"/>
    <n v="0"/>
    <s v="Cleansers"/>
  </r>
  <r>
    <s v="P377533"/>
    <s v="Alpha Beta Universal Daily Peel Pads"/>
    <n v="5668"/>
    <s v="Dr. Dennis Gross Skincare"/>
    <n v="121149"/>
    <x v="1"/>
    <n v="4.4898999999999996"/>
    <s v="Yes"/>
    <s v="High"/>
    <n v="1382"/>
    <x v="27"/>
    <s v="Premium"/>
    <n v="0"/>
    <n v="0"/>
    <s v="Treatments"/>
  </r>
  <r>
    <s v="P442744"/>
    <s v="Watermelon Glow Ultra-Fine Mist"/>
    <n v="6189"/>
    <s v="Glow Recipe"/>
    <n v="120381"/>
    <x v="1"/>
    <n v="4.1551999999999998"/>
    <s v="Yes"/>
    <s v="High"/>
    <n v="992"/>
    <x v="31"/>
    <s v="Mid"/>
    <n v="0"/>
    <n v="0"/>
    <s v="Moisturizers"/>
  </r>
  <r>
    <s v="P500307"/>
    <s v="Cherry Treat Conditioning + Strengthening Lip Oil"/>
    <n v="6352"/>
    <s v="Fenty Skin"/>
    <n v="119797"/>
    <x v="1"/>
    <n v="4.4484000000000004"/>
    <s v="Yes"/>
    <s v="High"/>
    <n v="533"/>
    <x v="0"/>
    <s v="Mid"/>
    <n v="0"/>
    <n v="0"/>
    <s v="Lip Balms &amp; Treatments"/>
  </r>
  <r>
    <s v="P415747"/>
    <s v="Brazilian Kiss CupuaÃ§u Lip Butter"/>
    <n v="6145"/>
    <s v="Sol de Janeiro"/>
    <n v="118586"/>
    <x v="1"/>
    <n v="4.1303999999999998"/>
    <s v="Yes"/>
    <s v="High"/>
    <n v="1350"/>
    <x v="5"/>
    <s v="Budget"/>
    <n v="0"/>
    <n v="0"/>
    <s v="Lip Balms &amp; Treatments"/>
  </r>
  <r>
    <s v="P482535"/>
    <s v="Strawberry Smooth BHA + AHA Salicylic Acid Serum"/>
    <n v="6189"/>
    <s v="Glow Recipe"/>
    <n v="118258"/>
    <x v="1"/>
    <n v="4.5438999999999998"/>
    <s v="Yes"/>
    <s v="High"/>
    <n v="1024"/>
    <x v="36"/>
    <s v="Mid"/>
    <n v="0"/>
    <n v="0"/>
    <s v="Treatments"/>
  </r>
  <r>
    <s v="P442594"/>
    <s v="Ultra Glow Serum: Glow + Strengthen Vitamin C Serum"/>
    <n v="3902"/>
    <s v="SEPHORA COLLECTION"/>
    <n v="113866"/>
    <x v="1"/>
    <n v="4.125"/>
    <s v="Yes"/>
    <s v="High"/>
    <n v="1488"/>
    <x v="60"/>
    <s v="Mid"/>
    <n v="0"/>
    <n v="0"/>
    <s v="Treatments"/>
  </r>
  <r>
    <s v="P415771"/>
    <s v="The Essence Skincare Boosting Treatment"/>
    <n v="6041"/>
    <s v="Tatcha"/>
    <n v="113656"/>
    <x v="1"/>
    <n v="4.4442000000000004"/>
    <s v="Yes"/>
    <s v="High"/>
    <n v="2483"/>
    <x v="61"/>
    <s v="Premium"/>
    <n v="0"/>
    <n v="0"/>
    <s v="Moisturizers"/>
  </r>
  <r>
    <s v="P426836"/>
    <s v="Beste No. 9 Jelly Cleanser"/>
    <n v="7083"/>
    <s v="Drunk Elephant"/>
    <n v="113466"/>
    <x v="1"/>
    <n v="3.9426000000000001"/>
    <s v="Yes"/>
    <s v="Medium"/>
    <n v="2702"/>
    <x v="18"/>
    <s v="Mid"/>
    <n v="0"/>
    <n v="0"/>
    <s v="Cleansers"/>
  </r>
  <r>
    <s v="P470529"/>
    <s v="Avocado Soothing Skin Barrier Serum with Ceramides"/>
    <n v="6189"/>
    <s v="Glow Recipe"/>
    <n v="112842"/>
    <x v="1"/>
    <n v="4.4710000000000001"/>
    <s v="Yes"/>
    <s v="High"/>
    <n v="1412"/>
    <x v="44"/>
    <s v="Mid"/>
    <n v="0"/>
    <n v="0"/>
    <s v="Treatments"/>
  </r>
  <r>
    <s v="P422002"/>
    <s v="Rare Earth Deep Pore Minimizing Cleansing Clay Mask"/>
    <n v="6218"/>
    <s v="Kiehl's Since 1851"/>
    <n v="112588"/>
    <x v="1"/>
    <n v="4.5419999999999998"/>
    <s v="Yes"/>
    <s v="High"/>
    <n v="524"/>
    <x v="44"/>
    <s v="Mid"/>
    <n v="0"/>
    <n v="0"/>
    <s v="Masks"/>
  </r>
  <r>
    <s v="P375849"/>
    <s v="Facial Treatment Essence (Pitera Essence)"/>
    <n v="6084"/>
    <s v="SK-II"/>
    <n v="112101"/>
    <x v="1"/>
    <n v="4.0810000000000004"/>
    <s v="Yes"/>
    <s v="High"/>
    <n v="2951"/>
    <x v="62"/>
    <s v="Premium"/>
    <n v="0"/>
    <n v="0"/>
    <s v="Moisturizers"/>
  </r>
  <r>
    <s v="P433520"/>
    <s v="Magic Cream Moisturizer with Hyaluronic Acid"/>
    <n v="6236"/>
    <s v="Charlotte Tilbury"/>
    <n v="111513"/>
    <x v="1"/>
    <n v="4.4044999999999996"/>
    <s v="Yes"/>
    <s v="High"/>
    <n v="3434"/>
    <x v="63"/>
    <s v="Premium"/>
    <n v="0"/>
    <n v="0"/>
    <s v="Moisturizers"/>
  </r>
  <r>
    <s v="P467762"/>
    <s v="Mini Watermelon Glow PHA + BHA Pore-Tight Toner"/>
    <n v="6189"/>
    <s v="Glow Recipe"/>
    <n v="111141"/>
    <x v="1"/>
    <n v="4.3727999999999998"/>
    <s v="Yes"/>
    <s v="High"/>
    <n v="3305"/>
    <x v="64"/>
    <s v="Budget"/>
    <n v="0"/>
    <n v="0"/>
    <s v="Mini Size"/>
  </r>
  <r>
    <s v="P443352"/>
    <s v="Mini Daily Microfoliant Exfoliator"/>
    <n v="6219"/>
    <s v="Dermalogica"/>
    <n v="110141"/>
    <x v="1"/>
    <n v="4.6959999999999997"/>
    <s v="Yes"/>
    <s v="High"/>
    <n v="4598"/>
    <x v="5"/>
    <s v="Budget"/>
    <n v="0"/>
    <n v="0"/>
    <s v="Mini Size"/>
  </r>
  <r>
    <s v="P479732"/>
    <s v="Salicylic Acid 2% Anhydrous Solution Pore Clearing Serum"/>
    <n v="6234"/>
    <s v="The Ordinary"/>
    <n v="109679"/>
    <x v="1"/>
    <n v="3.8389000000000002"/>
    <s v="Yes"/>
    <s v="Medium"/>
    <n v="329"/>
    <x v="65"/>
    <s v="Budget"/>
    <n v="0"/>
    <n v="0"/>
    <s v="Treatments"/>
  </r>
  <r>
    <s v="P430146"/>
    <s v="Superberry Hydrate + Glow Dream Oil"/>
    <n v="6169"/>
    <s v="Youth To The People"/>
    <n v="109521"/>
    <x v="1"/>
    <n v="4.5094000000000003"/>
    <s v="Yes"/>
    <s v="High"/>
    <n v="1062"/>
    <x v="14"/>
    <s v="Mid"/>
    <n v="0"/>
    <n v="0"/>
    <s v="Moisturizers"/>
  </r>
  <r>
    <s v="P442830"/>
    <s v="100% Plant-Derived Squalane"/>
    <n v="6234"/>
    <s v="The Ordinary"/>
    <n v="108468"/>
    <x v="1"/>
    <n v="4.5373999999999999"/>
    <s v="Yes"/>
    <s v="High"/>
    <n v="655"/>
    <x v="57"/>
    <s v="Budget"/>
    <n v="0"/>
    <n v="0"/>
    <s v="Treatments"/>
  </r>
  <r>
    <s v="P404795"/>
    <s v="Cooling Water"/>
    <n v="6134"/>
    <s v="MILK MAKEUP"/>
    <n v="107607"/>
    <x v="1"/>
    <n v="3.6775000000000002"/>
    <s v="Yes"/>
    <s v="Medium"/>
    <n v="1327"/>
    <x v="52"/>
    <s v="Mid"/>
    <n v="0"/>
    <n v="0"/>
    <s v="Moisturizers"/>
  </r>
  <r>
    <s v="P475543"/>
    <s v="Guava Vitamin C Dark Spot Treatment Serum"/>
    <n v="6189"/>
    <s v="Glow Recipe"/>
    <n v="106447"/>
    <x v="1"/>
    <n v="4.2613000000000003"/>
    <s v="Yes"/>
    <s v="High"/>
    <n v="750"/>
    <x v="44"/>
    <s v="Mid"/>
    <n v="0"/>
    <n v="0"/>
    <s v="Treatments"/>
  </r>
  <r>
    <s v="P442754"/>
    <s v="Ascorbic Acid 8% + Alpha Arbutin 2%"/>
    <n v="6234"/>
    <s v="The Ordinary"/>
    <n v="106253"/>
    <x v="1"/>
    <n v="3.7505000000000002"/>
    <s v="Yes"/>
    <s v="Medium"/>
    <n v="501"/>
    <x v="66"/>
    <s v="Budget"/>
    <n v="0"/>
    <n v="0"/>
    <s v="Treatments"/>
  </r>
  <r>
    <s v="P442758"/>
    <s v="Mandelic Acid 10% + HA"/>
    <n v="6234"/>
    <s v="The Ordinary"/>
    <n v="106124"/>
    <x v="1"/>
    <n v="4.4640000000000004"/>
    <s v="Yes"/>
    <s v="High"/>
    <n v="431"/>
    <x v="67"/>
    <s v="Budget"/>
    <n v="0"/>
    <n v="0"/>
    <s v="Treatments"/>
  </r>
  <r>
    <s v="P430337"/>
    <s v="C-Rush Vitamin C Gel Moisturizer"/>
    <n v="5674"/>
    <s v="OLEHENRIKSEN"/>
    <n v="105730"/>
    <x v="1"/>
    <n v="4.3403999999999998"/>
    <s v="Yes"/>
    <s v="High"/>
    <n v="2961"/>
    <x v="68"/>
    <s v="Premium"/>
    <n v="0"/>
    <n v="0"/>
    <s v="Moisturizers"/>
  </r>
  <r>
    <s v="P468658"/>
    <s v="Volcanic AHA Pore Clearing Clay Mask"/>
    <n v="6295"/>
    <s v="innisfree"/>
    <n v="104838"/>
    <x v="1"/>
    <n v="4.6148999999999996"/>
    <s v="Yes"/>
    <s v="High"/>
    <n v="1197"/>
    <x v="47"/>
    <s v="Budget"/>
    <n v="0"/>
    <n v="0"/>
    <s v="Masks"/>
  </r>
  <r>
    <s v="P432829"/>
    <s v="Adaptogen Deep Moisturizing Cream with Ashwagandha + Reishi"/>
    <n v="6169"/>
    <s v="Youth To The People"/>
    <n v="104812"/>
    <x v="1"/>
    <n v="4.3654999999999999"/>
    <s v="Yes"/>
    <s v="High"/>
    <n v="2071"/>
    <x v="69"/>
    <s v="Premium"/>
    <n v="0"/>
    <n v="0"/>
    <s v="Moisturizers"/>
  </r>
  <r>
    <s v="P474377"/>
    <s v="Indigo Overnight Repair Serum in Cream Treatment"/>
    <n v="6041"/>
    <s v="Tatcha"/>
    <n v="104455"/>
    <x v="1"/>
    <n v="4.5473999999999997"/>
    <s v="Yes"/>
    <s v="High"/>
    <n v="1098"/>
    <x v="27"/>
    <s v="Premium"/>
    <n v="0"/>
    <n v="0"/>
    <s v="Moisturizers"/>
  </r>
  <r>
    <s v="P440312"/>
    <s v="Lotus Anti-Aging Night Moisturizer"/>
    <n v="4348"/>
    <s v="fresh"/>
    <n v="103629"/>
    <x v="1"/>
    <n v="4.4843000000000002"/>
    <s v="Yes"/>
    <s v="High"/>
    <n v="1687"/>
    <x v="70"/>
    <s v="Premium"/>
    <n v="0"/>
    <n v="0"/>
    <s v="Moisturizers"/>
  </r>
  <r>
    <s v="P397890"/>
    <s v="Original Skin Retexturizing Mask with Rose Clay"/>
    <n v="3733"/>
    <s v="Origins"/>
    <n v="103131"/>
    <x v="1"/>
    <n v="4.6207000000000003"/>
    <s v="Yes"/>
    <s v="High"/>
    <n v="1769"/>
    <x v="29"/>
    <s v="Mid"/>
    <n v="0"/>
    <n v="0"/>
    <s v="Masks"/>
  </r>
  <r>
    <s v="P431848"/>
    <s v="Cold Plunge Pore Mask"/>
    <n v="5674"/>
    <s v="OLEHENRIKSEN"/>
    <n v="102859"/>
    <x v="1"/>
    <n v="4.5335000000000001"/>
    <s v="Yes"/>
    <s v="High"/>
    <n v="1522"/>
    <x v="71"/>
    <s v="Mid"/>
    <n v="0"/>
    <n v="0"/>
    <s v="Masks"/>
  </r>
  <r>
    <s v="P428250"/>
    <s v="Oil-Absorbing Pore Treatment Strips"/>
    <n v="6209"/>
    <s v="Peace Out"/>
    <n v="102327"/>
    <x v="1"/>
    <n v="3.9750000000000001"/>
    <s v="Yes"/>
    <s v="Medium"/>
    <n v="1562"/>
    <x v="13"/>
    <s v="Budget"/>
    <n v="0"/>
    <n v="0"/>
    <s v="Treatments"/>
  </r>
  <r>
    <s v="P421998"/>
    <s v="Midnight Recovery Concentrate Moisturizing Face Oil"/>
    <n v="6218"/>
    <s v="Kiehl's Since 1851"/>
    <n v="101394"/>
    <x v="1"/>
    <n v="4.2173999999999996"/>
    <s v="Yes"/>
    <s v="High"/>
    <n v="1173"/>
    <x v="70"/>
    <s v="Premium"/>
    <n v="0"/>
    <n v="0"/>
    <s v="Treatments"/>
  </r>
  <r>
    <s v="P422905"/>
    <s v="Moisturizing Eye Bomb with Squalane"/>
    <n v="7075"/>
    <s v="belif"/>
    <n v="101158"/>
    <x v="1"/>
    <n v="4.4641000000000002"/>
    <s v="Yes"/>
    <s v="High"/>
    <n v="2965"/>
    <x v="14"/>
    <s v="Mid"/>
    <n v="0"/>
    <n v="0"/>
    <s v="Eye Care"/>
  </r>
  <r>
    <s v="P481712"/>
    <s v="Party Recharge Cryo Me Crazy Under-eye Masks"/>
    <n v="6235"/>
    <s v="INC.redible"/>
    <n v="10008"/>
    <x v="2"/>
    <n v="4.5556000000000001"/>
    <s v="Yes"/>
    <s v="High"/>
    <n v="18"/>
    <x v="60"/>
    <s v="Mid"/>
    <n v="0"/>
    <n v="1"/>
    <s v="Eye Care"/>
  </r>
  <r>
    <s v="P433143"/>
    <s v="Outsmart Acne Clarifying Treatment"/>
    <n v="4164"/>
    <s v="Murad"/>
    <n v="10030"/>
    <x v="2"/>
    <n v="4.1923000000000004"/>
    <s v="Yes"/>
    <s v="High"/>
    <n v="260"/>
    <x v="25"/>
    <s v="Mid"/>
    <n v="0"/>
    <n v="0"/>
    <s v="Treatments"/>
  </r>
  <r>
    <s v="P417111"/>
    <s v="The Eye Balm Intense"/>
    <n v="6201"/>
    <s v="La Mer"/>
    <n v="10037"/>
    <x v="2"/>
    <n v="3.5817999999999999"/>
    <s v="Yes"/>
    <s v="Medium"/>
    <n v="55"/>
    <x v="72"/>
    <s v="Premium"/>
    <n v="0"/>
    <n v="0"/>
    <s v="Eye Care"/>
  </r>
  <r>
    <s v="P474113"/>
    <s v="TL Advanced  Tightening Neck Cream PLUS for Firming &amp; Brightening"/>
    <n v="6358"/>
    <s v="StriVectin"/>
    <n v="10042"/>
    <x v="2"/>
    <n v="4.0392000000000001"/>
    <s v="Yes"/>
    <s v="High"/>
    <n v="153"/>
    <x v="73"/>
    <s v="Premium"/>
    <n v="0"/>
    <n v="0"/>
    <s v="Moisturizers"/>
  </r>
  <r>
    <s v="P440494"/>
    <s v="Vitamin C Serum"/>
    <n v="8017"/>
    <s v="Mario Badescu"/>
    <n v="10060"/>
    <x v="2"/>
    <n v="4.0815999999999999"/>
    <s v="Yes"/>
    <s v="High"/>
    <n v="49"/>
    <x v="44"/>
    <s v="Mid"/>
    <n v="0"/>
    <n v="0"/>
    <s v="Treatments"/>
  </r>
  <r>
    <s v="P392945"/>
    <s v="GENIUS Ultimate Anti-Aging Vitamin C+ Serum"/>
    <n v="6018"/>
    <s v="Algenist"/>
    <n v="10068"/>
    <x v="2"/>
    <n v="3.9824999999999999"/>
    <s v="Yes"/>
    <s v="Medium"/>
    <n v="229"/>
    <x v="74"/>
    <s v="Premium"/>
    <n v="0"/>
    <n v="0"/>
    <s v="Treatments"/>
  </r>
  <r>
    <s v="P482322"/>
    <s v="Mini Mineral Mattescreen Sunscreen SPF 40 PA+++"/>
    <n v="5987"/>
    <s v="Supergoop!"/>
    <n v="10079"/>
    <x v="2"/>
    <n v="4.125"/>
    <s v="Yes"/>
    <s v="High"/>
    <n v="24"/>
    <x v="75"/>
    <s v="Mid"/>
    <n v="0"/>
    <n v="0"/>
    <s v="Sunscreen"/>
  </r>
  <r>
    <s v="P473726"/>
    <s v="Smoothing Cleanser"/>
    <n v="3902"/>
    <s v="SEPHORA COLLECTION"/>
    <n v="10098"/>
    <x v="2"/>
    <n v="4.6379999999999999"/>
    <s v="Yes"/>
    <s v="High"/>
    <n v="163"/>
    <x v="51"/>
    <s v="Budget"/>
    <n v="0"/>
    <n v="0"/>
    <s v="Cleansers"/>
  </r>
  <r>
    <s v="P501190"/>
    <s v="Vitamin C Lactic Dewy Deep Cream"/>
    <n v="5668"/>
    <s v="Dr. Dennis Gross Skincare"/>
    <n v="10107"/>
    <x v="2"/>
    <n v="4.8007999999999997"/>
    <s v="Yes"/>
    <s v="High"/>
    <n v="251"/>
    <x v="76"/>
    <s v="Premium"/>
    <n v="0"/>
    <n v="0"/>
    <s v="Moisturizers"/>
  </r>
  <r>
    <s v="P467628"/>
    <s v="Mini Clearly Corrective Dark Spot Correcting Serum"/>
    <n v="6218"/>
    <s v="Kiehl's Since 1851"/>
    <n v="10130"/>
    <x v="2"/>
    <n v="3.0455000000000001"/>
    <s v="Yes"/>
    <s v="Medium"/>
    <n v="22"/>
    <x v="9"/>
    <s v="Mid"/>
    <n v="0"/>
    <n v="0"/>
    <s v="Mini Size"/>
  </r>
  <r>
    <s v="P446518"/>
    <s v="Soothing Face Cleanser Oil"/>
    <n v="5644"/>
    <s v="Bobbi Brown"/>
    <n v="10137"/>
    <x v="2"/>
    <n v="4.4062999999999999"/>
    <s v="Yes"/>
    <s v="High"/>
    <n v="32"/>
    <x v="77"/>
    <s v="Premium"/>
    <n v="0"/>
    <n v="0"/>
    <s v="Cleansers"/>
  </r>
  <r>
    <s v="P469454"/>
    <s v="Beauty Oil with Gold Leaf"/>
    <n v="6353"/>
    <s v="Danessa Myricks Beauty"/>
    <n v="10153"/>
    <x v="2"/>
    <n v="4.6269"/>
    <s v="Yes"/>
    <s v="High"/>
    <n v="67"/>
    <x v="78"/>
    <s v="Mid"/>
    <n v="0"/>
    <n v="0"/>
    <s v="Moisturizers"/>
  </r>
  <r>
    <s v="P500743"/>
    <s v="Vitamin Face Masks"/>
    <n v="3902"/>
    <s v="SEPHORA COLLECTION"/>
    <n v="10162"/>
    <x v="2"/>
    <n v="4.4000000000000004"/>
    <s v="Yes"/>
    <s v="High"/>
    <n v="15"/>
    <x v="79"/>
    <s v="Budget"/>
    <n v="0"/>
    <n v="0"/>
    <s v="Masks"/>
  </r>
  <r>
    <s v="P504042"/>
    <s v="Ceramidin Skin Barrier Moisturizing Mask"/>
    <n v="6014"/>
    <s v="Dr. Jart+"/>
    <n v="10190"/>
    <x v="2"/>
    <n v="4.6936"/>
    <s v="Yes"/>
    <s v="High"/>
    <n v="359"/>
    <x v="59"/>
    <s v="Budget"/>
    <n v="1"/>
    <n v="0"/>
    <s v="Masks"/>
  </r>
  <r>
    <s v="P470536"/>
    <s v="Clarifique Exfoliating &amp; Hydrating Face Essence with Glycolic Acid"/>
    <n v="1741"/>
    <s v="LancÃ´me"/>
    <n v="10202"/>
    <x v="2"/>
    <n v="4.6429999999999998"/>
    <s v="Yes"/>
    <s v="High"/>
    <n v="846"/>
    <x v="73"/>
    <s v="Premium"/>
    <n v="0"/>
    <n v="0"/>
    <s v="Moisturizers"/>
  </r>
  <r>
    <s v="P432835"/>
    <s v="Rose Quartz Facial De-Puffing &amp; Lifting Gua Sha"/>
    <n v="6207"/>
    <s v="KORA Organics"/>
    <n v="10216"/>
    <x v="2"/>
    <n v="4.0713999999999997"/>
    <s v="Yes"/>
    <s v="High"/>
    <n v="28"/>
    <x v="80"/>
    <s v="Premium"/>
    <n v="0"/>
    <n v="0"/>
    <s v="Wellness"/>
  </r>
  <r>
    <s v="P399656"/>
    <s v="Fab Faves To Go Kit"/>
    <n v="5972"/>
    <s v="First Aid Beauty"/>
    <n v="10231"/>
    <x v="2"/>
    <n v="4.5853999999999999"/>
    <s v="Yes"/>
    <s v="High"/>
    <n v="82"/>
    <x v="78"/>
    <s v="Mid"/>
    <n v="0"/>
    <n v="1"/>
    <s v="Value &amp; Gift Sets"/>
  </r>
  <r>
    <s v="P458958"/>
    <s v="Hydrating Boob and Bum Sheet Mask Duo"/>
    <n v="6235"/>
    <s v="INC.redible"/>
    <n v="10245"/>
    <x v="2"/>
    <n v="4.0833000000000004"/>
    <s v="Yes"/>
    <s v="High"/>
    <n v="12"/>
    <x v="64"/>
    <s v="Budget"/>
    <n v="0"/>
    <n v="0"/>
    <s v="Masks"/>
  </r>
  <r>
    <s v="P442841"/>
    <s v="Barrier+ Lip Repair Balm"/>
    <n v="6289"/>
    <s v="Skinfix"/>
    <n v="10271"/>
    <x v="2"/>
    <n v="3.0461999999999998"/>
    <s v="Yes"/>
    <s v="Medium"/>
    <n v="65"/>
    <x v="64"/>
    <s v="Budget"/>
    <n v="0"/>
    <n v="0"/>
    <s v="Lip Balms &amp; Treatments"/>
  </r>
  <r>
    <s v="P455611"/>
    <s v="Clearly Corrective Dark Spot Solution Duo"/>
    <n v="6218"/>
    <s v="Kiehl's Since 1851"/>
    <n v="10273"/>
    <x v="2"/>
    <n v="3.8477999999999999"/>
    <s v="Yes"/>
    <s v="Medium"/>
    <n v="913"/>
    <x v="81"/>
    <s v="Premium"/>
    <n v="0"/>
    <n v="1"/>
    <s v="Value &amp; Gift Sets"/>
  </r>
  <r>
    <s v="P475194"/>
    <s v="Brightening Treatment Drops Triple Vitamin C Serum"/>
    <n v="6373"/>
    <s v="TULA Skincare"/>
    <n v="10279"/>
    <x v="2"/>
    <n v="4.2572000000000001"/>
    <s v="Yes"/>
    <s v="High"/>
    <n v="276"/>
    <x v="70"/>
    <s v="Premium"/>
    <n v="0"/>
    <n v="0"/>
    <s v="Treatments"/>
  </r>
  <r>
    <s v="P475135"/>
    <s v="Mini Vitamin C Glycolic Brightening Serum"/>
    <n v="4164"/>
    <s v="Murad"/>
    <n v="10296"/>
    <x v="2"/>
    <n v="4.2621000000000002"/>
    <s v="Yes"/>
    <s v="High"/>
    <n v="351"/>
    <x v="78"/>
    <s v="Mid"/>
    <n v="0"/>
    <n v="0"/>
    <s v="Mini Size"/>
  </r>
  <r>
    <s v="P392648"/>
    <s v="Extra Illuminating Moisture Balm"/>
    <n v="5644"/>
    <s v="Bobbi Brown"/>
    <n v="10298"/>
    <x v="2"/>
    <n v="3.3696999999999999"/>
    <s v="Yes"/>
    <s v="Medium"/>
    <n v="165"/>
    <x v="28"/>
    <s v="Premium"/>
    <n v="0"/>
    <n v="0"/>
    <s v="Moisturizers"/>
  </r>
  <r>
    <s v="P479688"/>
    <s v="AHA Peeling Masks"/>
    <n v="3902"/>
    <s v="SEPHORA COLLECTION"/>
    <n v="10299"/>
    <x v="2"/>
    <n v="3.6922999999999999"/>
    <s v="Yes"/>
    <s v="Medium"/>
    <n v="39"/>
    <x v="57"/>
    <s v="Budget"/>
    <n v="0"/>
    <n v="0"/>
    <s v="Masks"/>
  </r>
  <r>
    <s v="P457864"/>
    <s v="Vital Skin-Strengthening Hyaluronic Acid Super Serum"/>
    <n v="6218"/>
    <s v="Kiehl's Since 1851"/>
    <n v="10302"/>
    <x v="2"/>
    <n v="4.2194000000000003"/>
    <s v="Yes"/>
    <s v="High"/>
    <n v="597"/>
    <x v="37"/>
    <s v="Premium"/>
    <n v="0"/>
    <n v="1"/>
    <s v="Treatments"/>
  </r>
  <r>
    <s v="P401158"/>
    <s v="PMD Personal Microderm with Hand &amp; Foot Kit"/>
    <n v="6114"/>
    <s v="PMD"/>
    <n v="10303"/>
    <x v="2"/>
    <n v="4.6494"/>
    <s v="Yes"/>
    <s v="High"/>
    <n v="77"/>
    <x v="82"/>
    <s v="Premium"/>
    <n v="0"/>
    <n v="0"/>
    <s v="High Tech Tools"/>
  </r>
  <r>
    <s v="P455612"/>
    <s v="Vitamin C &amp; Bearberry Instant Glow Serum"/>
    <n v="6312"/>
    <s v="alpyn beauty"/>
    <n v="10316"/>
    <x v="2"/>
    <n v="4.5030000000000001"/>
    <s v="Yes"/>
    <s v="High"/>
    <n v="167"/>
    <x v="83"/>
    <s v="Premium"/>
    <n v="0"/>
    <n v="0"/>
    <s v="Treatments"/>
  </r>
  <r>
    <s v="P481340"/>
    <s v="Alpha Beta AHA/BHA Daily Cleansing Gel"/>
    <n v="5668"/>
    <s v="Dr. Dennis Gross Skincare"/>
    <n v="10330"/>
    <x v="2"/>
    <n v="4.3166000000000002"/>
    <s v="Yes"/>
    <s v="High"/>
    <n v="439"/>
    <x v="7"/>
    <s v="Mid"/>
    <n v="0"/>
    <n v="0"/>
    <s v="Cleansers"/>
  </r>
  <r>
    <s v="P443358"/>
    <s v="Intensive Moisture Balance Moisturizer"/>
    <n v="6219"/>
    <s v="Dermalogica"/>
    <n v="10341"/>
    <x v="2"/>
    <n v="4.4667000000000003"/>
    <s v="Yes"/>
    <s v="High"/>
    <n v="150"/>
    <x v="84"/>
    <s v="Mid"/>
    <n v="0"/>
    <n v="0"/>
    <s v="Moisturizers"/>
  </r>
  <r>
    <s v="P422005"/>
    <s v="Ultra Facial Moisturizer"/>
    <n v="6218"/>
    <s v="Kiehl's Since 1851"/>
    <n v="10346"/>
    <x v="2"/>
    <n v="3.7143000000000002"/>
    <s v="Yes"/>
    <s v="Medium"/>
    <n v="84"/>
    <x v="12"/>
    <s v="Mid"/>
    <n v="0"/>
    <n v="0"/>
    <s v="Moisturizers"/>
  </r>
  <r>
    <s v="P405827"/>
    <s v="IRIS Illuminating Eye Massager"/>
    <n v="7037"/>
    <s v="FOREO"/>
    <n v="10363"/>
    <x v="2"/>
    <n v="3.5"/>
    <s v="Yes"/>
    <s v="Medium"/>
    <n v="60"/>
    <x v="85"/>
    <s v="Premium"/>
    <n v="0"/>
    <n v="0"/>
    <s v="Eye Care"/>
  </r>
  <r>
    <s v="P410883"/>
    <s v="Acne Clearing Wash"/>
    <n v="3728"/>
    <s v="Peter Thomas Roth"/>
    <n v="10371"/>
    <x v="2"/>
    <n v="4.2263000000000002"/>
    <s v="Yes"/>
    <s v="High"/>
    <n v="137"/>
    <x v="7"/>
    <s v="Mid"/>
    <n v="0"/>
    <n v="0"/>
    <s v="Cleansers"/>
  </r>
  <r>
    <s v="P2046"/>
    <s v="Brumisateur Natural Mineral Water Facial Spray Travel Trio"/>
    <n v="3526"/>
    <s v="Evian"/>
    <n v="10378"/>
    <x v="2"/>
    <n v="4.6813000000000002"/>
    <s v="Yes"/>
    <s v="High"/>
    <n v="91"/>
    <x v="86"/>
    <s v="Mid"/>
    <n v="0"/>
    <n v="0"/>
    <s v="Moisturizers"/>
  </r>
  <r>
    <s v="P502998"/>
    <s v="Youth Stacks: Plump It Up for Dry, Dehydrated Skin"/>
    <n v="6169"/>
    <s v="Youth To The People"/>
    <n v="10406"/>
    <x v="2"/>
    <n v="4.1666999999999996"/>
    <s v="Yes"/>
    <s v="High"/>
    <n v="6"/>
    <x v="52"/>
    <s v="Mid"/>
    <n v="0"/>
    <n v="0"/>
    <s v="Value &amp; Gift Sets"/>
  </r>
  <r>
    <s v="P377178"/>
    <s v="Rapid Collagen Infusion"/>
    <n v="4164"/>
    <s v="Murad"/>
    <n v="10417"/>
    <x v="2"/>
    <n v="4.1280000000000001"/>
    <s v="Yes"/>
    <s v="High"/>
    <n v="125"/>
    <x v="53"/>
    <s v="Premium"/>
    <n v="0"/>
    <n v="0"/>
    <s v="Treatments"/>
  </r>
  <r>
    <s v="P451737"/>
    <s v="Advanced GÃ©nifique Face &amp; Eye Serum Set"/>
    <n v="1741"/>
    <s v="LancÃ´me"/>
    <n v="10432"/>
    <x v="2"/>
    <n v="3.875"/>
    <s v="Yes"/>
    <s v="Medium"/>
    <n v="8"/>
    <x v="87"/>
    <s v="Premium"/>
    <n v="0"/>
    <n v="1"/>
    <s v="Value &amp; Gift Sets"/>
  </r>
  <r>
    <s v="P471788"/>
    <s v="Mini AHA/BHA Exfoliating Cleanser"/>
    <n v="4164"/>
    <s v="Murad"/>
    <n v="10438"/>
    <x v="2"/>
    <n v="4.4897999999999998"/>
    <s v="Yes"/>
    <s v="High"/>
    <n v="733"/>
    <x v="34"/>
    <s v="Budget"/>
    <n v="0"/>
    <n v="0"/>
    <s v="Mini Size"/>
  </r>
  <r>
    <s v="P503651"/>
    <s v="Dewtopia 5% AHA Firming Night CrÃ¨me"/>
    <n v="5674"/>
    <s v="OLEHENRIKSEN"/>
    <n v="10448"/>
    <x v="2"/>
    <n v="4.8319000000000001"/>
    <s v="Yes"/>
    <s v="High"/>
    <n v="339"/>
    <x v="37"/>
    <s v="Premium"/>
    <n v="0"/>
    <n v="0"/>
    <s v="Moisturizers"/>
  </r>
  <r>
    <s v="P449156"/>
    <s v="Gold Sculpting Bar"/>
    <n v="2002"/>
    <s v="Jillian Dempsey"/>
    <n v="10451"/>
    <x v="2"/>
    <n v="4.4328000000000003"/>
    <s v="Yes"/>
    <s v="High"/>
    <n v="67"/>
    <x v="88"/>
    <s v="Premium"/>
    <n v="0"/>
    <n v="0"/>
    <s v="Wellness"/>
  </r>
  <r>
    <s v="P483494"/>
    <s v="Go To Bed With Me Anti-Aging Night Routine"/>
    <n v="6073"/>
    <s v="Sunday Riley"/>
    <n v="10461"/>
    <x v="2"/>
    <n v="4.0833000000000004"/>
    <s v="Yes"/>
    <s v="High"/>
    <n v="12"/>
    <x v="89"/>
    <s v="Premium"/>
    <n v="0"/>
    <n v="0"/>
    <s v="Value &amp; Gift Sets"/>
  </r>
  <r>
    <s v="P501030"/>
    <s v="Radian-C Brightening Treatment Essence"/>
    <n v="6125"/>
    <s v="LANEIGE"/>
    <n v="10478"/>
    <x v="2"/>
    <n v="4.6994999999999996"/>
    <s v="Yes"/>
    <s v="High"/>
    <n v="203"/>
    <x v="7"/>
    <s v="Mid"/>
    <n v="0"/>
    <n v="0"/>
    <s v="Moisturizers"/>
  </r>
  <r>
    <s v="P456418"/>
    <s v="Wild Rose Night-Brightening Sleeping Facial"/>
    <n v="5715"/>
    <s v="KORRES"/>
    <n v="10482"/>
    <x v="2"/>
    <n v="4.3596000000000004"/>
    <s v="Yes"/>
    <s v="High"/>
    <n v="1424"/>
    <x v="50"/>
    <s v="Premium"/>
    <n v="0"/>
    <n v="0"/>
    <s v="Moisturizers"/>
  </r>
  <r>
    <s v="P469818"/>
    <s v="Cactus Water Cleansing Lactic Acid Toner"/>
    <n v="6347"/>
    <s v="Freck Beauty"/>
    <n v="10510"/>
    <x v="2"/>
    <n v="4.5311000000000003"/>
    <s v="Yes"/>
    <s v="High"/>
    <n v="209"/>
    <x v="29"/>
    <s v="Mid"/>
    <n v="0"/>
    <n v="0"/>
    <s v="Cleansers"/>
  </r>
  <r>
    <s v="P500701"/>
    <s v="Advanced Night Repair Eye Gel-Cream"/>
    <n v="6089"/>
    <s v="EstÃ©e Lauder"/>
    <n v="10521"/>
    <x v="2"/>
    <n v="4.3493000000000004"/>
    <s v="Yes"/>
    <s v="High"/>
    <n v="1795"/>
    <x v="55"/>
    <s v="Premium"/>
    <n v="0"/>
    <n v="0"/>
    <s v="Eye Care"/>
  </r>
  <r>
    <s v="P456206"/>
    <s v="Self Tan Purity Vitamins Bronzing Water Body Mist"/>
    <n v="5626"/>
    <s v="St. Tropez"/>
    <n v="10541"/>
    <x v="2"/>
    <n v="4.3905000000000003"/>
    <s v="Yes"/>
    <s v="High"/>
    <n v="402"/>
    <x v="44"/>
    <s v="Mid"/>
    <n v="0"/>
    <n v="0"/>
    <s v="Self Tanners"/>
  </r>
  <r>
    <s v="P502169"/>
    <s v="Barrier+ Besties Hydrating and Nourishing Kit"/>
    <n v="6289"/>
    <s v="Skinfix"/>
    <n v="10557"/>
    <x v="2"/>
    <n v="4.7161999999999997"/>
    <s v="Yes"/>
    <s v="High"/>
    <n v="74"/>
    <x v="24"/>
    <s v="Mid"/>
    <n v="0"/>
    <n v="0"/>
    <s v="Value &amp; Gift Sets"/>
  </r>
  <r>
    <s v="P504524"/>
    <s v="Milky Jelly Gentle Gel Face Cleanser"/>
    <n v="6751"/>
    <s v="Glossier"/>
    <n v="10558"/>
    <x v="2"/>
    <n v="4.0876999999999999"/>
    <s v="Yes"/>
    <s v="High"/>
    <n v="57"/>
    <x v="13"/>
    <s v="Budget"/>
    <n v="1"/>
    <n v="0"/>
    <s v="Cleansers"/>
  </r>
  <r>
    <s v="P504774"/>
    <s v="Super Pure Clarifying Face Serum with Niacinamide + Zinc"/>
    <n v="6751"/>
    <s v="Glossier"/>
    <n v="10568"/>
    <x v="2"/>
    <n v="4.5881999999999996"/>
    <s v="Yes"/>
    <s v="High"/>
    <n v="17"/>
    <x v="31"/>
    <s v="Mid"/>
    <n v="1"/>
    <n v="0"/>
    <s v="Treatments"/>
  </r>
  <r>
    <s v="P296415"/>
    <s v="Overnight Restorative Cream"/>
    <n v="6018"/>
    <s v="Algenist"/>
    <n v="10578"/>
    <x v="2"/>
    <n v="4.3807999999999998"/>
    <s v="Yes"/>
    <s v="High"/>
    <n v="239"/>
    <x v="90"/>
    <s v="Premium"/>
    <n v="0"/>
    <n v="0"/>
    <s v="Moisturizers"/>
  </r>
  <r>
    <s v="P456957"/>
    <s v="Clarifying Serum"/>
    <n v="3902"/>
    <s v="SEPHORA COLLECTION"/>
    <n v="10594"/>
    <x v="2"/>
    <n v="4.2222"/>
    <s v="Yes"/>
    <s v="High"/>
    <n v="63"/>
    <x v="60"/>
    <s v="Mid"/>
    <n v="0"/>
    <n v="1"/>
    <s v="Treatments"/>
  </r>
  <r>
    <s v="P409834"/>
    <s v="Plantscription SPF 25 Power Anti-Aging Cream"/>
    <n v="3733"/>
    <s v="Origins"/>
    <n v="10649"/>
    <x v="2"/>
    <n v="4.2539999999999996"/>
    <s v="Yes"/>
    <s v="High"/>
    <n v="63"/>
    <x v="91"/>
    <s v="Premium"/>
    <n v="0"/>
    <n v="0"/>
    <s v="Moisturizers"/>
  </r>
  <r>
    <s v="P483136"/>
    <s v="Targeted Anti-Aging Bakuchiol Serum"/>
    <n v="3902"/>
    <s v="SEPHORA COLLECTION"/>
    <n v="10653"/>
    <x v="2"/>
    <n v="4.5999999999999996"/>
    <s v="Yes"/>
    <s v="High"/>
    <n v="205"/>
    <x v="60"/>
    <s v="Mid"/>
    <n v="0"/>
    <n v="0"/>
    <s v="Treatments"/>
  </r>
  <r>
    <s v="P423123"/>
    <s v="Daily Superfoliant Exfoliator"/>
    <n v="6219"/>
    <s v="Dermalogica"/>
    <n v="10658"/>
    <x v="2"/>
    <n v="4.5631000000000004"/>
    <s v="Yes"/>
    <s v="High"/>
    <n v="309"/>
    <x v="92"/>
    <s v="Premium"/>
    <n v="0"/>
    <n v="0"/>
    <s v="Cleansers"/>
  </r>
  <r>
    <s v="P379907"/>
    <s v="Advanced Anti-Aging Repairing Oil"/>
    <n v="6018"/>
    <s v="Algenist"/>
    <n v="10676"/>
    <x v="2"/>
    <n v="4.4531000000000001"/>
    <s v="Yes"/>
    <s v="High"/>
    <n v="245"/>
    <x v="42"/>
    <s v="Premium"/>
    <n v="0"/>
    <n v="0"/>
    <s v="Moisturizers"/>
  </r>
  <r>
    <s v="P440502"/>
    <s v="Hyaluronic Eye Cream"/>
    <n v="8017"/>
    <s v="Mario Badescu"/>
    <n v="10678"/>
    <x v="2"/>
    <n v="3.24"/>
    <s v="Yes"/>
    <s v="Medium"/>
    <n v="75"/>
    <x v="5"/>
    <s v="Budget"/>
    <n v="0"/>
    <n v="0"/>
    <s v="Eye Care"/>
  </r>
  <r>
    <s v="P456582"/>
    <s v="Invisible Physical Defense Mineral Sunscreen SPF30"/>
    <n v="6219"/>
    <s v="Dermalogica"/>
    <n v="10706"/>
    <x v="2"/>
    <n v="4.3731"/>
    <s v="Yes"/>
    <s v="High"/>
    <n v="386"/>
    <x v="14"/>
    <s v="Mid"/>
    <n v="0"/>
    <n v="0"/>
    <s v="Sunscreen"/>
  </r>
  <r>
    <s v="P480607"/>
    <s v="Skin in the Clouds Set"/>
    <n v="6117"/>
    <s v="Herbivore"/>
    <n v="10728"/>
    <x v="2"/>
    <n v="4.1429"/>
    <s v="Yes"/>
    <s v="High"/>
    <n v="14"/>
    <x v="29"/>
    <s v="Mid"/>
    <n v="0"/>
    <n v="0"/>
    <s v="Value &amp; Gift Sets"/>
  </r>
  <r>
    <s v="P470510"/>
    <s v="Mini The Rich Cream with TFC8 Face Moisturizer"/>
    <n v="6356"/>
    <s v="Augustinus Bader"/>
    <n v="10759"/>
    <x v="2"/>
    <n v="3.6875"/>
    <s v="Yes"/>
    <s v="Medium"/>
    <n v="32"/>
    <x v="27"/>
    <s v="Premium"/>
    <n v="0"/>
    <n v="0"/>
    <s v="Mini Size"/>
  </r>
  <r>
    <s v="P392004"/>
    <s v="Blue Orchid Radiance &amp; Hydrating Natural Face Treatment Oil"/>
    <n v="2082"/>
    <s v="Clarins"/>
    <n v="10782"/>
    <x v="2"/>
    <n v="4.4184000000000001"/>
    <s v="Yes"/>
    <s v="High"/>
    <n v="98"/>
    <x v="92"/>
    <s v="Premium"/>
    <n v="0"/>
    <n v="0"/>
    <s v="Moisturizers"/>
  </r>
  <r>
    <s v="P461947"/>
    <s v="Calendula Petal-Infused Calming Mask with Aloe Vera"/>
    <n v="6218"/>
    <s v="Kiehl's Since 1851"/>
    <n v="10799"/>
    <x v="2"/>
    <n v="4.5110999999999999"/>
    <s v="Yes"/>
    <s v="High"/>
    <n v="45"/>
    <x v="84"/>
    <s v="Mid"/>
    <n v="0"/>
    <n v="0"/>
    <s v="Masks"/>
  </r>
  <r>
    <s v="P438643"/>
    <s v="The Balance pH Balancing Gel Cleanser"/>
    <n v="6272"/>
    <s v="BeautyBio"/>
    <n v="10844"/>
    <x v="2"/>
    <n v="4.4713000000000003"/>
    <s v="Yes"/>
    <s v="High"/>
    <n v="87"/>
    <x v="7"/>
    <s v="Mid"/>
    <n v="0"/>
    <n v="0"/>
    <s v="Cleansers"/>
  </r>
  <r>
    <s v="P434361"/>
    <s v="High-Potency Night-A-Mins Oil-Free Resurfacing Cream with Fruit Derived AHAs"/>
    <n v="3733"/>
    <s v="Origins"/>
    <n v="10847"/>
    <x v="2"/>
    <n v="4.3357999999999999"/>
    <s v="Yes"/>
    <s v="High"/>
    <n v="402"/>
    <x v="23"/>
    <s v="Premium"/>
    <n v="0"/>
    <n v="0"/>
    <s v="Moisturizers"/>
  </r>
  <r>
    <s v="P416552"/>
    <s v="POWER Recharging Night Pressed Serum"/>
    <n v="6018"/>
    <s v="Algenist"/>
    <n v="10859"/>
    <x v="2"/>
    <n v="4.3853999999999997"/>
    <s v="Yes"/>
    <s v="High"/>
    <n v="205"/>
    <x v="73"/>
    <s v="Premium"/>
    <n v="0"/>
    <n v="0"/>
    <s v="Treatments"/>
  </r>
  <r>
    <s v="P474326"/>
    <s v="Pink Cloud Soft Moisture Cream"/>
    <n v="6117"/>
    <s v="Herbivore"/>
    <n v="10870"/>
    <x v="2"/>
    <n v="3.786"/>
    <s v="Yes"/>
    <s v="Medium"/>
    <n v="229"/>
    <x v="45"/>
    <s v="Mid"/>
    <n v="0"/>
    <n v="0"/>
    <s v="Moisturizers"/>
  </r>
  <r>
    <s v="P419466"/>
    <s v="Tan Build Up Remover Mitt"/>
    <n v="5626"/>
    <s v="St. Tropez"/>
    <n v="10899"/>
    <x v="2"/>
    <n v="4.9492000000000003"/>
    <s v="Yes"/>
    <s v="High"/>
    <n v="59"/>
    <x v="59"/>
    <s v="Budget"/>
    <n v="0"/>
    <n v="0"/>
    <s v="Self Tanners"/>
  </r>
  <r>
    <s v="P479645"/>
    <s v="Targeted Wrinkle Corrector"/>
    <n v="4164"/>
    <s v="Murad"/>
    <n v="10901"/>
    <x v="2"/>
    <n v="4.7252000000000001"/>
    <s v="Yes"/>
    <s v="High"/>
    <n v="484"/>
    <x v="93"/>
    <s v="Premium"/>
    <n v="0"/>
    <n v="1"/>
    <s v="Treatments"/>
  </r>
  <r>
    <s v="P501321"/>
    <s v="Luxury Sun Ritual Pore Smoothing Sunscreen SPF 30"/>
    <n v="6294"/>
    <s v="Saint Jane Beauty"/>
    <n v="10922"/>
    <x v="2"/>
    <n v="4.8262"/>
    <s v="Yes"/>
    <s v="High"/>
    <n v="282"/>
    <x v="12"/>
    <s v="Mid"/>
    <n v="0"/>
    <n v="0"/>
    <s v="Sunscreen"/>
  </r>
  <r>
    <s v="P447200"/>
    <s v="Baba Bomb Moisturizer"/>
    <n v="5648"/>
    <s v="tarte"/>
    <n v="10945"/>
    <x v="2"/>
    <n v="4.4104000000000001"/>
    <s v="Yes"/>
    <s v="High"/>
    <n v="134"/>
    <x v="7"/>
    <s v="Mid"/>
    <n v="0"/>
    <n v="0"/>
    <s v="Moisturizers"/>
  </r>
  <r>
    <s v="P455227"/>
    <s v="Glow One Step Further Radiance Kit"/>
    <n v="5857"/>
    <s v="REN Clean Skincare"/>
    <n v="10949"/>
    <x v="2"/>
    <n v="3.931"/>
    <s v="Yes"/>
    <s v="Medium"/>
    <n v="29"/>
    <x v="52"/>
    <s v="Mid"/>
    <n v="0"/>
    <n v="0"/>
    <s v="Value &amp; Gift Sets"/>
  </r>
  <r>
    <s v="P480279"/>
    <s v="Radiantly Rose Duo Set"/>
    <n v="6195"/>
    <s v="Biossance"/>
    <n v="10973"/>
    <x v="2"/>
    <n v="3.7"/>
    <s v="Yes"/>
    <s v="Medium"/>
    <n v="10"/>
    <x v="94"/>
    <s v="Mid"/>
    <n v="0"/>
    <n v="0"/>
    <s v="Value &amp; Gift Sets"/>
  </r>
  <r>
    <s v="P455618"/>
    <s v="Full Spectrum 360Â° Refreshing Water Mist Organic Face Sunscreen SPF 18"/>
    <n v="7091"/>
    <s v="COOLA"/>
    <n v="11030"/>
    <x v="2"/>
    <n v="4.3635999999999999"/>
    <s v="Yes"/>
    <s v="High"/>
    <n v="99"/>
    <x v="8"/>
    <s v="Mid"/>
    <n v="0"/>
    <n v="0"/>
    <s v="Sunscreen"/>
  </r>
  <r>
    <s v="P446908"/>
    <s v="Advanced Night Repair Treatment Intense Reset Concentrate"/>
    <n v="6089"/>
    <s v="EstÃ©e Lauder"/>
    <n v="11042"/>
    <x v="2"/>
    <n v="4.4595000000000002"/>
    <s v="Yes"/>
    <s v="High"/>
    <n v="37"/>
    <x v="27"/>
    <s v="Premium"/>
    <n v="0"/>
    <n v="0"/>
    <s v="Treatments"/>
  </r>
  <r>
    <s v="P448932"/>
    <s v="+Retinol Vitamin C Moisturizer"/>
    <n v="5946"/>
    <s v="Kate Somerville"/>
    <n v="11055"/>
    <x v="2"/>
    <n v="4.2938000000000001"/>
    <s v="Yes"/>
    <s v="High"/>
    <n v="177"/>
    <x v="61"/>
    <s v="Premium"/>
    <n v="0"/>
    <n v="0"/>
    <s v="Moisturizers"/>
  </r>
  <r>
    <s v="P504028"/>
    <s v="Multi-Peptide Eye Serum"/>
    <n v="6234"/>
    <s v="The Ordinary"/>
    <n v="11059"/>
    <x v="2"/>
    <n v="3.9714"/>
    <s v="Yes"/>
    <s v="Medium"/>
    <n v="210"/>
    <x v="94"/>
    <s v="Mid"/>
    <n v="1"/>
    <n v="0"/>
    <s v="Eye Care"/>
  </r>
  <r>
    <s v="P433155"/>
    <s v="Prep It Self-Tan Priming Spray"/>
    <n v="8008"/>
    <s v="Isle of Paradise"/>
    <n v="11103"/>
    <x v="2"/>
    <n v="4.0312999999999999"/>
    <s v="Yes"/>
    <s v="High"/>
    <n v="32"/>
    <x v="0"/>
    <s v="Mid"/>
    <n v="0"/>
    <n v="0"/>
    <s v="Self Tanners"/>
  </r>
  <r>
    <s v="P386764"/>
    <s v="Uber Energy Adrenal Fatigue and Adaptogen Supplement"/>
    <n v="7050"/>
    <s v="HUM Nutrition"/>
    <n v="11104"/>
    <x v="2"/>
    <n v="3.5385"/>
    <s v="Yes"/>
    <s v="Medium"/>
    <n v="65"/>
    <x v="95"/>
    <s v="Mid"/>
    <n v="0"/>
    <n v="0"/>
    <s v="Wellness"/>
  </r>
  <r>
    <s v="P469521"/>
    <s v="RESIST Weightless Advanced Repairing Toner"/>
    <n v="6341"/>
    <s v="Paula's Choice"/>
    <n v="11114"/>
    <x v="2"/>
    <n v="3.8"/>
    <s v="Yes"/>
    <s v="Medium"/>
    <n v="25"/>
    <x v="95"/>
    <s v="Mid"/>
    <n v="0"/>
    <n v="0"/>
    <s v="Cleansers"/>
  </r>
  <r>
    <s v="P500019"/>
    <s v="The True Cream - Aqua Bomb Sunscreen Broad Spectrum SPF 50"/>
    <n v="7075"/>
    <s v="belif"/>
    <n v="11146"/>
    <x v="2"/>
    <n v="4.5247999999999999"/>
    <s v="Yes"/>
    <s v="High"/>
    <n v="423"/>
    <x v="12"/>
    <s v="Mid"/>
    <n v="0"/>
    <n v="0"/>
    <s v="Sunscreen"/>
  </r>
  <r>
    <s v="P484081"/>
    <s v="Eye Recharge + Replenish Pro-Ferm Overnight Eye Cream with Bakuchiol and Peptides"/>
    <n v="6373"/>
    <s v="TULA Skincare"/>
    <n v="11155"/>
    <x v="2"/>
    <n v="4.5396999999999998"/>
    <s v="Yes"/>
    <s v="High"/>
    <n v="126"/>
    <x v="70"/>
    <s v="Premium"/>
    <n v="0"/>
    <n v="0"/>
    <s v="Eye Care"/>
  </r>
  <r>
    <s v="P503572"/>
    <s v="Let's Get Luminous Brightening Essentials Set"/>
    <n v="5674"/>
    <s v="OLEHENRIKSEN"/>
    <n v="11164"/>
    <x v="2"/>
    <n v="3.4443999999999999"/>
    <s v="Yes"/>
    <s v="Medium"/>
    <n v="9"/>
    <x v="45"/>
    <s v="Mid"/>
    <n v="0"/>
    <n v="0"/>
    <s v="Value &amp; Gift Sets"/>
  </r>
  <r>
    <s v="P442745"/>
    <s v="Plantscription Retinol Night Moisturizer"/>
    <n v="3733"/>
    <s v="Origins"/>
    <n v="11217"/>
    <x v="2"/>
    <n v="4.5385"/>
    <s v="Yes"/>
    <s v="High"/>
    <n v="39"/>
    <x v="91"/>
    <s v="Premium"/>
    <n v="0"/>
    <n v="0"/>
    <s v="Moisturizers"/>
  </r>
  <r>
    <s v="P386760"/>
    <s v="OMG! Omega The Great Fish Oil Supplement"/>
    <n v="7050"/>
    <s v="HUM Nutrition"/>
    <n v="11224"/>
    <x v="2"/>
    <n v="4.3076999999999996"/>
    <s v="Yes"/>
    <s v="High"/>
    <n v="65"/>
    <x v="78"/>
    <s v="Mid"/>
    <n v="0"/>
    <n v="0"/>
    <s v="Wellness"/>
  </r>
  <r>
    <s v="P469516"/>
    <s v="CLEAR Ultra-Light Daily Hydrating Fluid SPF 30+"/>
    <n v="6341"/>
    <s v="Paula's Choice"/>
    <n v="11227"/>
    <x v="2"/>
    <n v="4.4915000000000003"/>
    <s v="Yes"/>
    <s v="High"/>
    <n v="59"/>
    <x v="96"/>
    <s v="Mid"/>
    <n v="0"/>
    <n v="0"/>
    <s v="Sunscreen"/>
  </r>
  <r>
    <s v="P401570"/>
    <s v="Mega-Mushroom Skin Relief Micellar Cleanser"/>
    <n v="3733"/>
    <s v="Origins"/>
    <n v="11239"/>
    <x v="2"/>
    <n v="4.5"/>
    <s v="Yes"/>
    <s v="High"/>
    <n v="86"/>
    <x v="96"/>
    <s v="Mid"/>
    <n v="0"/>
    <n v="0"/>
    <s v="Cleansers"/>
  </r>
  <r>
    <s v="P461933"/>
    <s v="Advanced Night Repair Synchronized Multi-Recovery Complex Duo"/>
    <n v="6089"/>
    <s v="EstÃ©e Lauder"/>
    <n v="11269"/>
    <x v="2"/>
    <n v="4.0456000000000003"/>
    <s v="Yes"/>
    <s v="High"/>
    <n v="2410"/>
    <x v="88"/>
    <s v="Premium"/>
    <n v="0"/>
    <n v="0"/>
    <s v="Treatments"/>
  </r>
  <r>
    <s v="P469505"/>
    <s v="Skin Perfecting BHA 9 Treatment"/>
    <n v="6341"/>
    <s v="Paula's Choice"/>
    <n v="11291"/>
    <x v="2"/>
    <n v="4.7054999999999998"/>
    <s v="Yes"/>
    <s v="High"/>
    <n v="146"/>
    <x v="45"/>
    <s v="Mid"/>
    <n v="0"/>
    <n v="0"/>
    <s v="Treatments"/>
  </r>
  <r>
    <s v="P442989"/>
    <s v="Youth or Dare Multi-Acid &amp; C-Serum"/>
    <n v="5648"/>
    <s v="tarte"/>
    <n v="11296"/>
    <x v="2"/>
    <n v="3.1013999999999999"/>
    <s v="Yes"/>
    <s v="Medium"/>
    <n v="138"/>
    <x v="36"/>
    <s v="Mid"/>
    <n v="0"/>
    <n v="1"/>
    <s v="Treatments"/>
  </r>
  <r>
    <s v="P502479"/>
    <s v="Kombucha + 10% AHA Liquid Exfoliant with Lactic Acid and Glycolic Acid"/>
    <n v="6169"/>
    <s v="Youth To The People"/>
    <n v="11299"/>
    <x v="2"/>
    <n v="4.5926"/>
    <s v="Yes"/>
    <s v="High"/>
    <n v="81"/>
    <x v="36"/>
    <s v="Mid"/>
    <n v="0"/>
    <n v="0"/>
    <s v="Cleansers"/>
  </r>
  <r>
    <s v="P394702"/>
    <s v="Plantscription Anti-Aging Power Eye Cream"/>
    <n v="3733"/>
    <s v="Origins"/>
    <n v="11304"/>
    <x v="2"/>
    <n v="3.8372000000000002"/>
    <s v="Yes"/>
    <s v="Medium"/>
    <n v="129"/>
    <x v="69"/>
    <s v="Premium"/>
    <n v="0"/>
    <n v="0"/>
    <s v="Eye Care"/>
  </r>
  <r>
    <s v="P501781"/>
    <s v="Instant Pore Perfector"/>
    <n v="6209"/>
    <s v="Peace Out"/>
    <n v="11314"/>
    <x v="2"/>
    <n v="4.5842999999999998"/>
    <s v="Yes"/>
    <s v="High"/>
    <n v="255"/>
    <x v="52"/>
    <s v="Mid"/>
    <n v="0"/>
    <n v="0"/>
    <s v="Treatments"/>
  </r>
  <r>
    <s v="P438362"/>
    <s v="Tonique Confort Hydrating &amp; Toning Duo"/>
    <n v="1741"/>
    <s v="LancÃ´me"/>
    <n v="11331"/>
    <x v="2"/>
    <n v="4.6666999999999996"/>
    <s v="Yes"/>
    <s v="High"/>
    <n v="9"/>
    <x v="25"/>
    <s v="Mid"/>
    <n v="0"/>
    <n v="1"/>
    <s v="Value &amp; Gift Sets"/>
  </r>
  <r>
    <s v="P500785"/>
    <s v="Vitamin C Skincare Set"/>
    <n v="3902"/>
    <s v="SEPHORA COLLECTION"/>
    <n v="11340"/>
    <x v="2"/>
    <n v="4.5833000000000004"/>
    <s v="Yes"/>
    <s v="High"/>
    <n v="12"/>
    <x v="64"/>
    <s v="Budget"/>
    <n v="0"/>
    <n v="0"/>
    <s v="Value &amp; Gift Sets"/>
  </r>
  <r>
    <s v="P173622"/>
    <s v="Benefiance Pure Retinol Intensive Revitalizing Face Mask"/>
    <n v="5337"/>
    <s v="Shiseido"/>
    <n v="11355"/>
    <x v="2"/>
    <n v="4.45"/>
    <s v="Yes"/>
    <s v="High"/>
    <n v="60"/>
    <x v="10"/>
    <s v="Premium"/>
    <n v="0"/>
    <n v="0"/>
    <s v="Masks"/>
  </r>
  <r>
    <s v="P480166"/>
    <s v="Mini Hydra Vizor Invisible Moisturizer Broad Spectrum SPF 30 Sunscreen with Niacinamide"/>
    <n v="6352"/>
    <s v="Fenty Skin"/>
    <n v="11380"/>
    <x v="2"/>
    <n v="3.7856999999999998"/>
    <s v="Yes"/>
    <s v="Medium"/>
    <n v="14"/>
    <x v="94"/>
    <s v="Mid"/>
    <n v="0"/>
    <n v="0"/>
    <s v="Moisturizers"/>
  </r>
  <r>
    <s v="P481831"/>
    <s v="Tan Tonic Glow Drops"/>
    <n v="5626"/>
    <s v="St. Tropez"/>
    <n v="11386"/>
    <x v="2"/>
    <n v="4.6685999999999996"/>
    <s v="Yes"/>
    <s v="High"/>
    <n v="1053"/>
    <x v="36"/>
    <s v="Mid"/>
    <n v="0"/>
    <n v="0"/>
    <s v="Self Tanners"/>
  </r>
  <r>
    <s v="P379704"/>
    <s v="Retinoic Nutrient Face Oil With Vitamin A"/>
    <n v="7020"/>
    <s v="Tata Harper"/>
    <n v="11417"/>
    <x v="2"/>
    <n v="4.2"/>
    <s v="Yes"/>
    <s v="High"/>
    <n v="75"/>
    <x v="97"/>
    <s v="Premium"/>
    <n v="0"/>
    <n v="0"/>
    <s v="Moisturizers"/>
  </r>
  <r>
    <s v="P472453"/>
    <s v="Vinosource-Hydra SOS Intense Hydration Moisturizer"/>
    <n v="4171"/>
    <s v="Caudalie"/>
    <n v="11425"/>
    <x v="2"/>
    <n v="4.0697000000000001"/>
    <s v="Yes"/>
    <s v="High"/>
    <n v="502"/>
    <x v="44"/>
    <s v="Mid"/>
    <n v="0"/>
    <n v="0"/>
    <s v="Moisturizers"/>
  </r>
  <r>
    <s v="P470507"/>
    <s v="The Cream with TFC8 Face Moisturizer"/>
    <n v="6356"/>
    <s v="Augustinus Bader"/>
    <n v="11428"/>
    <x v="2"/>
    <n v="4.3605"/>
    <s v="Yes"/>
    <s v="High"/>
    <n v="430"/>
    <x v="98"/>
    <s v="Premium"/>
    <n v="0"/>
    <n v="0"/>
    <s v="Moisturizers"/>
  </r>
  <r>
    <s v="P475112"/>
    <s v="Pore Clearing Matte Moisturizer with Volcanic Clusters"/>
    <n v="6295"/>
    <s v="innisfree"/>
    <n v="11430"/>
    <x v="2"/>
    <n v="4.5392000000000001"/>
    <s v="Yes"/>
    <s v="High"/>
    <n v="102"/>
    <x v="0"/>
    <s v="Mid"/>
    <n v="0"/>
    <n v="0"/>
    <s v="Moisturizers"/>
  </r>
  <r>
    <s v="P433456"/>
    <s v="Potent-C Vitamin C Power Eye Cream"/>
    <n v="3728"/>
    <s v="Peter Thomas Roth"/>
    <n v="11436"/>
    <x v="2"/>
    <n v="4.0115999999999996"/>
    <s v="Yes"/>
    <s v="High"/>
    <n v="345"/>
    <x v="6"/>
    <s v="Premium"/>
    <n v="0"/>
    <n v="0"/>
    <s v="Eye Care"/>
  </r>
  <r>
    <s v="P457694"/>
    <s v="Blue Algae Vitamin C Dark Spot Correcting Peel"/>
    <n v="6018"/>
    <s v="Algenist"/>
    <n v="11488"/>
    <x v="2"/>
    <n v="4.2130000000000001"/>
    <s v="Yes"/>
    <s v="High"/>
    <n v="108"/>
    <x v="99"/>
    <s v="Premium"/>
    <n v="0"/>
    <n v="0"/>
    <s v="Treatments"/>
  </r>
  <r>
    <s v="P503642"/>
    <s v="Squalane + Vitamin C Rose Brightening Moisturizer"/>
    <n v="6195"/>
    <s v="Biossance"/>
    <n v="11500"/>
    <x v="2"/>
    <n v="4.4234"/>
    <s v="Yes"/>
    <s v="High"/>
    <n v="333"/>
    <x v="70"/>
    <s v="Premium"/>
    <n v="0"/>
    <n v="0"/>
    <s v="Moisturizers"/>
  </r>
  <r>
    <s v="P502852"/>
    <s v="NuFACE Mini+ Petite Facial Toning Device"/>
    <n v="6001"/>
    <s v="NuFACE"/>
    <n v="11514"/>
    <x v="2"/>
    <n v="4.5313999999999997"/>
    <s v="Yes"/>
    <s v="High"/>
    <n v="175"/>
    <x v="62"/>
    <s v="Premium"/>
    <n v="1"/>
    <n v="0"/>
    <s v="High Tech Tools"/>
  </r>
  <r>
    <s v="P481701"/>
    <s v="Cloud Cushion Plush Moisturizer with Ceramides + Peptides"/>
    <n v="6377"/>
    <s v="EADEM"/>
    <n v="11518"/>
    <x v="2"/>
    <n v="4.7466999999999997"/>
    <s v="Yes"/>
    <s v="High"/>
    <n v="150"/>
    <x v="69"/>
    <s v="Premium"/>
    <n v="0"/>
    <n v="0"/>
    <s v="Moisturizers"/>
  </r>
  <r>
    <s v="P446612"/>
    <s v="Instant Magic Facial Dry Sheet Mask"/>
    <n v="6236"/>
    <s v="Charlotte Tilbury"/>
    <n v="11527"/>
    <x v="2"/>
    <n v="3.4906000000000001"/>
    <s v="Yes"/>
    <s v="Medium"/>
    <n v="53"/>
    <x v="94"/>
    <s v="Mid"/>
    <n v="0"/>
    <n v="1"/>
    <s v="Masks"/>
  </r>
  <r>
    <s v="P444969"/>
    <s v="Mini Facial Spray with Aloe, Chamomile and Lavender"/>
    <n v="8017"/>
    <s v="Mario Badescu"/>
    <n v="11554"/>
    <x v="2"/>
    <n v="3.8511000000000002"/>
    <s v="Yes"/>
    <s v="Medium"/>
    <n v="47"/>
    <x v="100"/>
    <s v="Budget"/>
    <n v="0"/>
    <n v="0"/>
    <s v="Mini Size"/>
  </r>
  <r>
    <s v="P474823"/>
    <s v="Advanced Retinol + Ferulic Overnight Texture Renewal Peel"/>
    <n v="5668"/>
    <s v="Dr. Dennis Gross Skincare"/>
    <n v="11560"/>
    <x v="2"/>
    <n v="4.7415000000000003"/>
    <s v="Yes"/>
    <s v="High"/>
    <n v="147"/>
    <x v="42"/>
    <s v="Premium"/>
    <n v="0"/>
    <n v="0"/>
    <s v="Treatments"/>
  </r>
  <r>
    <s v="P470007"/>
    <s v="Vinoclean Gentle Foam Cleanser"/>
    <n v="4171"/>
    <s v="Caudalie"/>
    <n v="11568"/>
    <x v="2"/>
    <n v="4.1753"/>
    <s v="Yes"/>
    <s v="High"/>
    <n v="154"/>
    <x v="78"/>
    <s v="Mid"/>
    <n v="0"/>
    <n v="0"/>
    <s v="Cleansers"/>
  </r>
  <r>
    <s v="P461195"/>
    <s v="Clean Hemp Mask"/>
    <n v="3902"/>
    <s v="SEPHORA COLLECTION"/>
    <n v="11589"/>
    <x v="2"/>
    <n v="3.8889"/>
    <s v="Yes"/>
    <s v="Medium"/>
    <n v="36"/>
    <x v="79"/>
    <s v="Budget"/>
    <n v="0"/>
    <n v="0"/>
    <s v="Masks"/>
  </r>
  <r>
    <s v="P433522"/>
    <s v="Goddess Clay Mask"/>
    <n v="6236"/>
    <s v="Charlotte Tilbury"/>
    <n v="11636"/>
    <x v="2"/>
    <n v="4.3114999999999997"/>
    <s v="Yes"/>
    <s v="High"/>
    <n v="61"/>
    <x v="69"/>
    <s v="Premium"/>
    <n v="0"/>
    <n v="0"/>
    <s v="Masks"/>
  </r>
  <r>
    <s v="P483495"/>
    <s v="Wake Up With Me Morning Routine Kit"/>
    <n v="6073"/>
    <s v="Sunday Riley"/>
    <n v="11638"/>
    <x v="2"/>
    <n v="4.0769000000000002"/>
    <s v="Yes"/>
    <s v="High"/>
    <n v="13"/>
    <x v="73"/>
    <s v="Premium"/>
    <n v="0"/>
    <n v="0"/>
    <s v="Value &amp; Gift Sets"/>
  </r>
  <r>
    <s v="P470040"/>
    <s v="Ultra Facial Oil-Free Gel Cream"/>
    <n v="6218"/>
    <s v="Kiehl's Since 1851"/>
    <n v="11677"/>
    <x v="2"/>
    <n v="4.4875999999999996"/>
    <s v="Yes"/>
    <s v="High"/>
    <n v="201"/>
    <x v="12"/>
    <s v="Mid"/>
    <n v="0"/>
    <n v="0"/>
    <s v="Moisturizers"/>
  </r>
  <r>
    <s v="P483664"/>
    <s v="Midnight  Recovery Omega-Rich Cloud Cream"/>
    <n v="6218"/>
    <s v="Kiehl's Since 1851"/>
    <n v="11696"/>
    <x v="2"/>
    <n v="4.5232999999999999"/>
    <s v="Yes"/>
    <s v="High"/>
    <n v="300"/>
    <x v="37"/>
    <s v="Premium"/>
    <n v="0"/>
    <n v="0"/>
    <s v="Moisturizers"/>
  </r>
  <r>
    <s v="P460554"/>
    <s v="Clarifying Peel Pads"/>
    <n v="3902"/>
    <s v="SEPHORA COLLECTION"/>
    <n v="11705"/>
    <x v="2"/>
    <n v="4.6067999999999998"/>
    <s v="Yes"/>
    <s v="High"/>
    <n v="117"/>
    <x v="34"/>
    <s v="Budget"/>
    <n v="0"/>
    <n v="0"/>
    <s v="Treatments"/>
  </r>
  <r>
    <s v="P477734"/>
    <s v="Double-Ended Textured Facial Roller"/>
    <n v="3902"/>
    <s v="SEPHORA COLLECTION"/>
    <n v="11736"/>
    <x v="2"/>
    <n v="3.6"/>
    <s v="Yes"/>
    <s v="Medium"/>
    <n v="10"/>
    <x v="0"/>
    <s v="Mid"/>
    <n v="0"/>
    <n v="0"/>
    <s v="Wellness"/>
  </r>
  <r>
    <s v="P503721"/>
    <s v="Salicylic Acid Acne Day Dots"/>
    <n v="6209"/>
    <s v="Peace Out"/>
    <n v="11747"/>
    <x v="2"/>
    <n v="4.4973999999999998"/>
    <s v="Yes"/>
    <s v="High"/>
    <n v="384"/>
    <x v="13"/>
    <s v="Budget"/>
    <n v="0"/>
    <n v="0"/>
    <s v="Treatments"/>
  </r>
  <r>
    <s v="P461935"/>
    <s v="BEAR Facial Toning Device"/>
    <n v="7037"/>
    <s v="FOREO"/>
    <n v="11753"/>
    <x v="2"/>
    <n v="4.4236000000000004"/>
    <s v="Yes"/>
    <s v="High"/>
    <n v="229"/>
    <x v="101"/>
    <s v="Premium"/>
    <n v="0"/>
    <n v="0"/>
    <s v="High Tech Tools"/>
  </r>
  <r>
    <s v="P453818"/>
    <s v="GENIUS Collagen Calming Relief"/>
    <n v="6018"/>
    <s v="Algenist"/>
    <n v="11763"/>
    <x v="2"/>
    <n v="4.4640000000000004"/>
    <s v="Yes"/>
    <s v="High"/>
    <n v="125"/>
    <x v="69"/>
    <s v="Premium"/>
    <n v="0"/>
    <n v="0"/>
    <s v="Moisturizers"/>
  </r>
  <r>
    <s v="P443383"/>
    <s v="Moisture Surge Eye 96-Hour Hydro-Filler Concentrate"/>
    <n v="1254"/>
    <s v="CLINIQUE"/>
    <n v="11769"/>
    <x v="2"/>
    <n v="3.3380000000000001"/>
    <s v="Yes"/>
    <s v="Medium"/>
    <n v="142"/>
    <x v="96"/>
    <s v="Mid"/>
    <n v="0"/>
    <n v="0"/>
    <s v="Eye Care"/>
  </r>
  <r>
    <s v="P475182"/>
    <s v="The Cult Classic Purifying Face Cleanser"/>
    <n v="6373"/>
    <s v="TULA Skincare"/>
    <n v="11798"/>
    <x v="2"/>
    <n v="3.9064000000000001"/>
    <s v="Yes"/>
    <s v="Medium"/>
    <n v="406"/>
    <x v="18"/>
    <s v="Mid"/>
    <n v="0"/>
    <n v="0"/>
    <s v="Cleansers"/>
  </r>
  <r>
    <s v="P423127"/>
    <s v="Ultracalming Cleanser"/>
    <n v="6219"/>
    <s v="Dermalogica"/>
    <n v="11814"/>
    <x v="2"/>
    <n v="4.4523000000000001"/>
    <s v="Yes"/>
    <s v="High"/>
    <n v="199"/>
    <x v="36"/>
    <s v="Mid"/>
    <n v="0"/>
    <n v="0"/>
    <s v="Cleansers"/>
  </r>
  <r>
    <s v="P470243"/>
    <s v="PRO Strength Microdermabrasion Blackhead Eliminator"/>
    <n v="3728"/>
    <s v="Peter Thomas Roth"/>
    <n v="11835"/>
    <x v="2"/>
    <n v="4.4935999999999998"/>
    <s v="Yes"/>
    <s v="High"/>
    <n v="466"/>
    <x v="6"/>
    <s v="Premium"/>
    <n v="0"/>
    <n v="0"/>
    <s v="Cleansers"/>
  </r>
  <r>
    <s v="P474110"/>
    <s v="Super-C Retinol Brighten &amp; Correct Vitamin C Serum"/>
    <n v="6358"/>
    <s v="StriVectin"/>
    <n v="11839"/>
    <x v="2"/>
    <n v="4.6490999999999998"/>
    <s v="Yes"/>
    <s v="High"/>
    <n v="114"/>
    <x v="55"/>
    <s v="Premium"/>
    <n v="0"/>
    <n v="1"/>
    <s v="Treatments"/>
  </r>
  <r>
    <s v="P504045"/>
    <s v="Daily Dose Bioretinol + Mineral SPF 40 with Bakuchiol"/>
    <n v="5987"/>
    <s v="Supergoop!"/>
    <n v="11846"/>
    <x v="2"/>
    <n v="4.7356999999999996"/>
    <s v="Yes"/>
    <s v="High"/>
    <n v="367"/>
    <x v="45"/>
    <s v="Mid"/>
    <n v="0"/>
    <n v="0"/>
    <s v="Treatments"/>
  </r>
  <r>
    <s v="P476729"/>
    <s v="Mini First Care Activating Serum"/>
    <n v="6307"/>
    <s v="Sulwhasoo"/>
    <n v="11881"/>
    <x v="2"/>
    <n v="4.5707000000000004"/>
    <s v="Yes"/>
    <s v="High"/>
    <n v="976"/>
    <x v="94"/>
    <s v="Mid"/>
    <n v="0"/>
    <n v="0"/>
    <s v="Mini Size"/>
  </r>
  <r>
    <s v="P467118"/>
    <s v="That Limitless Glow Sheet Mask"/>
    <n v="6335"/>
    <s v="JLo Beauty"/>
    <n v="11890"/>
    <x v="2"/>
    <n v="4.0129999999999999"/>
    <s v="Yes"/>
    <s v="High"/>
    <n v="307"/>
    <x v="25"/>
    <s v="Mid"/>
    <n v="0"/>
    <n v="0"/>
    <s v="Masks"/>
  </r>
  <r>
    <s v="P405826"/>
    <s v="Raw Beauty Skin &amp; Energy Green Superfood Powder"/>
    <n v="7050"/>
    <s v="HUM Nutrition"/>
    <n v="11891"/>
    <x v="2"/>
    <n v="4.1902999999999997"/>
    <s v="Yes"/>
    <s v="High"/>
    <n v="247"/>
    <x v="7"/>
    <s v="Mid"/>
    <n v="0"/>
    <n v="0"/>
    <s v="Wellness"/>
  </r>
  <r>
    <s v="P500993"/>
    <s v="The Sunscreen - 100% Mineral, Broad Spectrum SPF 30 with 20% Non-Nano Zinc, Hyaluronic Acid and Niacinamide"/>
    <n v="6323"/>
    <s v="NÃ©cessaire"/>
    <n v="11896"/>
    <x v="2"/>
    <n v="4.5321999999999996"/>
    <s v="Yes"/>
    <s v="High"/>
    <n v="451"/>
    <x v="94"/>
    <s v="Mid"/>
    <n v="0"/>
    <n v="0"/>
    <s v="Sunscreen"/>
  </r>
  <r>
    <s v="P465803"/>
    <s v="Blue Aventurine De-Puffing Facial Roller"/>
    <n v="3902"/>
    <s v="SEPHORA COLLECTION"/>
    <n v="11904"/>
    <x v="2"/>
    <n v="4.8993000000000002"/>
    <s v="Yes"/>
    <s v="High"/>
    <n v="149"/>
    <x v="60"/>
    <s v="Mid"/>
    <n v="0"/>
    <n v="0"/>
    <s v="Wellness"/>
  </r>
  <r>
    <s v="P474957"/>
    <s v="Night Glow Self-Tan Face Mist"/>
    <n v="8008"/>
    <s v="Isle of Paradise"/>
    <n v="11912"/>
    <x v="2"/>
    <n v="3.7606000000000002"/>
    <s v="Yes"/>
    <s v="Medium"/>
    <n v="71"/>
    <x v="0"/>
    <s v="Mid"/>
    <n v="0"/>
    <n v="0"/>
    <s v="Self Tanners"/>
  </r>
  <r>
    <s v="P122727"/>
    <s v="Repairwear Anti-Gravity Eye Cream"/>
    <n v="1254"/>
    <s v="CLINIQUE"/>
    <n v="11912"/>
    <x v="2"/>
    <n v="4.1702000000000004"/>
    <s v="Yes"/>
    <s v="High"/>
    <n v="282"/>
    <x v="30"/>
    <s v="Premium"/>
    <n v="0"/>
    <n v="0"/>
    <s v="Eye Care"/>
  </r>
  <r>
    <s v="P500428"/>
    <s v="Lift &amp; Contour 1% Bakuchiol &amp; Peptide Eye Serum"/>
    <n v="6316"/>
    <s v="Wishful"/>
    <n v="11916"/>
    <x v="2"/>
    <n v="4"/>
    <s v="Yes"/>
    <s v="High"/>
    <n v="26"/>
    <x v="44"/>
    <s v="Mid"/>
    <n v="0"/>
    <n v="0"/>
    <s v="Eye Care"/>
  </r>
  <r>
    <s v="P442548"/>
    <s v="Mini Liquid Gold Exfoliating Treatment with Glycolic Acid"/>
    <n v="6283"/>
    <s v="Alpha-H"/>
    <n v="11971"/>
    <x v="2"/>
    <n v="4"/>
    <s v="Yes"/>
    <s v="High"/>
    <n v="34"/>
    <x v="75"/>
    <s v="Mid"/>
    <n v="0"/>
    <n v="0"/>
    <s v="Mini Size"/>
  </r>
  <r>
    <s v="P501213"/>
    <s v="Squalane + Retinol Night Serum"/>
    <n v="6195"/>
    <s v="Biossance"/>
    <n v="12007"/>
    <x v="2"/>
    <n v="4.4741999999999997"/>
    <s v="Yes"/>
    <s v="High"/>
    <n v="213"/>
    <x v="55"/>
    <s v="Premium"/>
    <n v="0"/>
    <n v="0"/>
    <s v="Treatments"/>
  </r>
  <r>
    <s v="P442734"/>
    <s v="Immortelle Reset Overnight Reset Oil-In Serum"/>
    <n v="2366"/>
    <s v="L'Occitane"/>
    <n v="12040"/>
    <x v="2"/>
    <n v="4.5332999999999997"/>
    <s v="Yes"/>
    <s v="High"/>
    <n v="60"/>
    <x v="92"/>
    <s v="Premium"/>
    <n v="0"/>
    <n v="0"/>
    <s v="Treatments"/>
  </r>
  <r>
    <s v="P448202"/>
    <s v="Benefiance Wrinkle Smoothing Cream Enriched"/>
    <n v="5337"/>
    <s v="Shiseido"/>
    <n v="12045"/>
    <x v="2"/>
    <n v="4.5776000000000003"/>
    <s v="Yes"/>
    <s v="High"/>
    <n v="947"/>
    <x v="76"/>
    <s v="Premium"/>
    <n v="0"/>
    <n v="0"/>
    <s v="Moisturizers"/>
  </r>
  <r>
    <s v="P479125"/>
    <s v="Mini Cloud Dew Oil-Free Gel Cream"/>
    <n v="6247"/>
    <s v="Summer Fridays"/>
    <n v="12092"/>
    <x v="2"/>
    <n v="4.4612999999999996"/>
    <s v="Yes"/>
    <s v="High"/>
    <n v="646"/>
    <x v="34"/>
    <s v="Budget"/>
    <n v="0"/>
    <n v="0"/>
    <s v="Moisturizers"/>
  </r>
  <r>
    <s v="P504849"/>
    <s v="Plumping Power Duo"/>
    <n v="6189"/>
    <s v="Glow Recipe"/>
    <n v="12092"/>
    <x v="2"/>
    <n v="4.8453999999999997"/>
    <s v="Yes"/>
    <s v="High"/>
    <n v="97"/>
    <x v="30"/>
    <s v="Premium"/>
    <n v="1"/>
    <n v="0"/>
    <s v="Value &amp; Gift Sets"/>
  </r>
  <r>
    <s v="P455927"/>
    <s v="Mini Retinol Reform"/>
    <n v="6314"/>
    <s v="Shani Darden Skin Care"/>
    <n v="12100"/>
    <x v="2"/>
    <n v="4.2568999999999999"/>
    <s v="Yes"/>
    <s v="High"/>
    <n v="1012"/>
    <x v="78"/>
    <s v="Mid"/>
    <n v="0"/>
    <n v="0"/>
    <s v="Mini Size"/>
  </r>
  <r>
    <s v="P435801"/>
    <s v="Aqua Bomb Mist"/>
    <n v="7075"/>
    <s v="belif"/>
    <n v="12101"/>
    <x v="2"/>
    <n v="4.1041999999999996"/>
    <s v="Yes"/>
    <s v="High"/>
    <n v="48"/>
    <x v="12"/>
    <s v="Mid"/>
    <n v="0"/>
    <n v="0"/>
    <s v="Moisturizers"/>
  </r>
  <r>
    <s v="P474333"/>
    <s v="Bye Bye Pores 10% Glycolic Acid Serum"/>
    <n v="6175"/>
    <s v="IT Cosmetics"/>
    <n v="12144"/>
    <x v="2"/>
    <n v="4.3532000000000002"/>
    <s v="Yes"/>
    <s v="High"/>
    <n v="269"/>
    <x v="31"/>
    <s v="Mid"/>
    <n v="0"/>
    <n v="0"/>
    <s v="Treatments"/>
  </r>
  <r>
    <s v="P444615"/>
    <s v="Witch Hazel &amp; Rosewater Toner"/>
    <n v="8017"/>
    <s v="Mario Badescu"/>
    <n v="12154"/>
    <x v="2"/>
    <n v="4.0881999999999996"/>
    <s v="Yes"/>
    <s v="High"/>
    <n v="34"/>
    <x v="58"/>
    <s v="Budget"/>
    <n v="0"/>
    <n v="0"/>
    <s v="Cleansers"/>
  </r>
  <r>
    <s v="P501157"/>
    <s v="Vitamin C Lactic Firm &amp; Bright Eye Treatment"/>
    <n v="5668"/>
    <s v="Dr. Dennis Gross Skincare"/>
    <n v="12157"/>
    <x v="2"/>
    <n v="4.7458999999999998"/>
    <s v="Yes"/>
    <s v="High"/>
    <n v="185"/>
    <x v="6"/>
    <s v="Premium"/>
    <n v="0"/>
    <n v="0"/>
    <s v="Eye Care"/>
  </r>
  <r>
    <s v="P475185"/>
    <s v="24-7 Moisture Hydrating Day &amp; Night Cream"/>
    <n v="6373"/>
    <s v="TULA Skincare"/>
    <n v="12166"/>
    <x v="2"/>
    <n v="4.1883999999999997"/>
    <s v="Yes"/>
    <s v="High"/>
    <n v="398"/>
    <x v="30"/>
    <s v="Premium"/>
    <n v="0"/>
    <n v="0"/>
    <s v="Moisturizers"/>
  </r>
  <r>
    <s v="P483137"/>
    <s v="Targeted Dark Spots Serum with Enzymes"/>
    <n v="3902"/>
    <s v="SEPHORA COLLECTION"/>
    <n v="12192"/>
    <x v="2"/>
    <n v="4.6447000000000003"/>
    <s v="Yes"/>
    <s v="High"/>
    <n v="318"/>
    <x v="60"/>
    <s v="Mid"/>
    <n v="0"/>
    <n v="0"/>
    <s v="Treatments"/>
  </r>
  <r>
    <s v="P472302"/>
    <s v="Wild Nettle &amp; Niacinamide Instant Firming Serum"/>
    <n v="6312"/>
    <s v="alpyn beauty"/>
    <n v="12209"/>
    <x v="2"/>
    <n v="4.7630999999999997"/>
    <s v="Yes"/>
    <s v="High"/>
    <n v="287"/>
    <x v="69"/>
    <s v="Premium"/>
    <n v="0"/>
    <n v="0"/>
    <s v="Treatments"/>
  </r>
  <r>
    <s v="P440306"/>
    <s v="SEA Mini Drink of H2O Hydrating Boost Moisturizer"/>
    <n v="5648"/>
    <s v="tarte"/>
    <n v="12223"/>
    <x v="2"/>
    <n v="3.5813999999999999"/>
    <s v="Yes"/>
    <s v="Medium"/>
    <n v="86"/>
    <x v="58"/>
    <s v="Budget"/>
    <n v="0"/>
    <n v="1"/>
    <s v="Mini Size"/>
  </r>
  <r>
    <s v="P467973"/>
    <s v="Intensive Eye Renewal Cream with Firming Peptides"/>
    <n v="6314"/>
    <s v="Shani Darden Skin Care"/>
    <n v="12224"/>
    <x v="2"/>
    <n v="4.2087000000000003"/>
    <s v="Yes"/>
    <s v="High"/>
    <n v="254"/>
    <x v="6"/>
    <s v="Premium"/>
    <n v="0"/>
    <n v="0"/>
    <s v="Eye Care"/>
  </r>
  <r>
    <s v="P456414"/>
    <s v="Greek Yoghurt Probiotic Superdose Face Mask"/>
    <n v="5715"/>
    <s v="KORRES"/>
    <n v="12229"/>
    <x v="2"/>
    <n v="4.5049000000000001"/>
    <s v="Yes"/>
    <s v="High"/>
    <n v="509"/>
    <x v="23"/>
    <s v="Premium"/>
    <n v="0"/>
    <n v="0"/>
    <s v="Masks"/>
  </r>
  <r>
    <s v="P500983"/>
    <s v="Anytime, Anyface Lactic Acid Serum + Protini Moisturizer Duo"/>
    <n v="7083"/>
    <s v="Drunk Elephant"/>
    <n v="12280"/>
    <x v="2"/>
    <n v="5"/>
    <s v="Yes"/>
    <s v="High"/>
    <n v="7"/>
    <x v="52"/>
    <s v="Mid"/>
    <n v="0"/>
    <n v="1"/>
    <s v="Value &amp; Gift Sets"/>
  </r>
  <r>
    <s v="P432818"/>
    <s v="Clean Smart Facial Cleansing Device"/>
    <n v="6114"/>
    <s v="PMD"/>
    <n v="12284"/>
    <x v="2"/>
    <n v="3.9824999999999999"/>
    <s v="Yes"/>
    <s v="Medium"/>
    <n v="171"/>
    <x v="102"/>
    <s v="Premium"/>
    <n v="0"/>
    <n v="0"/>
    <s v="High Tech Tools"/>
  </r>
  <r>
    <s v="P443359"/>
    <s v="Skin Smoothing Cream Moisturizer"/>
    <n v="6219"/>
    <s v="Dermalogica"/>
    <n v="12290"/>
    <x v="2"/>
    <n v="4.6055000000000001"/>
    <s v="Yes"/>
    <s v="High"/>
    <n v="474"/>
    <x v="28"/>
    <s v="Premium"/>
    <n v="0"/>
    <n v="0"/>
    <s v="Moisturizers"/>
  </r>
  <r>
    <s v="P422004"/>
    <s v="Ultra Facial Moisturizer Sunscreen SPF 30"/>
    <n v="6218"/>
    <s v="Kiehl's Since 1851"/>
    <n v="12320"/>
    <x v="2"/>
    <n v="3.7473000000000001"/>
    <s v="Yes"/>
    <s v="Medium"/>
    <n v="91"/>
    <x v="12"/>
    <s v="Mid"/>
    <n v="0"/>
    <n v="1"/>
    <s v="Moisturizers"/>
  </r>
  <r>
    <s v="P446641"/>
    <s v="Argan Bright Skin Vitamin C Serum"/>
    <n v="5922"/>
    <s v="Josie Maran"/>
    <n v="12342"/>
    <x v="2"/>
    <n v="4.3955000000000002"/>
    <s v="Yes"/>
    <s v="High"/>
    <n v="531"/>
    <x v="40"/>
    <s v="Premium"/>
    <n v="0"/>
    <n v="0"/>
    <s v="Treatments"/>
  </r>
  <r>
    <s v="P427393"/>
    <s v="Hyaluronic Marine Dew It Right Eye Gel"/>
    <n v="5668"/>
    <s v="Dr. Dennis Gross Skincare"/>
    <n v="12365"/>
    <x v="2"/>
    <n v="3.5442"/>
    <s v="Yes"/>
    <s v="Medium"/>
    <n v="147"/>
    <x v="103"/>
    <s v="Premium"/>
    <n v="0"/>
    <n v="0"/>
    <s v="Eye Care"/>
  </r>
  <r>
    <s v="P474942"/>
    <s v="Refresh in 5"/>
    <n v="1254"/>
    <s v="CLINIQUE"/>
    <n v="12369"/>
    <x v="2"/>
    <n v="4.6666999999999996"/>
    <s v="Yes"/>
    <s v="High"/>
    <n v="9"/>
    <x v="94"/>
    <s v="Mid"/>
    <n v="0"/>
    <n v="0"/>
    <s v="Value &amp; Gift Sets"/>
  </r>
  <r>
    <s v="P483138"/>
    <s v="Targeted Pores Serum with BHA + PHA"/>
    <n v="3902"/>
    <s v="SEPHORA COLLECTION"/>
    <n v="12422"/>
    <x v="2"/>
    <n v="4.6844000000000001"/>
    <s v="Yes"/>
    <s v="High"/>
    <n v="339"/>
    <x v="60"/>
    <s v="Mid"/>
    <n v="0"/>
    <n v="0"/>
    <s v="Treatments"/>
  </r>
  <r>
    <s v="P463665"/>
    <s v="Get Even Rose Face Oil"/>
    <n v="6316"/>
    <s v="Wishful"/>
    <n v="12439"/>
    <x v="2"/>
    <n v="4.3925999999999998"/>
    <s v="Yes"/>
    <s v="High"/>
    <n v="377"/>
    <x v="80"/>
    <s v="Premium"/>
    <n v="0"/>
    <n v="0"/>
    <s v="Moisturizers"/>
  </r>
  <r>
    <s v="P480284"/>
    <s v="Premier Cru Anti-Aging Serum with Niacinamide and Hyaluronic Acid"/>
    <n v="4171"/>
    <s v="Caudalie"/>
    <n v="12449"/>
    <x v="2"/>
    <n v="4.75"/>
    <s v="Yes"/>
    <s v="High"/>
    <n v="212"/>
    <x v="104"/>
    <s v="Premium"/>
    <n v="0"/>
    <n v="0"/>
    <s v="Treatments"/>
  </r>
  <r>
    <s v="P473724"/>
    <s v="Vitamin Tonic"/>
    <n v="3902"/>
    <s v="SEPHORA COLLECTION"/>
    <n v="12475"/>
    <x v="2"/>
    <n v="4.6875"/>
    <s v="Yes"/>
    <s v="High"/>
    <n v="48"/>
    <x v="1"/>
    <s v="Budget"/>
    <n v="0"/>
    <n v="0"/>
    <s v="Cleansers"/>
  </r>
  <r>
    <s v="P395723"/>
    <s v="Classic Body Organic Sunscreen Spray SPF 50 Fragrance-Free"/>
    <n v="7091"/>
    <s v="COOLA"/>
    <n v="12498"/>
    <x v="2"/>
    <n v="4.3635999999999999"/>
    <s v="Yes"/>
    <s v="High"/>
    <n v="77"/>
    <x v="52"/>
    <s v="Mid"/>
    <n v="0"/>
    <n v="0"/>
    <s v="Sunscreen"/>
  </r>
  <r>
    <s v="P7365"/>
    <s v="Pure Skin Clarifying Dietary Supplement"/>
    <n v="4164"/>
    <s v="Murad"/>
    <n v="12516"/>
    <x v="2"/>
    <n v="4.0723000000000003"/>
    <s v="Yes"/>
    <s v="High"/>
    <n v="512"/>
    <x v="50"/>
    <s v="Premium"/>
    <n v="0"/>
    <n v="1"/>
    <s v="Wellness"/>
  </r>
  <r>
    <s v="P433618"/>
    <s v="Clarifying Cleansing Foam"/>
    <n v="5337"/>
    <s v="Shiseido"/>
    <n v="12520"/>
    <x v="2"/>
    <n v="4.2454999999999998"/>
    <s v="Yes"/>
    <s v="High"/>
    <n v="110"/>
    <x v="8"/>
    <s v="Mid"/>
    <n v="0"/>
    <n v="0"/>
    <s v="Cleansers"/>
  </r>
  <r>
    <s v="P472067"/>
    <s v="Metal Facial Razor Refills"/>
    <n v="3902"/>
    <s v="SEPHORA COLLECTION"/>
    <n v="12554"/>
    <x v="2"/>
    <n v="4.4000000000000004"/>
    <s v="Yes"/>
    <s v="High"/>
    <n v="20"/>
    <x v="57"/>
    <s v="Budget"/>
    <n v="0"/>
    <n v="0"/>
    <s v="High Tech Tools"/>
  </r>
  <r>
    <s v="P483643"/>
    <s v="Willow &amp; Sweet Agave Plumping Lip Mask"/>
    <n v="6312"/>
    <s v="alpyn beauty"/>
    <n v="12568"/>
    <x v="2"/>
    <n v="4.5404999999999998"/>
    <s v="Yes"/>
    <s v="High"/>
    <n v="148"/>
    <x v="52"/>
    <s v="Mid"/>
    <n v="0"/>
    <n v="0"/>
    <s v="Lip Balms &amp; Treatments"/>
  </r>
  <r>
    <s v="P270600"/>
    <s v="Extra Eye Repair Cream Intense"/>
    <n v="5644"/>
    <s v="Bobbi Brown"/>
    <n v="12571"/>
    <x v="2"/>
    <n v="3.3635999999999999"/>
    <s v="Yes"/>
    <s v="Medium"/>
    <n v="11"/>
    <x v="105"/>
    <s v="Premium"/>
    <n v="0"/>
    <n v="0"/>
    <s v="Eye Care"/>
  </r>
  <r>
    <s v="P459140"/>
    <s v="Self-Tanning Water Refill"/>
    <n v="8008"/>
    <s v="Isle of Paradise"/>
    <n v="12579"/>
    <x v="2"/>
    <n v="3.6190000000000002"/>
    <s v="Yes"/>
    <s v="Medium"/>
    <n v="42"/>
    <x v="0"/>
    <s v="Mid"/>
    <n v="0"/>
    <n v="1"/>
    <s v="Self Tanners"/>
  </r>
  <r>
    <s v="P503657"/>
    <s v="Premier Cru Skin Barrier Rich Moisturizer with Bio-Ceramides"/>
    <n v="4171"/>
    <s v="Caudalie"/>
    <n v="12606"/>
    <x v="2"/>
    <n v="4.5664999999999996"/>
    <s v="Yes"/>
    <s v="High"/>
    <n v="173"/>
    <x v="106"/>
    <s v="Premium"/>
    <n v="1"/>
    <n v="0"/>
    <s v="Moisturizers"/>
  </r>
  <r>
    <s v="P458546"/>
    <s v="Set The Stage Hydrating Primer Serum"/>
    <n v="6246"/>
    <s v="LAWLESS"/>
    <n v="12625"/>
    <x v="2"/>
    <n v="4.5975999999999999"/>
    <s v="Yes"/>
    <s v="High"/>
    <n v="251"/>
    <x v="29"/>
    <s v="Mid"/>
    <n v="0"/>
    <n v="0"/>
    <s v="Treatments"/>
  </r>
  <r>
    <s v="P468229"/>
    <s v="Ageless Revitalizing Neck Cream"/>
    <n v="6041"/>
    <s v="Tatcha"/>
    <n v="12625"/>
    <x v="2"/>
    <n v="4.1500000000000004"/>
    <s v="Yes"/>
    <s v="High"/>
    <n v="20"/>
    <x v="107"/>
    <s v="Premium"/>
    <n v="0"/>
    <n v="0"/>
    <s v="Moisturizers"/>
  </r>
  <r>
    <s v="P432831"/>
    <s v="Plump Jelly Hyaluronic Serum"/>
    <n v="6226"/>
    <s v="Moon Juice"/>
    <n v="12648"/>
    <x v="2"/>
    <n v="4.2605000000000004"/>
    <s v="Yes"/>
    <s v="High"/>
    <n v="215"/>
    <x v="69"/>
    <s v="Premium"/>
    <n v="0"/>
    <n v="0"/>
    <s v="Treatments"/>
  </r>
  <r>
    <s v="P440651"/>
    <s v="Mini Acne Control Clarifying Cleanser"/>
    <n v="4164"/>
    <s v="Murad"/>
    <n v="12651"/>
    <x v="2"/>
    <n v="4.2359999999999998"/>
    <s v="Yes"/>
    <s v="High"/>
    <n v="2449"/>
    <x v="58"/>
    <s v="Budget"/>
    <n v="0"/>
    <n v="0"/>
    <s v="Mini Size"/>
  </r>
  <r>
    <s v="P475172"/>
    <s v="Overnight Vitalizing Mask"/>
    <n v="6307"/>
    <s v="Sulwhasoo"/>
    <n v="12664"/>
    <x v="2"/>
    <n v="4.7169999999999996"/>
    <s v="Yes"/>
    <s v="High"/>
    <n v="106"/>
    <x v="30"/>
    <s v="Premium"/>
    <n v="0"/>
    <n v="0"/>
    <s v="Masks"/>
  </r>
  <r>
    <s v="P468652"/>
    <s v="UFO 2"/>
    <n v="7037"/>
    <s v="FOREO"/>
    <n v="12668"/>
    <x v="2"/>
    <n v="4.3947000000000003"/>
    <s v="Yes"/>
    <s v="High"/>
    <n v="38"/>
    <x v="108"/>
    <s v="Premium"/>
    <n v="0"/>
    <n v="0"/>
    <s v="High Tech Tools"/>
  </r>
  <r>
    <s v="P440072"/>
    <s v="Noni Glow Overnight Plumping Hydration Mask"/>
    <n v="6207"/>
    <s v="KORA Organics"/>
    <n v="12672"/>
    <x v="2"/>
    <n v="3.7282999999999999"/>
    <s v="Yes"/>
    <s v="Medium"/>
    <n v="92"/>
    <x v="23"/>
    <s v="Premium"/>
    <n v="0"/>
    <n v="0"/>
    <s v="Masks"/>
  </r>
  <r>
    <s v="P500248"/>
    <s v="Collagen Superfusion Firming &amp; Plumping Facial Oil"/>
    <n v="6236"/>
    <s v="Charlotte Tilbury"/>
    <n v="12680"/>
    <x v="2"/>
    <n v="4.5833000000000004"/>
    <s v="Yes"/>
    <s v="High"/>
    <n v="12"/>
    <x v="99"/>
    <s v="Premium"/>
    <n v="0"/>
    <n v="0"/>
    <s v="Moisturizers"/>
  </r>
  <r>
    <s v="P456395"/>
    <s v="Volcanic Clusters Pore Clearing Toner"/>
    <n v="6295"/>
    <s v="innisfree"/>
    <n v="12712"/>
    <x v="2"/>
    <n v="4.5663999999999998"/>
    <s v="Yes"/>
    <s v="High"/>
    <n v="143"/>
    <x v="75"/>
    <s v="Mid"/>
    <n v="0"/>
    <n v="0"/>
    <s v="Cleansers"/>
  </r>
  <r>
    <s v="P398500"/>
    <s v="Personal Microderm"/>
    <n v="6114"/>
    <s v="PMD"/>
    <n v="12714"/>
    <x v="2"/>
    <n v="4.3220000000000001"/>
    <s v="Yes"/>
    <s v="High"/>
    <n v="59"/>
    <x v="82"/>
    <s v="Premium"/>
    <n v="0"/>
    <n v="0"/>
    <s v="High Tech Tools"/>
  </r>
  <r>
    <s v="P461177"/>
    <s v="Mini Turmeric BHA Pore &amp; Brightening Treatment Mask"/>
    <n v="6207"/>
    <s v="KORA Organics"/>
    <n v="12716"/>
    <x v="2"/>
    <n v="4.1626000000000003"/>
    <s v="Yes"/>
    <s v="High"/>
    <n v="492"/>
    <x v="5"/>
    <s v="Budget"/>
    <n v="0"/>
    <n v="0"/>
    <s v="Mini Size"/>
  </r>
  <r>
    <s v="P405944"/>
    <s v="Ultra Sun Protection Lotion Broad Spectrum SPF 50+ WetForce for Sensitive Skin &amp; Children"/>
    <n v="5337"/>
    <s v="Shiseido"/>
    <n v="12724"/>
    <x v="2"/>
    <n v="3.1858"/>
    <s v="Yes"/>
    <s v="Medium"/>
    <n v="226"/>
    <x v="36"/>
    <s v="Mid"/>
    <n v="0"/>
    <n v="0"/>
    <s v="Sunscreen"/>
  </r>
  <r>
    <s v="P481699"/>
    <s v="Cicapair Tiger Grass Calming Serum Mask"/>
    <n v="6014"/>
    <s v="Dr. Jart+"/>
    <n v="12733"/>
    <x v="2"/>
    <n v="4.3600000000000003"/>
    <s v="Yes"/>
    <s v="High"/>
    <n v="25"/>
    <x v="59"/>
    <s v="Budget"/>
    <n v="0"/>
    <n v="0"/>
    <s v="Masks"/>
  </r>
  <r>
    <s v="P456413"/>
    <s v="Mini Greek Yoghurt Foaming Cream Cleanser"/>
    <n v="5715"/>
    <s v="KORRES"/>
    <n v="12738"/>
    <x v="2"/>
    <n v="4.2470999999999997"/>
    <s v="Yes"/>
    <s v="High"/>
    <n v="85"/>
    <x v="47"/>
    <s v="Budget"/>
    <n v="0"/>
    <n v="0"/>
    <s v="Mini Size"/>
  </r>
  <r>
    <s v="P455613"/>
    <s v="Line-Filling Eye Cream with Bakuchiol and Caffeine"/>
    <n v="6312"/>
    <s v="alpyn beauty"/>
    <n v="12740"/>
    <x v="2"/>
    <n v="4.3205999999999998"/>
    <s v="Yes"/>
    <s v="High"/>
    <n v="262"/>
    <x v="48"/>
    <s v="Premium"/>
    <n v="0"/>
    <n v="0"/>
    <s v="Eye Care"/>
  </r>
  <r>
    <s v="P501581"/>
    <s v="Cocoa Cleans'r Soothing All-Over Cleansing Bar"/>
    <n v="6352"/>
    <s v="Fenty Skin"/>
    <n v="12779"/>
    <x v="2"/>
    <n v="4.1738999999999997"/>
    <s v="Yes"/>
    <s v="High"/>
    <n v="299"/>
    <x v="58"/>
    <s v="Budget"/>
    <n v="0"/>
    <n v="0"/>
    <s v="Cleansers"/>
  </r>
  <r>
    <s v="P501591"/>
    <s v="The Littles Skincare Travel Set"/>
    <n v="7083"/>
    <s v="Drunk Elephant"/>
    <n v="12819"/>
    <x v="2"/>
    <n v="4.4443999999999999"/>
    <s v="Yes"/>
    <s v="High"/>
    <n v="9"/>
    <x v="28"/>
    <s v="Premium"/>
    <n v="0"/>
    <n v="1"/>
    <s v="Value &amp; Gift Sets"/>
  </r>
  <r>
    <s v="P433519"/>
    <s v="Refillable Magic Night Moisturizer with Retinol"/>
    <n v="6236"/>
    <s v="Charlotte Tilbury"/>
    <n v="12841"/>
    <x v="2"/>
    <n v="3.5491999999999999"/>
    <s v="Yes"/>
    <s v="Medium"/>
    <n v="122"/>
    <x v="109"/>
    <s v="Premium"/>
    <n v="0"/>
    <n v="0"/>
    <s v="Moisturizers"/>
  </r>
  <r>
    <s v="P397626"/>
    <s v="Dermask Intra Jet Wrinkless Solution"/>
    <n v="6014"/>
    <s v="Dr. Jart+"/>
    <n v="12850"/>
    <x v="2"/>
    <n v="3.6190000000000002"/>
    <s v="Yes"/>
    <s v="Medium"/>
    <n v="63"/>
    <x v="59"/>
    <s v="Budget"/>
    <n v="0"/>
    <n v="0"/>
    <s v="Masks"/>
  </r>
  <r>
    <s v="P482739"/>
    <s v="Urban Environment Oil-Free Sunscreen Broad-Spectrum SPF 42"/>
    <n v="5337"/>
    <s v="Shiseido"/>
    <n v="12870"/>
    <x v="2"/>
    <n v="4.4532999999999996"/>
    <s v="Yes"/>
    <s v="High"/>
    <n v="1337"/>
    <x v="50"/>
    <s v="Premium"/>
    <n v="0"/>
    <n v="0"/>
    <s v="Sunscreen"/>
  </r>
  <r>
    <s v="P412117"/>
    <s v="Dry Skin Saver"/>
    <n v="5946"/>
    <s v="Kate Somerville"/>
    <n v="12883"/>
    <x v="2"/>
    <n v="4.3009000000000004"/>
    <s v="Yes"/>
    <s v="High"/>
    <n v="113"/>
    <x v="70"/>
    <s v="Premium"/>
    <n v="0"/>
    <n v="0"/>
    <s v="Moisturizers"/>
  </r>
  <r>
    <s v="P454384"/>
    <s v="Mini PLAY Everyday Lotion SPF 50 with Sunflower Extract"/>
    <n v="5987"/>
    <s v="Supergoop!"/>
    <n v="12937"/>
    <x v="2"/>
    <n v="4.0953999999999997"/>
    <s v="Yes"/>
    <s v="High"/>
    <n v="1059"/>
    <x v="75"/>
    <s v="Mid"/>
    <n v="0"/>
    <n v="0"/>
    <s v="Mini Size"/>
  </r>
  <r>
    <s v="P386739"/>
    <s v="Restorative Plumping + Brightening Eye Cream"/>
    <n v="7020"/>
    <s v="Tata Harper"/>
    <n v="12946"/>
    <x v="2"/>
    <n v="4.1100000000000003"/>
    <s v="Yes"/>
    <s v="High"/>
    <n v="209"/>
    <x v="87"/>
    <s v="Premium"/>
    <n v="0"/>
    <n v="0"/>
    <s v="Eye Care"/>
  </r>
  <r>
    <s v="P417118"/>
    <s v="The Broad Spectrum SPF 50 UV Protecting Fluid"/>
    <n v="6201"/>
    <s v="La Mer"/>
    <n v="12975"/>
    <x v="2"/>
    <n v="4.2537000000000003"/>
    <s v="Yes"/>
    <s v="High"/>
    <n v="67"/>
    <x v="38"/>
    <s v="Premium"/>
    <n v="0"/>
    <n v="0"/>
    <s v="Sunscreen"/>
  </r>
  <r>
    <s v="P476731"/>
    <s v="Mini Gentle Cleansing Foam Hydrating Makeup Remover"/>
    <n v="6307"/>
    <s v="Sulwhasoo"/>
    <n v="12981"/>
    <x v="2"/>
    <n v="4.5595999999999997"/>
    <s v="Yes"/>
    <s v="High"/>
    <n v="277"/>
    <x v="51"/>
    <s v="Budget"/>
    <n v="0"/>
    <n v="0"/>
    <s v="Mini Size"/>
  </r>
  <r>
    <s v="P397465"/>
    <s v="Strawberry Lip Balm"/>
    <n v="5671"/>
    <s v="Rosebud Perfume Co."/>
    <n v="13002"/>
    <x v="2"/>
    <n v="4.1517999999999997"/>
    <s v="Yes"/>
    <s v="High"/>
    <n v="112"/>
    <x v="110"/>
    <s v="Budget"/>
    <n v="0"/>
    <n v="0"/>
    <s v="Lip Balms &amp; Treatments"/>
  </r>
  <r>
    <s v="P461161"/>
    <s v="FAB Pharma BHA Acne Spot Treatment Gel 2% Salicylic Acid"/>
    <n v="5972"/>
    <s v="First Aid Beauty"/>
    <n v="13002"/>
    <x v="2"/>
    <n v="4.2857000000000003"/>
    <s v="Yes"/>
    <s v="High"/>
    <n v="77"/>
    <x v="95"/>
    <s v="Mid"/>
    <n v="0"/>
    <n v="0"/>
    <s v="Treatments"/>
  </r>
  <r>
    <s v="P440981"/>
    <s v="Age Adapting CBD Serum"/>
    <n v="6274"/>
    <s v="Flora + Bast"/>
    <n v="13007"/>
    <x v="2"/>
    <n v="4.6158000000000001"/>
    <s v="Yes"/>
    <s v="High"/>
    <n v="177"/>
    <x v="111"/>
    <s v="Premium"/>
    <n v="0"/>
    <n v="0"/>
    <s v="Treatments"/>
  </r>
  <r>
    <s v="P482694"/>
    <s v="Mini Water Bank Blue Hyaluronic Cream Moisturizer"/>
    <n v="6125"/>
    <s v="LANEIGE"/>
    <n v="13024"/>
    <x v="2"/>
    <n v="3.5135000000000001"/>
    <s v="Yes"/>
    <s v="Medium"/>
    <n v="37"/>
    <x v="112"/>
    <s v="Mid"/>
    <n v="0"/>
    <n v="0"/>
    <s v="Moisturizers"/>
  </r>
  <r>
    <s v="P440490"/>
    <s v="Acne Facial Cleanser"/>
    <n v="8017"/>
    <s v="Mario Badescu"/>
    <n v="13045"/>
    <x v="2"/>
    <n v="3.7625000000000002"/>
    <s v="Yes"/>
    <s v="Medium"/>
    <n v="80"/>
    <x v="64"/>
    <s v="Budget"/>
    <n v="0"/>
    <n v="0"/>
    <s v="Cleansers"/>
  </r>
  <r>
    <s v="P433466"/>
    <s v="Call It A Night Activated Mask"/>
    <n v="7037"/>
    <s v="FOREO"/>
    <n v="13055"/>
    <x v="2"/>
    <n v="4.5909000000000004"/>
    <s v="Yes"/>
    <s v="High"/>
    <n v="22"/>
    <x v="39"/>
    <s v="Budget"/>
    <n v="0"/>
    <n v="0"/>
    <s v="Masks"/>
  </r>
  <r>
    <s v="P500238"/>
    <s v="Mini Collagen Superfusion Firming &amp; Plumping Facial Oil"/>
    <n v="6236"/>
    <s v="Charlotte Tilbury"/>
    <n v="13165"/>
    <x v="2"/>
    <n v="4.7142999999999997"/>
    <s v="Yes"/>
    <s v="High"/>
    <n v="7"/>
    <x v="78"/>
    <s v="Mid"/>
    <n v="0"/>
    <n v="0"/>
    <s v="Mini Size"/>
  </r>
  <r>
    <s v="P107306"/>
    <s v="Renewing Eye Cream"/>
    <n v="4164"/>
    <s v="Murad"/>
    <n v="13212"/>
    <x v="2"/>
    <n v="4.0316000000000001"/>
    <s v="Yes"/>
    <s v="High"/>
    <n v="253"/>
    <x v="53"/>
    <s v="Premium"/>
    <n v="0"/>
    <n v="0"/>
    <s v="Eye Care"/>
  </r>
  <r>
    <s v="P452004"/>
    <s v="Rose Hibiscus Hydrating Mist"/>
    <n v="6117"/>
    <s v="Herbivore"/>
    <n v="13225"/>
    <x v="2"/>
    <n v="4.0587999999999997"/>
    <s v="Yes"/>
    <s v="High"/>
    <n v="68"/>
    <x v="8"/>
    <s v="Mid"/>
    <n v="0"/>
    <n v="0"/>
    <s v="Moisturizers"/>
  </r>
  <r>
    <s v="P469028"/>
    <s v="3-in-1 Extractor Tool"/>
    <n v="3902"/>
    <s v="SEPHORA COLLECTION"/>
    <n v="13252"/>
    <x v="2"/>
    <n v="3.3"/>
    <s v="Yes"/>
    <s v="Medium"/>
    <n v="20"/>
    <x v="60"/>
    <s v="Mid"/>
    <n v="0"/>
    <n v="0"/>
    <s v="Treatments"/>
  </r>
  <r>
    <s v="P501282"/>
    <s v="C5 Super Boost Vitamin C Moisturizer"/>
    <n v="6341"/>
    <s v="Paula's Choice"/>
    <n v="13256"/>
    <x v="2"/>
    <n v="4.6985999999999999"/>
    <s v="Yes"/>
    <s v="High"/>
    <n v="292"/>
    <x v="44"/>
    <s v="Mid"/>
    <n v="0"/>
    <n v="0"/>
    <s v="Moisturizers"/>
  </r>
  <r>
    <s v="P455614"/>
    <s v="Creamy Bubbling Cleanser with Vitamin C &amp; AHAs"/>
    <n v="6312"/>
    <s v="alpyn beauty"/>
    <n v="13297"/>
    <x v="2"/>
    <n v="4.3832000000000004"/>
    <s v="Yes"/>
    <s v="High"/>
    <n v="167"/>
    <x v="8"/>
    <s v="Mid"/>
    <n v="0"/>
    <n v="0"/>
    <s v="Cleansers"/>
  </r>
  <r>
    <s v="P442990"/>
    <s v="Clean Screen Mineral SPF 30 Mattifying Face Sunscreen"/>
    <n v="5857"/>
    <s v="REN Clean Skincare"/>
    <n v="13299"/>
    <x v="2"/>
    <n v="3.3557999999999999"/>
    <s v="Yes"/>
    <s v="Medium"/>
    <n v="416"/>
    <x v="24"/>
    <s v="Mid"/>
    <n v="0"/>
    <n v="0"/>
    <s v="Sunscreen"/>
  </r>
  <r>
    <s v="P378219"/>
    <s v="White Lucent Power Brightening Mask"/>
    <n v="5337"/>
    <s v="Shiseido"/>
    <n v="13301"/>
    <x v="2"/>
    <n v="4.2531999999999996"/>
    <s v="Yes"/>
    <s v="High"/>
    <n v="79"/>
    <x v="55"/>
    <s v="Premium"/>
    <n v="0"/>
    <n v="0"/>
    <s v="Masks"/>
  </r>
  <r>
    <s v="P467126"/>
    <s v="That Jlo Glow Brightening &amp; Firming Serum with Niacinamide"/>
    <n v="6335"/>
    <s v="JLo Beauty"/>
    <n v="13307"/>
    <x v="2"/>
    <n v="3.9451999999999998"/>
    <s v="Yes"/>
    <s v="Medium"/>
    <n v="602"/>
    <x v="93"/>
    <s v="Premium"/>
    <n v="0"/>
    <n v="0"/>
    <s v="Treatments"/>
  </r>
  <r>
    <s v="P504795"/>
    <s v="Super Bounce Hyaluronic Acid + Vitamin B5 Hydrating Face Serum"/>
    <n v="6751"/>
    <s v="Glossier"/>
    <n v="13371"/>
    <x v="2"/>
    <n v="4.7332999999999998"/>
    <s v="Yes"/>
    <s v="High"/>
    <n v="15"/>
    <x v="31"/>
    <s v="Mid"/>
    <n v="1"/>
    <n v="0"/>
    <s v="Treatments"/>
  </r>
  <r>
    <s v="P483127"/>
    <s v="Retinol Remix 1% Retinol Treatment With Peptide &amp; Tranexamic Acid"/>
    <n v="6357"/>
    <s v="iNNBEAUTY PROJECT"/>
    <n v="13387"/>
    <x v="2"/>
    <n v="4.7545000000000002"/>
    <s v="Yes"/>
    <s v="High"/>
    <n v="224"/>
    <x v="14"/>
    <s v="Mid"/>
    <n v="0"/>
    <n v="0"/>
    <s v="Treatments"/>
  </r>
  <r>
    <s v="P440309"/>
    <s v="Amethyst Roller"/>
    <n v="6256"/>
    <s v="Mount Lai"/>
    <n v="13390"/>
    <x v="2"/>
    <n v="4.3773999999999997"/>
    <s v="Yes"/>
    <s v="High"/>
    <n v="53"/>
    <x v="45"/>
    <s v="Mid"/>
    <n v="0"/>
    <n v="0"/>
    <s v="Wellness"/>
  </r>
  <r>
    <s v="P427641"/>
    <s v="Mini Confidence in a Cream Hydrating Moisturizer"/>
    <n v="6175"/>
    <s v="IT Cosmetics"/>
    <n v="13406"/>
    <x v="2"/>
    <n v="3.6808999999999998"/>
    <s v="Yes"/>
    <s v="Medium"/>
    <n v="47"/>
    <x v="60"/>
    <s v="Mid"/>
    <n v="0"/>
    <n v="0"/>
    <s v="Moisturizers"/>
  </r>
  <r>
    <s v="P476428"/>
    <s v="Brightening Dark Spot Vitamin C Serum"/>
    <n v="6368"/>
    <s v="Hyper Skin"/>
    <n v="13429"/>
    <x v="2"/>
    <n v="4.5663999999999998"/>
    <s v="Yes"/>
    <s v="High"/>
    <n v="143"/>
    <x v="69"/>
    <s v="Premium"/>
    <n v="0"/>
    <n v="0"/>
    <s v="Treatments"/>
  </r>
  <r>
    <s v="P474340"/>
    <s v="Santorini Grape Velvet Skin Drink"/>
    <n v="5715"/>
    <s v="KORRES"/>
    <n v="13454"/>
    <x v="2"/>
    <n v="4.5877999999999997"/>
    <s v="Yes"/>
    <s v="High"/>
    <n v="427"/>
    <x v="50"/>
    <s v="Premium"/>
    <n v="0"/>
    <n v="0"/>
    <s v="Moisturizers"/>
  </r>
  <r>
    <s v="P469527"/>
    <s v="The UnScrub Gentle Cleansing Scrub"/>
    <n v="6341"/>
    <s v="Paula's Choice"/>
    <n v="13473"/>
    <x v="2"/>
    <n v="4.5484"/>
    <s v="Yes"/>
    <s v="High"/>
    <n v="62"/>
    <x v="9"/>
    <s v="Mid"/>
    <n v="0"/>
    <n v="0"/>
    <s v="Cleansers"/>
  </r>
  <r>
    <s v="P483146"/>
    <s v="Ultra Glow Toner with Vitamins C + E"/>
    <n v="3902"/>
    <s v="SEPHORA COLLECTION"/>
    <n v="13488"/>
    <x v="2"/>
    <n v="4.5865"/>
    <s v="Yes"/>
    <s v="High"/>
    <n v="104"/>
    <x v="58"/>
    <s v="Budget"/>
    <n v="0"/>
    <n v="0"/>
    <s v="Moisturizers"/>
  </r>
  <r>
    <s v="P430813"/>
    <s v="Advanced GÃ©nifique Hydrogel Melting Mask"/>
    <n v="1741"/>
    <s v="LancÃ´me"/>
    <n v="13528"/>
    <x v="2"/>
    <n v="4.0833000000000004"/>
    <s v="Yes"/>
    <s v="High"/>
    <n v="108"/>
    <x v="64"/>
    <s v="Budget"/>
    <n v="0"/>
    <n v="1"/>
    <s v="Masks"/>
  </r>
  <r>
    <s v="P474376"/>
    <s v="Mini THE FACE Illuminating Self-Tan Drops"/>
    <n v="6225"/>
    <s v="TAN-LUXE"/>
    <n v="13586"/>
    <x v="2"/>
    <n v="3.7631999999999999"/>
    <s v="Yes"/>
    <s v="Medium"/>
    <n v="38"/>
    <x v="94"/>
    <s v="Mid"/>
    <n v="0"/>
    <n v="0"/>
    <s v="Self Tanners"/>
  </r>
  <r>
    <s v="P502977"/>
    <s v="Youth Stacks: Daily Skin Health Your Way for Pores and Oiliness"/>
    <n v="6169"/>
    <s v="Youth To The People"/>
    <n v="13592"/>
    <x v="2"/>
    <n v="4.25"/>
    <s v="Yes"/>
    <s v="High"/>
    <n v="4"/>
    <x v="60"/>
    <s v="Mid"/>
    <n v="0"/>
    <n v="0"/>
    <s v="Value &amp; Gift Sets"/>
  </r>
  <r>
    <s v="P467749"/>
    <s v="Resveratrol Lift Retinol Alternative Firming Night Moisturizer"/>
    <n v="4171"/>
    <s v="Caudalie"/>
    <n v="13614"/>
    <x v="2"/>
    <n v="4.407"/>
    <s v="Yes"/>
    <s v="High"/>
    <n v="172"/>
    <x v="55"/>
    <s v="Premium"/>
    <n v="0"/>
    <n v="0"/>
    <s v="Moisturizers"/>
  </r>
  <r>
    <s v="P503891"/>
    <s v="Green Tea Hyaluronic Acid Hydrating Moisturizer"/>
    <n v="6295"/>
    <s v="innisfree"/>
    <n v="13619"/>
    <x v="2"/>
    <n v="4.7298999999999998"/>
    <s v="Yes"/>
    <s v="High"/>
    <n v="411"/>
    <x v="31"/>
    <s v="Mid"/>
    <n v="0"/>
    <n v="0"/>
    <s v="Moisturizers"/>
  </r>
  <r>
    <s v="P461162"/>
    <s v="FAB Pharma White Clay Acne Treatment Pads 2% Salicylic Acid"/>
    <n v="5972"/>
    <s v="First Aid Beauty"/>
    <n v="13624"/>
    <x v="2"/>
    <n v="4.5692000000000004"/>
    <s v="Yes"/>
    <s v="High"/>
    <n v="65"/>
    <x v="78"/>
    <s v="Mid"/>
    <n v="0"/>
    <n v="0"/>
    <s v="Treatments"/>
  </r>
  <r>
    <s v="P379705"/>
    <s v="Hydrating Hyaluronic Acid Floral Essence"/>
    <n v="7020"/>
    <s v="Tata Harper"/>
    <n v="13637"/>
    <x v="2"/>
    <n v="3.883"/>
    <s v="Yes"/>
    <s v="Medium"/>
    <n v="94"/>
    <x v="113"/>
    <s v="Premium"/>
    <n v="0"/>
    <n v="0"/>
    <s v="Moisturizers"/>
  </r>
  <r>
    <s v="P385773"/>
    <s v="Hyaluronic Marine Hydration Booster"/>
    <n v="5668"/>
    <s v="Dr. Dennis Gross Skincare"/>
    <n v="13677"/>
    <x v="2"/>
    <n v="4.2554999999999996"/>
    <s v="Yes"/>
    <s v="High"/>
    <n v="137"/>
    <x v="55"/>
    <s v="Premium"/>
    <n v="0"/>
    <n v="0"/>
    <s v="Treatments"/>
  </r>
  <r>
    <s v="P469515"/>
    <s v="CLEAR Daily Skin Clearing Treatment with 2.5% Benzoyl Peroxide"/>
    <n v="6341"/>
    <s v="Paula's Choice"/>
    <n v="13705"/>
    <x v="2"/>
    <n v="4.8333000000000004"/>
    <s v="Yes"/>
    <s v="High"/>
    <n v="66"/>
    <x v="75"/>
    <s v="Mid"/>
    <n v="0"/>
    <n v="0"/>
    <s v="Treatments"/>
  </r>
  <r>
    <s v="P416755"/>
    <s v="Hyaluronic Marine Oil-Free Moisture Cushion"/>
    <n v="5668"/>
    <s v="Dr. Dennis Gross Skincare"/>
    <n v="13709"/>
    <x v="2"/>
    <n v="4.0342000000000002"/>
    <s v="Yes"/>
    <s v="High"/>
    <n v="146"/>
    <x v="92"/>
    <s v="Premium"/>
    <n v="0"/>
    <n v="0"/>
    <s v="Moisturizers"/>
  </r>
  <r>
    <s v="P471566"/>
    <s v="Mini Lemonade Smoothing Scrub"/>
    <n v="5674"/>
    <s v="OLEHENRIKSEN"/>
    <n v="13714"/>
    <x v="2"/>
    <n v="4.1923000000000004"/>
    <s v="Yes"/>
    <s v="High"/>
    <n v="52"/>
    <x v="5"/>
    <s v="Budget"/>
    <n v="0"/>
    <n v="0"/>
    <s v="Mini Size"/>
  </r>
  <r>
    <s v="P502691"/>
    <s v="SuperSolutions 1% Retinol Serum"/>
    <n v="6285"/>
    <s v="The INKEY List"/>
    <n v="13720"/>
    <x v="2"/>
    <n v="4.1558000000000002"/>
    <s v="Yes"/>
    <s v="High"/>
    <n v="77"/>
    <x v="114"/>
    <s v="Mid"/>
    <n v="0"/>
    <n v="0"/>
    <s v="Treatments"/>
  </r>
  <r>
    <s v="P475961"/>
    <s v="CrÃ¨me de La Mer Duet"/>
    <n v="6201"/>
    <s v="La Mer"/>
    <n v="13729"/>
    <x v="2"/>
    <n v="4.4615"/>
    <s v="Yes"/>
    <s v="High"/>
    <n v="13"/>
    <x v="115"/>
    <s v="Premium"/>
    <n v="1"/>
    <n v="0"/>
    <s v="Value &amp; Gift Sets"/>
  </r>
  <r>
    <s v="P454019"/>
    <s v="Teatreement Moisturizer"/>
    <n v="6014"/>
    <s v="Dr. Jart+"/>
    <n v="13761"/>
    <x v="2"/>
    <n v="4.2435"/>
    <s v="Yes"/>
    <s v="High"/>
    <n v="620"/>
    <x v="9"/>
    <s v="Mid"/>
    <n v="0"/>
    <n v="0"/>
    <s v="Moisturizers"/>
  </r>
  <r>
    <s v="P475908"/>
    <s v="Aqua Bomb Overnight Lip Mask"/>
    <n v="7075"/>
    <s v="belif"/>
    <n v="13764"/>
    <x v="2"/>
    <n v="4.4067999999999996"/>
    <s v="Yes"/>
    <s v="High"/>
    <n v="1964"/>
    <x v="75"/>
    <s v="Mid"/>
    <n v="0"/>
    <n v="0"/>
    <s v="Lip Balms &amp; Treatments"/>
  </r>
  <r>
    <s v="P469514"/>
    <s v="CLEAR Anti-Redness Exfoliating Solution with 2% Salicylic Acid"/>
    <n v="6341"/>
    <s v="Paula's Choice"/>
    <n v="13813"/>
    <x v="2"/>
    <n v="4.7091000000000003"/>
    <s v="Yes"/>
    <s v="High"/>
    <n v="55"/>
    <x v="18"/>
    <s v="Mid"/>
    <n v="0"/>
    <n v="0"/>
    <s v="Cleansers"/>
  </r>
  <r>
    <s v="P474953"/>
    <s v="Abeille Royale Advanced Youth Watery Oil"/>
    <n v="1132"/>
    <s v="GUERLAIN"/>
    <n v="13825"/>
    <x v="2"/>
    <n v="4.3464999999999998"/>
    <s v="Yes"/>
    <s v="High"/>
    <n v="1215"/>
    <x v="109"/>
    <s v="Premium"/>
    <n v="0"/>
    <n v="0"/>
    <s v="Moisturizers"/>
  </r>
  <r>
    <s v="P407381"/>
    <s v="Sun-Kissed Face Gelee Complexion Multitasker Bronzer"/>
    <n v="1254"/>
    <s v="CLINIQUE"/>
    <n v="13842"/>
    <x v="2"/>
    <n v="4.2857000000000003"/>
    <s v="Yes"/>
    <s v="High"/>
    <n v="63"/>
    <x v="18"/>
    <s v="Mid"/>
    <n v="0"/>
    <n v="0"/>
    <s v="Self Tanners"/>
  </r>
  <r>
    <s v="P458917"/>
    <s v="Water-Lock Moisturizer with Skin-Smoothing Peptides"/>
    <n v="7020"/>
    <s v="Tata Harper"/>
    <n v="13855"/>
    <x v="2"/>
    <n v="4.4461000000000004"/>
    <s v="Yes"/>
    <s v="High"/>
    <n v="343"/>
    <x v="6"/>
    <s v="Premium"/>
    <n v="0"/>
    <n v="0"/>
    <s v="Moisturizers"/>
  </r>
  <r>
    <s v="P480447"/>
    <s v="10 + 10 Moisturizer with 10% Vitamin C + 10% Peptide Complex + Ceramides"/>
    <n v="6357"/>
    <s v="iNNBEAUTY PROJECT"/>
    <n v="13877"/>
    <x v="2"/>
    <n v="4.5646000000000004"/>
    <s v="Yes"/>
    <s v="High"/>
    <n v="294"/>
    <x v="9"/>
    <s v="Mid"/>
    <n v="0"/>
    <n v="0"/>
    <s v="Moisturizers"/>
  </r>
  <r>
    <s v="P417359"/>
    <s v="Advanced Night Repair Concentrated Eye Treatment Mask"/>
    <n v="6089"/>
    <s v="EstÃ©e Lauder"/>
    <n v="13898"/>
    <x v="2"/>
    <n v="4.2142999999999997"/>
    <s v="Yes"/>
    <s v="High"/>
    <n v="14"/>
    <x v="36"/>
    <s v="Mid"/>
    <n v="0"/>
    <n v="0"/>
    <s v="Eye Care"/>
  </r>
  <r>
    <s v="P447199"/>
    <s v="Super Glow Hyaluronic Self-Tan Serum"/>
    <n v="6225"/>
    <s v="TAN-LUXE"/>
    <n v="13931"/>
    <x v="2"/>
    <n v="3.9845000000000002"/>
    <s v="Yes"/>
    <s v="Medium"/>
    <n v="129"/>
    <x v="25"/>
    <s v="Mid"/>
    <n v="0"/>
    <n v="0"/>
    <s v="Self Tanners"/>
  </r>
  <r>
    <s v="P481348"/>
    <s v="Clinical 0.3% Retinol + 2% Bakuchiol Treatment"/>
    <n v="6341"/>
    <s v="Paula's Choice"/>
    <n v="13939"/>
    <x v="2"/>
    <n v="4.8235000000000001"/>
    <s v="Yes"/>
    <s v="High"/>
    <n v="170"/>
    <x v="48"/>
    <s v="Premium"/>
    <n v="0"/>
    <n v="0"/>
    <s v="Treatments"/>
  </r>
  <r>
    <s v="P473160"/>
    <s v="Mini The Essence  Skincare Boosting Treatment"/>
    <n v="6041"/>
    <s v="Tatcha"/>
    <n v="13964"/>
    <x v="2"/>
    <n v="4.4442000000000004"/>
    <s v="Yes"/>
    <s v="High"/>
    <n v="2483"/>
    <x v="92"/>
    <s v="Premium"/>
    <n v="0"/>
    <n v="0"/>
    <s v="Moisturizers"/>
  </r>
  <r>
    <s v="P471227"/>
    <s v="Vinoperfect Brightening Glycolic Night Cream"/>
    <n v="4171"/>
    <s v="Caudalie"/>
    <n v="14020"/>
    <x v="2"/>
    <n v="4.4667000000000003"/>
    <s v="Yes"/>
    <s v="High"/>
    <n v="240"/>
    <x v="116"/>
    <s v="Premium"/>
    <n v="0"/>
    <n v="0"/>
    <s v="Moisturizers"/>
  </r>
  <r>
    <s v="P375850"/>
    <s v="Facial Treatment Cleanser"/>
    <n v="6084"/>
    <s v="SK-II"/>
    <n v="14027"/>
    <x v="2"/>
    <n v="4.1306000000000003"/>
    <s v="Yes"/>
    <s v="High"/>
    <n v="919"/>
    <x v="76"/>
    <s v="Premium"/>
    <n v="0"/>
    <n v="0"/>
    <s v="Cleansers"/>
  </r>
  <r>
    <s v="P432662"/>
    <s v="Rose Quartz Facial Roller"/>
    <n v="6117"/>
    <s v="Herbivore"/>
    <n v="14116"/>
    <x v="2"/>
    <n v="3.0952000000000002"/>
    <s v="Yes"/>
    <s v="Medium"/>
    <n v="63"/>
    <x v="24"/>
    <s v="Mid"/>
    <n v="0"/>
    <n v="0"/>
    <s v="Wellness"/>
  </r>
  <r>
    <s v="P407387"/>
    <s v="Beauty zzZz Sleep Support Supplement with Melatonin"/>
    <n v="7050"/>
    <s v="HUM Nutrition"/>
    <n v="14123"/>
    <x v="2"/>
    <n v="4.1542000000000003"/>
    <s v="Yes"/>
    <s v="High"/>
    <n v="214"/>
    <x v="57"/>
    <s v="Budget"/>
    <n v="0"/>
    <n v="0"/>
    <s v="Wellness"/>
  </r>
  <r>
    <s v="P500012"/>
    <s v="Rose Hydration Pore-Minimizing Mist"/>
    <n v="4348"/>
    <s v="fresh"/>
    <n v="14153"/>
    <x v="2"/>
    <n v="4.4706000000000001"/>
    <s v="Yes"/>
    <s v="High"/>
    <n v="17"/>
    <x v="0"/>
    <s v="Mid"/>
    <n v="0"/>
    <n v="0"/>
    <s v="Moisturizers"/>
  </r>
  <r>
    <s v="P443351"/>
    <s v="Mini Multi-Active Toner"/>
    <n v="6219"/>
    <s v="Dermalogica"/>
    <n v="14201"/>
    <x v="2"/>
    <n v="4.3986999999999998"/>
    <s v="Yes"/>
    <s v="High"/>
    <n v="316"/>
    <x v="3"/>
    <s v="Budget"/>
    <n v="0"/>
    <n v="0"/>
    <s v="Mini Size"/>
  </r>
  <r>
    <s v="P395417"/>
    <s v="Touch Home Permanent Hair Removal Device"/>
    <n v="7017"/>
    <s v="iluminage"/>
    <n v="14204"/>
    <x v="2"/>
    <n v="3.67"/>
    <s v="Yes"/>
    <s v="Medium"/>
    <n v="100"/>
    <x v="117"/>
    <s v="Premium"/>
    <n v="0"/>
    <n v="1"/>
    <s v="High Tech Tools"/>
  </r>
  <r>
    <s v="P503923"/>
    <s v="Super Nova 5% THD Vitamin C + Caffeine Brightening Eye Cream"/>
    <n v="6117"/>
    <s v="Herbivore"/>
    <n v="14229"/>
    <x v="2"/>
    <n v="4.6207000000000003"/>
    <s v="Yes"/>
    <s v="High"/>
    <n v="174"/>
    <x v="14"/>
    <s v="Mid"/>
    <n v="1"/>
    <n v="0"/>
    <s v="Eye Care"/>
  </r>
  <r>
    <s v="P471793"/>
    <s v="Omega + Complex Cleansing Balm"/>
    <n v="6341"/>
    <s v="Paula's Choice"/>
    <n v="14266"/>
    <x v="2"/>
    <n v="4.6666999999999996"/>
    <s v="Yes"/>
    <s v="High"/>
    <n v="165"/>
    <x v="31"/>
    <s v="Mid"/>
    <n v="0"/>
    <n v="0"/>
    <s v="Cleansers"/>
  </r>
  <r>
    <s v="P459299"/>
    <s v="Mini GOOPGLOW Microderm Instant Glow Exfoliator"/>
    <n v="6309"/>
    <s v="goop"/>
    <n v="14292"/>
    <x v="2"/>
    <n v="4.4821"/>
    <s v="Yes"/>
    <s v="High"/>
    <n v="2128"/>
    <x v="36"/>
    <s v="Mid"/>
    <n v="0"/>
    <n v="0"/>
    <s v="Mini Size"/>
  </r>
  <r>
    <s v="P459127"/>
    <s v="Platinum Lip Plump SPF 30"/>
    <n v="6318"/>
    <s v="Dr. Lara Devgan Scientific Beauty"/>
    <n v="14302"/>
    <x v="2"/>
    <n v="4.5731000000000002"/>
    <s v="Yes"/>
    <s v="High"/>
    <n v="513"/>
    <x v="50"/>
    <s v="Premium"/>
    <n v="0"/>
    <n v="0"/>
    <s v="Lip Balms &amp; Treatments"/>
  </r>
  <r>
    <s v="P439057"/>
    <s v="Confidence in a Gel Lotion"/>
    <n v="6175"/>
    <s v="IT Cosmetics"/>
    <n v="14365"/>
    <x v="2"/>
    <n v="4.5826000000000002"/>
    <s v="Yes"/>
    <s v="High"/>
    <n v="448"/>
    <x v="44"/>
    <s v="Mid"/>
    <n v="0"/>
    <n v="0"/>
    <s v="Moisturizers"/>
  </r>
  <r>
    <s v="P442859"/>
    <s v="ALIVE Prebiotic Balancing Mask"/>
    <n v="6018"/>
    <s v="Algenist"/>
    <n v="14367"/>
    <x v="2"/>
    <n v="4.3728999999999996"/>
    <s v="Yes"/>
    <s v="High"/>
    <n v="118"/>
    <x v="12"/>
    <s v="Mid"/>
    <n v="0"/>
    <n v="0"/>
    <s v="Masks"/>
  </r>
  <r>
    <s v="P270543"/>
    <s v="Hydrating Face Cream Moisturizer"/>
    <n v="5644"/>
    <s v="Bobbi Brown"/>
    <n v="14373"/>
    <x v="2"/>
    <n v="4.2187999999999999"/>
    <s v="Yes"/>
    <s v="High"/>
    <n v="224"/>
    <x v="40"/>
    <s v="Premium"/>
    <n v="0"/>
    <n v="0"/>
    <s v="Moisturizers"/>
  </r>
  <r>
    <s v="P472021"/>
    <s v="Mochi Mochi Luminous Plumping &amp; Hydrating Moisturizer"/>
    <n v="6349"/>
    <s v="DAMDAM"/>
    <n v="14376"/>
    <x v="2"/>
    <n v="4.6687000000000003"/>
    <s v="Yes"/>
    <s v="High"/>
    <n v="335"/>
    <x v="14"/>
    <s v="Mid"/>
    <n v="0"/>
    <n v="0"/>
    <s v="Moisturizers"/>
  </r>
  <r>
    <s v="P386757"/>
    <s v="Wing Man Liver Detox and Dark Circle Supplement"/>
    <n v="7050"/>
    <s v="HUM Nutrition"/>
    <n v="14381"/>
    <x v="2"/>
    <n v="3.8254000000000001"/>
    <s v="Yes"/>
    <s v="Medium"/>
    <n v="63"/>
    <x v="95"/>
    <s v="Mid"/>
    <n v="0"/>
    <n v="0"/>
    <s v="Wellness"/>
  </r>
  <r>
    <s v="P472031"/>
    <s v="FAB Pharma Calamine Pore Purging Mask"/>
    <n v="5972"/>
    <s v="First Aid Beauty"/>
    <n v="14414"/>
    <x v="2"/>
    <n v="4.5366"/>
    <s v="Yes"/>
    <s v="High"/>
    <n v="41"/>
    <x v="78"/>
    <s v="Mid"/>
    <n v="0"/>
    <n v="1"/>
    <s v="Masks"/>
  </r>
  <r>
    <s v="P388982"/>
    <s v="Big ChillAdaptogenStress Management Supplement"/>
    <n v="7050"/>
    <s v="HUM Nutrition"/>
    <n v="14443"/>
    <x v="2"/>
    <n v="4.2609000000000004"/>
    <s v="Yes"/>
    <s v="High"/>
    <n v="69"/>
    <x v="94"/>
    <s v="Mid"/>
    <n v="0"/>
    <n v="1"/>
    <s v="Wellness"/>
  </r>
  <r>
    <s v="P423157"/>
    <s v="Sex Dust   Adaptogens For Fire*"/>
    <n v="6226"/>
    <s v="Moon Juice"/>
    <n v="14485"/>
    <x v="2"/>
    <n v="3.8529"/>
    <s v="Yes"/>
    <s v="Medium"/>
    <n v="136"/>
    <x v="12"/>
    <s v="Mid"/>
    <n v="0"/>
    <n v="0"/>
    <s v="Wellness"/>
  </r>
  <r>
    <s v="P480280"/>
    <s v="Mini Squalane + Omega Repair Deep Hydration Moisturizer"/>
    <n v="6195"/>
    <s v="Biossance"/>
    <n v="14541"/>
    <x v="2"/>
    <n v="3.2332999999999998"/>
    <s v="Yes"/>
    <s v="Medium"/>
    <n v="30"/>
    <x v="60"/>
    <s v="Mid"/>
    <n v="0"/>
    <n v="0"/>
    <s v="Moisturizers"/>
  </r>
  <r>
    <s v="P423142"/>
    <s v="Active Moist Moisturizer"/>
    <n v="6219"/>
    <s v="Dermalogica"/>
    <n v="14546"/>
    <x v="2"/>
    <n v="4.6028000000000002"/>
    <s v="Yes"/>
    <s v="High"/>
    <n v="428"/>
    <x v="28"/>
    <s v="Premium"/>
    <n v="0"/>
    <n v="0"/>
    <s v="Moisturizers"/>
  </r>
  <r>
    <s v="P469504"/>
    <s v="Skin Perfecting 8% AHA Gel Exfoliant"/>
    <n v="6341"/>
    <s v="Paula's Choice"/>
    <n v="14565"/>
    <x v="2"/>
    <n v="4.617"/>
    <s v="Yes"/>
    <s v="High"/>
    <n v="47"/>
    <x v="18"/>
    <s v="Mid"/>
    <n v="0"/>
    <n v="0"/>
    <s v="Cleansers"/>
  </r>
  <r>
    <s v="P449102"/>
    <s v="Crystal Ball Roller Gloss"/>
    <n v="6235"/>
    <s v="INC.redible"/>
    <n v="14595"/>
    <x v="2"/>
    <n v="4.3838999999999997"/>
    <s v="Yes"/>
    <s v="High"/>
    <n v="112"/>
    <x v="51"/>
    <s v="Budget"/>
    <n v="0"/>
    <n v="0"/>
    <s v="Wellness"/>
  </r>
  <r>
    <s v="P440486"/>
    <s v="Glycolic Acid Toner"/>
    <n v="8017"/>
    <s v="Mario Badescu"/>
    <n v="14598"/>
    <x v="2"/>
    <n v="4.1506999999999996"/>
    <s v="Yes"/>
    <s v="High"/>
    <n v="73"/>
    <x v="5"/>
    <s v="Budget"/>
    <n v="0"/>
    <n v="0"/>
    <s v="Cleansers"/>
  </r>
  <r>
    <s v="P500101"/>
    <s v="Hydro Ungrip Makeup Remover + Cleansing Water"/>
    <n v="6134"/>
    <s v="MILK MAKEUP"/>
    <n v="14632"/>
    <x v="2"/>
    <n v="4.6475"/>
    <s v="Yes"/>
    <s v="High"/>
    <n v="139"/>
    <x v="29"/>
    <s v="Mid"/>
    <n v="0"/>
    <n v="0"/>
    <s v="Cleansers"/>
  </r>
  <r>
    <s v="P504043"/>
    <s v="Hydrabarrier Nourishing Face Oil"/>
    <n v="5674"/>
    <s v="OLEHENRIKSEN"/>
    <n v="14652"/>
    <x v="2"/>
    <n v="4.8186"/>
    <s v="Yes"/>
    <s v="High"/>
    <n v="204"/>
    <x v="69"/>
    <s v="Premium"/>
    <n v="1"/>
    <n v="0"/>
    <s v="Moisturizers"/>
  </r>
  <r>
    <s v="P386762"/>
    <s v="Here Comes The Sun Vitamin D Immune System Support Supplement"/>
    <n v="7050"/>
    <s v="HUM Nutrition"/>
    <n v="14709"/>
    <x v="2"/>
    <n v="4.6444000000000001"/>
    <s v="Yes"/>
    <s v="High"/>
    <n v="45"/>
    <x v="51"/>
    <s v="Budget"/>
    <n v="0"/>
    <n v="0"/>
    <s v="Wellness"/>
  </r>
  <r>
    <s v="P462336"/>
    <s v="Aqua Bomb Cleansing Balm"/>
    <n v="7075"/>
    <s v="belif"/>
    <n v="14738"/>
    <x v="2"/>
    <n v="4.4598000000000004"/>
    <s v="Yes"/>
    <s v="High"/>
    <n v="1331"/>
    <x v="12"/>
    <s v="Mid"/>
    <n v="0"/>
    <n v="0"/>
    <s v="Cleansers"/>
  </r>
  <r>
    <s v="P503827"/>
    <s v="Midnight Ritual Retinol Renewal Serum"/>
    <n v="6247"/>
    <s v="Summer Fridays"/>
    <n v="14766"/>
    <x v="2"/>
    <n v="4.7587999999999999"/>
    <s v="Yes"/>
    <s v="High"/>
    <n v="228"/>
    <x v="116"/>
    <s v="Premium"/>
    <n v="1"/>
    <n v="0"/>
    <s v="Treatments"/>
  </r>
  <r>
    <s v="P392144"/>
    <s v="Purifying Pore Detox Cleanser"/>
    <n v="7020"/>
    <s v="Tata Harper"/>
    <n v="14771"/>
    <x v="2"/>
    <n v="4.2058999999999997"/>
    <s v="Yes"/>
    <s v="High"/>
    <n v="170"/>
    <x v="118"/>
    <s v="Premium"/>
    <n v="0"/>
    <n v="0"/>
    <s v="Cleansers"/>
  </r>
  <r>
    <s v="P470221"/>
    <s v="Milk-Peel Gentle Exfoliating Toner"/>
    <n v="6218"/>
    <s v="Kiehl's Since 1851"/>
    <n v="14773"/>
    <x v="2"/>
    <n v="4.6820000000000004"/>
    <s v="Yes"/>
    <s v="High"/>
    <n v="305"/>
    <x v="37"/>
    <s v="Premium"/>
    <n v="0"/>
    <n v="0"/>
    <s v="Cleansers"/>
  </r>
  <r>
    <s v="P379995"/>
    <s v="Perfectionist CP+R Wrinkle Lifting/Firming Serum"/>
    <n v="6089"/>
    <s v="EstÃ©e Lauder"/>
    <n v="14820"/>
    <x v="2"/>
    <n v="4.2233999999999998"/>
    <s v="Yes"/>
    <s v="High"/>
    <n v="94"/>
    <x v="119"/>
    <s v="Premium"/>
    <n v="0"/>
    <n v="0"/>
    <s v="Treatments"/>
  </r>
  <r>
    <s v="P438632"/>
    <s v="GloPRO BODY MicroTip Attachment Head"/>
    <n v="6272"/>
    <s v="BeautyBio"/>
    <n v="14832"/>
    <x v="2"/>
    <n v="4.0713999999999997"/>
    <s v="Yes"/>
    <s v="High"/>
    <n v="14"/>
    <x v="25"/>
    <s v="Mid"/>
    <n v="0"/>
    <n v="0"/>
    <s v="High Tech Tools"/>
  </r>
  <r>
    <s v="P468211"/>
    <s v="Sunvisor Radiant Moisturizing Face Sunscreen SPF 35"/>
    <n v="6337"/>
    <s v="Saie"/>
    <n v="14842"/>
    <x v="2"/>
    <n v="4.0938999999999997"/>
    <s v="Yes"/>
    <s v="High"/>
    <n v="181"/>
    <x v="12"/>
    <s v="Mid"/>
    <n v="0"/>
    <n v="0"/>
    <s v="Sunscreen"/>
  </r>
  <r>
    <s v="P483092"/>
    <s v="Glow Peel Pads with AHA + PHA"/>
    <n v="3902"/>
    <s v="SEPHORA COLLECTION"/>
    <n v="14845"/>
    <x v="2"/>
    <n v="4.5861999999999998"/>
    <s v="Yes"/>
    <s v="High"/>
    <n v="29"/>
    <x v="34"/>
    <s v="Budget"/>
    <n v="0"/>
    <n v="0"/>
    <s v="Treatments"/>
  </r>
  <r>
    <s v="P417241"/>
    <s v="The Renewal Oil"/>
    <n v="6201"/>
    <s v="La Mer"/>
    <n v="14920"/>
    <x v="2"/>
    <n v="4.4256000000000002"/>
    <s v="Yes"/>
    <s v="High"/>
    <n v="195"/>
    <x v="120"/>
    <s v="Premium"/>
    <n v="0"/>
    <n v="0"/>
    <s v="Moisturizers"/>
  </r>
  <r>
    <s v="P439626"/>
    <s v="Black Tea Firming Eye Serum"/>
    <n v="4348"/>
    <s v="fresh"/>
    <n v="14953"/>
    <x v="2"/>
    <n v="3.7618999999999998"/>
    <s v="Yes"/>
    <s v="Medium"/>
    <n v="63"/>
    <x v="55"/>
    <s v="Premium"/>
    <n v="0"/>
    <n v="0"/>
    <s v="Eye Care"/>
  </r>
  <r>
    <s v="P457510"/>
    <s v="Private Party: Supports Vaginal &amp; Urinary Tract Health"/>
    <n v="7050"/>
    <s v="HUM Nutrition"/>
    <n v="14955"/>
    <x v="2"/>
    <n v="4.6726999999999999"/>
    <s v="Yes"/>
    <s v="High"/>
    <n v="278"/>
    <x v="95"/>
    <s v="Mid"/>
    <n v="0"/>
    <n v="0"/>
    <s v="Wellness"/>
  </r>
  <r>
    <s v="P468813"/>
    <s v="Vinoclean Moisturizing Toner with Rose Water"/>
    <n v="4171"/>
    <s v="Caudalie"/>
    <n v="14957"/>
    <x v="2"/>
    <n v="4.3352000000000004"/>
    <s v="Yes"/>
    <s v="High"/>
    <n v="176"/>
    <x v="78"/>
    <s v="Mid"/>
    <n v="0"/>
    <n v="0"/>
    <s v="Cleansers"/>
  </r>
  <r>
    <s v="P476485"/>
    <s v="Hydra Vizor Invisible Moisturizer Broad Spectrum SPF 30 Sunscreen with Niacinamide Refill"/>
    <n v="6352"/>
    <s v="Fenty Skin"/>
    <n v="14985"/>
    <x v="2"/>
    <n v="4.4865000000000004"/>
    <s v="Yes"/>
    <s v="High"/>
    <n v="37"/>
    <x v="9"/>
    <s v="Mid"/>
    <n v="0"/>
    <n v="0"/>
    <s v="Moisturizers"/>
  </r>
  <r>
    <s v="P424985"/>
    <s v="THE WATER Hydrating Self-Tan Water"/>
    <n v="6225"/>
    <s v="TAN-LUXE"/>
    <n v="14995"/>
    <x v="2"/>
    <n v="4"/>
    <s v="Yes"/>
    <s v="High"/>
    <n v="90"/>
    <x v="14"/>
    <s v="Mid"/>
    <n v="0"/>
    <n v="0"/>
    <s v="Self Tanners"/>
  </r>
  <r>
    <s v="P476843"/>
    <s v="Cryo-Recovery Depuffing Eye Serum"/>
    <n v="6236"/>
    <s v="Charlotte Tilbury"/>
    <n v="15008"/>
    <x v="2"/>
    <n v="4.3216000000000001"/>
    <s v="Yes"/>
    <s v="High"/>
    <n v="510"/>
    <x v="10"/>
    <s v="Premium"/>
    <n v="0"/>
    <n v="0"/>
    <s v="Eye Care"/>
  </r>
  <r>
    <s v="P462666"/>
    <s v="Total Eye Lift Firming &amp; Smoothing Anti-Aging Eye Cream"/>
    <n v="2082"/>
    <s v="Clarins"/>
    <n v="15015"/>
    <x v="2"/>
    <n v="4.5945"/>
    <s v="Yes"/>
    <s v="High"/>
    <n v="397"/>
    <x v="17"/>
    <s v="Premium"/>
    <n v="0"/>
    <n v="0"/>
    <s v="Eye Care"/>
  </r>
  <r>
    <s v="P471062"/>
    <s v="Full-Size Water Drench Hydra-Pair 2-Piece Kit"/>
    <n v="3728"/>
    <s v="Peter Thomas Roth"/>
    <n v="15019"/>
    <x v="2"/>
    <n v="4.5999999999999996"/>
    <s v="Yes"/>
    <s v="High"/>
    <n v="40"/>
    <x v="69"/>
    <s v="Premium"/>
    <n v="1"/>
    <n v="0"/>
    <s v="Value &amp; Gift Sets"/>
  </r>
  <r>
    <s v="P453823"/>
    <s v="Vital-E Antioxidant Recovery Eye Cream"/>
    <n v="3728"/>
    <s v="Peter Thomas Roth"/>
    <n v="15022"/>
    <x v="2"/>
    <n v="4.3254999999999999"/>
    <s v="Yes"/>
    <s v="High"/>
    <n v="599"/>
    <x v="103"/>
    <s v="Premium"/>
    <n v="0"/>
    <n v="0"/>
    <s v="Eye Care"/>
  </r>
  <r>
    <s v="P416538"/>
    <s v="The Lifting and Firming Mask"/>
    <n v="6201"/>
    <s v="La Mer"/>
    <n v="15023"/>
    <x v="2"/>
    <n v="4.2857000000000003"/>
    <s v="Yes"/>
    <s v="High"/>
    <n v="42"/>
    <x v="121"/>
    <s v="Premium"/>
    <n v="0"/>
    <n v="0"/>
    <s v="Masks"/>
  </r>
  <r>
    <s v="P467651"/>
    <s v="Pores Target Serum"/>
    <n v="3902"/>
    <s v="SEPHORA COLLECTION"/>
    <n v="15027"/>
    <x v="2"/>
    <n v="4.1818"/>
    <s v="Yes"/>
    <s v="High"/>
    <n v="55"/>
    <x v="60"/>
    <s v="Mid"/>
    <n v="0"/>
    <n v="0"/>
    <s v="Treatments"/>
  </r>
  <r>
    <s v="P474824"/>
    <s v="Advanced Retinol + Ferulic Overnight Wrinkle Treatment"/>
    <n v="5668"/>
    <s v="Dr. Dennis Gross Skincare"/>
    <n v="15061"/>
    <x v="2"/>
    <n v="4.7286999999999999"/>
    <s v="Yes"/>
    <s v="High"/>
    <n v="247"/>
    <x v="122"/>
    <s v="Premium"/>
    <n v="0"/>
    <n v="0"/>
    <s v="Treatments"/>
  </r>
  <r>
    <s v="P476842"/>
    <s v="Cryo-Recovery Lifting Face Mask with Acupressure Technology"/>
    <n v="6236"/>
    <s v="Charlotte Tilbury"/>
    <n v="15090"/>
    <x v="2"/>
    <n v="2.8077000000000001"/>
    <s v="Yes"/>
    <s v="Low"/>
    <n v="26"/>
    <x v="103"/>
    <s v="Premium"/>
    <n v="0"/>
    <n v="0"/>
    <s v="High Tech Tools"/>
  </r>
  <r>
    <s v="P454084"/>
    <s v="Argan Beta Retinol Pink Algae Serum"/>
    <n v="5922"/>
    <s v="Josie Maran"/>
    <n v="15095"/>
    <x v="2"/>
    <n v="4.4131999999999998"/>
    <s v="Yes"/>
    <s v="High"/>
    <n v="760"/>
    <x v="116"/>
    <s v="Premium"/>
    <n v="0"/>
    <n v="0"/>
    <s v="Treatments"/>
  </r>
  <r>
    <s v="P500857"/>
    <s v="Deep Relief Acne Treatment with Salicylic Acid"/>
    <n v="4164"/>
    <s v="Murad"/>
    <n v="15103"/>
    <x v="2"/>
    <n v="4.7073999999999998"/>
    <s v="Yes"/>
    <s v="High"/>
    <n v="516"/>
    <x v="44"/>
    <s v="Mid"/>
    <n v="0"/>
    <n v="0"/>
    <s v="Treatments"/>
  </r>
  <r>
    <s v="P9939"/>
    <s v="Essential-C Toner"/>
    <n v="4164"/>
    <s v="Murad"/>
    <n v="15154"/>
    <x v="2"/>
    <n v="4.3087999999999997"/>
    <s v="Yes"/>
    <s v="High"/>
    <n v="272"/>
    <x v="36"/>
    <s v="Mid"/>
    <n v="0"/>
    <n v="0"/>
    <s v="Cleansers"/>
  </r>
  <r>
    <s v="P480986"/>
    <s v="Firming Eye Cream with Peptides"/>
    <n v="3902"/>
    <s v="SEPHORA COLLECTION"/>
    <n v="15171"/>
    <x v="2"/>
    <n v="4.1364000000000001"/>
    <s v="Yes"/>
    <s v="High"/>
    <n v="44"/>
    <x v="5"/>
    <s v="Budget"/>
    <n v="0"/>
    <n v="0"/>
    <s v="Eye Care"/>
  </r>
  <r>
    <s v="P122782"/>
    <s v="Repairwear Intensive Lip Treatment"/>
    <n v="1254"/>
    <s v="CLINIQUE"/>
    <n v="15182"/>
    <x v="2"/>
    <n v="4.2962999999999996"/>
    <s v="Yes"/>
    <s v="High"/>
    <n v="270"/>
    <x v="123"/>
    <s v="Mid"/>
    <n v="0"/>
    <n v="0"/>
    <s v="Lip Balms &amp; Treatments"/>
  </r>
  <r>
    <s v="P457522"/>
    <s v="Every Sun Day Sun Fluid SPF 50+"/>
    <n v="6014"/>
    <s v="Dr. Jart+"/>
    <n v="15285"/>
    <x v="2"/>
    <n v="4.4215"/>
    <s v="Yes"/>
    <s v="High"/>
    <n v="325"/>
    <x v="36"/>
    <s v="Mid"/>
    <n v="0"/>
    <n v="0"/>
    <s v="Sunscreen"/>
  </r>
  <r>
    <s v="P477714"/>
    <s v="Black Obsidian Face and Body Gua Sha"/>
    <n v="3902"/>
    <s v="SEPHORA COLLECTION"/>
    <n v="15323"/>
    <x v="2"/>
    <n v="4"/>
    <s v="Yes"/>
    <s v="High"/>
    <n v="40"/>
    <x v="58"/>
    <s v="Budget"/>
    <n v="0"/>
    <n v="1"/>
    <s v="High Tech Tools"/>
  </r>
  <r>
    <s v="P480600"/>
    <s v="Rouge Dior Lip Balm"/>
    <n v="1073"/>
    <s v="Dior"/>
    <n v="15332"/>
    <x v="2"/>
    <n v="3.4"/>
    <s v="Yes"/>
    <s v="Medium"/>
    <n v="30"/>
    <x v="44"/>
    <s v="Mid"/>
    <n v="0"/>
    <n v="0"/>
    <s v="Lip Balms &amp; Treatments"/>
  </r>
  <r>
    <s v="P403748"/>
    <s v="Black Tea Corset Firming Serum"/>
    <n v="4348"/>
    <s v="fresh"/>
    <n v="15355"/>
    <x v="2"/>
    <n v="3.9009999999999998"/>
    <s v="Yes"/>
    <s v="Medium"/>
    <n v="101"/>
    <x v="76"/>
    <s v="Premium"/>
    <n v="0"/>
    <n v="0"/>
    <s v="Treatments"/>
  </r>
  <r>
    <s v="P4032"/>
    <s v="Hydrating Toner"/>
    <n v="4164"/>
    <s v="Murad"/>
    <n v="15366"/>
    <x v="2"/>
    <n v="4.2934000000000001"/>
    <s v="Yes"/>
    <s v="High"/>
    <n v="317"/>
    <x v="36"/>
    <s v="Mid"/>
    <n v="0"/>
    <n v="0"/>
    <s v="Cleansers"/>
  </r>
  <r>
    <s v="P481366"/>
    <s v="Isle Glow Face Moisturizer SPF 45 with Sea Moss and Niacinamide"/>
    <n v="6742"/>
    <s v="CAY SKIN"/>
    <n v="15371"/>
    <x v="2"/>
    <n v="4.2896000000000001"/>
    <s v="Yes"/>
    <s v="High"/>
    <n v="442"/>
    <x v="18"/>
    <s v="Mid"/>
    <n v="1"/>
    <n v="0"/>
    <s v="Sunscreen"/>
  </r>
  <r>
    <s v="P443349"/>
    <s v="Skin Squad Pre + ProbioticSupplement for Acne-Prone Skin"/>
    <n v="7050"/>
    <s v="HUM Nutrition"/>
    <n v="15373"/>
    <x v="2"/>
    <n v="4.1151999999999997"/>
    <s v="Yes"/>
    <s v="High"/>
    <n v="660"/>
    <x v="24"/>
    <s v="Mid"/>
    <n v="0"/>
    <n v="0"/>
    <s v="Wellness"/>
  </r>
  <r>
    <s v="P474330"/>
    <s v="Bye Bye Dark Spots 4% Niacinamide Serum"/>
    <n v="6175"/>
    <s v="IT Cosmetics"/>
    <n v="15408"/>
    <x v="2"/>
    <n v="4.3284000000000002"/>
    <s v="Yes"/>
    <s v="High"/>
    <n v="271"/>
    <x v="31"/>
    <s v="Mid"/>
    <n v="0"/>
    <n v="0"/>
    <s v="Treatments"/>
  </r>
  <r>
    <s v="P503865"/>
    <s v="Bright &amp; Tight Dark Circle Firming Eye Cream with Vitamin C &amp; Peptides"/>
    <n v="6357"/>
    <s v="iNNBEAUTY PROJECT"/>
    <n v="15443"/>
    <x v="2"/>
    <n v="4.4176000000000002"/>
    <s v="Yes"/>
    <s v="High"/>
    <n v="182"/>
    <x v="18"/>
    <s v="Mid"/>
    <n v="1"/>
    <n v="1"/>
    <s v="Eye Care"/>
  </r>
  <r>
    <s v="P391802"/>
    <s v="Needles No More Wrinkle Smoothing Cream"/>
    <n v="4372"/>
    <s v="Dr. Brandt Skincare"/>
    <n v="15453"/>
    <x v="2"/>
    <n v="3.5158"/>
    <s v="Yes"/>
    <s v="Medium"/>
    <n v="506"/>
    <x v="53"/>
    <s v="Premium"/>
    <n v="0"/>
    <n v="0"/>
    <s v="Treatments"/>
  </r>
  <r>
    <s v="P483661"/>
    <s v="Moon Fruit 1% Bakuchiol + Peptides Retinol Alternative Serum"/>
    <n v="6117"/>
    <s v="Herbivore"/>
    <n v="15482"/>
    <x v="2"/>
    <n v="4.5134999999999996"/>
    <s v="Yes"/>
    <s v="High"/>
    <n v="111"/>
    <x v="48"/>
    <s v="Premium"/>
    <n v="0"/>
    <n v="0"/>
    <s v="Treatments"/>
  </r>
  <r>
    <s v="P445832"/>
    <s v="Acne Clearing Skin Wash Cleanser"/>
    <n v="6219"/>
    <s v="Dermalogica"/>
    <n v="15540"/>
    <x v="2"/>
    <n v="4.6303000000000001"/>
    <s v="Yes"/>
    <s v="High"/>
    <n v="541"/>
    <x v="36"/>
    <s v="Mid"/>
    <n v="0"/>
    <n v="0"/>
    <s v="Cleansers"/>
  </r>
  <r>
    <s v="P466117"/>
    <s v="Sweet Biome Fermented Sake Hydrating Spray"/>
    <n v="7083"/>
    <s v="Drunk Elephant"/>
    <n v="15545"/>
    <x v="2"/>
    <n v="3.8833000000000002"/>
    <s v="Yes"/>
    <s v="Medium"/>
    <n v="677"/>
    <x v="36"/>
    <s v="Mid"/>
    <n v="0"/>
    <n v="0"/>
    <s v="Moisturizers"/>
  </r>
  <r>
    <s v="P438635"/>
    <s v="The Pout Sparkling RosÃ© Hyaluronic Acid Collagen Plumping Lip Serum"/>
    <n v="6272"/>
    <s v="BeautyBio"/>
    <n v="15560"/>
    <x v="2"/>
    <n v="3.4268000000000001"/>
    <s v="Yes"/>
    <s v="Medium"/>
    <n v="82"/>
    <x v="7"/>
    <s v="Mid"/>
    <n v="0"/>
    <n v="0"/>
    <s v="Lip Balms &amp; Treatments"/>
  </r>
  <r>
    <s v="P422430"/>
    <s v="Hydra Zen Gel-Cream Oil-Free Moisturizer with Salicylic Acid"/>
    <n v="1741"/>
    <s v="LancÃ´me"/>
    <n v="15564"/>
    <x v="2"/>
    <n v="4.5629"/>
    <s v="Yes"/>
    <s v="High"/>
    <n v="1256"/>
    <x v="14"/>
    <s v="Mid"/>
    <n v="0"/>
    <n v="1"/>
    <s v="Moisturizers"/>
  </r>
  <r>
    <s v="P454837"/>
    <s v="Confidence in Your Beauty Sleep Night Cream"/>
    <n v="6175"/>
    <s v="IT Cosmetics"/>
    <n v="15582"/>
    <x v="2"/>
    <n v="4.4599000000000002"/>
    <s v="Yes"/>
    <s v="High"/>
    <n v="411"/>
    <x v="69"/>
    <s v="Premium"/>
    <n v="0"/>
    <n v="0"/>
    <s v="Moisturizers"/>
  </r>
  <r>
    <s v="P374841"/>
    <s v="Even Better Eyes Dark Circle Corrector"/>
    <n v="1254"/>
    <s v="CLINIQUE"/>
    <n v="15610"/>
    <x v="2"/>
    <n v="3.2427999999999999"/>
    <s v="Yes"/>
    <s v="Medium"/>
    <n v="383"/>
    <x v="124"/>
    <s v="Mid"/>
    <n v="0"/>
    <n v="0"/>
    <s v="Eye Care"/>
  </r>
  <r>
    <s v="P482695"/>
    <s v="Water Bank Blue Hyaluronic Gel Moisturizer"/>
    <n v="6125"/>
    <s v="LANEIGE"/>
    <n v="15636"/>
    <x v="2"/>
    <n v="4.0472999999999999"/>
    <s v="Yes"/>
    <s v="High"/>
    <n v="169"/>
    <x v="24"/>
    <s v="Mid"/>
    <n v="0"/>
    <n v="0"/>
    <s v="Moisturizers"/>
  </r>
  <r>
    <s v="P468637"/>
    <s v="Vinoclean Makeup Removing Cleansing Oil"/>
    <n v="4171"/>
    <s v="Caudalie"/>
    <n v="15643"/>
    <x v="2"/>
    <n v="4.3098000000000001"/>
    <s v="Yes"/>
    <s v="High"/>
    <n v="439"/>
    <x v="78"/>
    <s v="Mid"/>
    <n v="0"/>
    <n v="0"/>
    <s v="Cleansers"/>
  </r>
  <r>
    <s v="P501323"/>
    <s v="Overnight Recovery Duo"/>
    <n v="6041"/>
    <s v="Tatcha"/>
    <n v="15655"/>
    <x v="2"/>
    <n v="4.2"/>
    <s v="Yes"/>
    <s v="High"/>
    <n v="10"/>
    <x v="118"/>
    <s v="Premium"/>
    <n v="0"/>
    <n v="1"/>
    <s v="Value &amp; Gift Sets"/>
  </r>
  <r>
    <s v="P481350"/>
    <s v="Complexion Clarity Kit"/>
    <n v="6341"/>
    <s v="Paula's Choice"/>
    <n v="15686"/>
    <x v="2"/>
    <n v="4.4443999999999999"/>
    <s v="Yes"/>
    <s v="High"/>
    <n v="9"/>
    <x v="56"/>
    <s v="Premium"/>
    <n v="0"/>
    <n v="0"/>
    <s v="Value &amp; Gift Sets"/>
  </r>
  <r>
    <s v="P402014"/>
    <s v="Blue Moon Clean-Rinse Cleansing Balm"/>
    <n v="6073"/>
    <s v="Sunday Riley"/>
    <n v="15699"/>
    <x v="2"/>
    <n v="4.2717000000000001"/>
    <s v="Yes"/>
    <s v="High"/>
    <n v="276"/>
    <x v="50"/>
    <s v="Premium"/>
    <n v="0"/>
    <n v="0"/>
    <s v="Cleansers"/>
  </r>
  <r>
    <s v="P475629"/>
    <s v="Honey Whip Peptide and Collagen Moisturizer"/>
    <n v="6316"/>
    <s v="Wishful"/>
    <n v="15716"/>
    <x v="2"/>
    <n v="4.5697000000000001"/>
    <s v="Yes"/>
    <s v="High"/>
    <n v="330"/>
    <x v="125"/>
    <s v="Mid"/>
    <n v="0"/>
    <n v="0"/>
    <s v="Moisturizers"/>
  </r>
  <r>
    <s v="P475932"/>
    <s v="Milk Marvel Dark Spot Serum with Niacinamide and Vitamin C"/>
    <n v="6377"/>
    <s v="EADEM"/>
    <n v="15740"/>
    <x v="2"/>
    <n v="4.4790999999999999"/>
    <s v="Yes"/>
    <s v="High"/>
    <n v="215"/>
    <x v="6"/>
    <s v="Premium"/>
    <n v="0"/>
    <n v="0"/>
    <s v="Treatments"/>
  </r>
  <r>
    <s v="P474936"/>
    <s v="Vinopure Oil-Control Moisturizer for Acne Prone Skin"/>
    <n v="4171"/>
    <s v="Caudalie"/>
    <n v="15759"/>
    <x v="2"/>
    <n v="4.3884999999999996"/>
    <s v="Yes"/>
    <s v="High"/>
    <n v="139"/>
    <x v="12"/>
    <s v="Mid"/>
    <n v="0"/>
    <n v="0"/>
    <s v="Moisturizers"/>
  </r>
  <r>
    <s v="P205614"/>
    <s v="White Lucent Anti-Dark Circles Eye Cream"/>
    <n v="5337"/>
    <s v="Shiseido"/>
    <n v="15783"/>
    <x v="2"/>
    <n v="3.5878000000000001"/>
    <s v="Yes"/>
    <s v="Medium"/>
    <n v="393"/>
    <x v="92"/>
    <s v="Premium"/>
    <n v="0"/>
    <n v="0"/>
    <s v="Eye Care"/>
  </r>
  <r>
    <s v="P500626"/>
    <s v="Melting Cleansing Balm Cleanse + Balance"/>
    <n v="3902"/>
    <s v="SEPHORA COLLECTION"/>
    <n v="15903"/>
    <x v="2"/>
    <n v="4.0130999999999997"/>
    <s v="Yes"/>
    <s v="High"/>
    <n v="153"/>
    <x v="51"/>
    <s v="Budget"/>
    <n v="0"/>
    <n v="0"/>
    <s v="Cleansers"/>
  </r>
  <r>
    <s v="P421276"/>
    <s v="ExfoliKate Glow Moisturizer"/>
    <n v="5946"/>
    <s v="Kate Somerville"/>
    <n v="15906"/>
    <x v="2"/>
    <n v="4.5110000000000001"/>
    <s v="Yes"/>
    <s v="High"/>
    <n v="1041"/>
    <x v="113"/>
    <s v="Premium"/>
    <n v="0"/>
    <n v="0"/>
    <s v="Moisturizers"/>
  </r>
  <r>
    <s v="P458900"/>
    <s v="Pineapple Enzyme Pore Clearing Cleanser"/>
    <n v="5922"/>
    <s v="Josie Maran"/>
    <n v="16013"/>
    <x v="2"/>
    <n v="4.2436999999999996"/>
    <s v="Yes"/>
    <s v="High"/>
    <n v="677"/>
    <x v="31"/>
    <s v="Mid"/>
    <n v="0"/>
    <n v="0"/>
    <s v="Cleansers"/>
  </r>
  <r>
    <s v="P397625"/>
    <s v="Dermask Micro Jet Brightening Solution"/>
    <n v="6014"/>
    <s v="Dr. Jart+"/>
    <n v="16054"/>
    <x v="2"/>
    <n v="4.0571000000000002"/>
    <s v="Yes"/>
    <s v="High"/>
    <n v="70"/>
    <x v="59"/>
    <s v="Budget"/>
    <n v="0"/>
    <n v="0"/>
    <s v="Masks"/>
  </r>
  <r>
    <s v="P469517"/>
    <s v="CLEAR Oil-Free Moisturizer"/>
    <n v="6341"/>
    <s v="Paula's Choice"/>
    <n v="16079"/>
    <x v="2"/>
    <n v="4.5281000000000002"/>
    <s v="Yes"/>
    <s v="High"/>
    <n v="89"/>
    <x v="31"/>
    <s v="Mid"/>
    <n v="0"/>
    <n v="0"/>
    <s v="Moisturizers"/>
  </r>
  <r>
    <s v="P410756"/>
    <s v="GenOptics Aura Essence Serum"/>
    <n v="6084"/>
    <s v="SK-II"/>
    <n v="16102"/>
    <x v="2"/>
    <n v="4.0758000000000001"/>
    <s v="Yes"/>
    <s v="High"/>
    <n v="132"/>
    <x v="62"/>
    <s v="Premium"/>
    <n v="0"/>
    <n v="0"/>
    <s v="Moisturizers"/>
  </r>
  <r>
    <s v="P470509"/>
    <s v="The Rich Cream with TFC8 Face Moisturizer"/>
    <n v="6356"/>
    <s v="Augustinus Bader"/>
    <n v="16116"/>
    <x v="2"/>
    <n v="4.2312000000000003"/>
    <s v="Yes"/>
    <s v="High"/>
    <n v="493"/>
    <x v="126"/>
    <s v="Premium"/>
    <n v="0"/>
    <n v="0"/>
    <s v="Moisturizers"/>
  </r>
  <r>
    <s v="P395389"/>
    <s v="GLO Brilliant Teeth Whitening GLO Vials 10 Pack plus Lip Care"/>
    <n v="5996"/>
    <s v="GLO Science"/>
    <n v="16148"/>
    <x v="2"/>
    <n v="4.4211"/>
    <s v="Yes"/>
    <s v="High"/>
    <n v="133"/>
    <x v="92"/>
    <s v="Premium"/>
    <n v="0"/>
    <n v="0"/>
    <s v="High Tech Tools"/>
  </r>
  <r>
    <s v="P500756"/>
    <s v="10% Vitamin C Brightening Serum"/>
    <n v="5972"/>
    <s v="First Aid Beauty"/>
    <n v="16175"/>
    <x v="2"/>
    <n v="4.6780999999999997"/>
    <s v="Yes"/>
    <s v="High"/>
    <n v="351"/>
    <x v="50"/>
    <s v="Premium"/>
    <n v="0"/>
    <n v="0"/>
    <s v="Treatments"/>
  </r>
  <r>
    <s v="P469530"/>
    <s v="Blemish Balm Cleanser"/>
    <n v="6209"/>
    <s v="Peace Out"/>
    <n v="16182"/>
    <x v="2"/>
    <n v="4.5597000000000003"/>
    <s v="Yes"/>
    <s v="High"/>
    <n v="243"/>
    <x v="75"/>
    <s v="Mid"/>
    <n v="0"/>
    <n v="0"/>
    <s v="Cleansers"/>
  </r>
  <r>
    <s v="P476876"/>
    <s v="Berry Bright Firming Vitamin C Eye Cream"/>
    <n v="6207"/>
    <s v="KORA Organics"/>
    <n v="16219"/>
    <x v="2"/>
    <n v="4.6224999999999996"/>
    <s v="Yes"/>
    <s v="High"/>
    <n v="408"/>
    <x v="69"/>
    <s v="Premium"/>
    <n v="0"/>
    <n v="0"/>
    <s v="Eye Care"/>
  </r>
  <r>
    <s v="P461521"/>
    <s v="Clean Hand Mask"/>
    <n v="3902"/>
    <s v="SEPHORA COLLECTION"/>
    <n v="16227"/>
    <x v="2"/>
    <n v="3.6818"/>
    <s v="Yes"/>
    <s v="Medium"/>
    <n v="66"/>
    <x v="100"/>
    <s v="Budget"/>
    <n v="0"/>
    <n v="0"/>
    <s v="Masks"/>
  </r>
  <r>
    <s v="P455924"/>
    <s v="The Eye Concentrate Cream"/>
    <n v="6201"/>
    <s v="La Mer"/>
    <n v="16236"/>
    <x v="2"/>
    <n v="4.0534999999999997"/>
    <s v="Yes"/>
    <s v="High"/>
    <n v="318"/>
    <x v="72"/>
    <s v="Premium"/>
    <n v="0"/>
    <n v="0"/>
    <s v="Eye Care"/>
  </r>
  <r>
    <s v="P429662"/>
    <s v="pores no more Vacuum Cleaner Pore Purifying Mask"/>
    <n v="4372"/>
    <s v="Dr. Brandt Skincare"/>
    <n v="16237"/>
    <x v="2"/>
    <n v="3.887"/>
    <s v="Yes"/>
    <s v="Medium"/>
    <n v="239"/>
    <x v="124"/>
    <s v="Mid"/>
    <n v="0"/>
    <n v="0"/>
    <s v="Masks"/>
  </r>
  <r>
    <s v="P442742"/>
    <s v="Peptide 21 Amino Acid Exfoliating Peel Pads"/>
    <n v="3728"/>
    <s v="Peter Thomas Roth"/>
    <n v="16263"/>
    <x v="2"/>
    <n v="4.6452999999999998"/>
    <s v="Yes"/>
    <s v="High"/>
    <n v="547"/>
    <x v="103"/>
    <s v="Premium"/>
    <n v="0"/>
    <n v="0"/>
    <s v="Treatments"/>
  </r>
  <r>
    <s v="P438637"/>
    <s v="Bright Eyes Collagen-Infused Brightening Colloidal Silver Eye Masks"/>
    <n v="6272"/>
    <s v="BeautyBio"/>
    <n v="16264"/>
    <x v="2"/>
    <n v="4.0594000000000001"/>
    <s v="Yes"/>
    <s v="High"/>
    <n v="202"/>
    <x v="24"/>
    <s v="Mid"/>
    <n v="0"/>
    <n v="0"/>
    <s v="Eye Care"/>
  </r>
  <r>
    <s v="P474325"/>
    <s v="Aquarius Pore Purifying BHA Cream"/>
    <n v="6117"/>
    <s v="Herbivore"/>
    <n v="16279"/>
    <x v="2"/>
    <n v="4.2869999999999999"/>
    <s v="Yes"/>
    <s v="High"/>
    <n v="216"/>
    <x v="45"/>
    <s v="Mid"/>
    <n v="0"/>
    <n v="0"/>
    <s v="Moisturizers"/>
  </r>
  <r>
    <s v="P232327"/>
    <s v="Broad Spectrum SPF 50 Sunscreen Face Cream"/>
    <n v="1254"/>
    <s v="CLINIQUE"/>
    <n v="16286"/>
    <x v="2"/>
    <n v="3.9706000000000001"/>
    <s v="Yes"/>
    <s v="Medium"/>
    <n v="238"/>
    <x v="78"/>
    <s v="Mid"/>
    <n v="0"/>
    <n v="0"/>
    <s v="Sunscreen"/>
  </r>
  <r>
    <s v="P504007"/>
    <s v="Ceramidin Skin Barrier Moisturizing Cream"/>
    <n v="6014"/>
    <s v="Dr. Jart+"/>
    <n v="16300"/>
    <x v="2"/>
    <n v="4.6090999999999998"/>
    <s v="Yes"/>
    <s v="High"/>
    <n v="417"/>
    <x v="14"/>
    <s v="Mid"/>
    <n v="1"/>
    <n v="0"/>
    <s v="Moisturizers"/>
  </r>
  <r>
    <s v="P440484"/>
    <s v="Facial Spray with Aloe, Chamomile and Lavender"/>
    <n v="8017"/>
    <s v="Mario Badescu"/>
    <n v="16337"/>
    <x v="2"/>
    <n v="4.4396000000000004"/>
    <s v="Yes"/>
    <s v="High"/>
    <n v="91"/>
    <x v="127"/>
    <s v="Budget"/>
    <n v="0"/>
    <n v="0"/>
    <s v="Moisturizers"/>
  </r>
  <r>
    <s v="P423150"/>
    <s v="Multi-Active Toner"/>
    <n v="6219"/>
    <s v="Dermalogica"/>
    <n v="16363"/>
    <x v="2"/>
    <n v="4.3986999999999998"/>
    <s v="Yes"/>
    <s v="High"/>
    <n v="316"/>
    <x v="125"/>
    <s v="Mid"/>
    <n v="0"/>
    <n v="0"/>
    <s v="Cleansers"/>
  </r>
  <r>
    <s v="P443700"/>
    <s v="Mini Special Cleansing Gel"/>
    <n v="6219"/>
    <s v="Dermalogica"/>
    <n v="16436"/>
    <x v="2"/>
    <n v="4.5195999999999996"/>
    <s v="Yes"/>
    <s v="High"/>
    <n v="716"/>
    <x v="3"/>
    <s v="Budget"/>
    <n v="0"/>
    <n v="0"/>
    <s v="Mini Size"/>
  </r>
  <r>
    <s v="P444968"/>
    <s v="Mini Facial Spray with Aloe, Cucumber and Green Tea"/>
    <n v="8017"/>
    <s v="Mario Badescu"/>
    <n v="16475"/>
    <x v="2"/>
    <n v="3.8382000000000001"/>
    <s v="Yes"/>
    <s v="Medium"/>
    <n v="68"/>
    <x v="100"/>
    <s v="Budget"/>
    <n v="0"/>
    <n v="0"/>
    <s v="Mini Size"/>
  </r>
  <r>
    <s v="P482696"/>
    <s v="Water Bank Blue Hyaluronic Eye Cream"/>
    <n v="6125"/>
    <s v="LANEIGE"/>
    <n v="16508"/>
    <x v="2"/>
    <n v="4.5385"/>
    <s v="Yes"/>
    <s v="High"/>
    <n v="130"/>
    <x v="125"/>
    <s v="Mid"/>
    <n v="0"/>
    <n v="0"/>
    <s v="Eye Care"/>
  </r>
  <r>
    <s v="P482551"/>
    <s v="C.E.O. Afterglow Brightening Vitamin C Moisturizer"/>
    <n v="6073"/>
    <s v="Sunday Riley"/>
    <n v="16576"/>
    <x v="2"/>
    <n v="4.6660000000000004"/>
    <s v="Yes"/>
    <s v="High"/>
    <n v="527"/>
    <x v="92"/>
    <s v="Premium"/>
    <n v="0"/>
    <n v="0"/>
    <s v="Moisturizers"/>
  </r>
  <r>
    <s v="P500244"/>
    <s v="FIRMx Collagen Face &amp; Eye Hydra-Gel Patches"/>
    <n v="3728"/>
    <s v="Peter Thomas Roth"/>
    <n v="16592"/>
    <x v="2"/>
    <n v="4.6912000000000003"/>
    <s v="Yes"/>
    <s v="High"/>
    <n v="217"/>
    <x v="92"/>
    <s v="Premium"/>
    <n v="0"/>
    <n v="0"/>
    <s v="Eye Care"/>
  </r>
  <r>
    <s v="P471547"/>
    <s v="Mini Beste No. 9 Jelly Cleanser"/>
    <n v="7083"/>
    <s v="Drunk Elephant"/>
    <n v="16632"/>
    <x v="2"/>
    <n v="4.1429"/>
    <s v="Yes"/>
    <s v="High"/>
    <n v="35"/>
    <x v="47"/>
    <s v="Budget"/>
    <n v="0"/>
    <n v="0"/>
    <s v="Mini Size"/>
  </r>
  <r>
    <s v="P122661"/>
    <s v="7 Day Face Scrub Cream Rinse-Off Formula"/>
    <n v="1254"/>
    <s v="CLINIQUE"/>
    <n v="16656"/>
    <x v="2"/>
    <n v="4.5320999999999998"/>
    <s v="Yes"/>
    <s v="High"/>
    <n v="810"/>
    <x v="95"/>
    <s v="Mid"/>
    <n v="0"/>
    <n v="0"/>
    <s v="Cleansers"/>
  </r>
  <r>
    <s v="P454395"/>
    <s v="Mini Lotus Youth Preserve Moisturizer"/>
    <n v="4348"/>
    <s v="fresh"/>
    <n v="16661"/>
    <x v="2"/>
    <n v="3.7732999999999999"/>
    <s v="Yes"/>
    <s v="Medium"/>
    <n v="75"/>
    <x v="128"/>
    <s v="Mid"/>
    <n v="0"/>
    <n v="0"/>
    <s v="Mini Size"/>
  </r>
  <r>
    <s v="P440650"/>
    <s v="Mini Retinol Youth Renewal Serum"/>
    <n v="4164"/>
    <s v="Murad"/>
    <n v="16664"/>
    <x v="2"/>
    <n v="4.6089000000000002"/>
    <s v="Yes"/>
    <s v="High"/>
    <n v="987"/>
    <x v="29"/>
    <s v="Mid"/>
    <n v="0"/>
    <n v="0"/>
    <s v="Mini Size"/>
  </r>
  <r>
    <s v="P385320"/>
    <s v="Trinity + Eye and Lip Enhancer Attachment Bundle"/>
    <n v="6001"/>
    <s v="NuFACE"/>
    <n v="16672"/>
    <x v="2"/>
    <n v="3.4380999999999999"/>
    <s v="Yes"/>
    <s v="Medium"/>
    <n v="105"/>
    <x v="117"/>
    <s v="Premium"/>
    <n v="0"/>
    <n v="0"/>
    <s v="High Tech Tools"/>
  </r>
  <r>
    <s v="P392607"/>
    <s v="24K Gold Mask Pure Luxury Lift &amp; Firm"/>
    <n v="3728"/>
    <s v="Peter Thomas Roth"/>
    <n v="16676"/>
    <x v="2"/>
    <n v="3.5"/>
    <s v="Yes"/>
    <s v="Medium"/>
    <n v="196"/>
    <x v="99"/>
    <s v="Premium"/>
    <n v="0"/>
    <n v="0"/>
    <s v="Masks"/>
  </r>
  <r>
    <s v="P34402"/>
    <s v="Acne Control Clarifying Body Spray"/>
    <n v="4164"/>
    <s v="Murad"/>
    <n v="16688"/>
    <x v="2"/>
    <n v="4.2897999999999996"/>
    <s v="Yes"/>
    <s v="High"/>
    <n v="635"/>
    <x v="14"/>
    <s v="Mid"/>
    <n v="0"/>
    <n v="0"/>
    <s v="Treatments"/>
  </r>
  <r>
    <s v="P460746"/>
    <s v="Aburatorigami Japanese Blotting Papers"/>
    <n v="6041"/>
    <s v="Tatcha"/>
    <n v="16714"/>
    <x v="2"/>
    <n v="4.4074"/>
    <s v="Yes"/>
    <s v="High"/>
    <n v="54"/>
    <x v="58"/>
    <s v="Budget"/>
    <n v="0"/>
    <n v="0"/>
    <s v="Cleansers"/>
  </r>
  <r>
    <s v="P502365"/>
    <s v="Clarifying Cleanse + Hydrate Duo"/>
    <n v="6041"/>
    <s v="Tatcha"/>
    <n v="16760"/>
    <x v="2"/>
    <n v="3.5"/>
    <s v="Yes"/>
    <s v="Medium"/>
    <n v="6"/>
    <x v="129"/>
    <s v="Mid"/>
    <n v="0"/>
    <n v="1"/>
    <s v="Value &amp; Gift Sets"/>
  </r>
  <r>
    <s v="P440305"/>
    <s v="Goat Milk Moisturizing Cleanser"/>
    <n v="5946"/>
    <s v="Kate Somerville"/>
    <n v="16803"/>
    <x v="2"/>
    <n v="4.5575000000000001"/>
    <s v="Yes"/>
    <s v="High"/>
    <n v="174"/>
    <x v="124"/>
    <s v="Mid"/>
    <n v="0"/>
    <n v="0"/>
    <s v="Cleansers"/>
  </r>
  <r>
    <s v="P448719"/>
    <s v="PRO Strength Lactic Pore Treatment"/>
    <n v="3728"/>
    <s v="Peter Thomas Roth"/>
    <n v="16862"/>
    <x v="2"/>
    <n v="4.5778999999999996"/>
    <s v="Yes"/>
    <s v="High"/>
    <n v="443"/>
    <x v="118"/>
    <s v="Premium"/>
    <n v="0"/>
    <n v="0"/>
    <s v="Treatments"/>
  </r>
  <r>
    <s v="P432421"/>
    <s v="SUPERMASK - The Charcoal Mask"/>
    <n v="3902"/>
    <s v="SEPHORA COLLECTION"/>
    <n v="16867"/>
    <x v="2"/>
    <n v="3.7614000000000001"/>
    <s v="Yes"/>
    <s v="Medium"/>
    <n v="88"/>
    <x v="79"/>
    <s v="Budget"/>
    <n v="0"/>
    <n v="1"/>
    <s v="Masks"/>
  </r>
  <r>
    <s v="P454821"/>
    <s v="LUNA Mini 3"/>
    <n v="7037"/>
    <s v="FOREO"/>
    <n v="16929"/>
    <x v="2"/>
    <n v="3.8784999999999998"/>
    <s v="Yes"/>
    <s v="Medium"/>
    <n v="107"/>
    <x v="130"/>
    <s v="Premium"/>
    <n v="0"/>
    <n v="0"/>
    <s v="High Tech Tools"/>
  </r>
  <r>
    <s v="P418221"/>
    <s v="Organic Sunless Tan Anti-Aging Face Serum"/>
    <n v="7091"/>
    <s v="COOLA"/>
    <n v="16938"/>
    <x v="2"/>
    <n v="3.9744000000000002"/>
    <s v="Yes"/>
    <s v="Medium"/>
    <n v="156"/>
    <x v="30"/>
    <s v="Premium"/>
    <n v="0"/>
    <n v="0"/>
    <s v="Self Tanners"/>
  </r>
  <r>
    <s v="P420143"/>
    <s v="Clarifying AHA + BHA Mask"/>
    <n v="7020"/>
    <s v="Tata Harper"/>
    <n v="16958"/>
    <x v="2"/>
    <n v="3.9159999999999999"/>
    <s v="Yes"/>
    <s v="Medium"/>
    <n v="250"/>
    <x v="76"/>
    <s v="Premium"/>
    <n v="0"/>
    <n v="0"/>
    <s v="Masks"/>
  </r>
  <r>
    <s v="P442843"/>
    <s v="Eczema+ Dermatitis Face Balm"/>
    <n v="6289"/>
    <s v="Skinfix"/>
    <n v="16974"/>
    <x v="2"/>
    <n v="4.2108999999999996"/>
    <s v="Yes"/>
    <s v="High"/>
    <n v="460"/>
    <x v="31"/>
    <s v="Mid"/>
    <n v="0"/>
    <n v="0"/>
    <s v="Moisturizers"/>
  </r>
  <r>
    <s v="P458964"/>
    <s v="G.Tox Ultimate Dry Brush"/>
    <n v="6309"/>
    <s v="goop"/>
    <n v="16978"/>
    <x v="2"/>
    <n v="3.9815"/>
    <s v="Yes"/>
    <s v="Medium"/>
    <n v="54"/>
    <x v="94"/>
    <s v="Mid"/>
    <n v="0"/>
    <n v="0"/>
    <s v="High Tech Tools"/>
  </r>
  <r>
    <s v="P471046"/>
    <s v="Turmeric Glow Brightening Moisturizer"/>
    <n v="6207"/>
    <s v="KORA Organics"/>
    <n v="17005"/>
    <x v="2"/>
    <n v="4.4984999999999999"/>
    <s v="Yes"/>
    <s v="High"/>
    <n v="1017"/>
    <x v="48"/>
    <s v="Premium"/>
    <n v="0"/>
    <n v="0"/>
    <s v="Moisturizers"/>
  </r>
  <r>
    <s v="P472451"/>
    <s v="Vinosource-Hydra Moisturizing Mask"/>
    <n v="4171"/>
    <s v="Caudalie"/>
    <n v="17013"/>
    <x v="2"/>
    <n v="4.7640000000000002"/>
    <s v="Yes"/>
    <s v="High"/>
    <n v="161"/>
    <x v="36"/>
    <s v="Mid"/>
    <n v="0"/>
    <n v="0"/>
    <s v="Masks"/>
  </r>
  <r>
    <s v="P459116"/>
    <s v="Mini Cream Skin Toner &amp; Moisturizer"/>
    <n v="6125"/>
    <s v="LANEIGE"/>
    <n v="17031"/>
    <x v="2"/>
    <n v="4.3076999999999996"/>
    <s v="Yes"/>
    <s v="High"/>
    <n v="52"/>
    <x v="64"/>
    <s v="Budget"/>
    <n v="0"/>
    <n v="1"/>
    <s v="Mini Size"/>
  </r>
  <r>
    <s v="P430812"/>
    <s v="Max Mineral Tinted Sunscreen Broad Spectrum SPF 45"/>
    <n v="3728"/>
    <s v="Peter Thomas Roth"/>
    <n v="17046"/>
    <x v="2"/>
    <n v="4.2035"/>
    <s v="Yes"/>
    <s v="High"/>
    <n v="172"/>
    <x v="12"/>
    <s v="Mid"/>
    <n v="0"/>
    <n v="0"/>
    <s v="Sunscreen"/>
  </r>
  <r>
    <s v="P444057"/>
    <s v="Aqua Bomb Jelly Cleanser"/>
    <n v="7075"/>
    <s v="belif"/>
    <n v="17087"/>
    <x v="2"/>
    <n v="4.2942999999999998"/>
    <s v="Yes"/>
    <s v="High"/>
    <n v="683"/>
    <x v="78"/>
    <s v="Mid"/>
    <n v="0"/>
    <n v="0"/>
    <s v="Cleansers"/>
  </r>
  <r>
    <s v="P217932"/>
    <s v="CrÃ¨me Radiance Gentle Cleansing Creamy-Foam Cleanser"/>
    <n v="1741"/>
    <s v="LancÃ´me"/>
    <n v="17120"/>
    <x v="2"/>
    <n v="4.4416000000000002"/>
    <s v="Yes"/>
    <s v="High"/>
    <n v="394"/>
    <x v="18"/>
    <s v="Mid"/>
    <n v="0"/>
    <n v="0"/>
    <s v="Cleansers"/>
  </r>
  <r>
    <s v="P386755"/>
    <s v="Collagen Love Skin Firming Supplement with Hyaluronic Acid &amp; Vitamin C"/>
    <n v="7050"/>
    <s v="HUM Nutrition"/>
    <n v="17120"/>
    <x v="2"/>
    <n v="4.4074"/>
    <s v="Yes"/>
    <s v="High"/>
    <n v="135"/>
    <x v="24"/>
    <s v="Mid"/>
    <n v="0"/>
    <n v="0"/>
    <s v="Wellness"/>
  </r>
  <r>
    <s v="P411881"/>
    <s v="Retinol Firming Eye Cream"/>
    <n v="5946"/>
    <s v="Kate Somerville"/>
    <n v="17127"/>
    <x v="2"/>
    <n v="3.4462000000000002"/>
    <s v="Yes"/>
    <s v="Medium"/>
    <n v="130"/>
    <x v="131"/>
    <s v="Premium"/>
    <n v="0"/>
    <n v="0"/>
    <s v="Eye Care"/>
  </r>
  <r>
    <s v="P475181"/>
    <s v="Glow + Get It Cooling &amp; Brightening Eye Balm"/>
    <n v="6373"/>
    <s v="TULA Skincare"/>
    <n v="17136"/>
    <x v="2"/>
    <n v="3.9578000000000002"/>
    <s v="Yes"/>
    <s v="Medium"/>
    <n v="332"/>
    <x v="78"/>
    <s v="Mid"/>
    <n v="0"/>
    <n v="0"/>
    <s v="Eye Care"/>
  </r>
  <r>
    <s v="P437477"/>
    <s v="Stop Being So Sensitive Evercalm Kit"/>
    <n v="5857"/>
    <s v="REN Clean Skincare"/>
    <n v="17141"/>
    <x v="2"/>
    <n v="3.6086999999999998"/>
    <s v="Yes"/>
    <s v="Medium"/>
    <n v="69"/>
    <x v="18"/>
    <s v="Mid"/>
    <n v="0"/>
    <n v="0"/>
    <s v="Value &amp; Gift Sets"/>
  </r>
  <r>
    <s v="P431733"/>
    <s v="Epidermal Re-Texturizing Micro-Dermabrasion"/>
    <n v="6218"/>
    <s v="Kiehl's Since 1851"/>
    <n v="17152"/>
    <x v="2"/>
    <n v="4.6173000000000002"/>
    <s v="Yes"/>
    <s v="High"/>
    <n v="81"/>
    <x v="45"/>
    <s v="Mid"/>
    <n v="0"/>
    <n v="0"/>
    <s v="Cleansers"/>
  </r>
  <r>
    <s v="P188306"/>
    <s v="Acne Solutions All-Over Clearing Treatment Oil-Free"/>
    <n v="1254"/>
    <s v="CLINIQUE"/>
    <n v="17157"/>
    <x v="2"/>
    <n v="4.0182000000000002"/>
    <s v="Yes"/>
    <s v="High"/>
    <n v="713"/>
    <x v="95"/>
    <s v="Mid"/>
    <n v="0"/>
    <n v="0"/>
    <s v="Treatments"/>
  </r>
  <r>
    <s v="P482008"/>
    <s v="Self-Tanning Oil Mist"/>
    <n v="8008"/>
    <s v="Isle of Paradise"/>
    <n v="17225"/>
    <x v="2"/>
    <n v="4.3936999999999999"/>
    <s v="Yes"/>
    <s v="High"/>
    <n v="320"/>
    <x v="29"/>
    <s v="Mid"/>
    <n v="0"/>
    <n v="0"/>
    <s v="Self Tanners"/>
  </r>
  <r>
    <s v="P454514"/>
    <s v="Youth Renewal Retinol Trial Kit for Smoother, Younger-Looking Skin"/>
    <n v="4164"/>
    <s v="Murad"/>
    <n v="17238"/>
    <x v="2"/>
    <n v="3.7879"/>
    <s v="Yes"/>
    <s v="Medium"/>
    <n v="33"/>
    <x v="83"/>
    <s v="Premium"/>
    <n v="0"/>
    <n v="0"/>
    <s v="Value &amp; Gift Sets"/>
  </r>
  <r>
    <s v="P469518"/>
    <s v="RESIST Barrier Repair Moisturizer with Retinol"/>
    <n v="6341"/>
    <s v="Paula's Choice"/>
    <n v="17313"/>
    <x v="2"/>
    <n v="4.3243"/>
    <s v="Yes"/>
    <s v="High"/>
    <n v="37"/>
    <x v="96"/>
    <s v="Mid"/>
    <n v="0"/>
    <n v="0"/>
    <s v="Moisturizers"/>
  </r>
  <r>
    <s v="P479313"/>
    <s v="Advanced Retinol + Ferulic Intense Wrinkle Cream"/>
    <n v="5668"/>
    <s v="Dr. Dennis Gross Skincare"/>
    <n v="17314"/>
    <x v="2"/>
    <n v="4.6950000000000003"/>
    <s v="Yes"/>
    <s v="High"/>
    <n v="141"/>
    <x v="111"/>
    <s v="Premium"/>
    <n v="0"/>
    <n v="0"/>
    <s v="Moisturizers"/>
  </r>
  <r>
    <s v="P424986"/>
    <s v="THE BUTTER Illuminating Tanning Butter"/>
    <n v="6225"/>
    <s v="TAN-LUXE"/>
    <n v="17319"/>
    <x v="2"/>
    <n v="4.3425000000000002"/>
    <s v="Yes"/>
    <s v="High"/>
    <n v="181"/>
    <x v="12"/>
    <s v="Mid"/>
    <n v="0"/>
    <n v="0"/>
    <s v="Self Tanners"/>
  </r>
  <r>
    <s v="P468634"/>
    <s v="Vitamin Enriched Face Base Jumbo"/>
    <n v="5644"/>
    <s v="Bobbi Brown"/>
    <n v="17355"/>
    <x v="2"/>
    <n v="4.84"/>
    <s v="Yes"/>
    <s v="High"/>
    <n v="25"/>
    <x v="102"/>
    <s v="Premium"/>
    <n v="0"/>
    <n v="0"/>
    <s v="Moisturizers"/>
  </r>
  <r>
    <s v="P399755"/>
    <s v="GLO Lit Teeth Whitening Vials 7 Pack + Lip Care"/>
    <n v="5996"/>
    <s v="GLO Science"/>
    <n v="17417"/>
    <x v="2"/>
    <n v="4.3917000000000002"/>
    <s v="Yes"/>
    <s v="High"/>
    <n v="120"/>
    <x v="25"/>
    <s v="Mid"/>
    <n v="0"/>
    <n v="0"/>
    <s v="High Tech Tools"/>
  </r>
  <r>
    <s v="P455237"/>
    <s v="Melt Moisturizer with Bakuchiol and Squalane"/>
    <n v="6312"/>
    <s v="alpyn beauty"/>
    <n v="17458"/>
    <x v="2"/>
    <n v="4.5140000000000002"/>
    <s v="Yes"/>
    <s v="High"/>
    <n v="465"/>
    <x v="37"/>
    <s v="Premium"/>
    <n v="0"/>
    <n v="0"/>
    <s v="Moisturizers"/>
  </r>
  <r>
    <s v="P446421"/>
    <s v="Clear Improvement Pore Clearing Moisturizer with Salicylic Acid"/>
    <n v="3733"/>
    <s v="Origins"/>
    <n v="17465"/>
    <x v="2"/>
    <n v="4.2685000000000004"/>
    <s v="Yes"/>
    <s v="High"/>
    <n v="1270"/>
    <x v="24"/>
    <s v="Mid"/>
    <n v="0"/>
    <n v="0"/>
    <s v="Moisturizers"/>
  </r>
  <r>
    <s v="P469862"/>
    <s v="Rich Bitch Cactus + Vitamin C Moisturizer"/>
    <n v="6347"/>
    <s v="Freck Beauty"/>
    <n v="17528"/>
    <x v="2"/>
    <n v="4.3784000000000001"/>
    <s v="Yes"/>
    <s v="High"/>
    <n v="222"/>
    <x v="18"/>
    <s v="Mid"/>
    <n v="0"/>
    <n v="0"/>
    <s v="Moisturizers"/>
  </r>
  <r>
    <s v="P458733"/>
    <s v="Mini Rose Quartz Facial Roller"/>
    <n v="3902"/>
    <s v="SEPHORA COLLECTION"/>
    <n v="17556"/>
    <x v="2"/>
    <n v="3.7"/>
    <s v="Yes"/>
    <s v="Medium"/>
    <n v="40"/>
    <x v="51"/>
    <s v="Budget"/>
    <n v="0"/>
    <n v="0"/>
    <s v="Wellness"/>
  </r>
  <r>
    <s v="P232906"/>
    <s v="Oil Free Moisturizer"/>
    <n v="5946"/>
    <s v="Kate Somerville"/>
    <n v="17558"/>
    <x v="2"/>
    <n v="4.1489000000000003"/>
    <s v="Yes"/>
    <s v="High"/>
    <n v="705"/>
    <x v="113"/>
    <s v="Premium"/>
    <n v="0"/>
    <n v="0"/>
    <s v="Moisturizers"/>
  </r>
  <r>
    <s v="P480301"/>
    <s v="Mini Deep Sweep 2% BHA Pore Cleaning Toner with Moringa + Papaya"/>
    <n v="8001"/>
    <s v="Farmacy"/>
    <n v="17610"/>
    <x v="2"/>
    <n v="4.4835000000000003"/>
    <s v="Yes"/>
    <s v="High"/>
    <n v="819"/>
    <x v="47"/>
    <s v="Budget"/>
    <n v="0"/>
    <n v="0"/>
    <s v="Cleansers"/>
  </r>
  <r>
    <s v="P268700"/>
    <s v="Hydro-Dynamic Ultimate Moisture"/>
    <n v="4164"/>
    <s v="Murad"/>
    <n v="17680"/>
    <x v="2"/>
    <n v="4.3564999999999996"/>
    <s v="Yes"/>
    <s v="High"/>
    <n v="446"/>
    <x v="132"/>
    <s v="Premium"/>
    <n v="0"/>
    <n v="0"/>
    <s v="Moisturizers"/>
  </r>
  <r>
    <s v="P500102"/>
    <s v="Hydro Ungrip Makeup Removing Cleansing Balm"/>
    <n v="6134"/>
    <s v="MILK MAKEUP"/>
    <n v="17719"/>
    <x v="2"/>
    <n v="4.6829000000000001"/>
    <s v="Yes"/>
    <s v="High"/>
    <n v="164"/>
    <x v="8"/>
    <s v="Mid"/>
    <n v="0"/>
    <n v="0"/>
    <s v="Cleansers"/>
  </r>
  <r>
    <s v="P440937"/>
    <s v="Cannabis Sativa Seed Oil Herbal Concentrate (Hemp-Derived)"/>
    <n v="6218"/>
    <s v="Kiehl's Since 1851"/>
    <n v="17721"/>
    <x v="2"/>
    <n v="4.1395999999999997"/>
    <s v="Yes"/>
    <s v="High"/>
    <n v="222"/>
    <x v="103"/>
    <s v="Premium"/>
    <n v="0"/>
    <n v="0"/>
    <s v="Moisturizers"/>
  </r>
  <r>
    <s v="P474822"/>
    <s v="Daily Glycolic Cleanser"/>
    <n v="6219"/>
    <s v="Dermalogica"/>
    <n v="17736"/>
    <x v="2"/>
    <n v="4.7843"/>
    <s v="Yes"/>
    <s v="High"/>
    <n v="357"/>
    <x v="96"/>
    <s v="Mid"/>
    <n v="0"/>
    <n v="0"/>
    <s v="Cleansers"/>
  </r>
  <r>
    <s v="P122762"/>
    <s v="Rinse-Off Foaming Cleanser"/>
    <n v="1254"/>
    <s v="CLINIQUE"/>
    <n v="17770"/>
    <x v="2"/>
    <n v="4.4932999999999996"/>
    <s v="Yes"/>
    <s v="High"/>
    <n v="821"/>
    <x v="86"/>
    <s v="Mid"/>
    <n v="0"/>
    <n v="0"/>
    <s v="Cleansers"/>
  </r>
  <r>
    <s v="P385262"/>
    <s v="Ultimate Sun Protection Spray Broad Spectrum SPF 50+ For Face/Body"/>
    <n v="5337"/>
    <s v="Shiseido"/>
    <n v="17778"/>
    <x v="2"/>
    <n v="3.8174999999999999"/>
    <s v="Yes"/>
    <s v="Medium"/>
    <n v="137"/>
    <x v="24"/>
    <s v="Mid"/>
    <n v="0"/>
    <n v="0"/>
    <s v="Sunscreen"/>
  </r>
  <r>
    <s v="P446934"/>
    <s v="Oil and Pore Control Mattifier Broad Spectrum SPF 45 PA++++"/>
    <n v="4164"/>
    <s v="Murad"/>
    <n v="17782"/>
    <x v="2"/>
    <n v="3.9357000000000002"/>
    <s v="Yes"/>
    <s v="Medium"/>
    <n v="544"/>
    <x v="25"/>
    <s v="Mid"/>
    <n v="0"/>
    <n v="0"/>
    <s v="Moisturizers"/>
  </r>
  <r>
    <s v="P479319"/>
    <s v="Pre-Show Glow Instant Retexturizing 10% AHA Treatment + Reusable Applicator"/>
    <n v="6352"/>
    <s v="Fenty Skin"/>
    <n v="17786"/>
    <x v="2"/>
    <n v="4.4348000000000001"/>
    <s v="Yes"/>
    <s v="High"/>
    <n v="184"/>
    <x v="36"/>
    <s v="Mid"/>
    <n v="0"/>
    <n v="0"/>
    <s v="Treatments"/>
  </r>
  <r>
    <s v="P503191"/>
    <s v="Mini Indigo Overnight Repair Serum in Cream Treatment"/>
    <n v="6041"/>
    <s v="Tatcha"/>
    <n v="17810"/>
    <x v="2"/>
    <n v="4.5473999999999997"/>
    <s v="Yes"/>
    <s v="High"/>
    <n v="1098"/>
    <x v="75"/>
    <s v="Mid"/>
    <n v="0"/>
    <n v="0"/>
    <s v="Moisturizers"/>
  </r>
  <r>
    <s v="P504639"/>
    <s v="Banana Bright+ Vitamin CC Eye Sticks"/>
    <n v="5674"/>
    <s v="OLEHENRIKSEN"/>
    <n v="17823"/>
    <x v="2"/>
    <n v="4.6040000000000001"/>
    <s v="Yes"/>
    <s v="High"/>
    <n v="298"/>
    <x v="18"/>
    <s v="Mid"/>
    <n v="1"/>
    <n v="0"/>
    <s v="Eye Care"/>
  </r>
  <r>
    <s v="P504523"/>
    <s v="Futuredew Facial Oil-Serum Hybrid"/>
    <n v="6751"/>
    <s v="Glossier"/>
    <n v="17832"/>
    <x v="2"/>
    <n v="3.9651000000000001"/>
    <s v="Yes"/>
    <s v="Medium"/>
    <n v="86"/>
    <x v="95"/>
    <s v="Mid"/>
    <n v="1"/>
    <n v="0"/>
    <s v="Moisturizers"/>
  </r>
  <r>
    <s v="P456213"/>
    <s v="GOOPGLOW Microderm Instant Glow Exfoliator"/>
    <n v="6309"/>
    <s v="goop"/>
    <n v="17838"/>
    <x v="2"/>
    <n v="4.4821"/>
    <s v="Yes"/>
    <s v="High"/>
    <n v="2128"/>
    <x v="81"/>
    <s v="Premium"/>
    <n v="0"/>
    <n v="0"/>
    <s v="Cleansers"/>
  </r>
  <r>
    <s v="P479840"/>
    <s v="Hydrating Eye Cream with Hyaluronic Acid"/>
    <n v="5972"/>
    <s v="First Aid Beauty"/>
    <n v="17841"/>
    <x v="2"/>
    <n v="3.8429000000000002"/>
    <s v="Yes"/>
    <s v="Medium"/>
    <n v="70"/>
    <x v="78"/>
    <s v="Mid"/>
    <n v="0"/>
    <n v="0"/>
    <s v="Eye Care"/>
  </r>
  <r>
    <s v="P196524"/>
    <s v="Acne Solutions Cleansing Bar For Face and Body"/>
    <n v="1254"/>
    <s v="CLINIQUE"/>
    <n v="17889"/>
    <x v="2"/>
    <n v="4.3638000000000003"/>
    <s v="Yes"/>
    <s v="High"/>
    <n v="459"/>
    <x v="133"/>
    <s v="Budget"/>
    <n v="0"/>
    <n v="0"/>
    <s v="Cleansers"/>
  </r>
  <r>
    <s v="P467602"/>
    <s v="Triple Algae Eye Renewal Balm Eye Cream"/>
    <n v="6018"/>
    <s v="Algenist"/>
    <n v="17890"/>
    <x v="2"/>
    <n v="4.5305999999999997"/>
    <s v="Yes"/>
    <s v="High"/>
    <n v="1142"/>
    <x v="6"/>
    <s v="Premium"/>
    <n v="0"/>
    <n v="0"/>
    <s v="Eye Care"/>
  </r>
  <r>
    <s v="P456126"/>
    <s v="Vegan Milk Cleanser"/>
    <n v="6134"/>
    <s v="MILK MAKEUP"/>
    <n v="17898"/>
    <x v="2"/>
    <n v="4.4259000000000004"/>
    <s v="Yes"/>
    <s v="High"/>
    <n v="789"/>
    <x v="78"/>
    <s v="Mid"/>
    <n v="0"/>
    <n v="0"/>
    <s v="Cleansers"/>
  </r>
  <r>
    <s v="P481700"/>
    <s v="Cicapair Redness Rescue Kit"/>
    <n v="6014"/>
    <s v="Dr. Jart+"/>
    <n v="17922"/>
    <x v="2"/>
    <n v="4.2857000000000003"/>
    <s v="Yes"/>
    <s v="High"/>
    <n v="147"/>
    <x v="7"/>
    <s v="Mid"/>
    <n v="0"/>
    <n v="0"/>
    <s v="Value &amp; Gift Sets"/>
  </r>
  <r>
    <s v="P432049"/>
    <s v="SuperYou Daily Stress Management"/>
    <n v="6226"/>
    <s v="Moon Juice"/>
    <n v="17924"/>
    <x v="2"/>
    <n v="4.5583999999999998"/>
    <s v="Yes"/>
    <s v="High"/>
    <n v="505"/>
    <x v="25"/>
    <s v="Mid"/>
    <n v="0"/>
    <n v="0"/>
    <s v="Wellness"/>
  </r>
  <r>
    <s v="P479632"/>
    <s v="Pore Remedy PHA Exfoliating Serum"/>
    <n v="6014"/>
    <s v="Dr. Jart+"/>
    <n v="17936"/>
    <x v="2"/>
    <n v="4.1694000000000004"/>
    <s v="Yes"/>
    <s v="High"/>
    <n v="431"/>
    <x v="44"/>
    <s v="Mid"/>
    <n v="0"/>
    <n v="0"/>
    <s v="Treatments"/>
  </r>
  <r>
    <s v="P419633"/>
    <s v="ESPADA Blue Light Acne Treatment"/>
    <n v="7037"/>
    <s v="FOREO"/>
    <n v="17954"/>
    <x v="2"/>
    <n v="3.8873000000000002"/>
    <s v="Yes"/>
    <s v="Medium"/>
    <n v="142"/>
    <x v="82"/>
    <s v="Premium"/>
    <n v="0"/>
    <n v="0"/>
    <s v="Treatments"/>
  </r>
  <r>
    <s v="P470533"/>
    <s v="Blending Brush"/>
    <n v="8008"/>
    <s v="Isle of Paradise"/>
    <n v="17964"/>
    <x v="2"/>
    <n v="4.8056000000000001"/>
    <s v="Yes"/>
    <s v="High"/>
    <n v="36"/>
    <x v="0"/>
    <s v="Mid"/>
    <n v="0"/>
    <n v="0"/>
    <s v="Self Tanners"/>
  </r>
  <r>
    <s v="P426501"/>
    <s v="Mini CrÃ¨me de la Mer Moisturizer"/>
    <n v="6201"/>
    <s v="La Mer"/>
    <n v="18102"/>
    <x v="2"/>
    <n v="4.0566000000000004"/>
    <s v="Yes"/>
    <s v="High"/>
    <n v="1377"/>
    <x v="63"/>
    <s v="Premium"/>
    <n v="0"/>
    <n v="0"/>
    <s v="Mini Size"/>
  </r>
  <r>
    <s v="P438628"/>
    <s v="Contouring + De-Puffing Rose Quartz Roller"/>
    <n v="6272"/>
    <s v="BeautyBio"/>
    <n v="18126"/>
    <x v="2"/>
    <n v="4.5833000000000004"/>
    <s v="Yes"/>
    <s v="High"/>
    <n v="84"/>
    <x v="92"/>
    <s v="Premium"/>
    <n v="0"/>
    <n v="0"/>
    <s v="Wellness"/>
  </r>
  <r>
    <s v="P434360"/>
    <s v="High-Potency Night-a-Mins Resurfacing Cream with Fruit-Derived AHAs"/>
    <n v="3733"/>
    <s v="Origins"/>
    <n v="18198"/>
    <x v="2"/>
    <n v="4.3159000000000001"/>
    <s v="Yes"/>
    <s v="High"/>
    <n v="1336"/>
    <x v="23"/>
    <s v="Premium"/>
    <n v="0"/>
    <n v="0"/>
    <s v="Moisturizers"/>
  </r>
  <r>
    <s v="P9941"/>
    <s v="Essential-C Cleanser"/>
    <n v="4164"/>
    <s v="Murad"/>
    <n v="18246"/>
    <x v="2"/>
    <n v="4.4962"/>
    <s v="Yes"/>
    <s v="High"/>
    <n v="391"/>
    <x v="124"/>
    <s v="Mid"/>
    <n v="0"/>
    <n v="0"/>
    <s v="Cleansers"/>
  </r>
  <r>
    <s v="P432048"/>
    <s v="Resurfacing AHA + BHA Serum"/>
    <n v="7020"/>
    <s v="Tata Harper"/>
    <n v="18261"/>
    <x v="2"/>
    <n v="4.2561999999999998"/>
    <s v="Yes"/>
    <s v="High"/>
    <n v="320"/>
    <x v="27"/>
    <s v="Premium"/>
    <n v="0"/>
    <n v="0"/>
    <s v="Treatments"/>
  </r>
  <r>
    <s v="P475590"/>
    <s v="MINI GINZING VITAMIN C EYE CREAM TO BRIGHTEN AND DEPUFF"/>
    <n v="3733"/>
    <s v="Origins"/>
    <n v="18284"/>
    <x v="2"/>
    <n v="3.45"/>
    <s v="Yes"/>
    <s v="Medium"/>
    <n v="40"/>
    <x v="31"/>
    <s v="Mid"/>
    <n v="0"/>
    <n v="0"/>
    <s v="Eye Care"/>
  </r>
  <r>
    <s v="P479633"/>
    <s v="Pore Remedy Purifying Mud Mask"/>
    <n v="6014"/>
    <s v="Dr. Jart+"/>
    <n v="18287"/>
    <x v="2"/>
    <n v="4.1780999999999997"/>
    <s v="Yes"/>
    <s v="High"/>
    <n v="320"/>
    <x v="59"/>
    <s v="Budget"/>
    <n v="0"/>
    <n v="0"/>
    <s v="Masks"/>
  </r>
  <r>
    <s v="P431847"/>
    <s v="Glow Sweet Glow - Skin Hydration Vegan Gummies with Hyaluronic Acid &amp; Vitamin C + E"/>
    <n v="7050"/>
    <s v="HUM Nutrition"/>
    <n v="18297"/>
    <x v="2"/>
    <n v="4.1070000000000002"/>
    <s v="Yes"/>
    <s v="High"/>
    <n v="187"/>
    <x v="95"/>
    <s v="Mid"/>
    <n v="0"/>
    <n v="0"/>
    <s v="Wellness"/>
  </r>
  <r>
    <s v="P440949"/>
    <s v="Liquid Gold Exfoliating Treatment with Glycolic acid"/>
    <n v="6283"/>
    <s v="Alpha-H"/>
    <n v="18300"/>
    <x v="2"/>
    <n v="4.5092999999999996"/>
    <s v="Yes"/>
    <s v="High"/>
    <n v="915"/>
    <x v="70"/>
    <s v="Premium"/>
    <n v="0"/>
    <n v="0"/>
    <s v="Treatments"/>
  </r>
  <r>
    <s v="P91627362"/>
    <s v="GO OFF Makeup Dissolving Mist"/>
    <n v="6326"/>
    <s v="ONE/SIZE by Patrick Starrr"/>
    <n v="18322"/>
    <x v="2"/>
    <n v="4.1745999999999999"/>
    <s v="Yes"/>
    <s v="High"/>
    <n v="252"/>
    <x v="0"/>
    <s v="Mid"/>
    <n v="0"/>
    <n v="0"/>
    <s v="Cleansers"/>
  </r>
  <r>
    <s v="P408301"/>
    <s v="Purifying Pore &amp; Blackhead Detox Mask"/>
    <n v="7020"/>
    <s v="Tata Harper"/>
    <n v="18342"/>
    <x v="2"/>
    <n v="3.8450000000000002"/>
    <s v="Yes"/>
    <s v="Medium"/>
    <n v="129"/>
    <x v="76"/>
    <s v="Premium"/>
    <n v="0"/>
    <n v="0"/>
    <s v="Masks"/>
  </r>
  <r>
    <s v="P448201"/>
    <s v="Benefiance Wrinkle Smoothing Day Cream SPF 23"/>
    <n v="5337"/>
    <s v="Shiseido"/>
    <n v="18392"/>
    <x v="2"/>
    <n v="4.5121000000000002"/>
    <s v="Yes"/>
    <s v="High"/>
    <n v="207"/>
    <x v="76"/>
    <s v="Premium"/>
    <n v="0"/>
    <n v="0"/>
    <s v="Moisturizers"/>
  </r>
  <r>
    <s v="P478029"/>
    <s v="Mini Fulvic Acid Brightening Cleanser"/>
    <n v="6285"/>
    <s v="The INKEY List"/>
    <n v="18399"/>
    <x v="2"/>
    <n v="4.4203000000000001"/>
    <s v="Yes"/>
    <s v="High"/>
    <n v="345"/>
    <x v="134"/>
    <s v="Budget"/>
    <n v="0"/>
    <n v="0"/>
    <s v="Cleansers"/>
  </r>
  <r>
    <s v="P474329"/>
    <s v="Face Glaze Skin Barrier Protect &amp; Glow Moisturizer"/>
    <n v="6357"/>
    <s v="iNNBEAUTY PROJECT"/>
    <n v="18465"/>
    <x v="2"/>
    <n v="4.6237000000000004"/>
    <s v="Yes"/>
    <s v="High"/>
    <n v="194"/>
    <x v="94"/>
    <s v="Mid"/>
    <n v="0"/>
    <n v="0"/>
    <s v="Moisturizers"/>
  </r>
  <r>
    <s v="P244701"/>
    <s v="Acne Solutions Oil-Control Cleansing Mask"/>
    <n v="1254"/>
    <s v="CLINIQUE"/>
    <n v="18472"/>
    <x v="2"/>
    <n v="4.4768999999999997"/>
    <s v="Yes"/>
    <s v="High"/>
    <n v="281"/>
    <x v="31"/>
    <s v="Mid"/>
    <n v="0"/>
    <n v="0"/>
    <s v="Masks"/>
  </r>
  <r>
    <s v="P504636"/>
    <s v="Mini Watermelon Glow Niacinamide Dew Drops"/>
    <n v="6189"/>
    <s v="Glow Recipe"/>
    <n v="18565"/>
    <x v="2"/>
    <n v="4"/>
    <s v="Yes"/>
    <s v="High"/>
    <n v="13"/>
    <x v="60"/>
    <s v="Mid"/>
    <n v="1"/>
    <n v="0"/>
    <s v="Treatments"/>
  </r>
  <r>
    <s v="P450917"/>
    <s v="Mini FIRMx Exfoliating Peel Gel"/>
    <n v="3728"/>
    <s v="Peter Thomas Roth"/>
    <n v="18585"/>
    <x v="2"/>
    <n v="4.5391000000000004"/>
    <s v="Yes"/>
    <s v="High"/>
    <n v="1686"/>
    <x v="47"/>
    <s v="Budget"/>
    <n v="0"/>
    <n v="0"/>
    <s v="Mini Size"/>
  </r>
  <r>
    <s v="P473126"/>
    <s v="CLINICAL Discoloration Repair Serum"/>
    <n v="6341"/>
    <s v="Paula's Choice"/>
    <n v="18644"/>
    <x v="2"/>
    <n v="4.6521999999999997"/>
    <s v="Yes"/>
    <s v="High"/>
    <n v="138"/>
    <x v="23"/>
    <s v="Premium"/>
    <n v="0"/>
    <n v="0"/>
    <s v="Treatments"/>
  </r>
  <r>
    <s v="P446422"/>
    <s v="Avocado Nourishing Hydration Mask"/>
    <n v="6218"/>
    <s v="Kiehl's Since 1851"/>
    <n v="18646"/>
    <x v="2"/>
    <n v="3.9018999999999999"/>
    <s v="Yes"/>
    <s v="Medium"/>
    <n v="316"/>
    <x v="14"/>
    <s v="Mid"/>
    <n v="0"/>
    <n v="0"/>
    <s v="Masks"/>
  </r>
  <r>
    <s v="P469525"/>
    <s v="Omega+ Complex Serum"/>
    <n v="6341"/>
    <s v="Paula's Choice"/>
    <n v="18794"/>
    <x v="2"/>
    <n v="4.0545"/>
    <s v="Yes"/>
    <s v="High"/>
    <n v="55"/>
    <x v="36"/>
    <s v="Mid"/>
    <n v="0"/>
    <n v="0"/>
    <s v="Treatments"/>
  </r>
  <r>
    <s v="P434340"/>
    <s v="De-Puffing Rose Quartz Facial Roller"/>
    <n v="6256"/>
    <s v="Mount Lai"/>
    <n v="18840"/>
    <x v="2"/>
    <n v="4"/>
    <s v="Yes"/>
    <s v="High"/>
    <n v="75"/>
    <x v="24"/>
    <s v="Mid"/>
    <n v="0"/>
    <n v="0"/>
    <s v="Wellness"/>
  </r>
  <r>
    <s v="P479353"/>
    <s v="Hyaluronic Acid Cleanser"/>
    <n v="6285"/>
    <s v="The INKEY List"/>
    <n v="18857"/>
    <x v="2"/>
    <n v="4.1734999999999998"/>
    <s v="Yes"/>
    <s v="High"/>
    <n v="219"/>
    <x v="39"/>
    <s v="Budget"/>
    <n v="0"/>
    <n v="0"/>
    <s v="Cleansers"/>
  </r>
  <r>
    <s v="P478239"/>
    <s v="Vinopure Purifying Clay Mask"/>
    <n v="4171"/>
    <s v="Caudalie"/>
    <n v="18954"/>
    <x v="2"/>
    <n v="4.6318999999999999"/>
    <s v="Yes"/>
    <s v="High"/>
    <n v="144"/>
    <x v="36"/>
    <s v="Mid"/>
    <n v="0"/>
    <n v="0"/>
    <s v="Masks"/>
  </r>
  <r>
    <s v="P385253"/>
    <s v="Dr. Andrew Weil For Origins Mega-Bright SPF 30 Skin Tone Correcting Oil-Free Moisturizer"/>
    <n v="3733"/>
    <s v="Origins"/>
    <n v="18986"/>
    <x v="2"/>
    <n v="4.0965999999999996"/>
    <s v="Yes"/>
    <s v="High"/>
    <n v="207"/>
    <x v="80"/>
    <s v="Premium"/>
    <n v="0"/>
    <n v="0"/>
    <s v="Moisturizers"/>
  </r>
  <r>
    <s v="P429522"/>
    <s v="Super Fluid Daily UV Defense Sunscreen Broad Spectrum SPF 50+"/>
    <n v="6218"/>
    <s v="Kiehl's Since 1851"/>
    <n v="18993"/>
    <x v="2"/>
    <n v="3.6048"/>
    <s v="Yes"/>
    <s v="Medium"/>
    <n v="124"/>
    <x v="6"/>
    <s v="Premium"/>
    <n v="1"/>
    <n v="0"/>
    <s v="Sunscreen"/>
  </r>
  <r>
    <s v="P471226"/>
    <s v="Vinoperfect Instant Brightening Moisturizer with Niacinamide"/>
    <n v="4171"/>
    <s v="Caudalie"/>
    <n v="19036"/>
    <x v="2"/>
    <n v="4.3968999999999996"/>
    <s v="Yes"/>
    <s v="High"/>
    <n v="703"/>
    <x v="92"/>
    <s v="Premium"/>
    <n v="0"/>
    <n v="0"/>
    <s v="Moisturizers"/>
  </r>
  <r>
    <s v="P416344"/>
    <s v="The Cleansing Foam"/>
    <n v="6201"/>
    <s v="La Mer"/>
    <n v="19070"/>
    <x v="2"/>
    <n v="4"/>
    <s v="Yes"/>
    <s v="High"/>
    <n v="119"/>
    <x v="73"/>
    <s v="Premium"/>
    <n v="0"/>
    <n v="0"/>
    <s v="Cleansers"/>
  </r>
  <r>
    <s v="P448937"/>
    <s v="ICE Ceramide Moisturizer with Vitamin F"/>
    <n v="6073"/>
    <s v="Sunday Riley"/>
    <n v="19213"/>
    <x v="2"/>
    <n v="4.0839999999999996"/>
    <s v="Yes"/>
    <s v="High"/>
    <n v="1178"/>
    <x v="92"/>
    <s v="Premium"/>
    <n v="0"/>
    <n v="0"/>
    <s v="Moisturizers"/>
  </r>
  <r>
    <s v="P466673"/>
    <s v="Rapid Dark Spot Correcting Serum"/>
    <n v="4164"/>
    <s v="Murad"/>
    <n v="19264"/>
    <x v="2"/>
    <n v="4.3875999999999999"/>
    <s v="Yes"/>
    <s v="High"/>
    <n v="663"/>
    <x v="132"/>
    <s v="Premium"/>
    <n v="0"/>
    <n v="0"/>
    <s v="Treatments"/>
  </r>
  <r>
    <s v="P475190"/>
    <s v="Rose Glow + Get It Cooling &amp; Brightening Eye Balm"/>
    <n v="6373"/>
    <s v="TULA Skincare"/>
    <n v="19298"/>
    <x v="2"/>
    <n v="4.0731999999999999"/>
    <s v="Yes"/>
    <s v="High"/>
    <n v="369"/>
    <x v="29"/>
    <s v="Mid"/>
    <n v="0"/>
    <n v="0"/>
    <s v="Eye Care"/>
  </r>
  <r>
    <s v="P502740"/>
    <s v="Masking Minis 5-Piece Mask Kit"/>
    <n v="3728"/>
    <s v="Peter Thomas Roth"/>
    <n v="19378"/>
    <x v="2"/>
    <n v="4"/>
    <s v="Yes"/>
    <s v="High"/>
    <n v="7"/>
    <x v="13"/>
    <s v="Budget"/>
    <n v="0"/>
    <n v="0"/>
    <s v="Value &amp; Gift Sets"/>
  </r>
  <r>
    <s v="P455235"/>
    <s v="Superstars Anti-Aging Serum and Eye Kit"/>
    <n v="6073"/>
    <s v="Sunday Riley"/>
    <n v="19425"/>
    <x v="2"/>
    <n v="4.16"/>
    <s v="Yes"/>
    <s v="High"/>
    <n v="25"/>
    <x v="87"/>
    <s v="Premium"/>
    <n v="0"/>
    <n v="0"/>
    <s v="Value &amp; Gift Sets"/>
  </r>
  <r>
    <s v="P474060"/>
    <s v="Mini Rare Earth Deep Pore Minimizing Cleansing Clay Mask"/>
    <n v="6218"/>
    <s v="Kiehl's Since 1851"/>
    <n v="19428"/>
    <x v="2"/>
    <n v="4.5419999999999998"/>
    <s v="Yes"/>
    <s v="High"/>
    <n v="524"/>
    <x v="94"/>
    <s v="Mid"/>
    <n v="0"/>
    <n v="0"/>
    <s v="Mini Size"/>
  </r>
  <r>
    <s v="P201440"/>
    <s v="Redness Solutions with Probiotic Technology Daily Relief Cream"/>
    <n v="1254"/>
    <s v="CLINIQUE"/>
    <n v="19437"/>
    <x v="2"/>
    <n v="4.0050999999999997"/>
    <s v="Yes"/>
    <s v="High"/>
    <n v="583"/>
    <x v="70"/>
    <s v="Premium"/>
    <n v="0"/>
    <n v="0"/>
    <s v="Moisturizers"/>
  </r>
  <r>
    <s v="P417984"/>
    <s v="Moisture Surge Hydrating Supercharged Concentrate"/>
    <n v="1254"/>
    <s v="CLINIQUE"/>
    <n v="19480"/>
    <x v="2"/>
    <n v="4.0246000000000004"/>
    <s v="Yes"/>
    <s v="High"/>
    <n v="244"/>
    <x v="124"/>
    <s v="Mid"/>
    <n v="0"/>
    <n v="0"/>
    <s v="Moisturizers"/>
  </r>
  <r>
    <s v="P471033"/>
    <s v="CLOUD JELLY Plumping Hydration Serum"/>
    <n v="6117"/>
    <s v="Herbivore"/>
    <n v="19480"/>
    <x v="2"/>
    <n v="4.3875999999999999"/>
    <s v="Yes"/>
    <s v="High"/>
    <n v="209"/>
    <x v="50"/>
    <s v="Premium"/>
    <n v="0"/>
    <n v="0"/>
    <s v="Treatments"/>
  </r>
  <r>
    <s v="P471535"/>
    <s v="Aqua Bomb Brightening Vitamin C Cream"/>
    <n v="7075"/>
    <s v="belif"/>
    <n v="19491"/>
    <x v="2"/>
    <n v="4.4992000000000001"/>
    <s v="Yes"/>
    <s v="High"/>
    <n v="1242"/>
    <x v="44"/>
    <s v="Mid"/>
    <n v="0"/>
    <n v="0"/>
    <s v="Moisturizers"/>
  </r>
  <r>
    <s v="P429954"/>
    <s v="Clarifying Blemish &amp; Oil Control Cleanser"/>
    <n v="7020"/>
    <s v="Tata Harper"/>
    <n v="19570"/>
    <x v="2"/>
    <n v="3.9476"/>
    <s v="Yes"/>
    <s v="Medium"/>
    <n v="267"/>
    <x v="118"/>
    <s v="Premium"/>
    <n v="0"/>
    <n v="0"/>
    <s v="Cleansers"/>
  </r>
  <r>
    <s v="P440483"/>
    <s v="Facial Spray with Aloe, Cucumber and Green Tea"/>
    <n v="8017"/>
    <s v="Mario Badescu"/>
    <n v="19617"/>
    <x v="2"/>
    <n v="3.9603000000000002"/>
    <s v="Yes"/>
    <s v="Medium"/>
    <n v="126"/>
    <x v="127"/>
    <s v="Budget"/>
    <n v="0"/>
    <n v="0"/>
    <s v="Moisturizers"/>
  </r>
  <r>
    <s v="P232910"/>
    <s v="Goat Milk Moisturizing Cream"/>
    <n v="5946"/>
    <s v="Kate Somerville"/>
    <n v="19623"/>
    <x v="2"/>
    <n v="4.0449000000000002"/>
    <s v="Yes"/>
    <s v="High"/>
    <n v="623"/>
    <x v="113"/>
    <s v="Premium"/>
    <n v="0"/>
    <n v="0"/>
    <s v="Moisturizers"/>
  </r>
  <r>
    <s v="P271682"/>
    <s v="Instant FIRMx Temporary Face Tightener"/>
    <n v="3728"/>
    <s v="Peter Thomas Roth"/>
    <n v="19631"/>
    <x v="2"/>
    <n v="3.5567000000000002"/>
    <s v="Yes"/>
    <s v="Medium"/>
    <n v="476"/>
    <x v="25"/>
    <s v="Mid"/>
    <n v="0"/>
    <n v="0"/>
    <s v="Treatments"/>
  </r>
  <r>
    <s v="P501028"/>
    <s v="Ceramighty  AF Eye Cream with Ceramides"/>
    <n v="7083"/>
    <s v="Drunk Elephant"/>
    <n v="19664"/>
    <x v="2"/>
    <n v="4.3971999999999998"/>
    <s v="Yes"/>
    <s v="High"/>
    <n v="428"/>
    <x v="37"/>
    <s v="Premium"/>
    <n v="0"/>
    <n v="1"/>
    <s v="Eye Care"/>
  </r>
  <r>
    <s v="P466163"/>
    <s v="Thirst Trap Juice Hyaluronic Acid &amp; Peptide Hydrating Facial Serum"/>
    <n v="6316"/>
    <s v="Wishful"/>
    <n v="19684"/>
    <x v="2"/>
    <n v="4.6105999999999998"/>
    <s v="Yes"/>
    <s v="High"/>
    <n v="434"/>
    <x v="84"/>
    <s v="Mid"/>
    <n v="0"/>
    <n v="0"/>
    <s v="Treatments"/>
  </r>
  <r>
    <s v="P444964"/>
    <s v="The Lip Volumizer"/>
    <n v="6201"/>
    <s v="La Mer"/>
    <n v="19686"/>
    <x v="2"/>
    <n v="3.5535999999999999"/>
    <s v="Yes"/>
    <s v="Medium"/>
    <n v="56"/>
    <x v="99"/>
    <s v="Premium"/>
    <n v="0"/>
    <n v="0"/>
    <s v="Lip Balms &amp; Treatments"/>
  </r>
  <r>
    <s v="P415202"/>
    <s v="Wrinkle Warrior 2-in-1 Plumping Moisturizer + Serum"/>
    <n v="5946"/>
    <s v="Kate Somerville"/>
    <n v="19713"/>
    <x v="2"/>
    <n v="3.7075"/>
    <s v="Yes"/>
    <s v="Medium"/>
    <n v="359"/>
    <x v="131"/>
    <s v="Premium"/>
    <n v="0"/>
    <n v="0"/>
    <s v="Moisturizers"/>
  </r>
  <r>
    <s v="P384537"/>
    <s v="GENIUS Ultimate Anti-Aging Cream"/>
    <n v="6018"/>
    <s v="Algenist"/>
    <n v="19733"/>
    <x v="2"/>
    <n v="4.2525000000000004"/>
    <s v="Yes"/>
    <s v="High"/>
    <n v="503"/>
    <x v="107"/>
    <s v="Premium"/>
    <n v="0"/>
    <n v="0"/>
    <s v="Moisturizers"/>
  </r>
  <r>
    <s v="P481825"/>
    <s v="Hydro UV Defense Sunscreen Broad Spectrum SPF 50+"/>
    <n v="6125"/>
    <s v="LANEIGE"/>
    <n v="19738"/>
    <x v="2"/>
    <n v="4.2583000000000002"/>
    <s v="Yes"/>
    <s v="High"/>
    <n v="151"/>
    <x v="78"/>
    <s v="Mid"/>
    <n v="0"/>
    <n v="0"/>
    <s v="Sunscreen"/>
  </r>
  <r>
    <s v="P415773"/>
    <s v="Pep-Start Daily UV Protector Broad Spectrum SPF 50"/>
    <n v="1254"/>
    <s v="CLINIQUE"/>
    <n v="19781"/>
    <x v="2"/>
    <n v="4.2521000000000004"/>
    <s v="Yes"/>
    <s v="High"/>
    <n v="365"/>
    <x v="112"/>
    <s v="Mid"/>
    <n v="0"/>
    <n v="0"/>
    <s v="Sunscreen"/>
  </r>
  <r>
    <s v="P469524"/>
    <s v="RESIST Super-Light Daily Wrinkle Defense SPF 30"/>
    <n v="6341"/>
    <s v="Paula's Choice"/>
    <n v="19795"/>
    <x v="2"/>
    <n v="4.2556000000000003"/>
    <s v="Yes"/>
    <s v="High"/>
    <n v="133"/>
    <x v="96"/>
    <s v="Mid"/>
    <n v="0"/>
    <n v="0"/>
    <s v="Sunscreen"/>
  </r>
  <r>
    <s v="P463964"/>
    <s v="Pink Drink Firming Resurfacing Peptide Face Mist"/>
    <n v="6073"/>
    <s v="Sunday Riley"/>
    <n v="19808"/>
    <x v="2"/>
    <n v="3.8085"/>
    <s v="Yes"/>
    <s v="Medium"/>
    <n v="94"/>
    <x v="14"/>
    <s v="Mid"/>
    <n v="0"/>
    <n v="0"/>
    <s v="Moisturizers"/>
  </r>
  <r>
    <s v="P462347"/>
    <s v="E-Rase Milki Micellar Water Mini"/>
    <n v="7083"/>
    <s v="Drunk Elephant"/>
    <n v="19854"/>
    <x v="2"/>
    <n v="4.2812000000000001"/>
    <s v="Yes"/>
    <s v="High"/>
    <n v="1017"/>
    <x v="58"/>
    <s v="Budget"/>
    <n v="0"/>
    <n v="0"/>
    <s v="Mini Size"/>
  </r>
  <r>
    <s v="P411254"/>
    <s v="MAGNETIGHT Age-Defier Mask"/>
    <n v="4372"/>
    <s v="Dr. Brandt Skincare"/>
    <n v="19870"/>
    <x v="2"/>
    <n v="3.9216000000000002"/>
    <s v="Yes"/>
    <s v="Medium"/>
    <n v="306"/>
    <x v="76"/>
    <s v="Premium"/>
    <n v="0"/>
    <n v="0"/>
    <s v="Masks"/>
  </r>
  <r>
    <s v="P442850"/>
    <s v="Redness Recovery+ Antioxidant Redness Treatment Overnight Mask"/>
    <n v="6289"/>
    <s v="Skinfix"/>
    <n v="19905"/>
    <x v="2"/>
    <n v="4.1577000000000002"/>
    <s v="Yes"/>
    <s v="High"/>
    <n v="241"/>
    <x v="23"/>
    <s v="Premium"/>
    <n v="0"/>
    <n v="0"/>
    <s v="Masks"/>
  </r>
  <r>
    <s v="P472057"/>
    <s v="Vegan Makeup Remover and Cleansing Brush"/>
    <n v="3902"/>
    <s v="SEPHORA COLLECTION"/>
    <n v="19958"/>
    <x v="2"/>
    <n v="4.3651"/>
    <s v="Yes"/>
    <s v="High"/>
    <n v="241"/>
    <x v="58"/>
    <s v="Budget"/>
    <n v="0"/>
    <n v="0"/>
    <s v="High Tech Tools"/>
  </r>
  <r>
    <s v="P471009"/>
    <s v="Vinoperfect Brightening Glycolic Peel Mask"/>
    <n v="4171"/>
    <s v="Caudalie"/>
    <n v="19999"/>
    <x v="2"/>
    <n v="4.5365000000000002"/>
    <s v="Yes"/>
    <s v="High"/>
    <n v="192"/>
    <x v="36"/>
    <s v="Mid"/>
    <n v="0"/>
    <n v="0"/>
    <s v="Masks"/>
  </r>
  <r>
    <s v="P480165"/>
    <s v="Healthy Skin Starter Kit"/>
    <n v="8001"/>
    <s v="Farmacy"/>
    <n v="20010"/>
    <x v="2"/>
    <n v="4.7652999999999999"/>
    <s v="Yes"/>
    <s v="High"/>
    <n v="98"/>
    <x v="36"/>
    <s v="Mid"/>
    <n v="0"/>
    <n v="0"/>
    <s v="Value &amp; Gift Sets"/>
  </r>
  <r>
    <s v="P473728"/>
    <s v="Reusable Cotton Pads"/>
    <n v="3902"/>
    <s v="SEPHORA COLLECTION"/>
    <n v="20055"/>
    <x v="2"/>
    <n v="3.8246000000000002"/>
    <s v="Yes"/>
    <s v="Medium"/>
    <n v="57"/>
    <x v="57"/>
    <s v="Budget"/>
    <n v="0"/>
    <n v="0"/>
    <s v="Cleansers"/>
  </r>
  <r>
    <s v="P467748"/>
    <s v="Resveratrol Lift Firming Eye Gel-Cream"/>
    <n v="4171"/>
    <s v="Caudalie"/>
    <n v="20074"/>
    <x v="2"/>
    <n v="4.3333000000000004"/>
    <s v="Yes"/>
    <s v="High"/>
    <n v="174"/>
    <x v="48"/>
    <s v="Premium"/>
    <n v="0"/>
    <n v="0"/>
    <s v="Eye Care"/>
  </r>
  <r>
    <s v="P446909"/>
    <s v="Zincscreen 100% Mineral Sunscreen Lotion SPF 40 PA+++"/>
    <n v="5987"/>
    <s v="Supergoop!"/>
    <n v="20095"/>
    <x v="2"/>
    <n v="3.8729"/>
    <s v="Yes"/>
    <s v="Medium"/>
    <n v="354"/>
    <x v="124"/>
    <s v="Mid"/>
    <n v="0"/>
    <n v="0"/>
    <s v="Sunscreen"/>
  </r>
  <r>
    <s v="P473725"/>
    <s v="Resurfacing Peel Mask"/>
    <n v="3902"/>
    <s v="SEPHORA COLLECTION"/>
    <n v="20307"/>
    <x v="2"/>
    <n v="4.8299000000000003"/>
    <s v="Yes"/>
    <s v="High"/>
    <n v="241"/>
    <x v="5"/>
    <s v="Budget"/>
    <n v="0"/>
    <n v="0"/>
    <s v="Treatments"/>
  </r>
  <r>
    <s v="P480461"/>
    <s v="Retinol Youth Renewal Eye Masks"/>
    <n v="4164"/>
    <s v="Murad"/>
    <n v="20483"/>
    <x v="2"/>
    <n v="4.6294000000000004"/>
    <s v="Yes"/>
    <s v="High"/>
    <n v="367"/>
    <x v="36"/>
    <s v="Mid"/>
    <n v="0"/>
    <n v="0"/>
    <s v="Eye Care"/>
  </r>
  <r>
    <s v="P392248"/>
    <s v="Pekee Cleansing Bar"/>
    <n v="7083"/>
    <s v="Drunk Elephant"/>
    <n v="20586"/>
    <x v="2"/>
    <n v="4.4633000000000003"/>
    <s v="Yes"/>
    <s v="High"/>
    <n v="449"/>
    <x v="52"/>
    <s v="Mid"/>
    <n v="0"/>
    <n v="0"/>
    <s v="Cleansers"/>
  </r>
  <r>
    <s v="P439927"/>
    <s v="Liquid ExfoliKate Triple Acid Resurfacing Treatment"/>
    <n v="5946"/>
    <s v="Kate Somerville"/>
    <n v="20613"/>
    <x v="2"/>
    <n v="4.3723000000000001"/>
    <s v="Yes"/>
    <s v="High"/>
    <n v="282"/>
    <x v="55"/>
    <s v="Premium"/>
    <n v="0"/>
    <n v="0"/>
    <s v="Treatments"/>
  </r>
  <r>
    <s v="P454388"/>
    <s v="Mini Glow Oil SPF 50 PA++++"/>
    <n v="5987"/>
    <s v="Supergoop!"/>
    <n v="20710"/>
    <x v="2"/>
    <n v="3.9470000000000001"/>
    <s v="Yes"/>
    <s v="Medium"/>
    <n v="396"/>
    <x v="64"/>
    <s v="Budget"/>
    <n v="0"/>
    <n v="0"/>
    <s v="Mini Size"/>
  </r>
  <r>
    <s v="P455897"/>
    <s v="Ethylated Ascorbic Acid 15% Solution"/>
    <n v="6234"/>
    <s v="The Ordinary"/>
    <n v="20715"/>
    <x v="2"/>
    <n v="4"/>
    <s v="Yes"/>
    <s v="High"/>
    <n v="42"/>
    <x v="60"/>
    <s v="Mid"/>
    <n v="0"/>
    <n v="1"/>
    <s v="Treatments"/>
  </r>
  <r>
    <s v="P503878"/>
    <s v="Pout Preserve Peptide Lip Treatment"/>
    <n v="5674"/>
    <s v="OLEHENRIKSEN"/>
    <n v="20729"/>
    <x v="2"/>
    <n v="4.5727000000000002"/>
    <s v="Yes"/>
    <s v="High"/>
    <n v="110"/>
    <x v="75"/>
    <s v="Mid"/>
    <n v="1"/>
    <n v="0"/>
    <s v="Lip Balms &amp; Treatments"/>
  </r>
  <r>
    <s v="P503668"/>
    <s v="Barrier+ Triple Lipid + Collagen + Niacinamide Activating Serum"/>
    <n v="6289"/>
    <s v="Skinfix"/>
    <n v="20730"/>
    <x v="2"/>
    <n v="4.8242000000000003"/>
    <s v="Yes"/>
    <s v="High"/>
    <n v="455"/>
    <x v="116"/>
    <s v="Premium"/>
    <n v="0"/>
    <n v="0"/>
    <s v="Treatments"/>
  </r>
  <r>
    <s v="P397310"/>
    <s v="PoreDermabrasion Pore Perfecting Exfoliator"/>
    <n v="4372"/>
    <s v="Dr. Brandt Skincare"/>
    <n v="20771"/>
    <x v="2"/>
    <n v="4.2436999999999996"/>
    <s v="Yes"/>
    <s v="High"/>
    <n v="316"/>
    <x v="83"/>
    <s v="Premium"/>
    <n v="0"/>
    <n v="0"/>
    <s v="Cleansers"/>
  </r>
  <r>
    <s v="P457512"/>
    <s v="Overnight Glow Dark Spot Sleeping Cream"/>
    <n v="5857"/>
    <s v="REN Clean Skincare"/>
    <n v="20807"/>
    <x v="2"/>
    <n v="4.1407999999999996"/>
    <s v="Yes"/>
    <s v="High"/>
    <n v="476"/>
    <x v="103"/>
    <s v="Premium"/>
    <n v="0"/>
    <n v="0"/>
    <s v="Moisturizers"/>
  </r>
  <r>
    <s v="P392239"/>
    <s v="Menthol And Eucalyptus Lip Balm"/>
    <n v="5671"/>
    <s v="Rosebud Perfume Co."/>
    <n v="20830"/>
    <x v="2"/>
    <n v="4.0998000000000001"/>
    <s v="Yes"/>
    <s v="High"/>
    <n v="401"/>
    <x v="127"/>
    <s v="Budget"/>
    <n v="0"/>
    <n v="0"/>
    <s v="Lip Balms &amp; Treatments"/>
  </r>
  <r>
    <s v="P465368"/>
    <s v="Mini Ready Steady Glow Daily AHA Tonic"/>
    <n v="5857"/>
    <s v="REN Clean Skincare"/>
    <n v="20852"/>
    <x v="2"/>
    <n v="4.1429999999999998"/>
    <s v="Yes"/>
    <s v="High"/>
    <n v="1238"/>
    <x v="75"/>
    <s v="Mid"/>
    <n v="0"/>
    <n v="0"/>
    <s v="Cleansers"/>
  </r>
  <r>
    <s v="P394124"/>
    <s v="Argan Daily Moisturizer Tinted SPF 47 Protect + Perfect"/>
    <n v="5922"/>
    <s v="Josie Maran"/>
    <n v="20882"/>
    <x v="2"/>
    <n v="4.0122999999999998"/>
    <s v="Yes"/>
    <s v="High"/>
    <n v="487"/>
    <x v="12"/>
    <s v="Mid"/>
    <n v="0"/>
    <n v="0"/>
    <s v="Sunscreen"/>
  </r>
  <r>
    <s v="P473828"/>
    <s v="Ceramidin  Eye Cream with Niacinamide"/>
    <n v="6014"/>
    <s v="Dr. Jart+"/>
    <n v="20885"/>
    <x v="2"/>
    <n v="4.5472999999999999"/>
    <s v="Yes"/>
    <s v="High"/>
    <n v="433"/>
    <x v="24"/>
    <s v="Mid"/>
    <n v="0"/>
    <n v="0"/>
    <s v="Eye Care"/>
  </r>
  <r>
    <s v="P467971"/>
    <s v="Brightening Dark Circle Eye Cream"/>
    <n v="5857"/>
    <s v="REN Clean Skincare"/>
    <n v="20905"/>
    <x v="2"/>
    <n v="4.3026999999999997"/>
    <s v="Yes"/>
    <s v="High"/>
    <n v="370"/>
    <x v="68"/>
    <s v="Premium"/>
    <n v="0"/>
    <n v="0"/>
    <s v="Eye Care"/>
  </r>
  <r>
    <s v="P430818"/>
    <s v="SEA Mermaid Skin Hyaluronic H2O Serum"/>
    <n v="5648"/>
    <s v="tarte"/>
    <n v="20912"/>
    <x v="2"/>
    <n v="4.1093000000000002"/>
    <s v="Yes"/>
    <s v="High"/>
    <n v="302"/>
    <x v="64"/>
    <s v="Budget"/>
    <n v="0"/>
    <n v="1"/>
    <s v="Treatments"/>
  </r>
  <r>
    <s v="P480160"/>
    <s v="Premier Cru Anti Aging Cream Moisturizer with Hyaluronic Acid"/>
    <n v="4171"/>
    <s v="Caudalie"/>
    <n v="20963"/>
    <x v="2"/>
    <n v="4.6379000000000001"/>
    <s v="Yes"/>
    <s v="High"/>
    <n v="243"/>
    <x v="106"/>
    <s v="Premium"/>
    <n v="0"/>
    <n v="0"/>
    <s v="Moisturizers"/>
  </r>
  <r>
    <s v="P443350"/>
    <s v="Mini Precleanse Cleansing Oil"/>
    <n v="6219"/>
    <s v="Dermalogica"/>
    <n v="20995"/>
    <x v="2"/>
    <n v="4.5434999999999999"/>
    <s v="Yes"/>
    <s v="High"/>
    <n v="1229"/>
    <x v="64"/>
    <s v="Budget"/>
    <n v="0"/>
    <n v="0"/>
    <s v="Mini Size"/>
  </r>
  <r>
    <s v="P467647"/>
    <s v="Melting Cleansing Balm Cleanse + Balance"/>
    <n v="3902"/>
    <s v="SEPHORA COLLECTION"/>
    <n v="21017"/>
    <x v="2"/>
    <n v="3.6314000000000002"/>
    <s v="Yes"/>
    <s v="Medium"/>
    <n v="331"/>
    <x v="51"/>
    <s v="Budget"/>
    <n v="0"/>
    <n v="0"/>
    <s v="Cleansers"/>
  </r>
  <r>
    <s v="P447597"/>
    <s v="100% Organic Virgin Chia Seed Oil"/>
    <n v="6234"/>
    <s v="The Ordinary"/>
    <n v="21125"/>
    <x v="2"/>
    <n v="4.1891999999999996"/>
    <s v="Yes"/>
    <s v="High"/>
    <n v="74"/>
    <x v="135"/>
    <s v="Budget"/>
    <n v="0"/>
    <n v="1"/>
    <s v="Moisturizers"/>
  </r>
  <r>
    <s v="P427638"/>
    <s v="Nutrient-Charged Water Gel"/>
    <n v="4164"/>
    <s v="Murad"/>
    <n v="21135"/>
    <x v="2"/>
    <n v="4.4755000000000003"/>
    <s v="Yes"/>
    <s v="High"/>
    <n v="633"/>
    <x v="136"/>
    <s v="Premium"/>
    <n v="0"/>
    <n v="0"/>
    <s v="Moisturizers"/>
  </r>
  <r>
    <s v="P462829"/>
    <s v="Squalane + Elderberry Nourishing Jelly Cleanser"/>
    <n v="6195"/>
    <s v="Biossance"/>
    <n v="21228"/>
    <x v="2"/>
    <n v="3.6440999999999999"/>
    <s v="Yes"/>
    <s v="Medium"/>
    <n v="236"/>
    <x v="52"/>
    <s v="Mid"/>
    <n v="0"/>
    <n v="1"/>
    <s v="Cleansers"/>
  </r>
  <r>
    <s v="P460624"/>
    <s v="Discover Healthy Skin Kit"/>
    <n v="6219"/>
    <s v="Dermalogica"/>
    <n v="21230"/>
    <x v="2"/>
    <n v="4.6265000000000001"/>
    <s v="Yes"/>
    <s v="High"/>
    <n v="415"/>
    <x v="137"/>
    <s v="Mid"/>
    <n v="0"/>
    <n v="0"/>
    <s v="Value &amp; Gift Sets"/>
  </r>
  <r>
    <s v="P469086"/>
    <s v="Facial Cleansing Tool"/>
    <n v="3902"/>
    <s v="SEPHORA COLLECTION"/>
    <n v="21304"/>
    <x v="2"/>
    <n v="4.7300000000000004"/>
    <s v="Yes"/>
    <s v="High"/>
    <n v="100"/>
    <x v="110"/>
    <s v="Budget"/>
    <n v="0"/>
    <n v="0"/>
    <s v="High Tech Tools"/>
  </r>
  <r>
    <s v="P446419"/>
    <s v="Noni Bright 12% Vitamin C Serum"/>
    <n v="6207"/>
    <s v="KORA Organics"/>
    <n v="21320"/>
    <x v="2"/>
    <n v="4.2287999999999997"/>
    <s v="Yes"/>
    <s v="High"/>
    <n v="389"/>
    <x v="91"/>
    <s v="Premium"/>
    <n v="0"/>
    <n v="0"/>
    <s v="Treatments"/>
  </r>
  <r>
    <s v="P388545"/>
    <s v="Perfect Cleansing Oil"/>
    <n v="5337"/>
    <s v="Shiseido"/>
    <n v="21389"/>
    <x v="2"/>
    <n v="4.4513999999999996"/>
    <s v="Yes"/>
    <s v="High"/>
    <n v="144"/>
    <x v="9"/>
    <s v="Mid"/>
    <n v="0"/>
    <n v="0"/>
    <s v="Cleansers"/>
  </r>
  <r>
    <s v="P474832"/>
    <s v="Sugar Recovery Lip Mask Advanced Therapy"/>
    <n v="4348"/>
    <s v="fresh"/>
    <n v="21441"/>
    <x v="2"/>
    <n v="4.6973000000000003"/>
    <s v="Yes"/>
    <s v="High"/>
    <n v="598"/>
    <x v="52"/>
    <s v="Mid"/>
    <n v="0"/>
    <n v="0"/>
    <s v="Lip Balms &amp; Treatments"/>
  </r>
  <r>
    <s v="P270544"/>
    <s v="Hydrating Eye Cream"/>
    <n v="5644"/>
    <s v="Bobbi Brown"/>
    <n v="21441"/>
    <x v="2"/>
    <n v="4.0990000000000002"/>
    <s v="Yes"/>
    <s v="High"/>
    <n v="404"/>
    <x v="69"/>
    <s v="Premium"/>
    <n v="0"/>
    <n v="0"/>
    <s v="Eye Care"/>
  </r>
  <r>
    <s v="P453929"/>
    <s v="Retinol Youth Renewal Night Cream"/>
    <n v="4164"/>
    <s v="Murad"/>
    <n v="21491"/>
    <x v="2"/>
    <n v="4.6078000000000001"/>
    <s v="Yes"/>
    <s v="High"/>
    <n v="334"/>
    <x v="118"/>
    <s v="Premium"/>
    <n v="0"/>
    <n v="0"/>
    <s v="Moisturizers"/>
  </r>
  <r>
    <s v="P470058"/>
    <s v="Glowscreen Body Sunscreen SPF 40 PA+++"/>
    <n v="5987"/>
    <s v="Supergoop!"/>
    <n v="21531"/>
    <x v="2"/>
    <n v="4.4389000000000003"/>
    <s v="Yes"/>
    <s v="High"/>
    <n v="262"/>
    <x v="36"/>
    <s v="Mid"/>
    <n v="0"/>
    <n v="0"/>
    <s v="Sunscreen"/>
  </r>
  <r>
    <s v="P500633"/>
    <s v="Tea Elixir Niacinamide &amp; Hyaluronic Acid Anti-Aging Serum"/>
    <n v="4348"/>
    <s v="fresh"/>
    <n v="21533"/>
    <x v="2"/>
    <n v="4.7724000000000002"/>
    <s v="Yes"/>
    <s v="High"/>
    <n v="1872"/>
    <x v="19"/>
    <s v="Premium"/>
    <n v="0"/>
    <n v="0"/>
    <s v="Treatments"/>
  </r>
  <r>
    <s v="P500121"/>
    <s v="SOS Intensive Redness Relief Serum"/>
    <n v="2000"/>
    <s v="Tower 28 Beauty"/>
    <n v="21555"/>
    <x v="2"/>
    <n v="4.1901999999999999"/>
    <s v="Yes"/>
    <s v="High"/>
    <n v="163"/>
    <x v="18"/>
    <s v="Mid"/>
    <n v="0"/>
    <n v="0"/>
    <s v="Treatments"/>
  </r>
  <r>
    <s v="P500039"/>
    <s v="The Neck Serum - With 5 Peptides | 9% Peptide Blend"/>
    <n v="6323"/>
    <s v="NÃ©cessaire"/>
    <n v="21558"/>
    <x v="2"/>
    <n v="4.6902999999999997"/>
    <s v="Yes"/>
    <s v="High"/>
    <n v="226"/>
    <x v="37"/>
    <s v="Premium"/>
    <n v="0"/>
    <n v="0"/>
    <s v="Moisturizers"/>
  </r>
  <r>
    <s v="P454396"/>
    <s v="Lotus Youth Preserve Eye Cream"/>
    <n v="4348"/>
    <s v="fresh"/>
    <n v="21612"/>
    <x v="2"/>
    <n v="4.4036999999999997"/>
    <s v="Yes"/>
    <s v="High"/>
    <n v="763"/>
    <x v="44"/>
    <s v="Mid"/>
    <n v="0"/>
    <n v="0"/>
    <s v="Eye Care"/>
  </r>
  <r>
    <s v="P443370"/>
    <s v="BioLumin-C Vitamin C Serum"/>
    <n v="6219"/>
    <s v="Dermalogica"/>
    <n v="21673"/>
    <x v="2"/>
    <n v="4.5713999999999997"/>
    <s v="Yes"/>
    <s v="High"/>
    <n v="616"/>
    <x v="73"/>
    <s v="Premium"/>
    <n v="0"/>
    <n v="0"/>
    <s v="Treatments"/>
  </r>
  <r>
    <s v="P444222"/>
    <s v="Luxury Beauty Serum Calming Treatment"/>
    <n v="6294"/>
    <s v="Saint Jane Beauty"/>
    <n v="21687"/>
    <x v="2"/>
    <n v="4.3971999999999998"/>
    <s v="Yes"/>
    <s v="High"/>
    <n v="355"/>
    <x v="81"/>
    <s v="Premium"/>
    <n v="0"/>
    <n v="0"/>
    <s v="Treatments"/>
  </r>
  <r>
    <s v="P470057"/>
    <s v="Mineral Sheerscreen Sunscreen SPF 30 PA+++"/>
    <n v="5987"/>
    <s v="Supergoop!"/>
    <n v="21689"/>
    <x v="2"/>
    <n v="3.9472999999999998"/>
    <s v="Yes"/>
    <s v="Medium"/>
    <n v="455"/>
    <x v="12"/>
    <s v="Mid"/>
    <n v="0"/>
    <n v="0"/>
    <s v="Sunscreen"/>
  </r>
  <r>
    <s v="P504433"/>
    <s v="Pro Collagen Multi-Peptide Booster"/>
    <n v="6341"/>
    <s v="Paula's Choice"/>
    <n v="21691"/>
    <x v="2"/>
    <n v="4.7385999999999999"/>
    <s v="Yes"/>
    <s v="High"/>
    <n v="264"/>
    <x v="69"/>
    <s v="Premium"/>
    <n v="1"/>
    <n v="0"/>
    <s v="Treatments"/>
  </r>
  <r>
    <s v="P427397"/>
    <s v="Hydro Biotic Recovery Sleeping Mask"/>
    <n v="4372"/>
    <s v="Dr. Brandt Skincare"/>
    <n v="21773"/>
    <x v="2"/>
    <n v="4.5788000000000002"/>
    <s v="Yes"/>
    <s v="High"/>
    <n v="1187"/>
    <x v="30"/>
    <s v="Premium"/>
    <n v="0"/>
    <n v="0"/>
    <s v="Masks"/>
  </r>
  <r>
    <s v="P375841"/>
    <s v="Advanced GÃ©nifique Yeux Light-Pearl Eye Serum"/>
    <n v="1741"/>
    <s v="LancÃ´me"/>
    <n v="21787"/>
    <x v="2"/>
    <n v="4.0968"/>
    <s v="Yes"/>
    <s v="High"/>
    <n v="1002"/>
    <x v="19"/>
    <s v="Premium"/>
    <n v="0"/>
    <n v="0"/>
    <s v="Eye Care"/>
  </r>
  <r>
    <s v="P474939"/>
    <s v="Vinopure Natural Salicylic Acid Pore Minimizing Toner"/>
    <n v="4171"/>
    <s v="Caudalie"/>
    <n v="21937"/>
    <x v="2"/>
    <n v="4.0414000000000003"/>
    <s v="Yes"/>
    <s v="High"/>
    <n v="459"/>
    <x v="78"/>
    <s v="Mid"/>
    <n v="0"/>
    <n v="0"/>
    <s v="Cleansers"/>
  </r>
  <r>
    <s v="P4015"/>
    <s v="Clarifying Toner"/>
    <n v="4164"/>
    <s v="Murad"/>
    <n v="21951"/>
    <x v="2"/>
    <n v="4.3179999999999996"/>
    <s v="Yes"/>
    <s v="High"/>
    <n v="890"/>
    <x v="78"/>
    <s v="Mid"/>
    <n v="0"/>
    <n v="0"/>
    <s v="Cleansers"/>
  </r>
  <r>
    <s v="P455622"/>
    <s v="Even Better Clinical Radical Dark Spot Corrector + Interrupter Serum"/>
    <n v="1254"/>
    <s v="CLINIQUE"/>
    <n v="22013"/>
    <x v="2"/>
    <n v="3.5823999999999998"/>
    <s v="Yes"/>
    <s v="Medium"/>
    <n v="91"/>
    <x v="99"/>
    <s v="Premium"/>
    <n v="0"/>
    <n v="0"/>
    <s v="Treatments"/>
  </r>
  <r>
    <s v="P450632"/>
    <s v="Gentle Cleansing Foam Hydrating Makeup Remover"/>
    <n v="6307"/>
    <s v="Sulwhasoo"/>
    <n v="22064"/>
    <x v="2"/>
    <n v="4.5595999999999997"/>
    <s v="Yes"/>
    <s v="High"/>
    <n v="277"/>
    <x v="12"/>
    <s v="Mid"/>
    <n v="0"/>
    <n v="0"/>
    <s v="Cleansers"/>
  </r>
  <r>
    <s v="P440658"/>
    <s v="Baby Bar Travel Duo with Case"/>
    <n v="7083"/>
    <s v="Drunk Elephant"/>
    <n v="22114"/>
    <x v="2"/>
    <n v="4.3955000000000002"/>
    <s v="Yes"/>
    <s v="High"/>
    <n v="134"/>
    <x v="75"/>
    <s v="Mid"/>
    <n v="0"/>
    <n v="0"/>
    <s v="Value &amp; Gift Sets"/>
  </r>
  <r>
    <s v="P477157"/>
    <s v="Clearly Clean Makeup Removing Cleansing Balm"/>
    <n v="8001"/>
    <s v="Farmacy"/>
    <n v="22126"/>
    <x v="2"/>
    <n v="4.6494"/>
    <s v="Yes"/>
    <s v="High"/>
    <n v="619"/>
    <x v="8"/>
    <s v="Mid"/>
    <n v="0"/>
    <n v="0"/>
    <s v="Cleansers"/>
  </r>
  <r>
    <s v="P472466"/>
    <s v="Mini Rose &amp; Hyaluronic Acid Deep Hydration Moisturizer"/>
    <n v="4348"/>
    <s v="fresh"/>
    <n v="22152"/>
    <x v="2"/>
    <n v="3.9807999999999999"/>
    <s v="Yes"/>
    <s v="Medium"/>
    <n v="52"/>
    <x v="5"/>
    <s v="Budget"/>
    <n v="0"/>
    <n v="0"/>
    <s v="Moisturizers"/>
  </r>
  <r>
    <s v="P459131"/>
    <s v="3 Mega Wonders"/>
    <n v="5674"/>
    <s v="OLEHENRIKSEN"/>
    <n v="22166"/>
    <x v="2"/>
    <n v="4.2346000000000004"/>
    <s v="Yes"/>
    <s v="High"/>
    <n v="81"/>
    <x v="92"/>
    <s v="Premium"/>
    <n v="0"/>
    <n v="0"/>
    <s v="Value &amp; Gift Sets"/>
  </r>
  <r>
    <s v="P474826"/>
    <s v="Advanced Retinol + Ferulic Texture Renewal Serum"/>
    <n v="5668"/>
    <s v="Dr. Dennis Gross Skincare"/>
    <n v="22246"/>
    <x v="2"/>
    <n v="4.4667000000000003"/>
    <s v="Yes"/>
    <s v="High"/>
    <n v="285"/>
    <x v="113"/>
    <s v="Premium"/>
    <n v="0"/>
    <n v="0"/>
    <s v="Treatments"/>
  </r>
  <r>
    <s v="P502745"/>
    <s v="Plump + Juicy Vegan Collagen + Probiotic Spray-On Serum"/>
    <n v="6279"/>
    <s v="Kosas"/>
    <n v="22286"/>
    <x v="2"/>
    <n v="4.3741000000000003"/>
    <s v="Yes"/>
    <s v="High"/>
    <n v="139"/>
    <x v="14"/>
    <s v="Mid"/>
    <n v="0"/>
    <n v="0"/>
    <s v="Moisturizers"/>
  </r>
  <r>
    <s v="P472981"/>
    <s v="Advanced GÃ©nifique Wrinkle &amp; Dark Circle Eye Cream"/>
    <n v="1741"/>
    <s v="LancÃ´me"/>
    <n v="22310"/>
    <x v="2"/>
    <n v="4.6132999999999997"/>
    <s v="Yes"/>
    <s v="High"/>
    <n v="706"/>
    <x v="93"/>
    <s v="Premium"/>
    <n v="0"/>
    <n v="0"/>
    <s v="Eye Care"/>
  </r>
  <r>
    <s v="P173652"/>
    <s v="Bio-Performance Advanced Super Revitalizing Cream"/>
    <n v="5337"/>
    <s v="Shiseido"/>
    <n v="22311"/>
    <x v="2"/>
    <n v="4.5335000000000001"/>
    <s v="Yes"/>
    <s v="High"/>
    <n v="358"/>
    <x v="99"/>
    <s v="Premium"/>
    <n v="0"/>
    <n v="0"/>
    <s v="Moisturizers"/>
  </r>
  <r>
    <s v="P397622"/>
    <s v="Dermask Water Jet Soothing Hydra Solution"/>
    <n v="6014"/>
    <s v="Dr. Jart+"/>
    <n v="22325"/>
    <x v="2"/>
    <n v="4.0537999999999998"/>
    <s v="Yes"/>
    <s v="High"/>
    <n v="130"/>
    <x v="127"/>
    <s v="Budget"/>
    <n v="0"/>
    <n v="0"/>
    <s v="Masks"/>
  </r>
  <r>
    <s v="P404793"/>
    <s v="Sunshine Vitamin C + Squalane Face Oil"/>
    <n v="6134"/>
    <s v="MILK MAKEUP"/>
    <n v="22337"/>
    <x v="2"/>
    <n v="4.3712999999999997"/>
    <s v="Yes"/>
    <s v="High"/>
    <n v="967"/>
    <x v="7"/>
    <s v="Mid"/>
    <n v="0"/>
    <n v="0"/>
    <s v="Moisturizers"/>
  </r>
  <r>
    <s v="P470048"/>
    <s v="Bestsellers Recruitment Set"/>
    <n v="3733"/>
    <s v="Origins"/>
    <n v="22451"/>
    <x v="2"/>
    <n v="3.8809999999999998"/>
    <s v="Yes"/>
    <s v="Medium"/>
    <n v="42"/>
    <x v="31"/>
    <s v="Mid"/>
    <n v="0"/>
    <n v="0"/>
    <s v="Value &amp; Gift Sets"/>
  </r>
  <r>
    <s v="P480177"/>
    <s v="Super Multi-Corrective Anti-Aging Eye Cream"/>
    <n v="6218"/>
    <s v="Kiehl's Since 1851"/>
    <n v="22539"/>
    <x v="2"/>
    <n v="4.5713999999999997"/>
    <s v="Yes"/>
    <s v="High"/>
    <n v="581"/>
    <x v="37"/>
    <s v="Premium"/>
    <n v="0"/>
    <n v="0"/>
    <s v="Eye Care"/>
  </r>
  <r>
    <s v="P392143"/>
    <s v="Tata's Daily Essentials Kit"/>
    <n v="7020"/>
    <s v="Tata Harper"/>
    <n v="22558"/>
    <x v="2"/>
    <n v="3.65"/>
    <s v="Yes"/>
    <s v="Medium"/>
    <n v="120"/>
    <x v="76"/>
    <s v="Premium"/>
    <n v="0"/>
    <n v="1"/>
    <s v="Value &amp; Gift Sets"/>
  </r>
  <r>
    <s v="P484033"/>
    <s v="Mini Squalane + Vitamin C Rose Firming Oil"/>
    <n v="6195"/>
    <s v="Biossance"/>
    <n v="22591"/>
    <x v="2"/>
    <n v="4.1500000000000004"/>
    <s v="Yes"/>
    <s v="High"/>
    <n v="40"/>
    <x v="24"/>
    <s v="Mid"/>
    <n v="0"/>
    <n v="0"/>
    <s v="Moisturizers"/>
  </r>
  <r>
    <s v="P500329"/>
    <s v="Plump + Juicy Lip Booster Buttery Treatment"/>
    <n v="6279"/>
    <s v="Kosas"/>
    <n v="22688"/>
    <x v="2"/>
    <n v="4.2938000000000001"/>
    <s v="Yes"/>
    <s v="High"/>
    <n v="194"/>
    <x v="94"/>
    <s v="Mid"/>
    <n v="0"/>
    <n v="0"/>
    <s v="Lip Balms &amp; Treatments"/>
  </r>
  <r>
    <s v="P476733"/>
    <s v="Mineral Mattescreen Sunscreen SPF 40 PA+++"/>
    <n v="5987"/>
    <s v="Supergoop!"/>
    <n v="22699"/>
    <x v="2"/>
    <n v="4.0152999999999999"/>
    <s v="Yes"/>
    <s v="High"/>
    <n v="131"/>
    <x v="12"/>
    <s v="Mid"/>
    <n v="0"/>
    <n v="0"/>
    <s v="Sunscreen"/>
  </r>
  <r>
    <s v="P422248"/>
    <s v="Rare Earth Deep Pore Daily Cleanser"/>
    <n v="6218"/>
    <s v="Kiehl's Since 1851"/>
    <n v="22813"/>
    <x v="2"/>
    <n v="4.2872000000000003"/>
    <s v="Yes"/>
    <s v="High"/>
    <n v="188"/>
    <x v="52"/>
    <s v="Mid"/>
    <n v="0"/>
    <n v="0"/>
    <s v="Cleansers"/>
  </r>
  <r>
    <s v="P472472"/>
    <s v="Ferulic Brew Facial Treatment Essence with Lactic Acid"/>
    <n v="6218"/>
    <s v="Kiehl's Since 1851"/>
    <n v="22873"/>
    <x v="2"/>
    <n v="4.5602999999999998"/>
    <s v="Yes"/>
    <s v="High"/>
    <n v="514"/>
    <x v="37"/>
    <s v="Premium"/>
    <n v="0"/>
    <n v="0"/>
    <s v="Moisturizers"/>
  </r>
  <r>
    <s v="P501288"/>
    <s v="C5 Super Boost Vitamin C Eye Cream"/>
    <n v="6341"/>
    <s v="Paula's Choice"/>
    <n v="22932"/>
    <x v="2"/>
    <n v="4.5"/>
    <s v="Yes"/>
    <s v="High"/>
    <n v="340"/>
    <x v="7"/>
    <s v="Mid"/>
    <n v="0"/>
    <n v="0"/>
    <s v="Eye Care"/>
  </r>
  <r>
    <s v="P472052"/>
    <s v="Microneedling Dark Spot Brightening Dots"/>
    <n v="6209"/>
    <s v="Peace Out"/>
    <n v="22947"/>
    <x v="2"/>
    <n v="4.0385999999999997"/>
    <s v="Yes"/>
    <s v="High"/>
    <n v="363"/>
    <x v="52"/>
    <s v="Mid"/>
    <n v="0"/>
    <n v="0"/>
    <s v="Treatments"/>
  </r>
  <r>
    <s v="P424989"/>
    <s v="THE BODY Illuminating Self-Tan Drops"/>
    <n v="6225"/>
    <s v="TAN-LUXE"/>
    <n v="22970"/>
    <x v="2"/>
    <n v="4.1959"/>
    <s v="Yes"/>
    <s v="High"/>
    <n v="194"/>
    <x v="37"/>
    <s v="Premium"/>
    <n v="0"/>
    <n v="0"/>
    <s v="Self Tanners"/>
  </r>
  <r>
    <s v="P500988"/>
    <s v="Moon Dew 1% Bakuchiol + Peptides Retinol Alternative Eye Cream"/>
    <n v="6117"/>
    <s v="Herbivore"/>
    <n v="22997"/>
    <x v="2"/>
    <n v="4.2297000000000002"/>
    <s v="Yes"/>
    <s v="High"/>
    <n v="148"/>
    <x v="14"/>
    <s v="Mid"/>
    <n v="0"/>
    <n v="0"/>
    <s v="Eye Care"/>
  </r>
  <r>
    <s v="P500139"/>
    <s v="The Skinimalist Set"/>
    <n v="6234"/>
    <s v="The Ordinary"/>
    <n v="23001"/>
    <x v="2"/>
    <n v="4.5"/>
    <s v="Yes"/>
    <s v="High"/>
    <n v="10"/>
    <x v="75"/>
    <s v="Mid"/>
    <n v="0"/>
    <n v="0"/>
    <s v="Value &amp; Gift Sets"/>
  </r>
  <r>
    <s v="P503868"/>
    <s v="BTS |  Amorepacific Lip Sleeping Mask Lip &amp; Pop Edition Set"/>
    <n v="6125"/>
    <s v="LANEIGE"/>
    <n v="23044"/>
    <x v="2"/>
    <n v="4.3635999999999999"/>
    <s v="Yes"/>
    <s v="High"/>
    <n v="22"/>
    <x v="9"/>
    <s v="Mid"/>
    <n v="0"/>
    <n v="0"/>
    <s v="Value &amp; Gift Sets"/>
  </r>
  <r>
    <s v="P472050"/>
    <s v="Cold Plunge Pore Remedy Moisturizer with BHA/LHA"/>
    <n v="5674"/>
    <s v="OLEHENRIKSEN"/>
    <n v="23082"/>
    <x v="2"/>
    <n v="4.3959000000000001"/>
    <s v="Yes"/>
    <s v="High"/>
    <n v="1033"/>
    <x v="68"/>
    <s v="Premium"/>
    <n v="0"/>
    <n v="0"/>
    <s v="Moisturizers"/>
  </r>
  <r>
    <s v="P456572"/>
    <s v="Vitamin C Dark Circle Correcting Eye Serum"/>
    <n v="4164"/>
    <s v="Murad"/>
    <n v="23093"/>
    <x v="2"/>
    <n v="4.0686999999999998"/>
    <s v="Yes"/>
    <s v="High"/>
    <n v="291"/>
    <x v="138"/>
    <s v="Premium"/>
    <n v="0"/>
    <n v="0"/>
    <s v="Eye Care"/>
  </r>
  <r>
    <s v="P479722"/>
    <s v="Mandelic Acid Treatment"/>
    <n v="6285"/>
    <s v="The INKEY List"/>
    <n v="23101"/>
    <x v="2"/>
    <n v="4.4615"/>
    <s v="Yes"/>
    <s v="High"/>
    <n v="195"/>
    <x v="46"/>
    <s v="Budget"/>
    <n v="0"/>
    <n v="0"/>
    <s v="Treatments"/>
  </r>
  <r>
    <s v="P481367"/>
    <s v="Isle Lip Balm SPF 30 with Sea Moss and Aloe Stem Cells"/>
    <n v="6742"/>
    <s v="CAY SKIN"/>
    <n v="23148"/>
    <x v="2"/>
    <n v="4.0814000000000004"/>
    <s v="Yes"/>
    <s v="High"/>
    <n v="221"/>
    <x v="58"/>
    <s v="Budget"/>
    <n v="0"/>
    <n v="0"/>
    <s v="Lip Balms &amp; Treatments"/>
  </r>
  <r>
    <s v="P294018"/>
    <s v="Cleansing Spa Water Cloths"/>
    <n v="6029"/>
    <s v="Koh Gen Do"/>
    <n v="23197"/>
    <x v="2"/>
    <n v="4.4789000000000003"/>
    <s v="Yes"/>
    <s v="High"/>
    <n v="284"/>
    <x v="112"/>
    <s v="Mid"/>
    <n v="0"/>
    <n v="0"/>
    <s v="Cleansers"/>
  </r>
  <r>
    <s v="P448184"/>
    <s v="Cicapair Tiger Grass Calming Mist"/>
    <n v="6014"/>
    <s v="Dr. Jart+"/>
    <n v="23218"/>
    <x v="2"/>
    <n v="4.4314"/>
    <s v="Yes"/>
    <s v="High"/>
    <n v="554"/>
    <x v="94"/>
    <s v="Mid"/>
    <n v="0"/>
    <n v="1"/>
    <s v="Moisturizers"/>
  </r>
  <r>
    <s v="P416824"/>
    <s v="Fresh Pressed Daily Booster with Pure Vitamin C 10%"/>
    <n v="1254"/>
    <s v="CLINIQUE"/>
    <n v="23281"/>
    <x v="2"/>
    <n v="3.9298999999999999"/>
    <s v="Yes"/>
    <s v="Medium"/>
    <n v="157"/>
    <x v="99"/>
    <s v="Premium"/>
    <n v="0"/>
    <n v="0"/>
    <s v="Treatments"/>
  </r>
  <r>
    <s v="P420230"/>
    <s v="Pout Prep Lip Exfoliant"/>
    <n v="5648"/>
    <s v="tarte"/>
    <n v="23307"/>
    <x v="2"/>
    <n v="4.1024000000000003"/>
    <s v="Yes"/>
    <s v="High"/>
    <n v="205"/>
    <x v="47"/>
    <s v="Budget"/>
    <n v="0"/>
    <n v="1"/>
    <s v="Lip Balms &amp; Treatments"/>
  </r>
  <r>
    <s v="P479351"/>
    <s v="Daily Dose Hydra-Ceramide Boost + SPF 40 Sunscreen Oil PA+++"/>
    <n v="5987"/>
    <s v="Supergoop!"/>
    <n v="23310"/>
    <x v="2"/>
    <n v="4.3783000000000003"/>
    <s v="Yes"/>
    <s v="High"/>
    <n v="267"/>
    <x v="45"/>
    <s v="Mid"/>
    <n v="0"/>
    <n v="0"/>
    <s v="Moisturizers"/>
  </r>
  <r>
    <s v="P3550"/>
    <s v="Goodbye Acne AHA/BHA Acne Clearing Gel Face Body Spot Treatment"/>
    <n v="3728"/>
    <s v="Peter Thomas Roth"/>
    <n v="23319"/>
    <x v="2"/>
    <n v="4.2767999999999997"/>
    <s v="Yes"/>
    <s v="High"/>
    <n v="625"/>
    <x v="14"/>
    <s v="Mid"/>
    <n v="0"/>
    <n v="0"/>
    <s v="Treatments"/>
  </r>
  <r>
    <s v="P461160"/>
    <s v="Mini Advanced Night Repair Synchronized Multi-Recovery Complex"/>
    <n v="6089"/>
    <s v="EstÃ©e Lauder"/>
    <n v="23348"/>
    <x v="2"/>
    <n v="4.0456000000000003"/>
    <s v="Yes"/>
    <s v="High"/>
    <n v="2410"/>
    <x v="13"/>
    <s v="Budget"/>
    <n v="0"/>
    <n v="0"/>
    <s v="Mini Size"/>
  </r>
  <r>
    <s v="P446638"/>
    <s v="Power Cleanse Duo"/>
    <n v="6219"/>
    <s v="Dermalogica"/>
    <n v="23348"/>
    <x v="2"/>
    <n v="4.5751999999999997"/>
    <s v="Yes"/>
    <s v="High"/>
    <n v="113"/>
    <x v="13"/>
    <s v="Budget"/>
    <n v="0"/>
    <n v="0"/>
    <s v="Value &amp; Gift Sets"/>
  </r>
  <r>
    <s v="P443839"/>
    <s v="Squalane Oil"/>
    <n v="6285"/>
    <s v="The INKEY List"/>
    <n v="23440"/>
    <x v="2"/>
    <n v="4.4421999999999997"/>
    <s v="Yes"/>
    <s v="High"/>
    <n v="147"/>
    <x v="32"/>
    <s v="Budget"/>
    <n v="0"/>
    <n v="0"/>
    <s v="Moisturizers"/>
  </r>
  <r>
    <s v="P455212"/>
    <s v="1 Minute Face Masks"/>
    <n v="3902"/>
    <s v="SEPHORA COLLECTION"/>
    <n v="23473"/>
    <x v="2"/>
    <n v="3.5124"/>
    <s v="Yes"/>
    <s v="Medium"/>
    <n v="121"/>
    <x v="51"/>
    <s v="Budget"/>
    <n v="0"/>
    <n v="0"/>
    <s v="Masks"/>
  </r>
  <r>
    <s v="P476730"/>
    <s v="Mini Gentle Cleansing Oil Makeup Remover"/>
    <n v="6307"/>
    <s v="Sulwhasoo"/>
    <n v="23559"/>
    <x v="2"/>
    <n v="4.4531999999999998"/>
    <s v="Yes"/>
    <s v="High"/>
    <n v="406"/>
    <x v="3"/>
    <s v="Budget"/>
    <n v="0"/>
    <n v="0"/>
    <s v="Mini Size"/>
  </r>
  <r>
    <s v="P482325"/>
    <s v="Every. Single. Face. Watery Lotion SPF 50"/>
    <n v="5987"/>
    <s v="Supergoop!"/>
    <n v="23635"/>
    <x v="2"/>
    <n v="4.2805"/>
    <s v="Yes"/>
    <s v="High"/>
    <n v="353"/>
    <x v="18"/>
    <s v="Mid"/>
    <n v="0"/>
    <n v="0"/>
    <s v="Sunscreen"/>
  </r>
  <r>
    <s v="P504218"/>
    <s v="Dewy Cleanse + Hydrate Duo"/>
    <n v="6041"/>
    <s v="Tatcha"/>
    <n v="23678"/>
    <x v="2"/>
    <n v="4.5404999999999998"/>
    <s v="Yes"/>
    <s v="High"/>
    <n v="37"/>
    <x v="129"/>
    <s v="Mid"/>
    <n v="1"/>
    <n v="0"/>
    <s v="Value &amp; Gift Sets"/>
  </r>
  <r>
    <s v="P454794"/>
    <s v="Mini The Water Cream"/>
    <n v="6041"/>
    <s v="Tatcha"/>
    <n v="23723"/>
    <x v="2"/>
    <n v="4.0244999999999997"/>
    <s v="Yes"/>
    <s v="High"/>
    <n v="4168"/>
    <x v="75"/>
    <s v="Mid"/>
    <n v="0"/>
    <n v="0"/>
    <s v="Mini Size"/>
  </r>
  <r>
    <s v="P398761"/>
    <s v="Alpha Beta Ultra Gentle Daily Peel Pads for Sensitive Skin"/>
    <n v="5668"/>
    <s v="Dr. Dennis Gross Skincare"/>
    <n v="23751"/>
    <x v="2"/>
    <n v="4.3388999999999998"/>
    <s v="Yes"/>
    <s v="High"/>
    <n v="239"/>
    <x v="60"/>
    <s v="Mid"/>
    <n v="0"/>
    <n v="0"/>
    <s v="Treatments"/>
  </r>
  <r>
    <s v="P471039"/>
    <s v="Pimple Paste Overnight Blemish Drying Paste"/>
    <n v="6357"/>
    <s v="iNNBEAUTY PROJECT"/>
    <n v="23827"/>
    <x v="2"/>
    <n v="4.1673"/>
    <s v="Yes"/>
    <s v="High"/>
    <n v="251"/>
    <x v="34"/>
    <s v="Budget"/>
    <n v="0"/>
    <n v="0"/>
    <s v="Treatments"/>
  </r>
  <r>
    <s v="P392608"/>
    <s v="Irish Moor Mud Purifying Black Mask"/>
    <n v="3728"/>
    <s v="Peter Thomas Roth"/>
    <n v="23860"/>
    <x v="2"/>
    <n v="4.3723999999999998"/>
    <s v="Yes"/>
    <s v="High"/>
    <n v="537"/>
    <x v="37"/>
    <s v="Premium"/>
    <n v="0"/>
    <n v="0"/>
    <s v="Masks"/>
  </r>
  <r>
    <s v="P424990"/>
    <s v="THE GRADUAL Illuminating Gradual Tan Lotion"/>
    <n v="6225"/>
    <s v="TAN-LUXE"/>
    <n v="23906"/>
    <x v="2"/>
    <n v="4.1111000000000004"/>
    <s v="Yes"/>
    <s v="High"/>
    <n v="171"/>
    <x v="18"/>
    <s v="Mid"/>
    <n v="0"/>
    <n v="0"/>
    <s v="Self Tanners"/>
  </r>
  <r>
    <s v="P443829"/>
    <s v="Glow Clear, Color Correcting Self-Tanning Mousse"/>
    <n v="8008"/>
    <s v="Isle of Paradise"/>
    <n v="23933"/>
    <x v="2"/>
    <n v="3.4289000000000001"/>
    <s v="Yes"/>
    <s v="Medium"/>
    <n v="394"/>
    <x v="29"/>
    <s v="Mid"/>
    <n v="0"/>
    <n v="0"/>
    <s v="Self Tanners"/>
  </r>
  <r>
    <s v="P375853"/>
    <s v="Facial Treatment Clear Lotion Toner"/>
    <n v="6084"/>
    <s v="SK-II"/>
    <n v="24003"/>
    <x v="2"/>
    <n v="4.0959000000000003"/>
    <s v="Yes"/>
    <s v="High"/>
    <n v="1001"/>
    <x v="19"/>
    <s v="Premium"/>
    <n v="0"/>
    <n v="0"/>
    <s v="Cleansers"/>
  </r>
  <r>
    <s v="P455894"/>
    <s v="Ultra Repair Oil-Control Moisturizer"/>
    <n v="5972"/>
    <s v="First Aid Beauty"/>
    <n v="24055"/>
    <x v="2"/>
    <n v="4.2388000000000003"/>
    <s v="Yes"/>
    <s v="High"/>
    <n v="289"/>
    <x v="8"/>
    <s v="Mid"/>
    <n v="0"/>
    <n v="0"/>
    <s v="Moisturizers"/>
  </r>
  <r>
    <s v="P449175"/>
    <s v="Aqua Bomb Hydrating Toner"/>
    <n v="7075"/>
    <s v="belif"/>
    <n v="24132"/>
    <x v="2"/>
    <n v="4.3609999999999998"/>
    <s v="Yes"/>
    <s v="High"/>
    <n v="1050"/>
    <x v="78"/>
    <s v="Mid"/>
    <n v="0"/>
    <n v="0"/>
    <s v="Cleansers"/>
  </r>
  <r>
    <s v="P399932"/>
    <s v="Acne-Clear Invisible Dots"/>
    <n v="3728"/>
    <s v="Peter Thomas Roth"/>
    <n v="24178"/>
    <x v="2"/>
    <n v="3.4314"/>
    <s v="Yes"/>
    <s v="Medium"/>
    <n v="554"/>
    <x v="29"/>
    <s v="Mid"/>
    <n v="0"/>
    <n v="1"/>
    <s v="Treatments"/>
  </r>
  <r>
    <s v="P501169"/>
    <s v="Vitamin C Lactic 15% Firm &amp; Bright Serum"/>
    <n v="5668"/>
    <s v="Dr. Dennis Gross Skincare"/>
    <n v="24244"/>
    <x v="2"/>
    <n v="4.556"/>
    <s v="Yes"/>
    <s v="High"/>
    <n v="232"/>
    <x v="99"/>
    <s v="Premium"/>
    <n v="0"/>
    <n v="0"/>
    <s v="Treatments"/>
  </r>
  <r>
    <s v="P483679"/>
    <s v="Truth Barrier Booster Orange Ferment Vitamin C Essence"/>
    <n v="5674"/>
    <s v="OLEHENRIKSEN"/>
    <n v="24293"/>
    <x v="2"/>
    <n v="4.8140000000000001"/>
    <s v="Yes"/>
    <s v="High"/>
    <n v="602"/>
    <x v="14"/>
    <s v="Mid"/>
    <n v="0"/>
    <n v="0"/>
    <s v="Moisturizers"/>
  </r>
  <r>
    <s v="P122881"/>
    <s v="Clarifying Lotion 3"/>
    <n v="1254"/>
    <s v="CLINIQUE"/>
    <n v="24326"/>
    <x v="2"/>
    <n v="4.3181000000000003"/>
    <s v="Yes"/>
    <s v="High"/>
    <n v="918"/>
    <x v="60"/>
    <s v="Mid"/>
    <n v="0"/>
    <n v="0"/>
    <s v="Cleansers"/>
  </r>
  <r>
    <s v="P467750"/>
    <s v="Resveratrol Lift Retinol Alternative Firming Cashmere Moisturizer"/>
    <n v="4171"/>
    <s v="Caudalie"/>
    <n v="24347"/>
    <x v="2"/>
    <n v="4.6566999999999998"/>
    <s v="Yes"/>
    <s v="High"/>
    <n v="335"/>
    <x v="116"/>
    <s v="Premium"/>
    <n v="0"/>
    <n v="0"/>
    <s v="Moisturizers"/>
  </r>
  <r>
    <s v="P257537"/>
    <s v="All About Eyes Serum De-Puffing Eye Massage"/>
    <n v="1254"/>
    <s v="CLINIQUE"/>
    <n v="24355"/>
    <x v="2"/>
    <n v="3.7690999999999999"/>
    <s v="Yes"/>
    <s v="Medium"/>
    <n v="905"/>
    <x v="96"/>
    <s v="Mid"/>
    <n v="0"/>
    <n v="0"/>
    <s v="Eye Care"/>
  </r>
  <r>
    <s v="P432242"/>
    <s v="Blackhead Solutions 7 Day Deep Pore Cleanse &amp; Face Scrub"/>
    <n v="1254"/>
    <s v="CLINIQUE"/>
    <n v="24438"/>
    <x v="2"/>
    <n v="4.1124999999999998"/>
    <s v="Yes"/>
    <s v="High"/>
    <n v="569"/>
    <x v="139"/>
    <s v="Mid"/>
    <n v="0"/>
    <n v="0"/>
    <s v="Cleansers"/>
  </r>
  <r>
    <s v="P479861"/>
    <s v="The Bright Set"/>
    <n v="6234"/>
    <s v="The Ordinary"/>
    <n v="24451"/>
    <x v="2"/>
    <n v="4.0625"/>
    <s v="Yes"/>
    <s v="High"/>
    <n v="16"/>
    <x v="140"/>
    <s v="Mid"/>
    <n v="0"/>
    <n v="0"/>
    <s v="Value &amp; Gift Sets"/>
  </r>
  <r>
    <s v="P462339"/>
    <s v="Vitamin Enriched Eye Base"/>
    <n v="5644"/>
    <s v="Bobbi Brown"/>
    <n v="24532"/>
    <x v="2"/>
    <n v="4.6390000000000002"/>
    <s v="Yes"/>
    <s v="High"/>
    <n v="241"/>
    <x v="69"/>
    <s v="Premium"/>
    <n v="0"/>
    <n v="0"/>
    <s v="Eye Care"/>
  </r>
  <r>
    <s v="P500894"/>
    <s v="Fat Water Hydrating Milky Toner Essence with Hyaluronic Acid + Tamarind"/>
    <n v="6352"/>
    <s v="Fenty Skin"/>
    <n v="24560"/>
    <x v="2"/>
    <n v="4.6554000000000002"/>
    <s v="Yes"/>
    <s v="High"/>
    <n v="296"/>
    <x v="18"/>
    <s v="Mid"/>
    <n v="0"/>
    <n v="0"/>
    <s v="Moisturizers"/>
  </r>
  <r>
    <s v="P442837"/>
    <s v="Barrier+ Triple Lipid-Hyaluronate Serum"/>
    <n v="6289"/>
    <s v="Skinfix"/>
    <n v="24567"/>
    <x v="2"/>
    <n v="4.6380999999999997"/>
    <s v="Yes"/>
    <s v="High"/>
    <n v="420"/>
    <x v="50"/>
    <s v="Premium"/>
    <n v="0"/>
    <n v="0"/>
    <s v="Treatments"/>
  </r>
  <r>
    <s v="P9940"/>
    <s v="Essential-C Day Moisture Broad Spectrum SPF 30 PA+++"/>
    <n v="4164"/>
    <s v="Murad"/>
    <n v="24570"/>
    <x v="2"/>
    <n v="4.2484999999999999"/>
    <s v="Yes"/>
    <s v="High"/>
    <n v="829"/>
    <x v="6"/>
    <s v="Premium"/>
    <n v="0"/>
    <n v="0"/>
    <s v="Moisturizers"/>
  </r>
  <r>
    <s v="P481096"/>
    <s v="Nova 15% Vitamin C + Turmeric Brightening Serum"/>
    <n v="6117"/>
    <s v="Herbivore"/>
    <n v="24635"/>
    <x v="2"/>
    <n v="4.5039999999999996"/>
    <s v="Yes"/>
    <s v="High"/>
    <n v="252"/>
    <x v="92"/>
    <s v="Premium"/>
    <n v="0"/>
    <n v="0"/>
    <s v="Treatments"/>
  </r>
  <r>
    <s v="P426829"/>
    <s v="Confidence in a Cleanser Hydrating Facial Cleanser Serum"/>
    <n v="6175"/>
    <s v="IT Cosmetics"/>
    <n v="24647"/>
    <x v="2"/>
    <n v="4.4757999999999996"/>
    <s v="Yes"/>
    <s v="High"/>
    <n v="414"/>
    <x v="31"/>
    <s v="Mid"/>
    <n v="0"/>
    <n v="0"/>
    <s v="Cleansers"/>
  </r>
  <r>
    <s v="P469513"/>
    <s v="CLEAR Pore Normalizing Acne Cleanser"/>
    <n v="6341"/>
    <s v="Paula's Choice"/>
    <n v="24652"/>
    <x v="2"/>
    <n v="4.1369999999999996"/>
    <s v="Yes"/>
    <s v="High"/>
    <n v="73"/>
    <x v="64"/>
    <s v="Budget"/>
    <n v="0"/>
    <n v="0"/>
    <s v="Cleansers"/>
  </r>
  <r>
    <s v="P500288"/>
    <s v="1% Vitamin A Retinol Serum"/>
    <n v="8001"/>
    <s v="Farmacy"/>
    <n v="24674"/>
    <x v="2"/>
    <n v="4.766"/>
    <s v="Yes"/>
    <s v="High"/>
    <n v="453"/>
    <x v="37"/>
    <s v="Premium"/>
    <n v="0"/>
    <n v="0"/>
    <s v="Treatments"/>
  </r>
  <r>
    <s v="P500245"/>
    <s v="C Beyond Triple Serum SPF 40 Mineral Sunscreen with Vitamin C 10% + Niacinamide"/>
    <n v="6156"/>
    <s v="ILIA"/>
    <n v="24716"/>
    <x v="2"/>
    <n v="3.6608999999999998"/>
    <s v="Yes"/>
    <s v="Medium"/>
    <n v="634"/>
    <x v="56"/>
    <s v="Premium"/>
    <n v="0"/>
    <n v="0"/>
    <s v="Sunscreen"/>
  </r>
  <r>
    <s v="P482692"/>
    <s v="Water Bank Blue Hyaluronic Serum"/>
    <n v="6125"/>
    <s v="LANEIGE"/>
    <n v="24759"/>
    <x v="2"/>
    <n v="4.7355"/>
    <s v="Yes"/>
    <s v="High"/>
    <n v="310"/>
    <x v="44"/>
    <s v="Mid"/>
    <n v="0"/>
    <n v="0"/>
    <s v="Treatments"/>
  </r>
  <r>
    <s v="P477985"/>
    <s v="A-Gloei Retinol Oil"/>
    <n v="7083"/>
    <s v="Drunk Elephant"/>
    <n v="24791"/>
    <x v="2"/>
    <n v="4.5500999999999996"/>
    <s v="Yes"/>
    <s v="High"/>
    <n v="489"/>
    <x v="55"/>
    <s v="Premium"/>
    <n v="0"/>
    <n v="0"/>
    <s v="Moisturizers"/>
  </r>
  <r>
    <s v="P422257"/>
    <s v="Midnight Recovery Botanical Cleansing Oil"/>
    <n v="6218"/>
    <s v="Kiehl's Since 1851"/>
    <n v="24814"/>
    <x v="2"/>
    <n v="4.2843999999999998"/>
    <s v="Yes"/>
    <s v="High"/>
    <n v="225"/>
    <x v="9"/>
    <s v="Mid"/>
    <n v="0"/>
    <n v="0"/>
    <s v="Cleansers"/>
  </r>
  <r>
    <s v="P416825"/>
    <s v="FAB Skin Lab Retinol Serum 0.25% Pure Concentrate"/>
    <n v="5972"/>
    <s v="First Aid Beauty"/>
    <n v="24816"/>
    <x v="2"/>
    <n v="3.9811000000000001"/>
    <s v="Yes"/>
    <s v="Medium"/>
    <n v="159"/>
    <x v="69"/>
    <s v="Premium"/>
    <n v="0"/>
    <n v="0"/>
    <s v="Treatments"/>
  </r>
  <r>
    <s v="P398502"/>
    <s v="Personal Microderm Pro"/>
    <n v="6114"/>
    <s v="PMD"/>
    <n v="24832"/>
    <x v="2"/>
    <n v="4.4355000000000002"/>
    <s v="Yes"/>
    <s v="High"/>
    <n v="124"/>
    <x v="141"/>
    <s v="Premium"/>
    <n v="0"/>
    <n v="0"/>
    <s v="High Tech Tools"/>
  </r>
  <r>
    <s v="P422012"/>
    <s v="Ultra Facial Cream Sunscreen SPF 30"/>
    <n v="6218"/>
    <s v="Kiehl's Since 1851"/>
    <n v="24886"/>
    <x v="2"/>
    <n v="3.8344"/>
    <s v="Yes"/>
    <s v="Medium"/>
    <n v="157"/>
    <x v="12"/>
    <s v="Mid"/>
    <n v="0"/>
    <n v="0"/>
    <s v="Moisturizers"/>
  </r>
  <r>
    <s v="P500744"/>
    <s v="Clean Lip Balm &amp; Scrub"/>
    <n v="3902"/>
    <s v="SEPHORA COLLECTION"/>
    <n v="24932"/>
    <x v="2"/>
    <n v="4.5128000000000004"/>
    <s v="Yes"/>
    <s v="High"/>
    <n v="470"/>
    <x v="127"/>
    <s v="Budget"/>
    <n v="0"/>
    <n v="0"/>
    <s v="Lip Balms &amp; Treatments"/>
  </r>
  <r>
    <s v="P428816"/>
    <s v="Noni Radiant Brightening Eye Oil"/>
    <n v="6207"/>
    <s v="KORA Organics"/>
    <n v="24957"/>
    <x v="2"/>
    <n v="3.7915000000000001"/>
    <s v="Yes"/>
    <s v="Medium"/>
    <n v="398"/>
    <x v="36"/>
    <s v="Mid"/>
    <n v="0"/>
    <n v="0"/>
    <s v="Eye Care"/>
  </r>
  <r>
    <s v="P94812"/>
    <s v="One-Step Gentle Exfoliating Cleanser with Orange Extract"/>
    <n v="2082"/>
    <s v="Clarins"/>
    <n v="25054"/>
    <x v="2"/>
    <n v="4.6138000000000003"/>
    <s v="Yes"/>
    <s v="High"/>
    <n v="523"/>
    <x v="7"/>
    <s v="Mid"/>
    <n v="0"/>
    <n v="0"/>
    <s v="Cleansers"/>
  </r>
  <r>
    <s v="P448934"/>
    <s v="Bye Bye Pores Leave-On Solution Pore-Refining Toner"/>
    <n v="6175"/>
    <s v="IT Cosmetics"/>
    <n v="25082"/>
    <x v="2"/>
    <n v="4.0480999999999998"/>
    <s v="Yes"/>
    <s v="High"/>
    <n v="187"/>
    <x v="18"/>
    <s v="Mid"/>
    <n v="0"/>
    <n v="0"/>
    <s v="Cleansers"/>
  </r>
  <r>
    <s v="P456400"/>
    <s v="Double Sided Luxe Tan Applicator Mitt"/>
    <n v="5626"/>
    <s v="St. Tropez"/>
    <n v="25187"/>
    <x v="2"/>
    <n v="4.5556000000000001"/>
    <s v="Yes"/>
    <s v="High"/>
    <n v="378"/>
    <x v="59"/>
    <s v="Budget"/>
    <n v="0"/>
    <n v="0"/>
    <s v="Self Tanners"/>
  </r>
  <r>
    <s v="P462891"/>
    <s v="GinZing Into the Glow Brightening Serum"/>
    <n v="3733"/>
    <s v="Origins"/>
    <n v="25211"/>
    <x v="2"/>
    <n v="4.5327999999999999"/>
    <s v="Yes"/>
    <s v="High"/>
    <n v="259"/>
    <x v="45"/>
    <s v="Mid"/>
    <n v="0"/>
    <n v="0"/>
    <s v="Treatments"/>
  </r>
  <r>
    <s v="P503250"/>
    <s v="Watch Ya Tone 5% Niacinamide Dark Spot Serum with Vitamin C"/>
    <n v="6352"/>
    <s v="Fenty Skin"/>
    <n v="25289"/>
    <x v="2"/>
    <n v="4.5829000000000004"/>
    <s v="Yes"/>
    <s v="High"/>
    <n v="199"/>
    <x v="36"/>
    <s v="Mid"/>
    <n v="0"/>
    <n v="0"/>
    <s v="Treatments"/>
  </r>
  <r>
    <s v="P461522"/>
    <s v="Clean Charcoal Nose Strip"/>
    <n v="3902"/>
    <s v="SEPHORA COLLECTION"/>
    <n v="25388"/>
    <x v="2"/>
    <n v="3.0272999999999999"/>
    <s v="Yes"/>
    <s v="Medium"/>
    <n v="183"/>
    <x v="20"/>
    <s v="Budget"/>
    <n v="0"/>
    <n v="0"/>
    <s v="Masks"/>
  </r>
  <r>
    <s v="P448192"/>
    <s v="Mini Sugar Strawberry Exfoliating Face Wash"/>
    <n v="4348"/>
    <s v="fresh"/>
    <n v="25388"/>
    <x v="2"/>
    <n v="3.8956"/>
    <s v="Yes"/>
    <s v="Medium"/>
    <n v="182"/>
    <x v="64"/>
    <s v="Budget"/>
    <n v="0"/>
    <n v="0"/>
    <s v="Mini Size"/>
  </r>
  <r>
    <s v="P402943"/>
    <s v="Silk Pillowcase - King"/>
    <n v="6130"/>
    <s v="Slip"/>
    <n v="25496"/>
    <x v="2"/>
    <n v="3.8256000000000001"/>
    <s v="Yes"/>
    <s v="Medium"/>
    <n v="86"/>
    <x v="61"/>
    <s v="Premium"/>
    <n v="0"/>
    <n v="0"/>
    <s v="Wellness"/>
  </r>
  <r>
    <s v="P442839"/>
    <s v="Barrier+ Triple Lipid-Peptide Lotion Moisturizer"/>
    <n v="6289"/>
    <s v="Skinfix"/>
    <n v="25515"/>
    <x v="2"/>
    <n v="4.6502999999999997"/>
    <s v="Yes"/>
    <s v="High"/>
    <n v="569"/>
    <x v="36"/>
    <s v="Mid"/>
    <n v="0"/>
    <n v="0"/>
    <s v="Moisturizers"/>
  </r>
  <r>
    <s v="P469538"/>
    <s v="Anti-Aging First Care Activating Serum"/>
    <n v="6307"/>
    <s v="Sulwhasoo"/>
    <n v="25847"/>
    <x v="2"/>
    <n v="4.5707000000000004"/>
    <s v="Yes"/>
    <s v="High"/>
    <n v="976"/>
    <x v="53"/>
    <s v="Premium"/>
    <n v="0"/>
    <n v="0"/>
    <s v="Treatments"/>
  </r>
  <r>
    <s v="P461213"/>
    <s v="Honey Balm Niacinamide Moisturizer"/>
    <n v="6316"/>
    <s v="Wishful"/>
    <n v="25888"/>
    <x v="2"/>
    <n v="4.1886999999999999"/>
    <s v="Yes"/>
    <s v="High"/>
    <n v="657"/>
    <x v="125"/>
    <s v="Mid"/>
    <n v="0"/>
    <n v="0"/>
    <s v="Moisturizers"/>
  </r>
  <r>
    <s v="P469213"/>
    <s v="Wrinkle Blur Bakuchiol Eye Gel CrÃ¨me"/>
    <n v="5674"/>
    <s v="OLEHENRIKSEN"/>
    <n v="26008"/>
    <x v="2"/>
    <n v="4.3939000000000004"/>
    <s v="Yes"/>
    <s v="High"/>
    <n v="886"/>
    <x v="23"/>
    <s v="Premium"/>
    <n v="0"/>
    <n v="0"/>
    <s v="Eye Care"/>
  </r>
  <r>
    <s v="P483151"/>
    <s v="Vitamin Eye Masks"/>
    <n v="3902"/>
    <s v="SEPHORA COLLECTION"/>
    <n v="26055"/>
    <x v="2"/>
    <n v="3.9117999999999999"/>
    <s v="Yes"/>
    <s v="Medium"/>
    <n v="34"/>
    <x v="142"/>
    <s v="Budget"/>
    <n v="0"/>
    <n v="0"/>
    <s v="Eye Care"/>
  </r>
  <r>
    <s v="P442003"/>
    <s v="Sugar Mint Rush Freshening Lip Treatment"/>
    <n v="4348"/>
    <s v="fresh"/>
    <n v="26121"/>
    <x v="2"/>
    <n v="4.0833000000000004"/>
    <s v="Yes"/>
    <s v="High"/>
    <n v="528"/>
    <x v="94"/>
    <s v="Mid"/>
    <n v="0"/>
    <n v="0"/>
    <s v="Lip Balms &amp; Treatments"/>
  </r>
  <r>
    <s v="P408678"/>
    <s v="Midnight Secret Late Night Recovery Treatment Anti-Fatigue Serum"/>
    <n v="1132"/>
    <s v="GUERLAIN"/>
    <n v="26130"/>
    <x v="2"/>
    <n v="4.1020000000000003"/>
    <s v="Yes"/>
    <s v="High"/>
    <n v="49"/>
    <x v="29"/>
    <s v="Mid"/>
    <n v="0"/>
    <n v="0"/>
    <s v="Treatments"/>
  </r>
  <r>
    <s v="P460515"/>
    <s v="E-Rase Milki Micellar Water"/>
    <n v="7083"/>
    <s v="Drunk Elephant"/>
    <n v="26131"/>
    <x v="2"/>
    <n v="4.2812000000000001"/>
    <s v="Yes"/>
    <s v="High"/>
    <n v="1017"/>
    <x v="58"/>
    <s v="Budget"/>
    <n v="0"/>
    <n v="0"/>
    <s v="Cleansers"/>
  </r>
  <r>
    <s v="P476540"/>
    <s v="Pro Glow Spray Tan Kit"/>
    <n v="8008"/>
    <s v="Isle of Paradise"/>
    <n v="26141"/>
    <x v="2"/>
    <n v="4.0945999999999998"/>
    <s v="Yes"/>
    <s v="High"/>
    <n v="74"/>
    <x v="78"/>
    <s v="Mid"/>
    <n v="0"/>
    <n v="0"/>
    <s v="Value &amp; Gift Sets"/>
  </r>
  <r>
    <s v="P440926"/>
    <s v="Mini Drink Up Intensive Overnight Hydrating Mask with Avocado &amp; Swiss Glacier Water"/>
    <n v="3733"/>
    <s v="Origins"/>
    <n v="26184"/>
    <x v="2"/>
    <n v="4.1143000000000001"/>
    <s v="Yes"/>
    <s v="High"/>
    <n v="105"/>
    <x v="34"/>
    <s v="Budget"/>
    <n v="0"/>
    <n v="0"/>
    <s v="Mini Size"/>
  </r>
  <r>
    <s v="P479348"/>
    <s v="Acne+ 2% BHA and Azelaic Acid Acne Spot Treatment"/>
    <n v="6289"/>
    <s v="Skinfix"/>
    <n v="26189"/>
    <x v="2"/>
    <n v="4.6306000000000003"/>
    <s v="Yes"/>
    <s v="High"/>
    <n v="425"/>
    <x v="78"/>
    <s v="Mid"/>
    <n v="0"/>
    <n v="0"/>
    <s v="Treatments"/>
  </r>
  <r>
    <s v="P417980"/>
    <s v="City Skin Age Defense Broad Spectrum SPF 50 PA++++"/>
    <n v="4164"/>
    <s v="Murad"/>
    <n v="26245"/>
    <x v="2"/>
    <n v="4.3219000000000003"/>
    <s v="Yes"/>
    <s v="High"/>
    <n v="351"/>
    <x v="116"/>
    <s v="Premium"/>
    <n v="0"/>
    <n v="0"/>
    <s v="Sunscreen"/>
  </r>
  <r>
    <s v="P460723"/>
    <s v="Clean Cleansing &amp; Gentle Exfoliating Wipes"/>
    <n v="3902"/>
    <s v="SEPHORA COLLECTION"/>
    <n v="26264"/>
    <x v="2"/>
    <n v="2.5640999999999998"/>
    <s v="Yes"/>
    <s v="Low"/>
    <n v="523"/>
    <x v="1"/>
    <s v="Budget"/>
    <n v="0"/>
    <n v="0"/>
    <s v="Cleansers"/>
  </r>
  <r>
    <s v="P469537"/>
    <s v="Bestsellers Trial Kit"/>
    <n v="6307"/>
    <s v="Sulwhasoo"/>
    <n v="26274"/>
    <x v="2"/>
    <n v="4.702"/>
    <s v="Yes"/>
    <s v="High"/>
    <n v="302"/>
    <x v="69"/>
    <s v="Premium"/>
    <n v="0"/>
    <n v="0"/>
    <s v="Value &amp; Gift Sets"/>
  </r>
  <r>
    <s v="P400205"/>
    <s v="Orchid Antioxidant Beauty Face Oil - For Combination Skin"/>
    <n v="6117"/>
    <s v="Herbivore"/>
    <n v="26322"/>
    <x v="2"/>
    <n v="4.3526999999999996"/>
    <s v="Yes"/>
    <s v="High"/>
    <n v="241"/>
    <x v="28"/>
    <s v="Premium"/>
    <n v="0"/>
    <n v="0"/>
    <s v="Moisturizers"/>
  </r>
  <r>
    <s v="P453226"/>
    <s v="Bright-Eyed 100% Mineral Eye Cream SPF 40 PA+++"/>
    <n v="5987"/>
    <s v="Supergoop!"/>
    <n v="26354"/>
    <x v="2"/>
    <n v="3.6044999999999998"/>
    <s v="Yes"/>
    <s v="Medium"/>
    <n v="445"/>
    <x v="24"/>
    <s v="Mid"/>
    <n v="0"/>
    <n v="1"/>
    <s v="Eye Care"/>
  </r>
  <r>
    <s v="P408230"/>
    <s v="V-Facial Instant Depuffing Face Mask"/>
    <n v="2082"/>
    <s v="Clarins"/>
    <n v="26393"/>
    <x v="2"/>
    <n v="4.7546999999999997"/>
    <s v="Yes"/>
    <s v="High"/>
    <n v="159"/>
    <x v="138"/>
    <s v="Premium"/>
    <n v="0"/>
    <n v="0"/>
    <s v="Masks"/>
  </r>
  <r>
    <s v="P500472"/>
    <s v="Mini Plum Plump Hyaluronic Acid Moisturizer"/>
    <n v="6189"/>
    <s v="Glow Recipe"/>
    <n v="26404"/>
    <x v="2"/>
    <n v="4.4623999999999997"/>
    <s v="Yes"/>
    <s v="High"/>
    <n v="1449"/>
    <x v="128"/>
    <s v="Mid"/>
    <n v="0"/>
    <n v="0"/>
    <s v="Mini Size"/>
  </r>
  <r>
    <s v="P434336"/>
    <s v="Mini Noni Glow Face Oil"/>
    <n v="6207"/>
    <s v="KORA Organics"/>
    <n v="26453"/>
    <x v="2"/>
    <n v="4.3876999999999997"/>
    <s v="Yes"/>
    <s v="High"/>
    <n v="1166"/>
    <x v="52"/>
    <s v="Mid"/>
    <n v="0"/>
    <n v="0"/>
    <s v="Mini Size"/>
  </r>
  <r>
    <s v="P458576"/>
    <s v="Water Drench Hyaluronic Hydrating Moisturizer SPF 45"/>
    <n v="3728"/>
    <s v="Peter Thomas Roth"/>
    <n v="26530"/>
    <x v="2"/>
    <n v="4.2885999999999997"/>
    <s v="Yes"/>
    <s v="High"/>
    <n v="842"/>
    <x v="103"/>
    <s v="Premium"/>
    <n v="0"/>
    <n v="0"/>
    <s v="Moisturizers"/>
  </r>
  <r>
    <s v="P453930"/>
    <s v="Biolumin-C Vitamin C Eye Serum"/>
    <n v="6219"/>
    <s v="Dermalogica"/>
    <n v="26613"/>
    <x v="2"/>
    <n v="4.5228000000000002"/>
    <s v="Yes"/>
    <s v="High"/>
    <n v="945"/>
    <x v="28"/>
    <s v="Premium"/>
    <n v="0"/>
    <n v="0"/>
    <s v="Eye Care"/>
  </r>
  <r>
    <s v="P504325"/>
    <s v="Glowy Skin Prep Besties Set"/>
    <n v="6189"/>
    <s v="Glow Recipe"/>
    <n v="26624"/>
    <x v="2"/>
    <n v="4.875"/>
    <s v="Yes"/>
    <s v="High"/>
    <n v="112"/>
    <x v="23"/>
    <s v="Premium"/>
    <n v="1"/>
    <n v="0"/>
    <s v="Value &amp; Gift Sets"/>
  </r>
  <r>
    <s v="P447592"/>
    <s v="Alpha Beta Pore Perfecting &amp; Refining Serum"/>
    <n v="5668"/>
    <s v="Dr. Dennis Gross Skincare"/>
    <n v="26675"/>
    <x v="2"/>
    <n v="4.4672000000000001"/>
    <s v="Yes"/>
    <s v="High"/>
    <n v="1494"/>
    <x v="6"/>
    <s v="Premium"/>
    <n v="0"/>
    <n v="1"/>
    <s v="Treatments"/>
  </r>
  <r>
    <s v="P422003"/>
    <s v="Daily Reviving Concentrate"/>
    <n v="6218"/>
    <s v="Kiehl's Since 1851"/>
    <n v="26859"/>
    <x v="2"/>
    <n v="4.3986000000000001"/>
    <s v="Yes"/>
    <s v="High"/>
    <n v="138"/>
    <x v="83"/>
    <s v="Premium"/>
    <n v="0"/>
    <n v="0"/>
    <s v="Treatments"/>
  </r>
  <r>
    <s v="P469087"/>
    <s v="Flash Nap Instant Revival Priming Eye Gel-Cream With Green Tea + Persian Silk Tree"/>
    <n v="6352"/>
    <s v="Fenty Skin"/>
    <n v="26880"/>
    <x v="2"/>
    <n v="3.5143"/>
    <s v="Yes"/>
    <s v="Medium"/>
    <n v="70"/>
    <x v="8"/>
    <s v="Mid"/>
    <n v="0"/>
    <n v="0"/>
    <s v="Eye Care"/>
  </r>
  <r>
    <s v="P473729"/>
    <s v="Vitamin Mask"/>
    <n v="3902"/>
    <s v="SEPHORA COLLECTION"/>
    <n v="27165"/>
    <x v="2"/>
    <n v="4.4825999999999997"/>
    <s v="Yes"/>
    <s v="High"/>
    <n v="201"/>
    <x v="57"/>
    <s v="Budget"/>
    <n v="0"/>
    <n v="1"/>
    <s v="Masks"/>
  </r>
  <r>
    <s v="P407448"/>
    <s v="Self Tan Express Bronzing Mousse"/>
    <n v="5626"/>
    <s v="St. Tropez"/>
    <n v="27207"/>
    <x v="2"/>
    <n v="4.1109"/>
    <s v="Yes"/>
    <s v="High"/>
    <n v="442"/>
    <x v="45"/>
    <s v="Mid"/>
    <n v="0"/>
    <n v="0"/>
    <s v="Self Tanners"/>
  </r>
  <r>
    <s v="P503693"/>
    <s v="Bouncy Brightfacial Brightening Mask with 10% Azelaic Acid + 1% Salicylic Acid"/>
    <n v="7083"/>
    <s v="Drunk Elephant"/>
    <n v="27212"/>
    <x v="2"/>
    <n v="4.4859"/>
    <s v="Yes"/>
    <s v="High"/>
    <n v="426"/>
    <x v="6"/>
    <s v="Premium"/>
    <n v="0"/>
    <n v="0"/>
    <s v="Treatments"/>
  </r>
  <r>
    <s v="P311143"/>
    <s v="SUBLIME DEFENSE Ultra Lightweight UV Defense Fluid SPF 50"/>
    <n v="6018"/>
    <s v="Algenist"/>
    <n v="27278"/>
    <x v="2"/>
    <n v="4.4134000000000002"/>
    <s v="Yes"/>
    <s v="High"/>
    <n v="508"/>
    <x v="52"/>
    <s v="Mid"/>
    <n v="0"/>
    <n v="0"/>
    <s v="Sunscreen"/>
  </r>
  <r>
    <s v="P399622"/>
    <s v="Luminous Deep Hydration Lifting Mask"/>
    <n v="6041"/>
    <s v="Tatcha"/>
    <n v="27298"/>
    <x v="2"/>
    <n v="4.4074"/>
    <s v="Yes"/>
    <s v="High"/>
    <n v="81"/>
    <x v="73"/>
    <s v="Premium"/>
    <n v="0"/>
    <n v="0"/>
    <s v="Masks"/>
  </r>
  <r>
    <s v="P469520"/>
    <s v="RESIST Perfectly Balanced Foaming Cleanser"/>
    <n v="6341"/>
    <s v="Paula's Choice"/>
    <n v="27344"/>
    <x v="2"/>
    <n v="4.7300000000000004"/>
    <s v="Yes"/>
    <s v="High"/>
    <n v="200"/>
    <x v="75"/>
    <s v="Mid"/>
    <n v="0"/>
    <n v="0"/>
    <s v="Cleansers"/>
  </r>
  <r>
    <s v="P453928"/>
    <s v="Retinol Youth Renewal Eye Serum"/>
    <n v="4164"/>
    <s v="Murad"/>
    <n v="27356"/>
    <x v="2"/>
    <n v="4.5278"/>
    <s v="Yes"/>
    <s v="High"/>
    <n v="360"/>
    <x v="53"/>
    <s v="Premium"/>
    <n v="0"/>
    <n v="0"/>
    <s v="Eye Care"/>
  </r>
  <r>
    <s v="P460514"/>
    <s v="Cream Skin Milk Oil Cleanser"/>
    <n v="6125"/>
    <s v="LANEIGE"/>
    <n v="27415"/>
    <x v="2"/>
    <n v="4.3728999999999996"/>
    <s v="Yes"/>
    <s v="High"/>
    <n v="303"/>
    <x v="18"/>
    <s v="Mid"/>
    <n v="0"/>
    <n v="0"/>
    <s v="Cleansers"/>
  </r>
  <r>
    <s v="P297531"/>
    <s v="Eye Doctor Moisture Care For Skin Around Eyes"/>
    <n v="3733"/>
    <s v="Origins"/>
    <n v="27439"/>
    <x v="2"/>
    <n v="4.0518999999999998"/>
    <s v="Yes"/>
    <s v="High"/>
    <n v="501"/>
    <x v="25"/>
    <s v="Mid"/>
    <n v="0"/>
    <n v="0"/>
    <s v="Eye Care"/>
  </r>
  <r>
    <s v="P471043"/>
    <s v="Argan Pro-Retinol Eye Cream"/>
    <n v="5922"/>
    <s v="Josie Maran"/>
    <n v="27604"/>
    <x v="2"/>
    <n v="4.4774000000000003"/>
    <s v="Yes"/>
    <s v="High"/>
    <n v="641"/>
    <x v="36"/>
    <s v="Mid"/>
    <n v="0"/>
    <n v="0"/>
    <s v="Eye Care"/>
  </r>
  <r>
    <s v="P471101"/>
    <s v="Resurface+ AHA/BHA Niacinamide Exfoliating Pads for Face and Targeted Body"/>
    <n v="6289"/>
    <s v="Skinfix"/>
    <n v="27625"/>
    <x v="2"/>
    <n v="4.3712999999999997"/>
    <s v="Yes"/>
    <s v="High"/>
    <n v="501"/>
    <x v="50"/>
    <s v="Premium"/>
    <n v="0"/>
    <n v="0"/>
    <s v="Treatments"/>
  </r>
  <r>
    <s v="P422011"/>
    <s v="Ultra Facial Toner"/>
    <n v="6218"/>
    <s v="Kiehl's Since 1851"/>
    <n v="27710"/>
    <x v="2"/>
    <n v="4.2637"/>
    <s v="Yes"/>
    <s v="High"/>
    <n v="182"/>
    <x v="0"/>
    <s v="Mid"/>
    <n v="1"/>
    <n v="0"/>
    <s v="Cleansers"/>
  </r>
  <r>
    <s v="P468709"/>
    <s v="100% Niacinamide Powder"/>
    <n v="6234"/>
    <s v="The Ordinary"/>
    <n v="27717"/>
    <x v="2"/>
    <n v="4.3186999999999998"/>
    <s v="Yes"/>
    <s v="High"/>
    <n v="91"/>
    <x v="143"/>
    <s v="Budget"/>
    <n v="0"/>
    <n v="0"/>
    <s v="Treatments"/>
  </r>
  <r>
    <s v="P482327"/>
    <s v="Mini Squalane Cleanser"/>
    <n v="6234"/>
    <s v="The Ordinary"/>
    <n v="27760"/>
    <x v="2"/>
    <n v="3.9537"/>
    <s v="Yes"/>
    <s v="Medium"/>
    <n v="108"/>
    <x v="59"/>
    <s v="Budget"/>
    <n v="0"/>
    <n v="0"/>
    <s v="Cleansers"/>
  </r>
  <r>
    <s v="P214002"/>
    <s v="Evercalm Barrier Support Antioxidant Moisturizer"/>
    <n v="5857"/>
    <s v="REN Clean Skincare"/>
    <n v="27837"/>
    <x v="2"/>
    <n v="4.2016999999999998"/>
    <s v="Yes"/>
    <s v="High"/>
    <n v="1031"/>
    <x v="23"/>
    <s v="Premium"/>
    <n v="0"/>
    <n v="0"/>
    <s v="Moisturizers"/>
  </r>
  <r>
    <s v="P482676"/>
    <s v="10% Waterless Vitamin C Serum"/>
    <n v="8001"/>
    <s v="Farmacy"/>
    <n v="27859"/>
    <x v="2"/>
    <n v="4.4314999999999998"/>
    <s v="Yes"/>
    <s v="High"/>
    <n v="825"/>
    <x v="50"/>
    <s v="Premium"/>
    <n v="0"/>
    <n v="0"/>
    <s v="Treatments"/>
  </r>
  <r>
    <s v="P467115"/>
    <s v="Facial Radiance Niacinamide Dark Spot Serum"/>
    <n v="5972"/>
    <s v="First Aid Beauty"/>
    <n v="27888"/>
    <x v="2"/>
    <n v="3.6558999999999999"/>
    <s v="Yes"/>
    <s v="Medium"/>
    <n v="186"/>
    <x v="36"/>
    <s v="Mid"/>
    <n v="0"/>
    <n v="0"/>
    <s v="Treatments"/>
  </r>
  <r>
    <s v="P230538"/>
    <s v="Brumisateur Natural Mineral Water Facial Spray Travel Duo"/>
    <n v="3526"/>
    <s v="Evian"/>
    <n v="27905"/>
    <x v="2"/>
    <n v="4.5632000000000001"/>
    <s v="Yes"/>
    <s v="High"/>
    <n v="1550"/>
    <x v="34"/>
    <s v="Budget"/>
    <n v="0"/>
    <n v="0"/>
    <s v="Moisturizers"/>
  </r>
  <r>
    <s v="P232907"/>
    <s v="Anti Bac Acne Clearing Lotion"/>
    <n v="5946"/>
    <s v="Kate Somerville"/>
    <n v="28025"/>
    <x v="2"/>
    <n v="4.4599000000000002"/>
    <s v="Yes"/>
    <s v="High"/>
    <n v="611"/>
    <x v="70"/>
    <s v="Premium"/>
    <n v="0"/>
    <n v="0"/>
    <s v="Treatments"/>
  </r>
  <r>
    <s v="P465741"/>
    <s v="Wild Huckleberry 8-Acid Polishing Peel Mask"/>
    <n v="6312"/>
    <s v="alpyn beauty"/>
    <n v="28060"/>
    <x v="2"/>
    <n v="4.6801000000000004"/>
    <s v="Yes"/>
    <s v="High"/>
    <n v="347"/>
    <x v="70"/>
    <s v="Premium"/>
    <n v="0"/>
    <n v="0"/>
    <s v="Masks"/>
  </r>
  <r>
    <s v="P417242"/>
    <s v="The Lip Balm"/>
    <n v="6201"/>
    <s v="La Mer"/>
    <n v="28090"/>
    <x v="2"/>
    <n v="3.9323000000000001"/>
    <s v="Yes"/>
    <s v="Medium"/>
    <n v="192"/>
    <x v="76"/>
    <s v="Premium"/>
    <n v="0"/>
    <n v="0"/>
    <s v="Lip Balms &amp; Treatments"/>
  </r>
  <r>
    <s v="P465365"/>
    <s v="Puffy Under-Eye Patches"/>
    <n v="6209"/>
    <s v="Peace Out"/>
    <n v="28152"/>
    <x v="2"/>
    <n v="4.2599"/>
    <s v="Yes"/>
    <s v="High"/>
    <n v="177"/>
    <x v="94"/>
    <s v="Mid"/>
    <n v="0"/>
    <n v="0"/>
    <s v="Eye Care"/>
  </r>
  <r>
    <s v="P457517"/>
    <s v="Rose Petal-Soft Deep Hydration Lip Balm"/>
    <n v="4348"/>
    <s v="fresh"/>
    <n v="28208"/>
    <x v="2"/>
    <n v="4.3891"/>
    <s v="Yes"/>
    <s v="High"/>
    <n v="699"/>
    <x v="94"/>
    <s v="Mid"/>
    <n v="0"/>
    <n v="0"/>
    <s v="Lip Balms &amp; Treatments"/>
  </r>
  <r>
    <s v="P251529"/>
    <s v="Retinol Fusion PM Night Serum"/>
    <n v="3728"/>
    <s v="Peter Thomas Roth"/>
    <n v="28361"/>
    <x v="2"/>
    <n v="4.3262"/>
    <s v="Yes"/>
    <s v="High"/>
    <n v="564"/>
    <x v="92"/>
    <s v="Premium"/>
    <n v="0"/>
    <n v="0"/>
    <s v="Treatments"/>
  </r>
  <r>
    <s v="P479340"/>
    <s v="Retinol Face Stick"/>
    <n v="6209"/>
    <s v="Peace Out"/>
    <n v="28434"/>
    <x v="2"/>
    <n v="4.5148000000000001"/>
    <s v="Yes"/>
    <s v="High"/>
    <n v="270"/>
    <x v="18"/>
    <s v="Mid"/>
    <n v="0"/>
    <n v="0"/>
    <s v="Treatments"/>
  </r>
  <r>
    <s v="P503879"/>
    <s v="Wake Up Honey Eye Cream with Brightening Vitamin C"/>
    <n v="8001"/>
    <s v="Farmacy"/>
    <n v="28506"/>
    <x v="2"/>
    <n v="4.7118000000000002"/>
    <s v="Yes"/>
    <s v="High"/>
    <n v="569"/>
    <x v="44"/>
    <s v="Mid"/>
    <n v="0"/>
    <n v="0"/>
    <s v="Eye Care"/>
  </r>
  <r>
    <s v="P475540"/>
    <s v="Honey Halo Moisturizer Jumbo"/>
    <n v="8001"/>
    <s v="Farmacy"/>
    <n v="28597"/>
    <x v="2"/>
    <n v="4.7272999999999996"/>
    <s v="Yes"/>
    <s v="High"/>
    <n v="99"/>
    <x v="28"/>
    <s v="Premium"/>
    <n v="0"/>
    <n v="0"/>
    <s v="Moisturizers"/>
  </r>
  <r>
    <s v="P454389"/>
    <s v="PLAY Antioxidant Body Sunscreen Mist SPF 50 PA++++"/>
    <n v="5987"/>
    <s v="Supergoop!"/>
    <n v="28604"/>
    <x v="2"/>
    <n v="3.9047999999999998"/>
    <s v="Yes"/>
    <s v="Medium"/>
    <n v="294"/>
    <x v="128"/>
    <s v="Mid"/>
    <n v="0"/>
    <n v="0"/>
    <s v="Sunscreen"/>
  </r>
  <r>
    <s v="P441220"/>
    <s v="Ultra Repair Oat &amp; Hemp Seed Dry Oil"/>
    <n v="5972"/>
    <s v="First Aid Beauty"/>
    <n v="28615"/>
    <x v="2"/>
    <n v="4.3544999999999998"/>
    <s v="Yes"/>
    <s v="High"/>
    <n v="440"/>
    <x v="8"/>
    <s v="Mid"/>
    <n v="0"/>
    <n v="0"/>
    <s v="Moisturizers"/>
  </r>
  <r>
    <s v="P407450"/>
    <s v="Self Tan Classic Bronzing Mousse"/>
    <n v="5626"/>
    <s v="St. Tropez"/>
    <n v="28627"/>
    <x v="2"/>
    <n v="4.2602000000000002"/>
    <s v="Yes"/>
    <s v="High"/>
    <n v="515"/>
    <x v="18"/>
    <s v="Mid"/>
    <n v="0"/>
    <n v="0"/>
    <s v="Self Tanners"/>
  </r>
  <r>
    <s v="P456571"/>
    <s v="Vitamin C Glycolic Brightening Serum"/>
    <n v="4164"/>
    <s v="Murad"/>
    <n v="28653"/>
    <x v="2"/>
    <n v="4.2621000000000002"/>
    <s v="Yes"/>
    <s v="High"/>
    <n v="351"/>
    <x v="118"/>
    <s v="Premium"/>
    <n v="0"/>
    <n v="0"/>
    <s v="Treatments"/>
  </r>
  <r>
    <s v="P429659"/>
    <s v="Squalane + Hyaluronic Toning Mist"/>
    <n v="6195"/>
    <s v="Biossance"/>
    <n v="28719"/>
    <x v="2"/>
    <n v="4.2550999999999997"/>
    <s v="Yes"/>
    <s v="High"/>
    <n v="98"/>
    <x v="29"/>
    <s v="Mid"/>
    <n v="0"/>
    <n v="0"/>
    <s v="Moisturizers"/>
  </r>
  <r>
    <s v="P447778"/>
    <s v="Bakuchiol Retinol Alternative Moisturizer"/>
    <n v="6285"/>
    <s v="The INKEY List"/>
    <n v="28723"/>
    <x v="2"/>
    <n v="4.0376000000000003"/>
    <s v="Yes"/>
    <s v="High"/>
    <n v="346"/>
    <x v="32"/>
    <s v="Budget"/>
    <n v="0"/>
    <n v="0"/>
    <s v="Treatments"/>
  </r>
  <r>
    <s v="P469544"/>
    <s v="C-50 Blemish Night Treatment"/>
    <n v="6285"/>
    <s v="The INKEY List"/>
    <n v="28910"/>
    <x v="2"/>
    <n v="4.1723999999999997"/>
    <s v="Yes"/>
    <s v="High"/>
    <n v="58"/>
    <x v="144"/>
    <s v="Budget"/>
    <n v="0"/>
    <n v="0"/>
    <s v="Treatments"/>
  </r>
  <r>
    <s v="P463371"/>
    <s v="Mini Adaptogen Deep Moisture Cream with Ashwagandha + Reishi"/>
    <n v="6169"/>
    <s v="Youth To The People"/>
    <n v="28957"/>
    <x v="2"/>
    <n v="4.3654999999999999"/>
    <s v="Yes"/>
    <s v="High"/>
    <n v="2071"/>
    <x v="5"/>
    <s v="Budget"/>
    <n v="0"/>
    <n v="0"/>
    <s v="Mini Size"/>
  </r>
  <r>
    <s v="P407444"/>
    <s v="Bamboo Charcoal Detoxifying Soap Bar"/>
    <n v="6117"/>
    <s v="Herbivore"/>
    <n v="28997"/>
    <x v="2"/>
    <n v="4.3011999999999997"/>
    <s v="Yes"/>
    <s v="High"/>
    <n v="342"/>
    <x v="58"/>
    <s v="Budget"/>
    <n v="0"/>
    <n v="0"/>
    <s v="Cleansers"/>
  </r>
  <r>
    <s v="P283501"/>
    <s v="Argan Cleansing Oil"/>
    <n v="5922"/>
    <s v="Josie Maran"/>
    <n v="29027"/>
    <x v="2"/>
    <n v="4.0523999999999996"/>
    <s v="Yes"/>
    <s v="High"/>
    <n v="2023"/>
    <x v="8"/>
    <s v="Mid"/>
    <n v="0"/>
    <n v="0"/>
    <s v="Moisturizers"/>
  </r>
  <r>
    <s v="P472455"/>
    <s v="Vinosource-Hydra SOS Hydrating Hyaluronic Acid Serum"/>
    <n v="4171"/>
    <s v="Caudalie"/>
    <n v="29046"/>
    <x v="2"/>
    <n v="4.6614000000000004"/>
    <s v="Yes"/>
    <s v="High"/>
    <n v="189"/>
    <x v="23"/>
    <s v="Premium"/>
    <n v="0"/>
    <n v="0"/>
    <s v="Treatments"/>
  </r>
  <r>
    <s v="P500138"/>
    <s v="Polypeptide-121 Future Cream with Peptides and Ceramides"/>
    <n v="6169"/>
    <s v="Youth To The People"/>
    <n v="29088"/>
    <x v="2"/>
    <n v="4.4402999999999997"/>
    <s v="Yes"/>
    <s v="High"/>
    <n v="377"/>
    <x v="6"/>
    <s v="Premium"/>
    <n v="0"/>
    <n v="0"/>
    <s v="Moisturizers"/>
  </r>
  <r>
    <s v="P377368"/>
    <s v="D-Scar Scar Diminishing Serum"/>
    <n v="5946"/>
    <s v="Kate Somerville"/>
    <n v="29199"/>
    <x v="2"/>
    <n v="4.0530999999999997"/>
    <s v="Yes"/>
    <s v="High"/>
    <n v="414"/>
    <x v="70"/>
    <s v="Premium"/>
    <n v="0"/>
    <n v="0"/>
    <s v="Treatments"/>
  </r>
  <r>
    <s v="P474825"/>
    <s v="Advanced Retinol + Ferulic Triple Correction Eye Serum"/>
    <n v="5668"/>
    <s v="Dr. Dennis Gross Skincare"/>
    <n v="29199"/>
    <x v="2"/>
    <n v="4.4966999999999997"/>
    <s v="Yes"/>
    <s v="High"/>
    <n v="304"/>
    <x v="136"/>
    <s v="Premium"/>
    <n v="0"/>
    <n v="0"/>
    <s v="Eye Care"/>
  </r>
  <r>
    <s v="P479329"/>
    <s v="Ultra Facial Overnight Hydrating Face Mask with 10.5% Squalane"/>
    <n v="6218"/>
    <s v="Kiehl's Since 1851"/>
    <n v="29217"/>
    <x v="2"/>
    <n v="4.5461"/>
    <s v="Yes"/>
    <s v="High"/>
    <n v="434"/>
    <x v="44"/>
    <s v="Mid"/>
    <n v="0"/>
    <n v="0"/>
    <s v="Masks"/>
  </r>
  <r>
    <s v="P439672"/>
    <s v="Rose Quartz Facial Roller"/>
    <n v="3902"/>
    <s v="SEPHORA COLLECTION"/>
    <n v="29366"/>
    <x v="2"/>
    <n v="3.7111000000000001"/>
    <s v="Yes"/>
    <s v="Medium"/>
    <n v="135"/>
    <x v="75"/>
    <s v="Mid"/>
    <n v="0"/>
    <n v="0"/>
    <s v="Wellness"/>
  </r>
  <r>
    <s v="P440929"/>
    <s v="Mini Original Skin Retexturizing Mask with Rose Clay"/>
    <n v="3733"/>
    <s v="Origins"/>
    <n v="29477"/>
    <x v="2"/>
    <n v="4.4762000000000004"/>
    <s v="Yes"/>
    <s v="High"/>
    <n v="105"/>
    <x v="34"/>
    <s v="Budget"/>
    <n v="0"/>
    <n v="0"/>
    <s v="Mini Size"/>
  </r>
  <r>
    <s v="P384821"/>
    <s v="Take The Day Off  Cleansing Oil Makeup Remover"/>
    <n v="1254"/>
    <s v="CLINIQUE"/>
    <n v="29640"/>
    <x v="2"/>
    <n v="4.3308999999999997"/>
    <s v="Yes"/>
    <s v="High"/>
    <n v="550"/>
    <x v="145"/>
    <s v="Mid"/>
    <n v="0"/>
    <n v="0"/>
    <s v="Moisturizers"/>
  </r>
  <r>
    <s v="P469439"/>
    <s v="Squalane+ Rose Vegan Lip Balm"/>
    <n v="6195"/>
    <s v="Biossance"/>
    <n v="29662"/>
    <x v="2"/>
    <n v="3.8809"/>
    <s v="Yes"/>
    <s v="Medium"/>
    <n v="277"/>
    <x v="47"/>
    <s v="Budget"/>
    <n v="0"/>
    <n v="0"/>
    <s v="Lip Balms &amp; Treatments"/>
  </r>
  <r>
    <s v="P445951"/>
    <s v="Midnight Recovery Concentrate Moisturizing Face Oil"/>
    <n v="6218"/>
    <s v="Kiehl's Since 1851"/>
    <n v="29687"/>
    <x v="2"/>
    <n v="4.2173999999999996"/>
    <s v="Yes"/>
    <s v="High"/>
    <n v="1173"/>
    <x v="78"/>
    <s v="Mid"/>
    <n v="0"/>
    <n v="0"/>
    <s v="Mini Size"/>
  </r>
  <r>
    <s v="P448537"/>
    <s v="Alpha Arbutin Brightening Serum"/>
    <n v="6285"/>
    <s v="The INKEY List"/>
    <n v="29698"/>
    <x v="2"/>
    <n v="4.2173999999999996"/>
    <s v="Yes"/>
    <s v="High"/>
    <n v="115"/>
    <x v="32"/>
    <s v="Budget"/>
    <n v="0"/>
    <n v="0"/>
    <s v="Treatments"/>
  </r>
  <r>
    <s v="P480285"/>
    <s v="Premier Cru Dark Circle Correcting Eye Cream"/>
    <n v="4171"/>
    <s v="Caudalie"/>
    <n v="29708"/>
    <x v="2"/>
    <n v="4.6139000000000001"/>
    <s v="Yes"/>
    <s v="High"/>
    <n v="404"/>
    <x v="99"/>
    <s v="Premium"/>
    <n v="0"/>
    <n v="0"/>
    <s v="Eye Care"/>
  </r>
  <r>
    <s v="P471037"/>
    <s v="Slushy Serum Moisturizer Crush Infused with Bakuchiol"/>
    <n v="6357"/>
    <s v="iNNBEAUTY PROJECT"/>
    <n v="29785"/>
    <x v="2"/>
    <n v="4.6047000000000002"/>
    <s v="Yes"/>
    <s v="High"/>
    <n v="387"/>
    <x v="78"/>
    <s v="Mid"/>
    <n v="0"/>
    <n v="0"/>
    <s v="Treatments"/>
  </r>
  <r>
    <s v="P457521"/>
    <s v="Every Sun Day Mineral Sunscreen SPF 50+"/>
    <n v="6014"/>
    <s v="Dr. Jart+"/>
    <n v="29897"/>
    <x v="2"/>
    <n v="4.4336000000000002"/>
    <s v="Yes"/>
    <s v="High"/>
    <n v="482"/>
    <x v="24"/>
    <s v="Mid"/>
    <n v="0"/>
    <n v="0"/>
    <s v="Sunscreen"/>
  </r>
  <r>
    <s v="P385632"/>
    <s v="Great Skin, Great Deal Set for Dry Combination Skin"/>
    <n v="1254"/>
    <s v="CLINIQUE"/>
    <n v="29926"/>
    <x v="2"/>
    <n v="4.2142999999999997"/>
    <s v="Yes"/>
    <s v="High"/>
    <n v="182"/>
    <x v="146"/>
    <s v="Mid"/>
    <n v="0"/>
    <n v="0"/>
    <s v="Value &amp; Gift Sets"/>
  </r>
  <r>
    <s v="P479841"/>
    <s v="Floral Recovery Overnight Mask with Squalane"/>
    <n v="4348"/>
    <s v="fresh"/>
    <n v="30022"/>
    <x v="2"/>
    <n v="4.7969999999999997"/>
    <s v="Yes"/>
    <s v="High"/>
    <n v="1128"/>
    <x v="116"/>
    <s v="Premium"/>
    <n v="0"/>
    <n v="0"/>
    <s v="Masks"/>
  </r>
  <r>
    <s v="P477830"/>
    <s v="Superberry Dream Cleansing Balm"/>
    <n v="6169"/>
    <s v="Youth To The People"/>
    <n v="30088"/>
    <x v="2"/>
    <n v="4.3868999999999998"/>
    <s v="Yes"/>
    <s v="High"/>
    <n v="628"/>
    <x v="7"/>
    <s v="Mid"/>
    <n v="0"/>
    <n v="0"/>
    <s v="Cleansers"/>
  </r>
  <r>
    <s v="P479352"/>
    <s v="The Texture Tonic AHA Liquid Exfoliating Treatment"/>
    <n v="6041"/>
    <s v="Tatcha"/>
    <n v="30103"/>
    <x v="2"/>
    <n v="4.6483999999999996"/>
    <s v="Yes"/>
    <s v="High"/>
    <n v="219"/>
    <x v="48"/>
    <s v="Premium"/>
    <n v="0"/>
    <n v="0"/>
    <s v="Treatments"/>
  </r>
  <r>
    <s v="P447773"/>
    <s v="PITERA First Experience Kit"/>
    <n v="6084"/>
    <s v="SK-II"/>
    <n v="30424"/>
    <x v="2"/>
    <n v="3.9146000000000001"/>
    <s v="Yes"/>
    <s v="Medium"/>
    <n v="82"/>
    <x v="102"/>
    <s v="Premium"/>
    <n v="0"/>
    <n v="0"/>
    <s v="Value &amp; Gift Sets"/>
  </r>
  <r>
    <s v="P392249"/>
    <s v="JuJu Exfoliating Bar"/>
    <n v="7083"/>
    <s v="Drunk Elephant"/>
    <n v="30472"/>
    <x v="2"/>
    <n v="4.4663000000000004"/>
    <s v="Yes"/>
    <s v="High"/>
    <n v="386"/>
    <x v="52"/>
    <s v="Mid"/>
    <n v="0"/>
    <n v="0"/>
    <s v="Cleansers"/>
  </r>
  <r>
    <s v="P469478"/>
    <s v="Party Recharge Hydrating Hyaluronic Under Eye Masks"/>
    <n v="6235"/>
    <s v="INC.redible"/>
    <n v="30543"/>
    <x v="2"/>
    <n v="3.6842000000000001"/>
    <s v="Yes"/>
    <s v="Medium"/>
    <n v="76"/>
    <x v="60"/>
    <s v="Mid"/>
    <n v="0"/>
    <n v="0"/>
    <s v="Eye Care"/>
  </r>
  <r>
    <s v="P443837"/>
    <s v="Kaolin Mask"/>
    <n v="6285"/>
    <s v="The INKEY List"/>
    <n v="30744"/>
    <x v="2"/>
    <n v="4.3083999999999998"/>
    <s v="Yes"/>
    <s v="High"/>
    <n v="227"/>
    <x v="147"/>
    <s v="Budget"/>
    <n v="0"/>
    <n v="0"/>
    <s v="Masks"/>
  </r>
  <r>
    <s v="P428100"/>
    <s v="Potent-C Vitamin C Power Serum"/>
    <n v="3728"/>
    <s v="Peter Thomas Roth"/>
    <n v="30830"/>
    <x v="2"/>
    <n v="4.0275999999999996"/>
    <s v="Yes"/>
    <s v="High"/>
    <n v="762"/>
    <x v="38"/>
    <s v="Premium"/>
    <n v="0"/>
    <n v="0"/>
    <s v="Treatments"/>
  </r>
  <r>
    <s v="P472469"/>
    <s v="Green Machine Vitamin C + Green Superfoods Jelly Serum"/>
    <n v="6357"/>
    <s v="iNNBEAUTY PROJECT"/>
    <n v="30846"/>
    <x v="2"/>
    <n v="4.4043000000000001"/>
    <s v="Yes"/>
    <s v="High"/>
    <n v="376"/>
    <x v="18"/>
    <s v="Mid"/>
    <n v="0"/>
    <n v="0"/>
    <s v="Treatments"/>
  </r>
  <r>
    <s v="P455242"/>
    <s v="Super Amino Gel Cleanser"/>
    <n v="6247"/>
    <s v="Summer Fridays"/>
    <n v="30871"/>
    <x v="2"/>
    <n v="4.0833000000000004"/>
    <s v="Yes"/>
    <s v="High"/>
    <n v="312"/>
    <x v="9"/>
    <s v="Mid"/>
    <n v="0"/>
    <n v="0"/>
    <s v="Cleansers"/>
  </r>
  <r>
    <s v="P503634"/>
    <s v="Avocado Ceramide Moisture Barrier Cleanser"/>
    <n v="6189"/>
    <s v="Glow Recipe"/>
    <n v="30873"/>
    <x v="2"/>
    <n v="4.4386999999999999"/>
    <s v="Yes"/>
    <s v="High"/>
    <n v="620"/>
    <x v="52"/>
    <s v="Mid"/>
    <n v="1"/>
    <n v="0"/>
    <s v="Cleansers"/>
  </r>
  <r>
    <s v="P474937"/>
    <s v="Vinopure Pore Purifying Gel Cleanser"/>
    <n v="4171"/>
    <s v="Caudalie"/>
    <n v="30905"/>
    <x v="2"/>
    <n v="4.4615"/>
    <s v="Yes"/>
    <s v="High"/>
    <n v="949"/>
    <x v="78"/>
    <s v="Mid"/>
    <n v="0"/>
    <n v="0"/>
    <s v="Cleansers"/>
  </r>
  <r>
    <s v="P441045"/>
    <s v="Rose Quartz Gua Sha"/>
    <n v="6117"/>
    <s v="Herbivore"/>
    <n v="30982"/>
    <x v="2"/>
    <n v="3.8971"/>
    <s v="Yes"/>
    <s v="Medium"/>
    <n v="68"/>
    <x v="94"/>
    <s v="Mid"/>
    <n v="0"/>
    <n v="0"/>
    <s v="Wellness"/>
  </r>
  <r>
    <s v="P382204"/>
    <s v="Cucumber Gel Mask Extreme Detoxifying Hydrator"/>
    <n v="3728"/>
    <s v="Peter Thomas Roth"/>
    <n v="31288"/>
    <x v="2"/>
    <n v="4.1989000000000001"/>
    <s v="Yes"/>
    <s v="High"/>
    <n v="533"/>
    <x v="103"/>
    <s v="Premium"/>
    <n v="0"/>
    <n v="0"/>
    <s v="Masks"/>
  </r>
  <r>
    <s v="P2043"/>
    <s v="Brumisateur Natural Mineral Water Facial Spray"/>
    <n v="3526"/>
    <s v="Evian"/>
    <n v="31434"/>
    <x v="2"/>
    <n v="4.3932000000000002"/>
    <s v="Yes"/>
    <s v="High"/>
    <n v="384"/>
    <x v="58"/>
    <s v="Budget"/>
    <n v="0"/>
    <n v="0"/>
    <s v="Moisturizers"/>
  </r>
  <r>
    <s v="P415620"/>
    <s v="Evercalm Ultra Comforting Rescue Mask"/>
    <n v="5857"/>
    <s v="REN Clean Skincare"/>
    <n v="31464"/>
    <x v="2"/>
    <n v="4.5167999999999999"/>
    <s v="Yes"/>
    <s v="High"/>
    <n v="505"/>
    <x v="23"/>
    <s v="Premium"/>
    <n v="0"/>
    <n v="0"/>
    <s v="Masks"/>
  </r>
  <r>
    <s v="P449188"/>
    <s v="Green Defense Daily Mineral Sunscreen SPF 30"/>
    <n v="8001"/>
    <s v="Farmacy"/>
    <n v="31465"/>
    <x v="2"/>
    <n v="3.9767000000000001"/>
    <s v="Yes"/>
    <s v="Medium"/>
    <n v="300"/>
    <x v="8"/>
    <s v="Mid"/>
    <n v="0"/>
    <n v="0"/>
    <s v="Sunscreen"/>
  </r>
  <r>
    <s v="P450583"/>
    <s v="Prism AHA + BHA Exfoliating Glow Serum"/>
    <n v="6117"/>
    <s v="Herbivore"/>
    <n v="31466"/>
    <x v="2"/>
    <n v="3.9531999999999998"/>
    <s v="Yes"/>
    <s v="Medium"/>
    <n v="171"/>
    <x v="30"/>
    <s v="Premium"/>
    <n v="0"/>
    <n v="0"/>
    <s v="Treatments"/>
  </r>
  <r>
    <s v="P444013"/>
    <s v="Crystal Facial Roller Set"/>
    <n v="3902"/>
    <s v="SEPHORA COLLECTION"/>
    <n v="31468"/>
    <x v="2"/>
    <n v="4.1176000000000004"/>
    <s v="Yes"/>
    <s v="High"/>
    <n v="85"/>
    <x v="9"/>
    <s v="Mid"/>
    <n v="0"/>
    <n v="0"/>
    <s v="Wellness"/>
  </r>
  <r>
    <s v="P474938"/>
    <s v="Vinopure Natural Salicylic Acid Pore Minimizing Serum"/>
    <n v="4171"/>
    <s v="Caudalie"/>
    <n v="31478"/>
    <x v="2"/>
    <n v="4.3375000000000004"/>
    <s v="Yes"/>
    <s v="High"/>
    <n v="1360"/>
    <x v="23"/>
    <s v="Premium"/>
    <n v="0"/>
    <n v="0"/>
    <s v="Treatments"/>
  </r>
  <r>
    <s v="P433521"/>
    <s v="Charlotteâ€™s Magic Eye Cream with Retinol"/>
    <n v="6236"/>
    <s v="Charlotte Tilbury"/>
    <n v="31496"/>
    <x v="2"/>
    <n v="4.3539000000000003"/>
    <s v="Yes"/>
    <s v="High"/>
    <n v="842"/>
    <x v="92"/>
    <s v="Premium"/>
    <n v="0"/>
    <n v="0"/>
    <s v="Eye Care"/>
  </r>
  <r>
    <s v="P450633"/>
    <s v="Gentle Cleansing Oil Makeup Remover"/>
    <n v="6307"/>
    <s v="Sulwhasoo"/>
    <n v="31523"/>
    <x v="2"/>
    <n v="4.4531999999999998"/>
    <s v="Yes"/>
    <s v="High"/>
    <n v="406"/>
    <x v="24"/>
    <s v="Mid"/>
    <n v="0"/>
    <n v="0"/>
    <s v="Cleansers"/>
  </r>
  <r>
    <s v="P422510"/>
    <s v="Mini Ultra Facial Moisturizing Cream with Squalane"/>
    <n v="6218"/>
    <s v="Kiehl's Since 1851"/>
    <n v="31687"/>
    <x v="2"/>
    <n v="4.4469000000000003"/>
    <s v="Yes"/>
    <s v="High"/>
    <n v="2515"/>
    <x v="0"/>
    <s v="Mid"/>
    <n v="1"/>
    <n v="0"/>
    <s v="Mini Size"/>
  </r>
  <r>
    <s v="P443841"/>
    <s v="Vitamin C Brightening Cream"/>
    <n v="6285"/>
    <s v="The INKEY List"/>
    <n v="31769"/>
    <x v="2"/>
    <n v="3.0270999999999999"/>
    <s v="Yes"/>
    <s v="Medium"/>
    <n v="517"/>
    <x v="39"/>
    <s v="Budget"/>
    <n v="0"/>
    <n v="0"/>
    <s v="Treatments"/>
  </r>
  <r>
    <s v="P450947"/>
    <s v="Mini A-Passioni Retinol Cream"/>
    <n v="7083"/>
    <s v="Drunk Elephant"/>
    <n v="31898"/>
    <x v="2"/>
    <n v="4"/>
    <s v="Yes"/>
    <s v="High"/>
    <n v="84"/>
    <x v="52"/>
    <s v="Mid"/>
    <n v="0"/>
    <n v="0"/>
    <s v="Mini Size"/>
  </r>
  <r>
    <s v="P394826"/>
    <s v="Flatter Me Digestive Enzyme Supplement"/>
    <n v="7050"/>
    <s v="HUM Nutrition"/>
    <n v="31935"/>
    <x v="2"/>
    <n v="4.2643000000000004"/>
    <s v="Yes"/>
    <s v="High"/>
    <n v="401"/>
    <x v="95"/>
    <s v="Mid"/>
    <n v="0"/>
    <n v="0"/>
    <s v="Wellness"/>
  </r>
  <r>
    <s v="P504125"/>
    <s v="Strawberry BHA Pore-Smooth Blur Drops"/>
    <n v="6189"/>
    <s v="Glow Recipe"/>
    <n v="31946"/>
    <x v="2"/>
    <n v="4.6859999999999999"/>
    <s v="Yes"/>
    <s v="High"/>
    <n v="535"/>
    <x v="29"/>
    <s v="Mid"/>
    <n v="1"/>
    <n v="0"/>
    <s v="Treatments"/>
  </r>
  <r>
    <s v="P431840"/>
    <s v="Coconut Milk Bath Soak"/>
    <n v="6117"/>
    <s v="Herbivore"/>
    <n v="31953"/>
    <x v="2"/>
    <n v="3.5497000000000001"/>
    <s v="Yes"/>
    <s v="Medium"/>
    <n v="151"/>
    <x v="75"/>
    <s v="Mid"/>
    <n v="0"/>
    <n v="0"/>
    <s v="Wellness"/>
  </r>
  <r>
    <s v="P482312"/>
    <s v="Facial Razor Set"/>
    <n v="3902"/>
    <s v="SEPHORA COLLECTION"/>
    <n v="31987"/>
    <x v="2"/>
    <n v="4.4146000000000001"/>
    <s v="Yes"/>
    <s v="High"/>
    <n v="41"/>
    <x v="51"/>
    <s v="Budget"/>
    <n v="0"/>
    <n v="0"/>
    <s v="High Tech Tools"/>
  </r>
  <r>
    <s v="P504327"/>
    <s v="Mini Favorites Set"/>
    <n v="6041"/>
    <s v="Tatcha"/>
    <n v="32077"/>
    <x v="2"/>
    <n v="4.4211"/>
    <s v="Yes"/>
    <s v="High"/>
    <n v="19"/>
    <x v="6"/>
    <s v="Premium"/>
    <n v="1"/>
    <n v="0"/>
    <s v="Value &amp; Gift Sets"/>
  </r>
  <r>
    <s v="P482323"/>
    <s v="(Re) Setting Refreshing Mist SPF 40"/>
    <n v="5987"/>
    <s v="Supergoop!"/>
    <n v="32091"/>
    <x v="2"/>
    <n v="3.6648999999999998"/>
    <s v="Yes"/>
    <s v="Medium"/>
    <n v="379"/>
    <x v="18"/>
    <s v="Mid"/>
    <n v="0"/>
    <n v="0"/>
    <s v="Sunscreen"/>
  </r>
  <r>
    <s v="P432241"/>
    <s v="Dramatically Different Hydrating Jelly"/>
    <n v="1254"/>
    <s v="CLINIQUE"/>
    <n v="32096"/>
    <x v="2"/>
    <n v="3.8742999999999999"/>
    <s v="Yes"/>
    <s v="Medium"/>
    <n v="716"/>
    <x v="44"/>
    <s v="Mid"/>
    <n v="0"/>
    <n v="0"/>
    <s v="Moisturizers"/>
  </r>
  <r>
    <s v="P469196"/>
    <s v="Supplement Case"/>
    <n v="3902"/>
    <s v="SEPHORA COLLECTION"/>
    <n v="32124"/>
    <x v="2"/>
    <n v="3.7410999999999999"/>
    <s v="Yes"/>
    <s v="Medium"/>
    <n v="112"/>
    <x v="57"/>
    <s v="Budget"/>
    <n v="0"/>
    <n v="0"/>
    <s v="Wellness"/>
  </r>
  <r>
    <s v="P39274"/>
    <s v="Anti-Aging Cleansing Gel"/>
    <n v="3728"/>
    <s v="Peter Thomas Roth"/>
    <n v="32125"/>
    <x v="2"/>
    <n v="4.3699000000000003"/>
    <s v="Yes"/>
    <s v="High"/>
    <n v="1603"/>
    <x v="7"/>
    <s v="Mid"/>
    <n v="0"/>
    <n v="0"/>
    <s v="Cleansers"/>
  </r>
  <r>
    <s v="P254720"/>
    <s v="Acne Control Clarifying Cream Cleanser"/>
    <n v="4164"/>
    <s v="Murad"/>
    <n v="32202"/>
    <x v="2"/>
    <n v="4.3476999999999997"/>
    <s v="Yes"/>
    <s v="High"/>
    <n v="906"/>
    <x v="7"/>
    <s v="Mid"/>
    <n v="0"/>
    <n v="0"/>
    <s v="Cleansers"/>
  </r>
  <r>
    <s v="P469085"/>
    <s v="Face Mask Applicator"/>
    <n v="3902"/>
    <s v="SEPHORA COLLECTION"/>
    <n v="32212"/>
    <x v="2"/>
    <n v="4.3684000000000003"/>
    <s v="Yes"/>
    <s v="High"/>
    <n v="38"/>
    <x v="57"/>
    <s v="Budget"/>
    <n v="0"/>
    <n v="0"/>
    <s v="Masks"/>
  </r>
  <r>
    <s v="P471025"/>
    <s v="FILLING GOOD hyaluronic acid plumping serum"/>
    <n v="8001"/>
    <s v="Farmacy"/>
    <n v="32224"/>
    <x v="2"/>
    <n v="4.3190999999999997"/>
    <s v="Yes"/>
    <s v="High"/>
    <n v="912"/>
    <x v="14"/>
    <s v="Mid"/>
    <n v="0"/>
    <n v="0"/>
    <s v="Treatments"/>
  </r>
  <r>
    <s v="P122774"/>
    <s v="All About Eyes Eye Cream"/>
    <n v="1254"/>
    <s v="CLINIQUE"/>
    <n v="32398"/>
    <x v="2"/>
    <n v="4.0721999999999996"/>
    <s v="Yes"/>
    <s v="High"/>
    <n v="1635"/>
    <x v="96"/>
    <s v="Mid"/>
    <n v="0"/>
    <n v="0"/>
    <s v="Eye Care"/>
  </r>
  <r>
    <s v="P432824"/>
    <s v="De-Puffing Jade Facial Roller"/>
    <n v="6256"/>
    <s v="Mount Lai"/>
    <n v="32471"/>
    <x v="2"/>
    <n v="3.8771"/>
    <s v="Yes"/>
    <s v="Medium"/>
    <n v="179"/>
    <x v="8"/>
    <s v="Mid"/>
    <n v="0"/>
    <n v="0"/>
    <s v="Wellness"/>
  </r>
  <r>
    <s v="P480444"/>
    <s v="Honey Potion Plus Ceramide Hydration Mask"/>
    <n v="8001"/>
    <s v="Farmacy"/>
    <n v="32523"/>
    <x v="2"/>
    <n v="4"/>
    <s v="Yes"/>
    <s v="High"/>
    <n v="70"/>
    <x v="37"/>
    <s v="Premium"/>
    <n v="0"/>
    <n v="0"/>
    <s v="Masks"/>
  </r>
  <r>
    <s v="P444967"/>
    <s v="Mini Facial Spray with Aloe, Herbs and Rosewater"/>
    <n v="8017"/>
    <s v="Mario Badescu"/>
    <n v="32572"/>
    <x v="2"/>
    <n v="4.1138000000000003"/>
    <s v="Yes"/>
    <s v="High"/>
    <n v="123"/>
    <x v="100"/>
    <s v="Budget"/>
    <n v="0"/>
    <n v="0"/>
    <s v="Mini Size"/>
  </r>
  <r>
    <s v="P454102"/>
    <s v="PRO Strength Niacinamide Discoloration Treatment"/>
    <n v="3728"/>
    <s v="Peter Thomas Roth"/>
    <n v="32582"/>
    <x v="2"/>
    <n v="4.1608000000000001"/>
    <s v="Yes"/>
    <s v="High"/>
    <n v="367"/>
    <x v="118"/>
    <s v="Premium"/>
    <n v="0"/>
    <n v="0"/>
    <s v="Treatments"/>
  </r>
  <r>
    <s v="P440503"/>
    <s v="Lip Balm"/>
    <n v="8017"/>
    <s v="Mario Badescu"/>
    <n v="32609"/>
    <x v="2"/>
    <n v="4.2515000000000001"/>
    <s v="Yes"/>
    <s v="High"/>
    <n v="167"/>
    <x v="110"/>
    <s v="Budget"/>
    <n v="0"/>
    <n v="0"/>
    <s v="Lip Balms &amp; Treatments"/>
  </r>
  <r>
    <s v="P432243"/>
    <s v="Blackhead Solutions Self-heating Blackhead Extractor"/>
    <n v="1254"/>
    <s v="CLINIQUE"/>
    <n v="33034"/>
    <x v="2"/>
    <n v="3.0859000000000001"/>
    <s v="Yes"/>
    <s v="Medium"/>
    <n v="198"/>
    <x v="29"/>
    <s v="Mid"/>
    <n v="0"/>
    <n v="0"/>
    <s v="Cleansers"/>
  </r>
  <r>
    <s v="P377577"/>
    <s v="Moisture Surge Overnight Face Mask"/>
    <n v="1254"/>
    <s v="CLINIQUE"/>
    <n v="33104"/>
    <x v="2"/>
    <n v="4.4771999999999998"/>
    <s v="Yes"/>
    <s v="High"/>
    <n v="461"/>
    <x v="24"/>
    <s v="Mid"/>
    <n v="0"/>
    <n v="0"/>
    <s v="Masks"/>
  </r>
  <r>
    <s v="P469528"/>
    <s v="Skin Perfecting 25% AHA + 2% BHA Exfoliant Peel"/>
    <n v="6341"/>
    <s v="Paula's Choice"/>
    <n v="33137"/>
    <x v="2"/>
    <n v="4.5035999999999996"/>
    <s v="Yes"/>
    <s v="High"/>
    <n v="137"/>
    <x v="36"/>
    <s v="Mid"/>
    <n v="0"/>
    <n v="0"/>
    <s v="Treatments"/>
  </r>
  <r>
    <s v="P436891"/>
    <s v="Jade De-Puffing Face Roller"/>
    <n v="6117"/>
    <s v="Herbivore"/>
    <n v="33236"/>
    <x v="2"/>
    <n v="3.5478999999999998"/>
    <s v="Yes"/>
    <s v="Medium"/>
    <n v="292"/>
    <x v="29"/>
    <s v="Mid"/>
    <n v="0"/>
    <n v="0"/>
    <s v="Wellness"/>
  </r>
  <r>
    <s v="P377570"/>
    <s v="Argan Infinity Cream Intensive Creamy Oil"/>
    <n v="5922"/>
    <s v="Josie Maran"/>
    <n v="33244"/>
    <x v="2"/>
    <n v="4.5163000000000002"/>
    <s v="Yes"/>
    <s v="High"/>
    <n v="1197"/>
    <x v="52"/>
    <s v="Mid"/>
    <n v="0"/>
    <n v="0"/>
    <s v="Moisturizers"/>
  </r>
  <r>
    <s v="P456988"/>
    <s v="Own Your Glow Kit"/>
    <n v="8008"/>
    <s v="Isle of Paradise"/>
    <n v="33502"/>
    <x v="2"/>
    <n v="3.7713999999999999"/>
    <s v="Yes"/>
    <s v="Medium"/>
    <n v="280"/>
    <x v="9"/>
    <s v="Mid"/>
    <n v="0"/>
    <n v="0"/>
    <s v="Value &amp; Gift Sets"/>
  </r>
  <r>
    <s v="P501005"/>
    <s v="Premium BB Tinted Moisturizer with Niacinamide and SPF 40"/>
    <n v="6014"/>
    <s v="Dr. Jart+"/>
    <n v="33513"/>
    <x v="2"/>
    <n v="4.3228999999999997"/>
    <s v="Yes"/>
    <s v="High"/>
    <n v="607"/>
    <x v="124"/>
    <s v="Mid"/>
    <n v="0"/>
    <n v="0"/>
    <s v="Moisturizers"/>
  </r>
  <r>
    <s v="P479860"/>
    <s v="Mini Barrier+ Triple Lipid-Peptide Face Cream"/>
    <n v="6289"/>
    <s v="Skinfix"/>
    <n v="33646"/>
    <x v="2"/>
    <n v="4.2923999999999998"/>
    <s v="Yes"/>
    <s v="High"/>
    <n v="2449"/>
    <x v="60"/>
    <s v="Mid"/>
    <n v="0"/>
    <n v="0"/>
    <s v="Moisturizers"/>
  </r>
  <r>
    <s v="P426080"/>
    <s v="Lotus Youth Preserve Rescue Mask"/>
    <n v="4348"/>
    <s v="fresh"/>
    <n v="33687"/>
    <x v="2"/>
    <n v="4.351"/>
    <s v="Yes"/>
    <s v="High"/>
    <n v="490"/>
    <x v="116"/>
    <s v="Premium"/>
    <n v="0"/>
    <n v="0"/>
    <s v="Masks"/>
  </r>
  <r>
    <s v="P432262"/>
    <s v="Self Tan Purity Bronzing Water Face Mist"/>
    <n v="5626"/>
    <s v="St. Tropez"/>
    <n v="33699"/>
    <x v="2"/>
    <n v="3.88"/>
    <s v="Yes"/>
    <s v="Medium"/>
    <n v="400"/>
    <x v="49"/>
    <s v="Mid"/>
    <n v="0"/>
    <n v="0"/>
    <s v="Self Tanners"/>
  </r>
  <r>
    <s v="P439055"/>
    <s v="GENIUS Sleeping Collagen Moisturizer"/>
    <n v="6018"/>
    <s v="Algenist"/>
    <n v="33910"/>
    <x v="2"/>
    <n v="4.5412999999999997"/>
    <s v="Yes"/>
    <s v="High"/>
    <n v="1321"/>
    <x v="131"/>
    <s v="Premium"/>
    <n v="0"/>
    <n v="0"/>
    <s v="Moisturizers"/>
  </r>
  <r>
    <s v="P445726"/>
    <s v="Firming Night Cream with Peptides"/>
    <n v="3902"/>
    <s v="SEPHORA COLLECTION"/>
    <n v="34044"/>
    <x v="2"/>
    <n v="4.0217000000000001"/>
    <s v="Yes"/>
    <s v="High"/>
    <n v="46"/>
    <x v="5"/>
    <s v="Budget"/>
    <n v="0"/>
    <n v="0"/>
    <s v="Moisturizers"/>
  </r>
  <r>
    <s v="P396623"/>
    <s v="Makeup Setting Spray Organic Sunscreen SPF 30"/>
    <n v="7091"/>
    <s v="COOLA"/>
    <n v="34125"/>
    <x v="2"/>
    <n v="3.3066"/>
    <s v="Yes"/>
    <s v="Medium"/>
    <n v="623"/>
    <x v="8"/>
    <s v="Mid"/>
    <n v="0"/>
    <n v="0"/>
    <s v="Sunscreen"/>
  </r>
  <r>
    <s v="P469482"/>
    <s v="Even Skin Tone Self-Tanning Body Butter"/>
    <n v="8008"/>
    <s v="Isle of Paradise"/>
    <n v="34228"/>
    <x v="2"/>
    <n v="3.7378999999999998"/>
    <s v="Yes"/>
    <s v="Medium"/>
    <n v="557"/>
    <x v="52"/>
    <s v="Mid"/>
    <n v="0"/>
    <n v="0"/>
    <s v="Self Tanners"/>
  </r>
  <r>
    <s v="P448185"/>
    <s v="Cicapair Tiger Grass Calming Gel Cream"/>
    <n v="6014"/>
    <s v="Dr. Jart+"/>
    <n v="34356"/>
    <x v="2"/>
    <n v="4.4977"/>
    <s v="Yes"/>
    <s v="High"/>
    <n v="645"/>
    <x v="25"/>
    <s v="Mid"/>
    <n v="0"/>
    <n v="0"/>
    <s v="Moisturizers"/>
  </r>
  <r>
    <s v="P461520"/>
    <s v="Clean Foot Mask"/>
    <n v="3902"/>
    <s v="SEPHORA COLLECTION"/>
    <n v="34386"/>
    <x v="2"/>
    <n v="4.2691999999999997"/>
    <s v="Yes"/>
    <s v="High"/>
    <n v="156"/>
    <x v="100"/>
    <s v="Budget"/>
    <n v="0"/>
    <n v="0"/>
    <s v="Masks"/>
  </r>
  <r>
    <s v="P423136"/>
    <s v="Special Cleansing Gel"/>
    <n v="6219"/>
    <s v="Dermalogica"/>
    <n v="34428"/>
    <x v="2"/>
    <n v="4.5195999999999996"/>
    <s v="Yes"/>
    <s v="High"/>
    <n v="716"/>
    <x v="36"/>
    <s v="Mid"/>
    <n v="0"/>
    <n v="0"/>
    <s v="Cleansers"/>
  </r>
  <r>
    <s v="P444980"/>
    <s v="Adaptogen Soothe + Hydrate Activated Mist with Peptides"/>
    <n v="6169"/>
    <s v="Youth To The People"/>
    <n v="34503"/>
    <x v="2"/>
    <n v="4.1878000000000002"/>
    <s v="Yes"/>
    <s v="High"/>
    <n v="394"/>
    <x v="36"/>
    <s v="Mid"/>
    <n v="0"/>
    <n v="0"/>
    <s v="Moisturizers"/>
  </r>
  <r>
    <s v="P465808"/>
    <s v="4 Piece Facial Razor Set"/>
    <n v="3902"/>
    <s v="SEPHORA COLLECTION"/>
    <n v="34580"/>
    <x v="2"/>
    <n v="3.44"/>
    <s v="Yes"/>
    <s v="Medium"/>
    <n v="75"/>
    <x v="51"/>
    <s v="Budget"/>
    <n v="0"/>
    <n v="0"/>
    <s v="High Tech Tools"/>
  </r>
  <r>
    <s v="P414293"/>
    <s v="Honey Savior All-in-One Skin Repair Salve"/>
    <n v="8001"/>
    <s v="Farmacy"/>
    <n v="34646"/>
    <x v="2"/>
    <n v="4.4348000000000001"/>
    <s v="Yes"/>
    <s v="High"/>
    <n v="529"/>
    <x v="18"/>
    <s v="Mid"/>
    <n v="0"/>
    <n v="0"/>
    <s v="Moisturizers"/>
  </r>
  <r>
    <s v="P449158"/>
    <s v="Mini Lotus Anti-Aging Night Moisturizer"/>
    <n v="4348"/>
    <s v="fresh"/>
    <n v="34666"/>
    <x v="2"/>
    <n v="3.9935"/>
    <s v="Yes"/>
    <s v="Medium"/>
    <n v="154"/>
    <x v="75"/>
    <s v="Mid"/>
    <n v="0"/>
    <n v="0"/>
    <s v="Mini Size"/>
  </r>
  <r>
    <s v="P164932"/>
    <s v="Minted Rose Lip Balm"/>
    <n v="5671"/>
    <s v="Rosebud Perfume Co."/>
    <n v="34913"/>
    <x v="2"/>
    <n v="4.5225"/>
    <s v="Yes"/>
    <s v="High"/>
    <n v="1981"/>
    <x v="110"/>
    <s v="Budget"/>
    <n v="0"/>
    <n v="0"/>
    <s v="Lip Balms &amp; Treatments"/>
  </r>
  <r>
    <s v="P443834"/>
    <s v="Rosehip Nourishing Night Oil"/>
    <n v="6285"/>
    <s v="The INKEY List"/>
    <n v="34950"/>
    <x v="2"/>
    <n v="4.1029"/>
    <s v="Yes"/>
    <s v="High"/>
    <n v="175"/>
    <x v="46"/>
    <s v="Budget"/>
    <n v="0"/>
    <n v="0"/>
    <s v="Moisturizers"/>
  </r>
  <r>
    <s v="P433444"/>
    <s v="Clear Improvement Charcoal Honey Mask to Purify and Nourish"/>
    <n v="3733"/>
    <s v="Origins"/>
    <n v="34965"/>
    <x v="2"/>
    <n v="4.6452999999999998"/>
    <s v="Yes"/>
    <s v="High"/>
    <n v="1074"/>
    <x v="96"/>
    <s v="Mid"/>
    <n v="0"/>
    <n v="0"/>
    <s v="Masks"/>
  </r>
  <r>
    <s v="P453253"/>
    <s v="Vegan Milk Moisturizer"/>
    <n v="6134"/>
    <s v="MILK MAKEUP"/>
    <n v="35156"/>
    <x v="2"/>
    <n v="4.2213000000000003"/>
    <s v="Yes"/>
    <s v="High"/>
    <n v="1672"/>
    <x v="12"/>
    <s v="Mid"/>
    <n v="0"/>
    <n v="0"/>
    <s v="Moisturizers"/>
  </r>
  <r>
    <s v="P483060"/>
    <s v="Lip Comfort Hydrating Oil"/>
    <n v="2082"/>
    <s v="Clarins"/>
    <n v="35345"/>
    <x v="2"/>
    <n v="4.3509000000000002"/>
    <s v="Yes"/>
    <s v="High"/>
    <n v="57"/>
    <x v="52"/>
    <s v="Mid"/>
    <n v="1"/>
    <n v="0"/>
    <s v="Lip Balms &amp; Treatments"/>
  </r>
  <r>
    <s v="P404465"/>
    <s v="GLO Lit Teeth Whitening Vials 3 Pack"/>
    <n v="5996"/>
    <s v="GLO Science"/>
    <n v="35507"/>
    <x v="2"/>
    <n v="4.1409000000000002"/>
    <s v="Yes"/>
    <s v="High"/>
    <n v="149"/>
    <x v="0"/>
    <s v="Mid"/>
    <n v="0"/>
    <n v="0"/>
    <s v="High Tech Tools"/>
  </r>
  <r>
    <s v="P504071"/>
    <s v="Bright Start Retinol Alternative Brightening Eye Cream"/>
    <n v="6156"/>
    <s v="ILIA"/>
    <n v="35799"/>
    <x v="2"/>
    <n v="4.4004000000000003"/>
    <s v="Yes"/>
    <s v="High"/>
    <n v="457"/>
    <x v="45"/>
    <s v="Mid"/>
    <n v="0"/>
    <n v="0"/>
    <s v="Eye Care"/>
  </r>
  <r>
    <s v="P475589"/>
    <s v="Ginzing Vitamin C Eye Cream to Brighten and Depuff"/>
    <n v="3733"/>
    <s v="Origins"/>
    <n v="35804"/>
    <x v="2"/>
    <n v="4.4569999999999999"/>
    <s v="Yes"/>
    <s v="High"/>
    <n v="965"/>
    <x v="96"/>
    <s v="Mid"/>
    <n v="0"/>
    <n v="0"/>
    <s v="Eye Care"/>
  </r>
  <r>
    <s v="P467250"/>
    <s v="Instant Reset Brightening Overnight Recovery Gel-Cream With Niacinamide + Kalahari Melon Oil"/>
    <n v="6352"/>
    <s v="Fenty Skin"/>
    <n v="35804"/>
    <x v="2"/>
    <n v="4.1988000000000003"/>
    <s v="Yes"/>
    <s v="High"/>
    <n v="166"/>
    <x v="44"/>
    <s v="Mid"/>
    <n v="0"/>
    <n v="0"/>
    <s v="Moisturizers"/>
  </r>
  <r>
    <s v="P442833"/>
    <s v="EUK 134 0.1%"/>
    <n v="6234"/>
    <s v="The Ordinary"/>
    <n v="35874"/>
    <x v="2"/>
    <n v="4.3499999999999996"/>
    <s v="Yes"/>
    <s v="High"/>
    <n v="140"/>
    <x v="35"/>
    <s v="Budget"/>
    <n v="0"/>
    <n v="1"/>
    <s v="Treatments"/>
  </r>
  <r>
    <s v="P476414"/>
    <s v="5 Stars Retinol + Niacinamide Eye Serum"/>
    <n v="6073"/>
    <s v="Sunday Riley"/>
    <n v="35885"/>
    <x v="2"/>
    <n v="4.6414"/>
    <s v="Yes"/>
    <s v="High"/>
    <n v="1718"/>
    <x v="92"/>
    <s v="Premium"/>
    <n v="0"/>
    <n v="0"/>
    <s v="Eye Care"/>
  </r>
  <r>
    <s v="P397624"/>
    <s v="Dermask Micro Jet Clearing Solution"/>
    <n v="6014"/>
    <s v="Dr. Jart+"/>
    <n v="35931"/>
    <x v="2"/>
    <n v="4.4471999999999996"/>
    <s v="Yes"/>
    <s v="High"/>
    <n v="322"/>
    <x v="59"/>
    <s v="Budget"/>
    <n v="0"/>
    <n v="0"/>
    <s v="Masks"/>
  </r>
  <r>
    <s v="P476415"/>
    <s v="Acne+ 2% BHA + Azelaic Acid + Niacinamide + AHA Cleanser"/>
    <n v="6289"/>
    <s v="Skinfix"/>
    <n v="36209"/>
    <x v="2"/>
    <n v="4.5648"/>
    <s v="Yes"/>
    <s v="High"/>
    <n v="432"/>
    <x v="9"/>
    <s v="Mid"/>
    <n v="0"/>
    <n v="0"/>
    <s v="Cleansers"/>
  </r>
  <r>
    <s v="P469511"/>
    <s v="CLINICAL Niacinamide 20% Treatment"/>
    <n v="6341"/>
    <s v="Paula's Choice"/>
    <n v="36209"/>
    <x v="2"/>
    <n v="4.5317999999999996"/>
    <s v="Yes"/>
    <s v="High"/>
    <n v="220"/>
    <x v="23"/>
    <s v="Premium"/>
    <n v="0"/>
    <n v="0"/>
    <s v="Treatments"/>
  </r>
  <r>
    <s v="P450244"/>
    <s v="Ceramide Hydrating Night Treatment"/>
    <n v="6285"/>
    <s v="The INKEY List"/>
    <n v="36241"/>
    <x v="2"/>
    <n v="4.2899000000000003"/>
    <s v="Yes"/>
    <s v="High"/>
    <n v="307"/>
    <x v="144"/>
    <s v="Budget"/>
    <n v="0"/>
    <n v="0"/>
    <s v="Treatments"/>
  </r>
  <r>
    <s v="P415667"/>
    <s v="EradiKate Daily Cleanser Acne Treatment"/>
    <n v="5946"/>
    <s v="Kate Somerville"/>
    <n v="36518"/>
    <x v="2"/>
    <n v="4.2392000000000003"/>
    <s v="Yes"/>
    <s v="High"/>
    <n v="623"/>
    <x v="124"/>
    <s v="Mid"/>
    <n v="0"/>
    <n v="0"/>
    <s v="Treatments"/>
  </r>
  <r>
    <s v="P475630"/>
    <s v="Mini Mandelic Acid + Superfood Unity Exfoliant"/>
    <n v="6169"/>
    <s v="Youth To The People"/>
    <n v="36699"/>
    <x v="2"/>
    <n v="4.6746999999999996"/>
    <s v="Yes"/>
    <s v="High"/>
    <n v="584"/>
    <x v="47"/>
    <s v="Budget"/>
    <n v="0"/>
    <n v="0"/>
    <s v="Cleansers"/>
  </r>
  <r>
    <s v="P420158"/>
    <s v="Vitamin C Glow Moisturizer"/>
    <n v="4348"/>
    <s v="fresh"/>
    <n v="36763"/>
    <x v="2"/>
    <n v="4.2411000000000003"/>
    <s v="Yes"/>
    <s v="High"/>
    <n v="419"/>
    <x v="14"/>
    <s v="Mid"/>
    <n v="0"/>
    <n v="0"/>
    <s v="Moisturizers"/>
  </r>
  <r>
    <s v="P394397"/>
    <s v="Invisiblur Perfecting Shield Broad Spectrum SPF 30 PA+++"/>
    <n v="4164"/>
    <s v="Murad"/>
    <n v="36774"/>
    <x v="2"/>
    <n v="3.9546999999999999"/>
    <s v="Yes"/>
    <s v="Medium"/>
    <n v="773"/>
    <x v="136"/>
    <s v="Premium"/>
    <n v="0"/>
    <n v="0"/>
    <s v="Treatments"/>
  </r>
  <r>
    <s v="P481169"/>
    <s v="The Silk Sunscreen Mineral Broad Spectrum SPF 50 PA++++ with Hyaluronic Acid and Niacinamide"/>
    <n v="6041"/>
    <s v="Tatcha"/>
    <n v="37047"/>
    <x v="2"/>
    <n v="3.3975"/>
    <s v="Yes"/>
    <s v="Medium"/>
    <n v="483"/>
    <x v="48"/>
    <s v="Premium"/>
    <n v="0"/>
    <n v="0"/>
    <s v="Sunscreen"/>
  </r>
  <r>
    <s v="P467615"/>
    <s v="Cicapair Tiger Grass Sleepair Intensive Mask"/>
    <n v="6014"/>
    <s v="Dr. Jart+"/>
    <n v="37108"/>
    <x v="2"/>
    <n v="4.5464000000000002"/>
    <s v="Yes"/>
    <s v="High"/>
    <n v="743"/>
    <x v="36"/>
    <s v="Mid"/>
    <n v="0"/>
    <n v="1"/>
    <s v="Masks"/>
  </r>
  <r>
    <s v="P469519"/>
    <s v="RESIST Advanced Replenishing Toner with Hyaluronic Acid"/>
    <n v="6341"/>
    <s v="Paula's Choice"/>
    <n v="37158"/>
    <x v="2"/>
    <n v="4.7300000000000004"/>
    <s v="Yes"/>
    <s v="High"/>
    <n v="237"/>
    <x v="95"/>
    <s v="Mid"/>
    <n v="0"/>
    <n v="0"/>
    <s v="Cleansers"/>
  </r>
  <r>
    <s v="P421997"/>
    <s v="Calendula Herbal Extract Alcohol Free Toner"/>
    <n v="6218"/>
    <s v="Kiehl's Since 1851"/>
    <n v="37317"/>
    <x v="2"/>
    <n v="4.2215999999999996"/>
    <s v="Yes"/>
    <s v="High"/>
    <n v="194"/>
    <x v="84"/>
    <s v="Mid"/>
    <n v="0"/>
    <n v="0"/>
    <s v="Cleansers"/>
  </r>
  <r>
    <s v="P453816"/>
    <s v="Mini Take The Day Off Cleansing Balm Makeup Remover"/>
    <n v="1254"/>
    <s v="CLINIQUE"/>
    <n v="37388"/>
    <x v="2"/>
    <n v="4.5293999999999999"/>
    <s v="Yes"/>
    <s v="High"/>
    <n v="4375"/>
    <x v="58"/>
    <s v="Budget"/>
    <n v="0"/>
    <n v="0"/>
    <s v="Mini Size"/>
  </r>
  <r>
    <s v="P429043"/>
    <s v="LUXE+ Advanced Sonic Dermaplaning + Peach Fuzz Removal"/>
    <n v="6136"/>
    <s v="DERMAFLASH"/>
    <n v="37545"/>
    <x v="2"/>
    <n v="3.9735"/>
    <s v="Yes"/>
    <s v="Medium"/>
    <n v="189"/>
    <x v="141"/>
    <s v="Premium"/>
    <n v="0"/>
    <n v="0"/>
    <s v="High Tech Tools"/>
  </r>
  <r>
    <s v="P471761"/>
    <s v="Call It A Night Glycolic Serum + Moisturizer duo"/>
    <n v="7083"/>
    <s v="Drunk Elephant"/>
    <n v="37629"/>
    <x v="2"/>
    <n v="4.3874000000000004"/>
    <s v="Yes"/>
    <s v="High"/>
    <n v="111"/>
    <x v="52"/>
    <s v="Mid"/>
    <n v="0"/>
    <n v="1"/>
    <s v="Value &amp; Gift Sets"/>
  </r>
  <r>
    <s v="P463353"/>
    <s v="CC Screen 100% Mineral CC Cream SPF 50 PA++++"/>
    <n v="5987"/>
    <s v="Supergoop!"/>
    <n v="37695"/>
    <x v="2"/>
    <n v="3.4003999999999999"/>
    <s v="Yes"/>
    <s v="Medium"/>
    <n v="527"/>
    <x v="124"/>
    <s v="Mid"/>
    <n v="0"/>
    <n v="0"/>
    <s v="Moisturizers"/>
  </r>
  <r>
    <s v="P442713"/>
    <s v="FAB Skin Lab Retinol Eye Cream with Triple Hyaluronic Acid"/>
    <n v="5972"/>
    <s v="First Aid Beauty"/>
    <n v="37716"/>
    <x v="2"/>
    <n v="3.7222"/>
    <s v="Yes"/>
    <s v="Medium"/>
    <n v="162"/>
    <x v="124"/>
    <s v="Mid"/>
    <n v="0"/>
    <n v="0"/>
    <s v="Eye Care"/>
  </r>
  <r>
    <s v="P423130"/>
    <s v="MultiVitamin Power Recovery Mask"/>
    <n v="6219"/>
    <s v="Dermalogica"/>
    <n v="37767"/>
    <x v="2"/>
    <n v="4.3666999999999998"/>
    <s v="Yes"/>
    <s v="High"/>
    <n v="390"/>
    <x v="92"/>
    <s v="Premium"/>
    <n v="0"/>
    <n v="0"/>
    <s v="Masks"/>
  </r>
  <r>
    <s v="P384539"/>
    <s v="Deep Cleanser with Red Clay"/>
    <n v="5972"/>
    <s v="First Aid Beauty"/>
    <n v="37998"/>
    <x v="2"/>
    <n v="4.2607999999999997"/>
    <s v="Yes"/>
    <s v="High"/>
    <n v="1062"/>
    <x v="0"/>
    <s v="Mid"/>
    <n v="0"/>
    <n v="0"/>
    <s v="Cleansers"/>
  </r>
  <r>
    <s v="P470240"/>
    <s v="Truth Serum Vitamin C Serum"/>
    <n v="5674"/>
    <s v="OLEHENRIKSEN"/>
    <n v="38002"/>
    <x v="2"/>
    <n v="4.1875"/>
    <s v="Yes"/>
    <s v="High"/>
    <n v="128"/>
    <x v="70"/>
    <s v="Premium"/>
    <n v="0"/>
    <n v="0"/>
    <s v="Treatments"/>
  </r>
  <r>
    <s v="P418624"/>
    <s v="Noni Glow Plumping Face Oil"/>
    <n v="6207"/>
    <s v="KORA Organics"/>
    <n v="38003"/>
    <x v="2"/>
    <n v="4.4112"/>
    <s v="Yes"/>
    <s v="High"/>
    <n v="1121"/>
    <x v="55"/>
    <s v="Premium"/>
    <n v="0"/>
    <n v="0"/>
    <s v="Moisturizers"/>
  </r>
  <r>
    <s v="P456412"/>
    <s v="Greek Yoghurt Foaming Cream Cleanser"/>
    <n v="5715"/>
    <s v="KORRES"/>
    <n v="38097"/>
    <x v="2"/>
    <n v="4.5667"/>
    <s v="Yes"/>
    <s v="High"/>
    <n v="4186"/>
    <x v="52"/>
    <s v="Mid"/>
    <n v="0"/>
    <n v="0"/>
    <s v="Cleansers"/>
  </r>
  <r>
    <s v="P411365"/>
    <s v="Retinol Youth Renewal Serum"/>
    <n v="4164"/>
    <s v="Murad"/>
    <n v="38145"/>
    <x v="2"/>
    <n v="4.5877999999999997"/>
    <s v="Yes"/>
    <s v="High"/>
    <n v="1031"/>
    <x v="27"/>
    <s v="Premium"/>
    <n v="0"/>
    <n v="0"/>
    <s v="Treatments"/>
  </r>
  <r>
    <s v="P450211"/>
    <s v="Mini Vitamin Nectar Glow Juice Antioxidant Face Serum"/>
    <n v="4348"/>
    <s v="fresh"/>
    <n v="38157"/>
    <x v="2"/>
    <n v="3.9925999999999999"/>
    <s v="Yes"/>
    <s v="Medium"/>
    <n v="136"/>
    <x v="52"/>
    <s v="Mid"/>
    <n v="0"/>
    <n v="0"/>
    <s v="Mini Size"/>
  </r>
  <r>
    <s v="P458216"/>
    <s v="Mini Yo Glow AHA &amp; BHA Facial Enzyme Scrub"/>
    <n v="6316"/>
    <s v="Wishful"/>
    <n v="38190"/>
    <x v="2"/>
    <n v="4.2460000000000004"/>
    <s v="Yes"/>
    <s v="High"/>
    <n v="2207"/>
    <x v="128"/>
    <s v="Mid"/>
    <n v="0"/>
    <n v="0"/>
    <s v="Mini Size"/>
  </r>
  <r>
    <s v="P468351"/>
    <s v="Moisture Surge 100H Auto-Replenishing Hydrator Moisturizer"/>
    <n v="1254"/>
    <s v="CLINIQUE"/>
    <n v="38202"/>
    <x v="2"/>
    <n v="4.2522000000000002"/>
    <s v="Yes"/>
    <s v="High"/>
    <n v="1729"/>
    <x v="42"/>
    <s v="Premium"/>
    <n v="0"/>
    <n v="0"/>
    <s v="Moisturizers"/>
  </r>
  <r>
    <s v="P458724"/>
    <s v="Metal Facial Razor"/>
    <n v="3902"/>
    <s v="SEPHORA COLLECTION"/>
    <n v="38239"/>
    <x v="2"/>
    <n v="4.4725999999999999"/>
    <s v="Yes"/>
    <s v="High"/>
    <n v="237"/>
    <x v="5"/>
    <s v="Budget"/>
    <n v="0"/>
    <n v="0"/>
    <s v="High Tech Tools"/>
  </r>
  <r>
    <s v="P469088"/>
    <s v="Fulvic Acid Brightening Cleanser"/>
    <n v="6285"/>
    <s v="The INKEY List"/>
    <n v="38263"/>
    <x v="2"/>
    <n v="4.4203000000000001"/>
    <s v="Yes"/>
    <s v="High"/>
    <n v="345"/>
    <x v="46"/>
    <s v="Budget"/>
    <n v="0"/>
    <n v="0"/>
    <s v="Cleansers"/>
  </r>
  <r>
    <s v="P436094"/>
    <s v="Evercalm Overnight Recovery Balm"/>
    <n v="5857"/>
    <s v="REN Clean Skincare"/>
    <n v="38294"/>
    <x v="2"/>
    <n v="4.4863999999999997"/>
    <s v="Yes"/>
    <s v="High"/>
    <n v="623"/>
    <x v="103"/>
    <s v="Premium"/>
    <n v="0"/>
    <n v="0"/>
    <s v="Moisturizers"/>
  </r>
  <r>
    <s v="P482328"/>
    <s v="Mini Natural Moisturizing Factors + HA"/>
    <n v="6234"/>
    <s v="The Ordinary"/>
    <n v="38431"/>
    <x v="2"/>
    <n v="3.9213"/>
    <s v="Yes"/>
    <s v="Medium"/>
    <n v="89"/>
    <x v="22"/>
    <s v="Budget"/>
    <n v="0"/>
    <n v="0"/>
    <s v="Treatments"/>
  </r>
  <r>
    <s v="P409631"/>
    <s v="SEA FRXXXTION Stick Exfoliating Cleanser"/>
    <n v="5648"/>
    <s v="tarte"/>
    <n v="38635"/>
    <x v="2"/>
    <n v="4.5315000000000003"/>
    <s v="Yes"/>
    <s v="High"/>
    <n v="969"/>
    <x v="75"/>
    <s v="Mid"/>
    <n v="0"/>
    <n v="1"/>
    <s v="Cleansers"/>
  </r>
  <r>
    <s v="P437960"/>
    <s v="Baggage Claim Rose Gold Eye Masks"/>
    <n v="6149"/>
    <s v="Wander Beauty"/>
    <n v="38772"/>
    <x v="2"/>
    <n v="4.0986000000000002"/>
    <s v="Yes"/>
    <s v="High"/>
    <n v="71"/>
    <x v="95"/>
    <s v="Mid"/>
    <n v="0"/>
    <n v="0"/>
    <s v="Eye Care"/>
  </r>
  <r>
    <s v="P416923"/>
    <s v="Superfood Hydrate + Firm Peptide Eye Cream"/>
    <n v="6169"/>
    <s v="Youth To The People"/>
    <n v="38812"/>
    <x v="2"/>
    <n v="3.6564000000000001"/>
    <s v="Yes"/>
    <s v="Medium"/>
    <n v="326"/>
    <x v="12"/>
    <s v="Mid"/>
    <n v="0"/>
    <n v="0"/>
    <s v="Eye Care"/>
  </r>
  <r>
    <s v="P459835"/>
    <s v="Mini Charlotteâ€™s Magic Serum with Vitamin C"/>
    <n v="6236"/>
    <s v="Charlotte Tilbury"/>
    <n v="38819"/>
    <x v="2"/>
    <n v="3.1749999999999998"/>
    <s v="Yes"/>
    <s v="Medium"/>
    <n v="40"/>
    <x v="78"/>
    <s v="Mid"/>
    <n v="0"/>
    <n v="0"/>
    <s v="Mini Size"/>
  </r>
  <r>
    <s v="P122882"/>
    <s v="Clarifying Lotion 2"/>
    <n v="1254"/>
    <s v="CLINIQUE"/>
    <n v="38875"/>
    <x v="2"/>
    <n v="4.3815"/>
    <s v="Yes"/>
    <s v="High"/>
    <n v="1376"/>
    <x v="60"/>
    <s v="Mid"/>
    <n v="0"/>
    <n v="0"/>
    <s v="Cleansers"/>
  </r>
  <r>
    <s v="P467251"/>
    <s v="Fenty Skin Travel Size Start'r Set"/>
    <n v="6352"/>
    <s v="Fenty Skin"/>
    <n v="38902"/>
    <x v="2"/>
    <n v="4.0647000000000002"/>
    <s v="Yes"/>
    <s v="High"/>
    <n v="278"/>
    <x v="44"/>
    <s v="Mid"/>
    <n v="0"/>
    <n v="1"/>
    <s v="Value &amp; Gift Sets"/>
  </r>
  <r>
    <s v="P430903"/>
    <s v="Watermelon Brightening Serum"/>
    <n v="6134"/>
    <s v="MILK MAKEUP"/>
    <n v="38968"/>
    <x v="2"/>
    <n v="3.7258"/>
    <s v="Yes"/>
    <s v="Medium"/>
    <n v="299"/>
    <x v="8"/>
    <s v="Mid"/>
    <n v="0"/>
    <n v="0"/>
    <s v="Treatments"/>
  </r>
  <r>
    <s v="P421600"/>
    <s v="Jasmine Green Tea Oil Control Toner"/>
    <n v="6117"/>
    <s v="Herbivore"/>
    <n v="39251"/>
    <x v="2"/>
    <n v="4.0833000000000004"/>
    <s v="Yes"/>
    <s v="High"/>
    <n v="312"/>
    <x v="7"/>
    <s v="Mid"/>
    <n v="0"/>
    <n v="0"/>
    <s v="Cleansers"/>
  </r>
  <r>
    <s v="P474304"/>
    <s v="Squalane + Amino Aloe Gentle Pore-Minimizing Cleanser"/>
    <n v="6195"/>
    <s v="Biossance"/>
    <n v="39366"/>
    <x v="2"/>
    <n v="4.4071999999999996"/>
    <s v="Yes"/>
    <s v="High"/>
    <n v="528"/>
    <x v="52"/>
    <s v="Mid"/>
    <n v="0"/>
    <n v="0"/>
    <s v="Cleansers"/>
  </r>
  <r>
    <s v="P440925"/>
    <s v="Drink Up Intensive Overnight Hydrating Mask with Avocado &amp; Swiss Glacier Water"/>
    <n v="3733"/>
    <s v="Origins"/>
    <n v="39378"/>
    <x v="2"/>
    <n v="4.4954000000000001"/>
    <s v="Yes"/>
    <s v="High"/>
    <n v="1643"/>
    <x v="29"/>
    <s v="Mid"/>
    <n v="0"/>
    <n v="0"/>
    <s v="Masks"/>
  </r>
  <r>
    <s v="P384780"/>
    <s v="Pure Argan Milk Intensive Hydrating Treatment"/>
    <n v="5922"/>
    <s v="Josie Maran"/>
    <n v="39408"/>
    <x v="2"/>
    <n v="4.0679999999999996"/>
    <s v="Yes"/>
    <s v="High"/>
    <n v="1088"/>
    <x v="70"/>
    <s v="Premium"/>
    <n v="0"/>
    <n v="0"/>
    <s v="Treatments"/>
  </r>
  <r>
    <s v="P503294"/>
    <s v="Day Dream Vitamin C + Hydration Serum Duo 2.0"/>
    <n v="7083"/>
    <s v="Drunk Elephant"/>
    <n v="39446"/>
    <x v="2"/>
    <n v="2.5"/>
    <s v="Yes"/>
    <s v="Low"/>
    <n v="22"/>
    <x v="95"/>
    <s v="Mid"/>
    <n v="0"/>
    <n v="0"/>
    <s v="Value &amp; Gift Sets"/>
  </r>
  <r>
    <s v="P442838"/>
    <s v="Barrier+ Triple Lipid-Boost 360Â° Brightening Eye Cream"/>
    <n v="6289"/>
    <s v="Skinfix"/>
    <n v="39524"/>
    <x v="2"/>
    <n v="4.3169000000000004"/>
    <s v="Yes"/>
    <s v="High"/>
    <n v="934"/>
    <x v="124"/>
    <s v="Mid"/>
    <n v="0"/>
    <n v="0"/>
    <s v="Eye Care"/>
  </r>
  <r>
    <s v="P481817"/>
    <s v="Beauty Elixir Prep, Set, Glow Face Mist"/>
    <n v="4171"/>
    <s v="Caudalie"/>
    <n v="39840"/>
    <x v="2"/>
    <n v="4.2396000000000003"/>
    <s v="Yes"/>
    <s v="High"/>
    <n v="3405"/>
    <x v="25"/>
    <s v="Mid"/>
    <n v="0"/>
    <n v="0"/>
    <s v="Moisturizers"/>
  </r>
  <r>
    <s v="P422013"/>
    <s v="Calendula Deep Clean Foaming Face Wash"/>
    <n v="6218"/>
    <s v="Kiehl's Since 1851"/>
    <n v="39855"/>
    <x v="2"/>
    <n v="4.5033000000000003"/>
    <s v="Yes"/>
    <s v="High"/>
    <n v="306"/>
    <x v="12"/>
    <s v="Mid"/>
    <n v="0"/>
    <n v="0"/>
    <s v="Cleansers"/>
  </r>
  <r>
    <s v="P385631"/>
    <s v="Great Skin, Great Deal Set for Combination Oily Skin"/>
    <n v="1254"/>
    <s v="CLINIQUE"/>
    <n v="39928"/>
    <x v="2"/>
    <n v="4.3320999999999996"/>
    <s v="Yes"/>
    <s v="High"/>
    <n v="268"/>
    <x v="146"/>
    <s v="Mid"/>
    <n v="0"/>
    <n v="0"/>
    <s v="Value &amp; Gift Sets"/>
  </r>
  <r>
    <s v="P473322"/>
    <s v="Dewtopia 20% Acid Night Treatment"/>
    <n v="5674"/>
    <s v="OLEHENRIKSEN"/>
    <n v="39989"/>
    <x v="2"/>
    <n v="4.5613999999999999"/>
    <s v="Yes"/>
    <s v="High"/>
    <n v="1466"/>
    <x v="37"/>
    <s v="Premium"/>
    <n v="0"/>
    <n v="0"/>
    <s v="Treatments"/>
  </r>
  <r>
    <s v="P413613"/>
    <s v="Pro Facial Steamer"/>
    <n v="5668"/>
    <s v="Dr. Dennis Gross Skincare"/>
    <n v="40031"/>
    <x v="2"/>
    <n v="4.1493000000000002"/>
    <s v="Yes"/>
    <s v="High"/>
    <n v="134"/>
    <x v="82"/>
    <s v="Premium"/>
    <n v="0"/>
    <n v="1"/>
    <s v="High Tech Tools"/>
  </r>
  <r>
    <s v="P397623"/>
    <s v="Dermask Water Jet Vital Hydra Solution"/>
    <n v="6014"/>
    <s v="Dr. Jart+"/>
    <n v="40090"/>
    <x v="2"/>
    <n v="4.5507"/>
    <s v="Yes"/>
    <s v="High"/>
    <n v="276"/>
    <x v="127"/>
    <s v="Budget"/>
    <n v="0"/>
    <n v="0"/>
    <s v="Masks"/>
  </r>
  <r>
    <s v="P379710"/>
    <s v="Regenerating Exfoliating Cleanser"/>
    <n v="7020"/>
    <s v="Tata Harper"/>
    <n v="40150"/>
    <x v="2"/>
    <n v="4.4649000000000001"/>
    <s v="Yes"/>
    <s v="High"/>
    <n v="699"/>
    <x v="118"/>
    <s v="Premium"/>
    <n v="0"/>
    <n v="0"/>
    <s v="Cleansers"/>
  </r>
  <r>
    <s v="P415619"/>
    <s v="Dreamskin Skin Perfector"/>
    <n v="1073"/>
    <s v="Dior"/>
    <n v="40209"/>
    <x v="2"/>
    <n v="4.3384"/>
    <s v="Yes"/>
    <s v="High"/>
    <n v="1457"/>
    <x v="87"/>
    <s v="Premium"/>
    <n v="0"/>
    <n v="0"/>
    <s v="Moisturizers"/>
  </r>
  <r>
    <s v="P484055"/>
    <s v="Water Bank Blue Hyaluronic Hydration Set"/>
    <n v="6125"/>
    <s v="LANEIGE"/>
    <n v="40254"/>
    <x v="2"/>
    <n v="4.0191999999999997"/>
    <s v="Yes"/>
    <s v="High"/>
    <n v="52"/>
    <x v="44"/>
    <s v="Mid"/>
    <n v="0"/>
    <n v="0"/>
    <s v="Value &amp; Gift Sets"/>
  </r>
  <r>
    <s v="P419221"/>
    <s v="Umbra Tinte Physical Daily Defense SPF 30"/>
    <n v="7083"/>
    <s v="Drunk Elephant"/>
    <n v="40278"/>
    <x v="2"/>
    <n v="3.2982"/>
    <s v="Yes"/>
    <s v="Medium"/>
    <n v="845"/>
    <x v="8"/>
    <s v="Mid"/>
    <n v="0"/>
    <n v="0"/>
    <s v="Sunscreen"/>
  </r>
  <r>
    <s v="P433627"/>
    <s v="Turmeric BHA Pore &amp; Brightening Treatment Mask"/>
    <n v="6207"/>
    <s v="KORA Organics"/>
    <n v="40323"/>
    <x v="2"/>
    <n v="4.1626000000000003"/>
    <s v="Yes"/>
    <s v="High"/>
    <n v="492"/>
    <x v="23"/>
    <s v="Premium"/>
    <n v="0"/>
    <n v="0"/>
    <s v="Masks"/>
  </r>
  <r>
    <s v="P404338"/>
    <s v="Whipped Argan Oil Face Butter"/>
    <n v="5922"/>
    <s v="Josie Maran"/>
    <n v="40417"/>
    <x v="2"/>
    <n v="4.1421000000000001"/>
    <s v="Yes"/>
    <s v="High"/>
    <n v="1393"/>
    <x v="44"/>
    <s v="Mid"/>
    <n v="0"/>
    <n v="0"/>
    <s v="Moisturizers"/>
  </r>
  <r>
    <s v="P404794"/>
    <s v="Hydrating Oil Stick"/>
    <n v="6134"/>
    <s v="MILK MAKEUP"/>
    <n v="40465"/>
    <x v="2"/>
    <n v="3.8477999999999999"/>
    <s v="Yes"/>
    <s v="Medium"/>
    <n v="276"/>
    <x v="29"/>
    <s v="Mid"/>
    <n v="0"/>
    <n v="0"/>
    <s v="Moisturizers"/>
  </r>
  <r>
    <s v="P478030"/>
    <s v="Mini Oat Cleansing Balm"/>
    <n v="6285"/>
    <s v="The INKEY List"/>
    <n v="40474"/>
    <x v="2"/>
    <n v="3.6097999999999999"/>
    <s v="Yes"/>
    <s v="Medium"/>
    <n v="2968"/>
    <x v="134"/>
    <s v="Budget"/>
    <n v="0"/>
    <n v="0"/>
    <s v="Cleansers"/>
  </r>
  <r>
    <s v="P482006"/>
    <s v="Dewy Glow Moisturizer with Cherry Blossom &amp; Niacinamide"/>
    <n v="6295"/>
    <s v="innisfree"/>
    <n v="40516"/>
    <x v="2"/>
    <n v="4.3745000000000003"/>
    <s v="Yes"/>
    <s v="High"/>
    <n v="267"/>
    <x v="95"/>
    <s v="Mid"/>
    <n v="0"/>
    <n v="0"/>
    <s v="Moisturizers"/>
  </r>
  <r>
    <s v="P188307"/>
    <s v="Acne Solutions Clarifying Lotion"/>
    <n v="1254"/>
    <s v="CLINIQUE"/>
    <n v="40683"/>
    <x v="2"/>
    <n v="4.4042000000000003"/>
    <s v="Yes"/>
    <s v="High"/>
    <n v="1007"/>
    <x v="60"/>
    <s v="Mid"/>
    <n v="0"/>
    <n v="0"/>
    <s v="Cleansers"/>
  </r>
  <r>
    <s v="P432239"/>
    <s v="Buttermask Intense Repair Lip Treatment"/>
    <n v="6218"/>
    <s v="Kiehl's Since 1851"/>
    <n v="40755"/>
    <x v="2"/>
    <n v="4.0419"/>
    <s v="Yes"/>
    <s v="High"/>
    <n v="191"/>
    <x v="52"/>
    <s v="Mid"/>
    <n v="0"/>
    <n v="0"/>
    <s v="Lip Balms &amp; Treatments"/>
  </r>
  <r>
    <s v="P122718"/>
    <s v="Exfoliating Face Scrub"/>
    <n v="1254"/>
    <s v="CLINIQUE"/>
    <n v="40899"/>
    <x v="2"/>
    <n v="4.6121999999999996"/>
    <s v="Yes"/>
    <s v="High"/>
    <n v="1194"/>
    <x v="95"/>
    <s v="Mid"/>
    <n v="0"/>
    <n v="0"/>
    <s v="Cleansers"/>
  </r>
  <r>
    <s v="P480192"/>
    <s v="Light Aura Vitamin C + Peptide Eye Cream"/>
    <n v="6247"/>
    <s v="Summer Fridays"/>
    <n v="40911"/>
    <x v="2"/>
    <n v="4.3596000000000004"/>
    <s v="Yes"/>
    <s v="High"/>
    <n v="381"/>
    <x v="36"/>
    <s v="Mid"/>
    <n v="0"/>
    <n v="0"/>
    <s v="Eye Care"/>
  </r>
  <r>
    <s v="P466661"/>
    <s v="Whipped Greens Oil-Free Foaming Cleanser with Moringa and Papaya"/>
    <n v="8001"/>
    <s v="Farmacy"/>
    <n v="40927"/>
    <x v="2"/>
    <n v="4.5747"/>
    <s v="Yes"/>
    <s v="High"/>
    <n v="482"/>
    <x v="52"/>
    <s v="Mid"/>
    <n v="0"/>
    <n v="0"/>
    <s v="Cleansers"/>
  </r>
  <r>
    <s v="P460747"/>
    <s v="Pink Cloud Rosewater + Squalane Makeup Removing Face Wash"/>
    <n v="6117"/>
    <s v="Herbivore"/>
    <n v="41051"/>
    <x v="2"/>
    <n v="4.3577000000000004"/>
    <s v="Yes"/>
    <s v="High"/>
    <n v="629"/>
    <x v="95"/>
    <s v="Mid"/>
    <n v="0"/>
    <n v="0"/>
    <s v="Cleansers"/>
  </r>
  <r>
    <s v="P475951"/>
    <s v="Green Tea Hyaluronic Acid Hydrating Serum"/>
    <n v="6295"/>
    <s v="innisfree"/>
    <n v="41215"/>
    <x v="2"/>
    <n v="4.5835999999999997"/>
    <s v="Yes"/>
    <s v="High"/>
    <n v="365"/>
    <x v="78"/>
    <s v="Mid"/>
    <n v="0"/>
    <n v="0"/>
    <s v="Treatments"/>
  </r>
  <r>
    <s v="P442564"/>
    <s v="Emerald CBD + Adaptogens Deep Moisture Glow Oil"/>
    <n v="6117"/>
    <s v="Herbivore"/>
    <n v="41254"/>
    <x v="2"/>
    <n v="4.3644999999999996"/>
    <s v="Yes"/>
    <s v="High"/>
    <n v="557"/>
    <x v="37"/>
    <s v="Premium"/>
    <n v="0"/>
    <n v="0"/>
    <s v="Moisturizers"/>
  </r>
  <r>
    <s v="P482074"/>
    <s v="Dream Oasis Deep Hydration Serum"/>
    <n v="6247"/>
    <s v="Summer Fridays"/>
    <n v="41405"/>
    <x v="2"/>
    <n v="4.7361000000000004"/>
    <s v="Yes"/>
    <s v="High"/>
    <n v="485"/>
    <x v="124"/>
    <s v="Mid"/>
    <n v="0"/>
    <n v="0"/>
    <s v="Treatments"/>
  </r>
  <r>
    <s v="P482329"/>
    <s v="Retinal + Niacinamide Youth Serum"/>
    <n v="6169"/>
    <s v="Youth To The People"/>
    <n v="41445"/>
    <x v="2"/>
    <n v="4.5841000000000003"/>
    <s v="Yes"/>
    <s v="High"/>
    <n v="315"/>
    <x v="116"/>
    <s v="Premium"/>
    <n v="0"/>
    <n v="0"/>
    <s v="Treatments"/>
  </r>
  <r>
    <s v="P381020"/>
    <s v="Vinoclean Cleansing Micellar Water"/>
    <n v="4171"/>
    <s v="Caudalie"/>
    <n v="41456"/>
    <x v="2"/>
    <n v="4.0090000000000003"/>
    <s v="Yes"/>
    <s v="High"/>
    <n v="664"/>
    <x v="78"/>
    <s v="Mid"/>
    <n v="0"/>
    <n v="0"/>
    <s v="Cleansers"/>
  </r>
  <r>
    <s v="P421432"/>
    <s v="Rapid Relief Acne Spot Treatment"/>
    <n v="4164"/>
    <s v="Murad"/>
    <n v="41475"/>
    <x v="2"/>
    <n v="3.9253"/>
    <s v="Yes"/>
    <s v="Medium"/>
    <n v="589"/>
    <x v="95"/>
    <s v="Mid"/>
    <n v="0"/>
    <n v="0"/>
    <s v="Treatments"/>
  </r>
  <r>
    <s v="P429516"/>
    <s v="Full Spectrum 360Â° Sun Silk Drops Organic Sunscreen SPF 30"/>
    <n v="7091"/>
    <s v="COOLA"/>
    <n v="41546"/>
    <x v="2"/>
    <n v="4.4204999999999997"/>
    <s v="Yes"/>
    <s v="High"/>
    <n v="799"/>
    <x v="14"/>
    <s v="Mid"/>
    <n v="0"/>
    <n v="0"/>
    <s v="Sunscreen"/>
  </r>
  <r>
    <s v="P471038"/>
    <s v="Glaze Lip Oil"/>
    <n v="6357"/>
    <s v="iNNBEAUTY PROJECT"/>
    <n v="41560"/>
    <x v="2"/>
    <n v="4.4292999999999996"/>
    <s v="Yes"/>
    <s v="High"/>
    <n v="205"/>
    <x v="34"/>
    <s v="Budget"/>
    <n v="0"/>
    <n v="0"/>
    <s v="Lip Balms &amp; Treatments"/>
  </r>
  <r>
    <s v="P457442"/>
    <s v="Face Serum"/>
    <n v="3902"/>
    <s v="SEPHORA COLLECTION"/>
    <n v="41657"/>
    <x v="2"/>
    <n v="3.3235000000000001"/>
    <s v="Yes"/>
    <s v="Medium"/>
    <n v="238"/>
    <x v="59"/>
    <s v="Budget"/>
    <n v="0"/>
    <n v="0"/>
    <s v="Treatments"/>
  </r>
  <r>
    <s v="P466154"/>
    <s v="Daily Dose Vitamin C + SPF 40 Sunscreen Serum PA+++"/>
    <n v="5987"/>
    <s v="Supergoop!"/>
    <n v="41804"/>
    <x v="2"/>
    <n v="3.6736"/>
    <s v="Yes"/>
    <s v="Medium"/>
    <n v="573"/>
    <x v="45"/>
    <s v="Mid"/>
    <n v="0"/>
    <n v="0"/>
    <s v="Sunscreen"/>
  </r>
  <r>
    <s v="P500777"/>
    <s v="Sugar Lip Balm Hydrating Treatment"/>
    <n v="4348"/>
    <s v="fresh"/>
    <n v="41928"/>
    <x v="2"/>
    <n v="4.5244"/>
    <s v="Yes"/>
    <s v="High"/>
    <n v="1148"/>
    <x v="94"/>
    <s v="Mid"/>
    <n v="0"/>
    <n v="0"/>
    <s v="Lip Balms &amp; Treatments"/>
  </r>
  <r>
    <s v="P504208"/>
    <s v="Midnight to Morning Hydration Set"/>
    <n v="6125"/>
    <s v="LANEIGE"/>
    <n v="41957"/>
    <x v="2"/>
    <n v="4.2632000000000003"/>
    <s v="Yes"/>
    <s v="High"/>
    <n v="38"/>
    <x v="128"/>
    <s v="Mid"/>
    <n v="1"/>
    <n v="0"/>
    <s v="Value &amp; Gift Sets"/>
  </r>
  <r>
    <s v="P469507"/>
    <s v="10% Azelaic Acid Booster"/>
    <n v="6341"/>
    <s v="Paula's Choice"/>
    <n v="42037"/>
    <x v="2"/>
    <n v="4.7534999999999998"/>
    <s v="Yes"/>
    <s v="High"/>
    <n v="215"/>
    <x v="7"/>
    <s v="Mid"/>
    <n v="0"/>
    <n v="0"/>
    <s v="Treatments"/>
  </r>
  <r>
    <s v="P440482"/>
    <s v="Facial Spray with Aloe, Herbs and Rosewater"/>
    <n v="8017"/>
    <s v="Mario Badescu"/>
    <n v="42146"/>
    <x v="2"/>
    <n v="3.7566999999999999"/>
    <s v="Yes"/>
    <s v="Medium"/>
    <n v="300"/>
    <x v="127"/>
    <s v="Budget"/>
    <n v="0"/>
    <n v="0"/>
    <s v="Moisturizers"/>
  </r>
  <r>
    <s v="P456398"/>
    <s v="Ultimate Sun Protector Lotion SPF 50+ Sunscreen"/>
    <n v="5337"/>
    <s v="Shiseido"/>
    <n v="42257"/>
    <x v="2"/>
    <n v="4.4863999999999997"/>
    <s v="Yes"/>
    <s v="High"/>
    <n v="2936"/>
    <x v="50"/>
    <s v="Premium"/>
    <n v="0"/>
    <n v="0"/>
    <s v="Sunscreen"/>
  </r>
  <r>
    <s v="P437981"/>
    <s v="Emerald Hemp Seed Deep Moisture Glow Oil"/>
    <n v="6117"/>
    <s v="Herbivore"/>
    <n v="42381"/>
    <x v="2"/>
    <n v="4.3291000000000004"/>
    <s v="Yes"/>
    <s v="High"/>
    <n v="477"/>
    <x v="50"/>
    <s v="Premium"/>
    <n v="0"/>
    <n v="0"/>
    <s v="Moisturizers"/>
  </r>
  <r>
    <s v="P454387"/>
    <s v="Glow Oil Body Sunscreen SPF 50 PA++++"/>
    <n v="5987"/>
    <s v="Supergoop!"/>
    <n v="42598"/>
    <x v="2"/>
    <n v="3.9470000000000001"/>
    <s v="Yes"/>
    <s v="Medium"/>
    <n v="396"/>
    <x v="12"/>
    <s v="Mid"/>
    <n v="0"/>
    <n v="0"/>
    <s v="Sunscreen"/>
  </r>
  <r>
    <s v="P439928"/>
    <s v="Superscreen Daily Moisturizer Sunscreen SPF 40 PA+++"/>
    <n v="5987"/>
    <s v="Supergoop!"/>
    <n v="42616"/>
    <x v="2"/>
    <n v="3.6997"/>
    <s v="Yes"/>
    <s v="Medium"/>
    <n v="646"/>
    <x v="124"/>
    <s v="Mid"/>
    <n v="0"/>
    <n v="0"/>
    <s v="Moisturizers"/>
  </r>
  <r>
    <s v="P466142"/>
    <s v="Lemonade Smoothing Scrub"/>
    <n v="5674"/>
    <s v="OLEHENRIKSEN"/>
    <n v="42708"/>
    <x v="2"/>
    <n v="4.5795000000000003"/>
    <s v="Yes"/>
    <s v="High"/>
    <n v="1277"/>
    <x v="9"/>
    <s v="Mid"/>
    <n v="0"/>
    <n v="0"/>
    <s v="Cleansers"/>
  </r>
  <r>
    <s v="P474840"/>
    <s v="Micro-Dose Anti-Aging Retinol Serum with Ceramides and Peptide"/>
    <n v="6218"/>
    <s v="Kiehl's Since 1851"/>
    <n v="42766"/>
    <x v="2"/>
    <n v="4.4916"/>
    <s v="Yes"/>
    <s v="High"/>
    <n v="598"/>
    <x v="92"/>
    <s v="Premium"/>
    <n v="0"/>
    <n v="0"/>
    <s v="Treatments"/>
  </r>
  <r>
    <s v="P467247"/>
    <s v="Total Cleans'r Makeup-Removing Cleanser with Barbados Cherry"/>
    <n v="6352"/>
    <s v="Fenty Skin"/>
    <n v="42777"/>
    <x v="2"/>
    <n v="4.1029999999999998"/>
    <s v="Yes"/>
    <s v="High"/>
    <n v="427"/>
    <x v="52"/>
    <s v="Mid"/>
    <n v="0"/>
    <n v="0"/>
    <s v="Cleansers"/>
  </r>
  <r>
    <s v="P479354"/>
    <s v="Omega Water Cream Moisturizer"/>
    <n v="6285"/>
    <s v="The INKEY List"/>
    <n v="42831"/>
    <x v="2"/>
    <n v="4.0730000000000004"/>
    <s v="Yes"/>
    <s v="High"/>
    <n v="562"/>
    <x v="39"/>
    <s v="Budget"/>
    <n v="0"/>
    <n v="0"/>
    <s v="Moisturizers"/>
  </r>
  <r>
    <s v="P481739"/>
    <s v="Barrier+ Skin Barrier Niacinamide Restoring Gel Cream"/>
    <n v="6289"/>
    <s v="Skinfix"/>
    <n v="43004"/>
    <x v="2"/>
    <n v="4.5273000000000003"/>
    <s v="Yes"/>
    <s v="High"/>
    <n v="768"/>
    <x v="14"/>
    <s v="Mid"/>
    <n v="0"/>
    <n v="0"/>
    <s v="Moisturizers"/>
  </r>
  <r>
    <s v="P435800"/>
    <s v="Acid Potion AHA + BHA Resurfacing Exfoliator"/>
    <n v="6226"/>
    <s v="Moon Juice"/>
    <n v="43083"/>
    <x v="2"/>
    <n v="4.5469999999999997"/>
    <s v="Yes"/>
    <s v="High"/>
    <n v="404"/>
    <x v="36"/>
    <s v="Mid"/>
    <n v="0"/>
    <n v="0"/>
    <s v="Treatments"/>
  </r>
  <r>
    <s v="P460513"/>
    <s v="Cream Skin Mist"/>
    <n v="6125"/>
    <s v="LANEIGE"/>
    <n v="43168"/>
    <x v="2"/>
    <n v="4.5739000000000001"/>
    <s v="Yes"/>
    <s v="High"/>
    <n v="291"/>
    <x v="129"/>
    <s v="Mid"/>
    <n v="0"/>
    <n v="0"/>
    <s v="Moisturizers"/>
  </r>
  <r>
    <s v="P440933"/>
    <s v="Mini Clear Improvement Active Charcoal Mask to Clear Pore"/>
    <n v="3733"/>
    <s v="Origins"/>
    <n v="43176"/>
    <x v="2"/>
    <n v="3.9843000000000002"/>
    <s v="Yes"/>
    <s v="Medium"/>
    <n v="127"/>
    <x v="34"/>
    <s v="Budget"/>
    <n v="0"/>
    <n v="0"/>
    <s v="Mini Size"/>
  </r>
  <r>
    <s v="P434545"/>
    <s v="Glow Cycle Retin-ALT Power Serum"/>
    <n v="5674"/>
    <s v="OLEHENRIKSEN"/>
    <n v="43324"/>
    <x v="2"/>
    <n v="4.2873000000000001"/>
    <s v="Yes"/>
    <s v="High"/>
    <n v="1239"/>
    <x v="37"/>
    <s v="Premium"/>
    <n v="0"/>
    <n v="0"/>
    <s v="Treatments"/>
  </r>
  <r>
    <s v="P450262"/>
    <s v="Polyhydroxy Acid (PHA) Gentle Exfoliating Toner"/>
    <n v="6285"/>
    <s v="The INKEY List"/>
    <n v="43383"/>
    <x v="2"/>
    <n v="4.2618999999999998"/>
    <s v="Yes"/>
    <s v="High"/>
    <n v="443"/>
    <x v="32"/>
    <s v="Budget"/>
    <n v="0"/>
    <n v="0"/>
    <s v="Cleansers"/>
  </r>
  <r>
    <s v="P455899"/>
    <s v="Marine Hyaluronics"/>
    <n v="6234"/>
    <s v="The Ordinary"/>
    <n v="43421"/>
    <x v="2"/>
    <n v="4.2089999999999996"/>
    <s v="Yes"/>
    <s v="High"/>
    <n v="244"/>
    <x v="16"/>
    <s v="Budget"/>
    <n v="0"/>
    <n v="0"/>
    <s v="Treatments"/>
  </r>
  <r>
    <s v="P188309"/>
    <s v="Acne Solutions Cleansing Foam"/>
    <n v="1254"/>
    <s v="CLINIQUE"/>
    <n v="43458"/>
    <x v="2"/>
    <n v="4.1685999999999996"/>
    <s v="Yes"/>
    <s v="High"/>
    <n v="1038"/>
    <x v="86"/>
    <s v="Mid"/>
    <n v="0"/>
    <n v="0"/>
    <s v="Cleansers"/>
  </r>
  <r>
    <s v="P446423"/>
    <s v="InvisiScar Post-Acne Resurfacing Treatment"/>
    <n v="4164"/>
    <s v="Murad"/>
    <n v="43504"/>
    <x v="2"/>
    <n v="4.1166999999999998"/>
    <s v="Yes"/>
    <s v="High"/>
    <n v="711"/>
    <x v="12"/>
    <s v="Mid"/>
    <n v="0"/>
    <n v="0"/>
    <s v="Treatments"/>
  </r>
  <r>
    <s v="P443843"/>
    <s v="Q10 Antioxidant Serum"/>
    <n v="6285"/>
    <s v="The INKEY List"/>
    <n v="43585"/>
    <x v="2"/>
    <n v="4.3087999999999997"/>
    <s v="Yes"/>
    <s v="High"/>
    <n v="612"/>
    <x v="41"/>
    <s v="Budget"/>
    <n v="0"/>
    <n v="0"/>
    <s v="Treatments"/>
  </r>
  <r>
    <s v="P448203"/>
    <s v="Benefiance Wrinkle Smoothing Eye Cream"/>
    <n v="5337"/>
    <s v="Shiseido"/>
    <n v="43729"/>
    <x v="2"/>
    <n v="4.3297999999999996"/>
    <s v="Yes"/>
    <s v="High"/>
    <n v="1422"/>
    <x v="56"/>
    <s v="Premium"/>
    <n v="0"/>
    <n v="0"/>
    <s v="Eye Care"/>
  </r>
  <r>
    <s v="P438618"/>
    <s v="Clean Skin Gel Cleanser with Prebiotics"/>
    <n v="3902"/>
    <s v="SEPHORA COLLECTION"/>
    <n v="43752"/>
    <x v="2"/>
    <n v="4.6285999999999996"/>
    <s v="Yes"/>
    <s v="High"/>
    <n v="420"/>
    <x v="51"/>
    <s v="Budget"/>
    <n v="0"/>
    <n v="0"/>
    <s v="Cleansers"/>
  </r>
  <r>
    <s v="P442756"/>
    <s v="Ascorbyl Glucoside Solution 12%"/>
    <n v="6234"/>
    <s v="The Ordinary"/>
    <n v="43799"/>
    <x v="2"/>
    <n v="4.0926"/>
    <s v="Yes"/>
    <s v="High"/>
    <n v="162"/>
    <x v="148"/>
    <s v="Budget"/>
    <n v="0"/>
    <n v="0"/>
    <s v="Treatments"/>
  </r>
  <r>
    <s v="P469522"/>
    <s v="RESIST Youth-Extending Daily Hydrating Fluid SPF 50"/>
    <n v="6341"/>
    <s v="Paula's Choice"/>
    <n v="43866"/>
    <x v="2"/>
    <n v="4.2690999999999999"/>
    <s v="Yes"/>
    <s v="High"/>
    <n v="405"/>
    <x v="96"/>
    <s v="Mid"/>
    <n v="0"/>
    <n v="0"/>
    <s v="Sunscreen"/>
  </r>
  <r>
    <s v="P400204"/>
    <s v="Phoenix Rosehip Anti-Aging Face Oil - For Dry Skin"/>
    <n v="6117"/>
    <s v="Herbivore"/>
    <n v="43956"/>
    <x v="2"/>
    <n v="4.4169"/>
    <s v="Yes"/>
    <s v="High"/>
    <n v="343"/>
    <x v="118"/>
    <s v="Premium"/>
    <n v="0"/>
    <n v="0"/>
    <s v="Moisturizers"/>
  </r>
  <r>
    <s v="P483496"/>
    <s v="Salicylic Acid 2% Exfoliating Blemish Solution"/>
    <n v="6234"/>
    <s v="The Ordinary"/>
    <n v="43971"/>
    <x v="2"/>
    <n v="4.2534999999999998"/>
    <s v="Yes"/>
    <s v="High"/>
    <n v="71"/>
    <x v="22"/>
    <s v="Budget"/>
    <n v="0"/>
    <n v="0"/>
    <s v="Treatments"/>
  </r>
  <r>
    <s v="P442858"/>
    <s v="Rose Deep Hydration Sleeping Mask"/>
    <n v="4348"/>
    <s v="fresh"/>
    <n v="44288"/>
    <x v="2"/>
    <n v="4.4585999999999997"/>
    <s v="Yes"/>
    <s v="High"/>
    <n v="1232"/>
    <x v="31"/>
    <s v="Mid"/>
    <n v="0"/>
    <n v="0"/>
    <s v="Masks"/>
  </r>
  <r>
    <s v="P432045"/>
    <s v="GENIUS Liquid Collagen Lip Treatment"/>
    <n v="6018"/>
    <s v="Algenist"/>
    <n v="44448"/>
    <x v="2"/>
    <n v="3.8721000000000001"/>
    <s v="Yes"/>
    <s v="Medium"/>
    <n v="649"/>
    <x v="31"/>
    <s v="Mid"/>
    <n v="0"/>
    <n v="0"/>
    <s v="Lip Balms &amp; Treatments"/>
  </r>
  <r>
    <s v="P467110"/>
    <s v="Squalane + 10% Vitamin C Dark Spot Serum"/>
    <n v="6195"/>
    <s v="Biossance"/>
    <n v="44580"/>
    <x v="2"/>
    <n v="4.3464999999999998"/>
    <s v="Yes"/>
    <s v="High"/>
    <n v="635"/>
    <x v="92"/>
    <s v="Premium"/>
    <n v="0"/>
    <n v="0"/>
    <s v="Treatments"/>
  </r>
  <r>
    <s v="P417867"/>
    <s v="The Silk Cream"/>
    <n v="6041"/>
    <s v="Tatcha"/>
    <n v="44847"/>
    <x v="2"/>
    <n v="4.1885000000000003"/>
    <s v="Yes"/>
    <s v="High"/>
    <n v="260"/>
    <x v="81"/>
    <s v="Premium"/>
    <n v="0"/>
    <n v="0"/>
    <s v="Moisturizers"/>
  </r>
  <r>
    <s v="P502966"/>
    <s v="Great Skin Instant Glow Serum with Niacinamide and Hyaluronic Acid"/>
    <n v="6338"/>
    <s v="MERIT"/>
    <n v="45008"/>
    <x v="2"/>
    <n v="4.6486000000000001"/>
    <s v="Yes"/>
    <s v="High"/>
    <n v="481"/>
    <x v="12"/>
    <s v="Mid"/>
    <n v="0"/>
    <n v="0"/>
    <s v="Treatments"/>
  </r>
  <r>
    <s v="P442535"/>
    <s v="Glow Peel Pads"/>
    <n v="3902"/>
    <s v="SEPHORA COLLECTION"/>
    <n v="45067"/>
    <x v="2"/>
    <n v="3.9956"/>
    <s v="Yes"/>
    <s v="Medium"/>
    <n v="452"/>
    <x v="64"/>
    <s v="Budget"/>
    <n v="0"/>
    <n v="1"/>
    <s v="Treatments"/>
  </r>
  <r>
    <s v="P454100"/>
    <s v="Prism AHA + BHA Exfoliating Glow Facial"/>
    <n v="6117"/>
    <s v="Herbivore"/>
    <n v="45368"/>
    <x v="2"/>
    <n v="4.2615999999999996"/>
    <s v="Yes"/>
    <s v="High"/>
    <n v="302"/>
    <x v="69"/>
    <s v="Premium"/>
    <n v="0"/>
    <n v="0"/>
    <s v="Treatments"/>
  </r>
  <r>
    <s v="P443838"/>
    <s v="Glycolic Acid Exfoliating Toner"/>
    <n v="6285"/>
    <s v="The INKEY List"/>
    <n v="45406"/>
    <x v="2"/>
    <n v="4.3917999999999999"/>
    <s v="Yes"/>
    <s v="High"/>
    <n v="291"/>
    <x v="32"/>
    <s v="Budget"/>
    <n v="0"/>
    <n v="0"/>
    <s v="Cleansers"/>
  </r>
  <r>
    <s v="P500613"/>
    <s v="Banana Bright+ Vitamin C Eye CrÃ¨me"/>
    <n v="5674"/>
    <s v="OLEHENRIKSEN"/>
    <n v="45414"/>
    <x v="2"/>
    <n v="4.2016999999999998"/>
    <s v="Yes"/>
    <s v="High"/>
    <n v="575"/>
    <x v="36"/>
    <s v="Mid"/>
    <n v="0"/>
    <n v="0"/>
    <s v="Eye Care"/>
  </r>
  <r>
    <s v="P427529"/>
    <s v="Powerful-Strength Vitamin C Serum"/>
    <n v="6218"/>
    <s v="Kiehl's Since 1851"/>
    <n v="45478"/>
    <x v="2"/>
    <n v="3.6684000000000001"/>
    <s v="Yes"/>
    <s v="Medium"/>
    <n v="389"/>
    <x v="15"/>
    <s v="Premium"/>
    <n v="0"/>
    <n v="0"/>
    <s v="Treatments"/>
  </r>
  <r>
    <s v="P467652"/>
    <s v="Lip Sleeping Mask"/>
    <n v="3902"/>
    <s v="SEPHORA COLLECTION"/>
    <n v="45533"/>
    <x v="2"/>
    <n v="3.5474999999999999"/>
    <s v="Yes"/>
    <s v="Medium"/>
    <n v="316"/>
    <x v="100"/>
    <s v="Budget"/>
    <n v="0"/>
    <n v="0"/>
    <s v="Lip Balms &amp; Treatments"/>
  </r>
  <r>
    <s v="P377545"/>
    <s v="Maracuja C-Brighter Eye Treatment"/>
    <n v="5648"/>
    <s v="tarte"/>
    <n v="45734"/>
    <x v="2"/>
    <n v="4.0088999999999997"/>
    <s v="Yes"/>
    <s v="High"/>
    <n v="901"/>
    <x v="7"/>
    <s v="Mid"/>
    <n v="0"/>
    <n v="0"/>
    <s v="Eye Care"/>
  </r>
  <r>
    <s v="P402942"/>
    <s v="Silk Sleepmask"/>
    <n v="6130"/>
    <s v="Slip"/>
    <n v="45835"/>
    <x v="2"/>
    <n v="3.7778"/>
    <s v="Yes"/>
    <s v="Medium"/>
    <n v="171"/>
    <x v="50"/>
    <s v="Premium"/>
    <n v="0"/>
    <n v="0"/>
    <s v="Wellness"/>
  </r>
  <r>
    <s v="P466134"/>
    <s v="Radian-C Cream with Vitamin C"/>
    <n v="6125"/>
    <s v="LANEIGE"/>
    <n v="45923"/>
    <x v="2"/>
    <n v="4.4912999999999998"/>
    <s v="Yes"/>
    <s v="High"/>
    <n v="631"/>
    <x v="9"/>
    <s v="Mid"/>
    <n v="0"/>
    <n v="0"/>
    <s v="Moisturizers"/>
  </r>
  <r>
    <s v="P454838"/>
    <s v="Powerful-Strength Dark Circle Reducing Vitamin C Eye Serum"/>
    <n v="6218"/>
    <s v="Kiehl's Since 1851"/>
    <n v="46025"/>
    <x v="2"/>
    <n v="3.8645999999999998"/>
    <s v="Yes"/>
    <s v="Medium"/>
    <n v="1041"/>
    <x v="103"/>
    <s v="Premium"/>
    <n v="0"/>
    <n v="0"/>
    <s v="Eye Care"/>
  </r>
  <r>
    <s v="P501254"/>
    <s v="Watermelon Glow AHA Night Treatment"/>
    <n v="6189"/>
    <s v="Glow Recipe"/>
    <n v="46292"/>
    <x v="2"/>
    <n v="4.6795"/>
    <s v="Yes"/>
    <s v="High"/>
    <n v="730"/>
    <x v="24"/>
    <s v="Mid"/>
    <n v="0"/>
    <n v="0"/>
    <s v="Treatments"/>
  </r>
  <r>
    <s v="P482552"/>
    <s v="The Clarifying Clay Mask Exfoliating Pore Treatment"/>
    <n v="6041"/>
    <s v="Tatcha"/>
    <n v="46732"/>
    <x v="2"/>
    <n v="4.6315999999999997"/>
    <s v="Yes"/>
    <s v="High"/>
    <n v="209"/>
    <x v="10"/>
    <s v="Premium"/>
    <n v="0"/>
    <n v="0"/>
    <s v="Masks"/>
  </r>
  <r>
    <s v="P413326"/>
    <s v="Camellia Gold Spun Lip Balm"/>
    <n v="6041"/>
    <s v="Tatcha"/>
    <n v="46733"/>
    <x v="2"/>
    <n v="4.2805999999999997"/>
    <s v="Yes"/>
    <s v="High"/>
    <n v="670"/>
    <x v="78"/>
    <s v="Mid"/>
    <n v="0"/>
    <n v="0"/>
    <s v="Lip Balms &amp; Treatments"/>
  </r>
  <r>
    <s v="P419222"/>
    <s v="Umbra Sheer Physical Daily Defense SPF 30"/>
    <n v="7083"/>
    <s v="Drunk Elephant"/>
    <n v="46738"/>
    <x v="2"/>
    <n v="3.3075999999999999"/>
    <s v="Yes"/>
    <s v="Medium"/>
    <n v="1362"/>
    <x v="18"/>
    <s v="Mid"/>
    <n v="0"/>
    <n v="0"/>
    <s v="Sunscreen"/>
  </r>
  <r>
    <s v="P476028"/>
    <s v="Heavenly Sixteen All-In-One Face Oil"/>
    <n v="6247"/>
    <s v="Summer Fridays"/>
    <n v="46744"/>
    <x v="2"/>
    <n v="4.4507000000000003"/>
    <s v="Yes"/>
    <s v="High"/>
    <n v="213"/>
    <x v="103"/>
    <s v="Premium"/>
    <n v="0"/>
    <n v="0"/>
    <s v="Moisturizers"/>
  </r>
  <r>
    <s v="P441323"/>
    <s v="Mini Blueberry Bounce Gentle Cleanser"/>
    <n v="6189"/>
    <s v="Glow Recipe"/>
    <n v="47027"/>
    <x v="2"/>
    <n v="3.7057000000000002"/>
    <s v="Yes"/>
    <s v="Medium"/>
    <n v="316"/>
    <x v="57"/>
    <s v="Budget"/>
    <n v="0"/>
    <n v="0"/>
    <s v="Mini Size"/>
  </r>
  <r>
    <s v="P454018"/>
    <s v="The Serum Stick: Treatment &amp; Touch Up Balm"/>
    <n v="6041"/>
    <s v="Tatcha"/>
    <n v="47060"/>
    <x v="2"/>
    <n v="4.3761000000000001"/>
    <s v="Yes"/>
    <s v="High"/>
    <n v="1348"/>
    <x v="25"/>
    <s v="Mid"/>
    <n v="0"/>
    <n v="0"/>
    <s v="Treatments"/>
  </r>
  <r>
    <s v="P428255"/>
    <s v="Capture Youth Serum Collection"/>
    <n v="1073"/>
    <s v="Dior"/>
    <n v="47079"/>
    <x v="2"/>
    <n v="4.2434000000000003"/>
    <s v="Yes"/>
    <s v="High"/>
    <n v="152"/>
    <x v="61"/>
    <s v="Premium"/>
    <n v="0"/>
    <n v="0"/>
    <s v="Treatments"/>
  </r>
  <r>
    <s v="P444226"/>
    <s v="Honey Grail Ultra-Hydrating Face Oil"/>
    <n v="8001"/>
    <s v="Farmacy"/>
    <n v="47186"/>
    <x v="2"/>
    <n v="4.2355"/>
    <s v="Yes"/>
    <s v="High"/>
    <n v="310"/>
    <x v="14"/>
    <s v="Mid"/>
    <n v="0"/>
    <n v="0"/>
    <s v="Moisturizers"/>
  </r>
  <r>
    <s v="P433443"/>
    <s v="Aqua Bomb Sleeping Mask"/>
    <n v="7075"/>
    <s v="belif"/>
    <n v="47248"/>
    <x v="2"/>
    <n v="4.5147000000000004"/>
    <s v="Yes"/>
    <s v="High"/>
    <n v="985"/>
    <x v="12"/>
    <s v="Mid"/>
    <n v="0"/>
    <n v="1"/>
    <s v="Moisturizers"/>
  </r>
  <r>
    <s v="P440504"/>
    <s v="R + R Mask"/>
    <n v="6247"/>
    <s v="Summer Fridays"/>
    <n v="47304"/>
    <x v="2"/>
    <n v="3.7972000000000001"/>
    <s v="Yes"/>
    <s v="Medium"/>
    <n v="493"/>
    <x v="30"/>
    <s v="Premium"/>
    <n v="0"/>
    <n v="1"/>
    <s v="Masks"/>
  </r>
  <r>
    <s v="P479304"/>
    <s v="Squalane + Copper Peptide Rapid Plumping Serum"/>
    <n v="6195"/>
    <s v="Biossance"/>
    <n v="47526"/>
    <x v="2"/>
    <n v="4.4721000000000002"/>
    <s v="Yes"/>
    <s v="High"/>
    <n v="519"/>
    <x v="6"/>
    <s v="Premium"/>
    <n v="0"/>
    <n v="0"/>
    <s v="Treatments"/>
  </r>
  <r>
    <s v="P283106"/>
    <s v="Instant FIRMx Eye Temporary Eye Tightener"/>
    <n v="3728"/>
    <s v="Peter Thomas Roth"/>
    <n v="47539"/>
    <x v="2"/>
    <n v="3.3254000000000001"/>
    <s v="Yes"/>
    <s v="Medium"/>
    <n v="627"/>
    <x v="12"/>
    <s v="Mid"/>
    <n v="0"/>
    <n v="0"/>
    <s v="Eye Care"/>
  </r>
  <r>
    <s v="P403817"/>
    <s v="Pep-Start Eye Cream"/>
    <n v="1254"/>
    <s v="CLINIQUE"/>
    <n v="47677"/>
    <x v="2"/>
    <n v="3.6768999999999998"/>
    <s v="Yes"/>
    <s v="Medium"/>
    <n v="1006"/>
    <x v="29"/>
    <s v="Mid"/>
    <n v="0"/>
    <n v="0"/>
    <s v="Eye Care"/>
  </r>
  <r>
    <s v="P428668"/>
    <s v="Baggage Claim Eye Masks"/>
    <n v="6149"/>
    <s v="Wander Beauty"/>
    <n v="47687"/>
    <x v="2"/>
    <n v="4.0796000000000001"/>
    <s v="Yes"/>
    <s v="High"/>
    <n v="490"/>
    <x v="95"/>
    <s v="Mid"/>
    <n v="0"/>
    <n v="0"/>
    <s v="Eye Care"/>
  </r>
  <r>
    <s v="P403315"/>
    <s v="Gold Camellia Beauty Oil"/>
    <n v="6041"/>
    <s v="Tatcha"/>
    <n v="47809"/>
    <x v="2"/>
    <n v="4.4751000000000003"/>
    <s v="Yes"/>
    <s v="High"/>
    <n v="181"/>
    <x v="131"/>
    <s v="Premium"/>
    <n v="0"/>
    <n v="0"/>
    <s v="Moisturizers"/>
  </r>
  <r>
    <s v="P479339"/>
    <s v="Strength Trainer Peptide Boost Moisturizer"/>
    <n v="5674"/>
    <s v="OLEHENRIKSEN"/>
    <n v="47908"/>
    <x v="2"/>
    <n v="4.5522"/>
    <s v="Yes"/>
    <s v="High"/>
    <n v="862"/>
    <x v="68"/>
    <s v="Premium"/>
    <n v="0"/>
    <n v="0"/>
    <s v="Moisturizers"/>
  </r>
  <r>
    <s v="P453227"/>
    <s v="Truth Juice Daily Cleanser"/>
    <n v="5674"/>
    <s v="OLEHENRIKSEN"/>
    <n v="48054"/>
    <x v="2"/>
    <n v="4.2371999999999996"/>
    <s v="Yes"/>
    <s v="High"/>
    <n v="527"/>
    <x v="49"/>
    <s v="Mid"/>
    <n v="0"/>
    <n v="0"/>
    <s v="Cleansers"/>
  </r>
  <r>
    <s v="P455900"/>
    <s v="100% Plant-Derived Hemi-Squalane"/>
    <n v="6234"/>
    <s v="The Ordinary"/>
    <n v="48131"/>
    <x v="2"/>
    <n v="4.3979999999999997"/>
    <s v="Yes"/>
    <s v="High"/>
    <n v="294"/>
    <x v="100"/>
    <s v="Budget"/>
    <n v="0"/>
    <n v="0"/>
    <s v="Treatments"/>
  </r>
  <r>
    <s v="P443830"/>
    <s v="Polyglutamic Acid Hydrating Serum"/>
    <n v="6285"/>
    <s v="The INKEY List"/>
    <n v="48143"/>
    <x v="2"/>
    <n v="4.3936999999999999"/>
    <s v="Yes"/>
    <s v="High"/>
    <n v="960"/>
    <x v="149"/>
    <s v="Budget"/>
    <n v="0"/>
    <n v="0"/>
    <s v="Treatments"/>
  </r>
  <r>
    <s v="P424378"/>
    <s v="Mini Virgin Marula LuxuryFace Oil"/>
    <n v="7083"/>
    <s v="Drunk Elephant"/>
    <n v="48487"/>
    <x v="2"/>
    <n v="4.2367999999999997"/>
    <s v="Yes"/>
    <s v="High"/>
    <n v="266"/>
    <x v="12"/>
    <s v="Mid"/>
    <n v="0"/>
    <n v="0"/>
    <s v="Moisturizers"/>
  </r>
  <r>
    <s v="P482693"/>
    <s v="Water Bank Blue Hyaluronic Cream Moisturizer"/>
    <n v="6125"/>
    <s v="LANEIGE"/>
    <n v="48729"/>
    <x v="2"/>
    <n v="3.9927999999999999"/>
    <s v="Yes"/>
    <s v="Medium"/>
    <n v="699"/>
    <x v="24"/>
    <s v="Mid"/>
    <n v="0"/>
    <n v="0"/>
    <s v="Moisturizers"/>
  </r>
  <r>
    <s v="P466114"/>
    <s v="Resveratrol Lift Instant Firming Retinol Alternative Serum"/>
    <n v="4171"/>
    <s v="Caudalie"/>
    <n v="48739"/>
    <x v="2"/>
    <n v="4.5721999999999996"/>
    <s v="Yes"/>
    <s v="High"/>
    <n v="353"/>
    <x v="150"/>
    <s v="Premium"/>
    <n v="0"/>
    <n v="0"/>
    <s v="Treatments"/>
  </r>
  <r>
    <s v="P405096"/>
    <s v="SEA Deep Dive Cleansing Gel"/>
    <n v="5648"/>
    <s v="tarte"/>
    <n v="48796"/>
    <x v="2"/>
    <n v="4.3120000000000003"/>
    <s v="Yes"/>
    <s v="High"/>
    <n v="1157"/>
    <x v="51"/>
    <s v="Budget"/>
    <n v="0"/>
    <n v="1"/>
    <s v="Cleansers"/>
  </r>
  <r>
    <s v="P426183"/>
    <s v="Mini Facial Treatment Essence (Pitera Essence)"/>
    <n v="6084"/>
    <s v="SK-II"/>
    <n v="49032"/>
    <x v="2"/>
    <n v="4.0807000000000002"/>
    <s v="Yes"/>
    <s v="High"/>
    <n v="2949"/>
    <x v="102"/>
    <s v="Premium"/>
    <n v="0"/>
    <n v="0"/>
    <s v="Moisturizers"/>
  </r>
  <r>
    <s v="P386197"/>
    <s v="GinZing Refreshing Scrub Cleanser"/>
    <n v="3733"/>
    <s v="Origins"/>
    <n v="49081"/>
    <x v="2"/>
    <n v="4.4763000000000002"/>
    <s v="Yes"/>
    <s v="High"/>
    <n v="1627"/>
    <x v="129"/>
    <s v="Mid"/>
    <n v="0"/>
    <n v="0"/>
    <s v="Cleansers"/>
  </r>
  <r>
    <s v="P456994"/>
    <s v="Eye Duty Niacinamide Brightening Eye Cream"/>
    <n v="5972"/>
    <s v="First Aid Beauty"/>
    <n v="49318"/>
    <x v="2"/>
    <n v="3.6735000000000002"/>
    <s v="Yes"/>
    <s v="Medium"/>
    <n v="392"/>
    <x v="8"/>
    <s v="Mid"/>
    <n v="0"/>
    <n v="0"/>
    <s v="Eye Care"/>
  </r>
  <r>
    <s v="P473304"/>
    <s v="O-Bloos Rosi Glow Drops"/>
    <n v="7083"/>
    <s v="Drunk Elephant"/>
    <n v="49327"/>
    <x v="2"/>
    <n v="3.6943000000000001"/>
    <s v="Yes"/>
    <s v="Medium"/>
    <n v="157"/>
    <x v="12"/>
    <s v="Mid"/>
    <n v="0"/>
    <n v="0"/>
    <s v="Treatments"/>
  </r>
  <r>
    <s v="P442757"/>
    <s v="&quot;B&quot; Oil"/>
    <n v="6234"/>
    <s v="The Ordinary"/>
    <n v="49358"/>
    <x v="2"/>
    <n v="4.2286000000000001"/>
    <s v="Yes"/>
    <s v="High"/>
    <n v="245"/>
    <x v="35"/>
    <s v="Budget"/>
    <n v="0"/>
    <n v="1"/>
    <s v="Moisturizers"/>
  </r>
  <r>
    <s v="P386754"/>
    <s v="Daily Cleanse Clear Skin and Body Detox Supplement"/>
    <n v="7050"/>
    <s v="HUM Nutrition"/>
    <n v="49678"/>
    <x v="2"/>
    <n v="4.0534999999999997"/>
    <s v="Yes"/>
    <s v="High"/>
    <n v="617"/>
    <x v="95"/>
    <s v="Mid"/>
    <n v="0"/>
    <n v="0"/>
    <s v="Wellness"/>
  </r>
  <r>
    <s v="P406104"/>
    <s v="24K Gold Pure Luxury Lift &amp; Firm Hydra-Gel Eye Patches"/>
    <n v="3728"/>
    <s v="Peter Thomas Roth"/>
    <n v="49824"/>
    <x v="2"/>
    <n v="3.7593999999999999"/>
    <s v="Yes"/>
    <s v="Medium"/>
    <n v="320"/>
    <x v="76"/>
    <s v="Premium"/>
    <n v="0"/>
    <n v="0"/>
    <s v="Eye Care"/>
  </r>
  <r>
    <s v="P448207"/>
    <s v="PHAT Glow Facial Mask"/>
    <n v="5674"/>
    <s v="OLEHENRIKSEN"/>
    <n v="49921"/>
    <x v="2"/>
    <n v="4.3853999999999997"/>
    <s v="Yes"/>
    <s v="High"/>
    <n v="1785"/>
    <x v="23"/>
    <s v="Premium"/>
    <n v="0"/>
    <n v="0"/>
    <s v="Masks"/>
  </r>
  <r>
    <s v="P423148"/>
    <s v="Precleanse Cleansing Oil"/>
    <n v="6219"/>
    <s v="Dermalogica"/>
    <n v="49959"/>
    <x v="2"/>
    <n v="4.5434999999999999"/>
    <s v="Yes"/>
    <s v="High"/>
    <n v="1229"/>
    <x v="25"/>
    <s v="Mid"/>
    <n v="0"/>
    <n v="0"/>
    <s v="Cleansers"/>
  </r>
  <r>
    <s v="P442589"/>
    <s v="Instant Masks"/>
    <n v="3902"/>
    <s v="SEPHORA COLLECTION"/>
    <n v="50038"/>
    <x v="3"/>
    <n v="3.5165000000000002"/>
    <s v="Yes"/>
    <s v="Medium"/>
    <n v="455"/>
    <x v="110"/>
    <s v="Budget"/>
    <n v="0"/>
    <n v="0"/>
    <s v="Masks"/>
  </r>
  <r>
    <s v="P309310"/>
    <s v="Ceramic Slip French Green Clay Cleanser"/>
    <n v="6073"/>
    <s v="Sunday Riley"/>
    <n v="50777"/>
    <x v="3"/>
    <n v="3.8452999999999999"/>
    <s v="Yes"/>
    <s v="Medium"/>
    <n v="950"/>
    <x v="9"/>
    <s v="Mid"/>
    <n v="0"/>
    <n v="0"/>
    <s v="Cleansers"/>
  </r>
  <r>
    <s v="P448181"/>
    <s v="DERMAPORE Ultrasonic Pore Extractor &amp; Serum Infuser"/>
    <n v="6136"/>
    <s v="DERMAFLASH"/>
    <n v="51300"/>
    <x v="3"/>
    <n v="3.6156999999999999"/>
    <s v="Yes"/>
    <s v="Medium"/>
    <n v="281"/>
    <x v="102"/>
    <s v="Premium"/>
    <n v="0"/>
    <n v="0"/>
    <s v="High Tech Tools"/>
  </r>
  <r>
    <s v="P470024"/>
    <s v="Protini Powerpeptide Resurfacing Serum with Lactic Acid"/>
    <n v="7083"/>
    <s v="Drunk Elephant"/>
    <n v="51763"/>
    <x v="3"/>
    <n v="4.3619000000000003"/>
    <s v="Yes"/>
    <s v="High"/>
    <n v="713"/>
    <x v="42"/>
    <s v="Premium"/>
    <n v="0"/>
    <n v="0"/>
    <s v="Treatments"/>
  </r>
  <r>
    <s v="P416560"/>
    <s v="Squalane + Antioxidant Makeup Removing Cleansing Oil"/>
    <n v="6195"/>
    <s v="Biossance"/>
    <n v="51767"/>
    <x v="3"/>
    <n v="4.0202999999999998"/>
    <s v="Yes"/>
    <s v="High"/>
    <n v="639"/>
    <x v="29"/>
    <s v="Mid"/>
    <n v="0"/>
    <n v="0"/>
    <s v="Cleansers"/>
  </r>
  <r>
    <s v="P466153"/>
    <s v="Cloud Dew Gel Cream Moisturizer"/>
    <n v="6247"/>
    <s v="Summer Fridays"/>
    <n v="51838"/>
    <x v="3"/>
    <n v="4.4612999999999996"/>
    <s v="Yes"/>
    <s v="High"/>
    <n v="646"/>
    <x v="44"/>
    <s v="Mid"/>
    <n v="0"/>
    <n v="0"/>
    <s v="Moisturizers"/>
  </r>
  <r>
    <s v="P465752"/>
    <s v="Mini Protini Polypeptide Moisturizer"/>
    <n v="7083"/>
    <s v="Drunk Elephant"/>
    <n v="52282"/>
    <x v="3"/>
    <n v="3.8050000000000002"/>
    <s v="Yes"/>
    <s v="Medium"/>
    <n v="159"/>
    <x v="75"/>
    <s v="Mid"/>
    <n v="0"/>
    <n v="0"/>
    <s v="Mini Size"/>
  </r>
  <r>
    <s v="P471003"/>
    <s v="Squalane + BHA Pore-Minimizing Toner"/>
    <n v="6195"/>
    <s v="Biossance"/>
    <n v="52399"/>
    <x v="3"/>
    <n v="4.4309000000000003"/>
    <s v="Yes"/>
    <s v="High"/>
    <n v="608"/>
    <x v="78"/>
    <s v="Mid"/>
    <n v="0"/>
    <n v="0"/>
    <s v="Cleansers"/>
  </r>
  <r>
    <s v="P412025"/>
    <s v="Cucumber De-Tox Hydra-Gel Eye Patches"/>
    <n v="3728"/>
    <s v="Peter Thomas Roth"/>
    <n v="52503"/>
    <x v="3"/>
    <n v="3.9668000000000001"/>
    <s v="Yes"/>
    <s v="Medium"/>
    <n v="391"/>
    <x v="103"/>
    <s v="Premium"/>
    <n v="0"/>
    <n v="0"/>
    <s v="Eye Care"/>
  </r>
  <r>
    <s v="P431187"/>
    <s v="Clean Bee Ultra Gentle Facial Cleanser"/>
    <n v="8001"/>
    <s v="Farmacy"/>
    <n v="52562"/>
    <x v="3"/>
    <n v="4.0340999999999996"/>
    <s v="Yes"/>
    <s v="High"/>
    <n v="881"/>
    <x v="52"/>
    <s v="Mid"/>
    <n v="0"/>
    <n v="0"/>
    <s v="Cleansers"/>
  </r>
  <r>
    <s v="P424948"/>
    <s v="Auto Correct Brightening + Depuffing Eye Cream for Dark Circles"/>
    <n v="6073"/>
    <s v="Sunday Riley"/>
    <n v="52803"/>
    <x v="3"/>
    <n v="4.0286"/>
    <s v="Yes"/>
    <s v="High"/>
    <n v="1679"/>
    <x v="92"/>
    <s v="Premium"/>
    <n v="0"/>
    <n v="0"/>
    <s v="Eye Care"/>
  </r>
  <r>
    <s v="P471237"/>
    <s v="Rose &amp; Hyaluronic Acid Deep Hydration Moisturizer"/>
    <n v="4348"/>
    <s v="fresh"/>
    <n v="52868"/>
    <x v="3"/>
    <n v="4.5876999999999999"/>
    <s v="Yes"/>
    <s v="High"/>
    <n v="1807"/>
    <x v="45"/>
    <s v="Mid"/>
    <n v="0"/>
    <n v="0"/>
    <s v="Moisturizers"/>
  </r>
  <r>
    <s v="P454378"/>
    <s v="Lotus Anti- Aging Daily Moisturizer"/>
    <n v="4348"/>
    <s v="fresh"/>
    <n v="52999"/>
    <x v="3"/>
    <n v="4.3963000000000001"/>
    <s v="Yes"/>
    <s v="High"/>
    <n v="1070"/>
    <x v="30"/>
    <s v="Premium"/>
    <n v="0"/>
    <n v="0"/>
    <s v="Moisturizers"/>
  </r>
  <r>
    <s v="P455365"/>
    <s v="Vitamin B, C, and E Moisturizer"/>
    <n v="6285"/>
    <s v="The INKEY List"/>
    <n v="53343"/>
    <x v="3"/>
    <n v="4.1429"/>
    <s v="Yes"/>
    <s v="High"/>
    <n v="294"/>
    <x v="151"/>
    <s v="Budget"/>
    <n v="0"/>
    <n v="0"/>
    <s v="Moisturizers"/>
  </r>
  <r>
    <s v="P473336"/>
    <s v="The Youth System"/>
    <n v="6169"/>
    <s v="Youth To The People"/>
    <n v="53522"/>
    <x v="3"/>
    <n v="4.5526"/>
    <s v="Yes"/>
    <s v="High"/>
    <n v="76"/>
    <x v="83"/>
    <s v="Premium"/>
    <n v="0"/>
    <n v="0"/>
    <s v="Value &amp; Gift Sets"/>
  </r>
  <r>
    <s v="P438617"/>
    <s v="All Day Hyaluronic Acid Hydrator Moisturizer"/>
    <n v="3902"/>
    <s v="SEPHORA COLLECTION"/>
    <n v="54075"/>
    <x v="3"/>
    <n v="4.5647000000000002"/>
    <s v="Yes"/>
    <s v="High"/>
    <n v="425"/>
    <x v="5"/>
    <s v="Budget"/>
    <n v="0"/>
    <n v="0"/>
    <s v="Moisturizers"/>
  </r>
  <r>
    <s v="P393076"/>
    <s v="Ultra Repair Hydra-Firm Night Cream"/>
    <n v="5972"/>
    <s v="First Aid Beauty"/>
    <n v="54167"/>
    <x v="3"/>
    <n v="4.3113999999999999"/>
    <s v="Yes"/>
    <s v="High"/>
    <n v="562"/>
    <x v="124"/>
    <s v="Mid"/>
    <n v="0"/>
    <n v="0"/>
    <s v="Moisturizers"/>
  </r>
  <r>
    <s v="P456410"/>
    <s v="Squalane + Zinc Sheer Mineral Sunscreen SPF 30 PA +++"/>
    <n v="6195"/>
    <s v="Biossance"/>
    <n v="54584"/>
    <x v="3"/>
    <n v="3.8812000000000002"/>
    <s v="Yes"/>
    <s v="Medium"/>
    <n v="648"/>
    <x v="18"/>
    <s v="Mid"/>
    <n v="0"/>
    <n v="0"/>
    <s v="Sunscreen"/>
  </r>
  <r>
    <s v="P463144"/>
    <s v="Dream Eye Cream with Vitamin C and Ceramides"/>
    <n v="6169"/>
    <s v="Youth To The People"/>
    <n v="54679"/>
    <x v="3"/>
    <n v="3.8645"/>
    <s v="Yes"/>
    <s v="Medium"/>
    <n v="546"/>
    <x v="14"/>
    <s v="Mid"/>
    <n v="0"/>
    <n v="0"/>
    <s v="Eye Care"/>
  </r>
  <r>
    <s v="P447603"/>
    <s v="Ultra Repair Wild Oat Hydrating Toner"/>
    <n v="5972"/>
    <s v="First Aid Beauty"/>
    <n v="54752"/>
    <x v="3"/>
    <n v="4.4745999999999997"/>
    <s v="Yes"/>
    <s v="High"/>
    <n v="531"/>
    <x v="0"/>
    <s v="Mid"/>
    <n v="0"/>
    <n v="0"/>
    <s v="Cleansers"/>
  </r>
  <r>
    <s v="P432053"/>
    <s v="Multivitamins 15% Vitamin C + Retinol Mini Set"/>
    <n v="6073"/>
    <s v="Sunday Riley"/>
    <n v="54878"/>
    <x v="3"/>
    <n v="3.8481000000000001"/>
    <s v="Yes"/>
    <s v="Medium"/>
    <n v="158"/>
    <x v="52"/>
    <s v="Mid"/>
    <n v="0"/>
    <n v="0"/>
    <s v="Value &amp; Gift Sets"/>
  </r>
  <r>
    <s v="P422536"/>
    <s v="Original Skin Matte Moisturizer with Willowherb"/>
    <n v="3733"/>
    <s v="Origins"/>
    <n v="54899"/>
    <x v="3"/>
    <n v="4.4089"/>
    <s v="Yes"/>
    <s v="High"/>
    <n v="2306"/>
    <x v="24"/>
    <s v="Mid"/>
    <n v="0"/>
    <n v="0"/>
    <s v="Moisturizers"/>
  </r>
  <r>
    <s v="P4010"/>
    <s v="AHA/BHA Exfoliating Cleanser"/>
    <n v="4164"/>
    <s v="Murad"/>
    <n v="54926"/>
    <x v="3"/>
    <n v="4.4981"/>
    <s v="Yes"/>
    <s v="High"/>
    <n v="789"/>
    <x v="45"/>
    <s v="Mid"/>
    <n v="0"/>
    <n v="0"/>
    <s v="Cleansers"/>
  </r>
  <r>
    <s v="P442857"/>
    <s v="Focuspot Micro Tip Patches"/>
    <n v="6014"/>
    <s v="Dr. Jart+"/>
    <n v="54955"/>
    <x v="3"/>
    <n v="3.0381"/>
    <s v="Yes"/>
    <s v="Medium"/>
    <n v="578"/>
    <x v="60"/>
    <s v="Mid"/>
    <n v="0"/>
    <n v="0"/>
    <s v="Treatments"/>
  </r>
  <r>
    <s v="P479362"/>
    <s v="Triple Peptide Hydrating + Firming Oasis Serum with Hyaluronic Acid"/>
    <n v="6169"/>
    <s v="Youth To The People"/>
    <n v="55041"/>
    <x v="3"/>
    <n v="4.5141999999999998"/>
    <s v="Yes"/>
    <s v="High"/>
    <n v="459"/>
    <x v="30"/>
    <s v="Premium"/>
    <n v="0"/>
    <n v="0"/>
    <s v="Treatments"/>
  </r>
  <r>
    <s v="P387261"/>
    <s v="Pumpkin Enzyme Mask Enzymatic Dermal Resurfacer"/>
    <n v="3728"/>
    <s v="Peter Thomas Roth"/>
    <n v="55129"/>
    <x v="3"/>
    <n v="4.6611000000000002"/>
    <s v="Yes"/>
    <s v="High"/>
    <n v="720"/>
    <x v="37"/>
    <s v="Premium"/>
    <n v="0"/>
    <n v="0"/>
    <s v="Masks"/>
  </r>
  <r>
    <s v="P458755"/>
    <s v="Charlotteâ€™s Magic Serum with Vitamin C"/>
    <n v="6236"/>
    <s v="Charlotte Tilbury"/>
    <n v="55157"/>
    <x v="3"/>
    <n v="4.1593"/>
    <s v="Yes"/>
    <s v="High"/>
    <n v="954"/>
    <x v="99"/>
    <s v="Premium"/>
    <n v="0"/>
    <n v="0"/>
    <s v="Treatments"/>
  </r>
  <r>
    <s v="P379707"/>
    <s v="Resurfacing BHA Glow Mask"/>
    <n v="7020"/>
    <s v="Tata Harper"/>
    <n v="55191"/>
    <x v="3"/>
    <n v="4.3471000000000002"/>
    <s v="Yes"/>
    <s v="High"/>
    <n v="847"/>
    <x v="6"/>
    <s v="Premium"/>
    <n v="0"/>
    <n v="0"/>
    <s v="Masks"/>
  </r>
  <r>
    <s v="P428416"/>
    <s v="Honey Butter Beeswax Lip Balm"/>
    <n v="8001"/>
    <s v="Farmacy"/>
    <n v="55236"/>
    <x v="3"/>
    <n v="4.2550999999999997"/>
    <s v="Yes"/>
    <s v="High"/>
    <n v="839"/>
    <x v="51"/>
    <s v="Budget"/>
    <n v="0"/>
    <n v="0"/>
    <s v="Lip Balms &amp; Treatments"/>
  </r>
  <r>
    <s v="P457005"/>
    <s v="Rose &amp; Squalane Deep Hydration Oil-Infused Serum"/>
    <n v="4348"/>
    <s v="fresh"/>
    <n v="55320"/>
    <x v="3"/>
    <n v="4.5838000000000001"/>
    <s v="Yes"/>
    <s v="High"/>
    <n v="978"/>
    <x v="37"/>
    <s v="Premium"/>
    <n v="0"/>
    <n v="0"/>
    <s v="Treatments"/>
  </r>
  <r>
    <s v="P54509"/>
    <s v="Tonique Confort Re-Hydrating Comforting Toner with Acacia Honey"/>
    <n v="1741"/>
    <s v="LancÃ´me"/>
    <n v="55339"/>
    <x v="3"/>
    <n v="4.5585000000000004"/>
    <s v="Yes"/>
    <s v="High"/>
    <n v="1581"/>
    <x v="7"/>
    <s v="Mid"/>
    <n v="0"/>
    <n v="1"/>
    <s v="Cleansers"/>
  </r>
  <r>
    <s v="P480278"/>
    <s v="Rapid Radiance Set"/>
    <n v="6195"/>
    <s v="Biossance"/>
    <n v="55347"/>
    <x v="3"/>
    <n v="4.1323999999999996"/>
    <s v="Yes"/>
    <s v="High"/>
    <n v="136"/>
    <x v="9"/>
    <s v="Mid"/>
    <n v="0"/>
    <n v="0"/>
    <s v="Value &amp; Gift Sets"/>
  </r>
  <r>
    <s v="P434546"/>
    <s v="Goodnight Glow Bakuchiol Sleeping CrÃ¨me"/>
    <n v="5674"/>
    <s v="OLEHENRIKSEN"/>
    <n v="55708"/>
    <x v="3"/>
    <n v="3.8816999999999999"/>
    <s v="Yes"/>
    <s v="Medium"/>
    <n v="524"/>
    <x v="37"/>
    <s v="Premium"/>
    <n v="0"/>
    <n v="0"/>
    <s v="Moisturizers"/>
  </r>
  <r>
    <s v="P405584"/>
    <s v="Baby Pekee Bar + Juju Bar Travel Duo"/>
    <n v="7083"/>
    <s v="Drunk Elephant"/>
    <n v="55728"/>
    <x v="3"/>
    <n v="4.34"/>
    <s v="Yes"/>
    <s v="High"/>
    <n v="600"/>
    <x v="47"/>
    <s v="Budget"/>
    <n v="0"/>
    <n v="0"/>
    <s v="Value &amp; Gift Sets"/>
  </r>
  <r>
    <s v="P42205"/>
    <s v="Strawberry Lip Balm"/>
    <n v="5671"/>
    <s v="Rosebud Perfume Co."/>
    <n v="55765"/>
    <x v="3"/>
    <n v="4.5590000000000002"/>
    <s v="Yes"/>
    <s v="High"/>
    <n v="2440"/>
    <x v="110"/>
    <s v="Budget"/>
    <n v="0"/>
    <n v="0"/>
    <s v="Lip Balms &amp; Treatments"/>
  </r>
  <r>
    <s v="P424988"/>
    <s v="THE FACE Illuminating Self-Tan Drops"/>
    <n v="6225"/>
    <s v="TAN-LUXE"/>
    <n v="55771"/>
    <x v="3"/>
    <n v="3.9893999999999998"/>
    <s v="Yes"/>
    <s v="Medium"/>
    <n v="471"/>
    <x v="50"/>
    <s v="Premium"/>
    <n v="0"/>
    <n v="0"/>
    <s v="Self Tanners"/>
  </r>
  <r>
    <s v="P442759"/>
    <s v="Amino Acids + B5"/>
    <n v="6234"/>
    <s v="The Ordinary"/>
    <n v="55852"/>
    <x v="3"/>
    <n v="4.4123000000000001"/>
    <s v="Yes"/>
    <s v="High"/>
    <n v="228"/>
    <x v="16"/>
    <s v="Budget"/>
    <n v="0"/>
    <n v="0"/>
    <s v="Treatments"/>
  </r>
  <r>
    <s v="P455898"/>
    <s v="Pycnogenol 5%"/>
    <n v="6234"/>
    <s v="The Ordinary"/>
    <n v="55894"/>
    <x v="3"/>
    <n v="4.5243000000000002"/>
    <s v="Yes"/>
    <s v="High"/>
    <n v="206"/>
    <x v="35"/>
    <s v="Budget"/>
    <n v="0"/>
    <n v="0"/>
    <s v="Treatments"/>
  </r>
  <r>
    <s v="P479318"/>
    <s v="10% Niacinamide Night Mask"/>
    <n v="8001"/>
    <s v="Farmacy"/>
    <n v="56372"/>
    <x v="3"/>
    <n v="4.6759000000000004"/>
    <s v="Yes"/>
    <s v="High"/>
    <n v="901"/>
    <x v="124"/>
    <s v="Mid"/>
    <n v="0"/>
    <n v="0"/>
    <s v="Masks"/>
  </r>
  <r>
    <s v="P377561"/>
    <s v="FIRMx Exfoliating Peel Gel"/>
    <n v="3728"/>
    <s v="Peter Thomas Roth"/>
    <n v="56547"/>
    <x v="3"/>
    <n v="4.5391000000000004"/>
    <s v="Yes"/>
    <s v="High"/>
    <n v="1686"/>
    <x v="25"/>
    <s v="Mid"/>
    <n v="0"/>
    <n v="0"/>
    <s v="Treatments"/>
  </r>
  <r>
    <s v="P442836"/>
    <s v="Barrier+ Foaming Oil Hydrating Cleanser"/>
    <n v="6289"/>
    <s v="Skinfix"/>
    <n v="56605"/>
    <x v="3"/>
    <n v="4.5791000000000004"/>
    <s v="Yes"/>
    <s v="High"/>
    <n v="993"/>
    <x v="78"/>
    <s v="Mid"/>
    <n v="0"/>
    <n v="0"/>
    <s v="Cleansers"/>
  </r>
  <r>
    <s v="P409630"/>
    <s v="SEA Pack Your Bags Undereye Patches"/>
    <n v="5648"/>
    <s v="tarte"/>
    <n v="56808"/>
    <x v="3"/>
    <n v="4.1779000000000002"/>
    <s v="Yes"/>
    <s v="High"/>
    <n v="298"/>
    <x v="75"/>
    <s v="Mid"/>
    <n v="0"/>
    <n v="1"/>
    <s v="Eye Care"/>
  </r>
  <r>
    <s v="P114902"/>
    <s v="Goodbye Acne  Max Complexion Correction Pads"/>
    <n v="3728"/>
    <s v="Peter Thomas Roth"/>
    <n v="56955"/>
    <x v="3"/>
    <n v="4.4199000000000002"/>
    <s v="Yes"/>
    <s v="High"/>
    <n v="1529"/>
    <x v="14"/>
    <s v="Mid"/>
    <n v="0"/>
    <n v="0"/>
    <s v="Treatments"/>
  </r>
  <r>
    <s v="P4016"/>
    <s v="Acne Control Clarifying Cleanser"/>
    <n v="4164"/>
    <s v="Murad"/>
    <n v="56973"/>
    <x v="3"/>
    <n v="4.2347999999999999"/>
    <s v="Yes"/>
    <s v="High"/>
    <n v="2572"/>
    <x v="8"/>
    <s v="Mid"/>
    <n v="0"/>
    <n v="0"/>
    <s v="Cleansers"/>
  </r>
  <r>
    <s v="P440498"/>
    <s v="Drying Lotion"/>
    <n v="8017"/>
    <s v="Mario Badescu"/>
    <n v="57039"/>
    <x v="3"/>
    <n v="4.0955000000000004"/>
    <s v="Yes"/>
    <s v="High"/>
    <n v="398"/>
    <x v="34"/>
    <s v="Budget"/>
    <n v="0"/>
    <n v="0"/>
    <s v="Treatments"/>
  </r>
  <r>
    <s v="P504171"/>
    <s v="Fruit Babies Bestsellers Kit"/>
    <n v="6189"/>
    <s v="Glow Recipe"/>
    <n v="57316"/>
    <x v="3"/>
    <n v="4.6338999999999997"/>
    <s v="Yes"/>
    <s v="High"/>
    <n v="183"/>
    <x v="18"/>
    <s v="Mid"/>
    <n v="0"/>
    <n v="0"/>
    <s v="Value &amp; Gift Sets"/>
  </r>
  <r>
    <s v="P139000"/>
    <s v="All About Clean Liquid Facial Soap"/>
    <n v="1254"/>
    <s v="CLINIQUE"/>
    <n v="57395"/>
    <x v="3"/>
    <n v="4.3693999999999997"/>
    <s v="Yes"/>
    <s v="High"/>
    <n v="2206"/>
    <x v="86"/>
    <s v="Mid"/>
    <n v="0"/>
    <n v="0"/>
    <s v="Cleansers"/>
  </r>
  <r>
    <s v="P203616"/>
    <s v="Glycol Lactic Radiance Renewal Mask"/>
    <n v="5857"/>
    <s v="REN Clean Skincare"/>
    <n v="58212"/>
    <x v="3"/>
    <n v="4.4021999999999997"/>
    <s v="Yes"/>
    <s v="High"/>
    <n v="1283"/>
    <x v="69"/>
    <s v="Premium"/>
    <n v="0"/>
    <n v="0"/>
    <s v="Masks"/>
  </r>
  <r>
    <s v="P427404"/>
    <s v="Ascorbyl Tetraisopalmitate Solution 20% in Vitamin F"/>
    <n v="6234"/>
    <s v="The Ordinary"/>
    <n v="58355"/>
    <x v="3"/>
    <n v="3.8193000000000001"/>
    <s v="Yes"/>
    <s v="Medium"/>
    <n v="166"/>
    <x v="152"/>
    <s v="Budget"/>
    <n v="0"/>
    <n v="0"/>
    <s v="Treatments"/>
  </r>
  <r>
    <s v="P384778"/>
    <s v="Black Tea Firming and De-Puffing Eye Cream"/>
    <n v="4348"/>
    <s v="fresh"/>
    <n v="58657"/>
    <x v="3"/>
    <n v="3.8767999999999998"/>
    <s v="Yes"/>
    <s v="Medium"/>
    <n v="609"/>
    <x v="6"/>
    <s v="Premium"/>
    <n v="0"/>
    <n v="0"/>
    <s v="Eye Care"/>
  </r>
  <r>
    <s v="P416561"/>
    <s v="Squalane + Probiotic Balancing Gel Moisturizer"/>
    <n v="6195"/>
    <s v="Biossance"/>
    <n v="58788"/>
    <x v="3"/>
    <n v="4.0923999999999996"/>
    <s v="Yes"/>
    <s v="High"/>
    <n v="714"/>
    <x v="30"/>
    <s v="Premium"/>
    <n v="0"/>
    <n v="0"/>
    <s v="Moisturizers"/>
  </r>
  <r>
    <s v="P461159"/>
    <s v="Estee Lauder Advanced Night Repair Synchronized Multi-Recovery Complex Serum"/>
    <n v="6089"/>
    <s v="EstÃ©e Lauder"/>
    <n v="58873"/>
    <x v="3"/>
    <n v="4.0456000000000003"/>
    <s v="Yes"/>
    <s v="High"/>
    <n v="2410"/>
    <x v="153"/>
    <s v="Premium"/>
    <n v="0"/>
    <n v="0"/>
    <s v="Treatments"/>
  </r>
  <r>
    <s v="P375534"/>
    <s v="Ultra Repair Face Moisturizer"/>
    <n v="5972"/>
    <s v="First Aid Beauty"/>
    <n v="59220"/>
    <x v="3"/>
    <n v="4.1963999999999997"/>
    <s v="Yes"/>
    <s v="High"/>
    <n v="988"/>
    <x v="52"/>
    <s v="Mid"/>
    <n v="0"/>
    <n v="0"/>
    <s v="Moisturizers"/>
  </r>
  <r>
    <s v="P438620"/>
    <s v="Nourishing Moisturizer with Prebiotics"/>
    <n v="3902"/>
    <s v="SEPHORA COLLECTION"/>
    <n v="59250"/>
    <x v="3"/>
    <n v="4.5182000000000002"/>
    <s v="Yes"/>
    <s v="High"/>
    <n v="467"/>
    <x v="5"/>
    <s v="Budget"/>
    <n v="0"/>
    <n v="0"/>
    <s v="Moisturizers"/>
  </r>
  <r>
    <s v="P416562"/>
    <s v="Squalane + Peptide Brightening &amp; De-Puffing Eye Gel"/>
    <n v="6195"/>
    <s v="Biossance"/>
    <n v="59273"/>
    <x v="3"/>
    <n v="3.6371000000000002"/>
    <s v="Yes"/>
    <s v="Medium"/>
    <n v="653"/>
    <x v="70"/>
    <s v="Premium"/>
    <n v="0"/>
    <n v="0"/>
    <s v="Eye Care"/>
  </r>
  <r>
    <s v="P385432"/>
    <s v="Acne Solutions Clinical Clearing Gel"/>
    <n v="1254"/>
    <s v="CLINIQUE"/>
    <n v="59548"/>
    <x v="3"/>
    <n v="4.2233999999999998"/>
    <s v="Yes"/>
    <s v="High"/>
    <n v="1079"/>
    <x v="29"/>
    <s v="Mid"/>
    <n v="0"/>
    <n v="0"/>
    <s v="Treatments"/>
  </r>
  <r>
    <s v="P421235"/>
    <s v="Double Serum Firming &amp; Smoothing Anti-Aging Concentrate"/>
    <n v="2082"/>
    <s v="Clarins"/>
    <n v="59652"/>
    <x v="3"/>
    <n v="4.2503000000000002"/>
    <s v="Yes"/>
    <s v="High"/>
    <n v="2605"/>
    <x v="17"/>
    <s v="Premium"/>
    <n v="0"/>
    <n v="0"/>
    <s v="Treatments"/>
  </r>
  <r>
    <s v="P439643"/>
    <s v="Clinique iD Custom-Blend Hydrator Collection"/>
    <n v="1254"/>
    <s v="CLINIQUE"/>
    <n v="59756"/>
    <x v="3"/>
    <n v="3.6309999999999998"/>
    <s v="Yes"/>
    <s v="Medium"/>
    <n v="271"/>
    <x v="71"/>
    <s v="Mid"/>
    <n v="0"/>
    <n v="1"/>
    <s v="Moisturizers"/>
  </r>
  <r>
    <s v="P423254"/>
    <s v="Water Drench Hyaluronic Cloud Hydra-Gel Eye Patches"/>
    <n v="3728"/>
    <s v="Peter Thomas Roth"/>
    <n v="60266"/>
    <x v="3"/>
    <n v="4.069"/>
    <s v="Yes"/>
    <s v="High"/>
    <n v="290"/>
    <x v="103"/>
    <s v="Premium"/>
    <n v="0"/>
    <n v="0"/>
    <s v="Eye Care"/>
  </r>
  <r>
    <s v="P468821"/>
    <s v="Ultra Repair Firming Collagen Cream with Peptides and Niacinamide"/>
    <n v="5972"/>
    <s v="First Aid Beauty"/>
    <n v="60505"/>
    <x v="3"/>
    <n v="4.5355999999999996"/>
    <s v="Yes"/>
    <s v="High"/>
    <n v="534"/>
    <x v="124"/>
    <s v="Mid"/>
    <n v="0"/>
    <n v="0"/>
    <s v="Moisturizers"/>
  </r>
  <r>
    <s v="P442755"/>
    <s v="Resveratrol 3% + Ferulic Acid 3%"/>
    <n v="6234"/>
    <s v="The Ordinary"/>
    <n v="60746"/>
    <x v="3"/>
    <n v="4"/>
    <s v="Yes"/>
    <s v="High"/>
    <n v="162"/>
    <x v="57"/>
    <s v="Budget"/>
    <n v="0"/>
    <n v="0"/>
    <s v="Treatments"/>
  </r>
  <r>
    <s v="P469510"/>
    <s v="CLINICAL 1% Retinol Treatment"/>
    <n v="6341"/>
    <s v="Paula's Choice"/>
    <n v="60835"/>
    <x v="3"/>
    <n v="4.5551000000000004"/>
    <s v="Yes"/>
    <s v="High"/>
    <n v="263"/>
    <x v="48"/>
    <s v="Premium"/>
    <n v="0"/>
    <n v="0"/>
    <s v="Treatments"/>
  </r>
  <r>
    <s v="P454383"/>
    <s v="PLAY Everyday Sunscreen Lotion SPF 50 PA++++"/>
    <n v="5987"/>
    <s v="Supergoop!"/>
    <n v="60887"/>
    <x v="3"/>
    <n v="4.0953999999999997"/>
    <s v="Yes"/>
    <s v="High"/>
    <n v="1059"/>
    <x v="18"/>
    <s v="Mid"/>
    <n v="0"/>
    <n v="0"/>
    <s v="Sunscreen"/>
  </r>
  <r>
    <s v="P450614"/>
    <s v="Tranexamic Acid Hyperpigmentation Treatment"/>
    <n v="6285"/>
    <s v="The INKEY List"/>
    <n v="61536"/>
    <x v="3"/>
    <n v="3.9335"/>
    <s v="Yes"/>
    <s v="Medium"/>
    <n v="511"/>
    <x v="144"/>
    <s v="Budget"/>
    <n v="0"/>
    <n v="0"/>
    <s v="Treatments"/>
  </r>
  <r>
    <s v="P445827"/>
    <s v="Sugar Strawberry Exfoliating Face Wash"/>
    <n v="4348"/>
    <s v="fresh"/>
    <n v="61862"/>
    <x v="3"/>
    <n v="4.1597"/>
    <s v="Yes"/>
    <s v="High"/>
    <n v="1259"/>
    <x v="49"/>
    <s v="Mid"/>
    <n v="0"/>
    <n v="0"/>
    <s v="Cleansers"/>
  </r>
  <r>
    <s v="P429250"/>
    <s v="Cicapair  Tiger Grass Camo Drops Color Corrector SPF 35"/>
    <n v="6014"/>
    <s v="Dr. Jart+"/>
    <n v="62298"/>
    <x v="3"/>
    <n v="4.1395"/>
    <s v="Yes"/>
    <s v="High"/>
    <n v="473"/>
    <x v="14"/>
    <s v="Mid"/>
    <n v="0"/>
    <n v="0"/>
    <s v="Treatments"/>
  </r>
  <r>
    <s v="P404322"/>
    <s v="ExfoliKate Cleanser Daily Foaming Wash"/>
    <n v="5946"/>
    <s v="Kate Somerville"/>
    <n v="62349"/>
    <x v="3"/>
    <n v="4.4493999999999998"/>
    <s v="Yes"/>
    <s v="High"/>
    <n v="948"/>
    <x v="124"/>
    <s v="Mid"/>
    <n v="0"/>
    <n v="0"/>
    <s v="Cleansers"/>
  </r>
  <r>
    <s v="P470065"/>
    <s v="Superclay Purify + Clear Power Mask with Niacinamide"/>
    <n v="6169"/>
    <s v="Youth To The People"/>
    <n v="62672"/>
    <x v="3"/>
    <n v="4.4595000000000002"/>
    <s v="Yes"/>
    <s v="High"/>
    <n v="346"/>
    <x v="12"/>
    <s v="Mid"/>
    <n v="0"/>
    <n v="0"/>
    <s v="Masks"/>
  </r>
  <r>
    <s v="P435975"/>
    <s v="Mini Charlotte's Magic Cream"/>
    <n v="6236"/>
    <s v="Charlotte Tilbury"/>
    <n v="62966"/>
    <x v="3"/>
    <n v="3.6585000000000001"/>
    <s v="Yes"/>
    <s v="Medium"/>
    <n v="246"/>
    <x v="78"/>
    <s v="Mid"/>
    <n v="0"/>
    <n v="0"/>
    <s v="Moisturizers"/>
  </r>
  <r>
    <s v="P411403"/>
    <s v="Confidence in a Cream Anti-Aging Hydrating Moisturizer"/>
    <n v="6175"/>
    <s v="IT Cosmetics"/>
    <n v="62988"/>
    <x v="3"/>
    <n v="4.62"/>
    <s v="Yes"/>
    <s v="High"/>
    <n v="2484"/>
    <x v="60"/>
    <s v="Mid"/>
    <n v="0"/>
    <n v="0"/>
    <s v="Moisturizers"/>
  </r>
  <r>
    <s v="P422007"/>
    <s v="Ultra Facial Cleanser"/>
    <n v="6218"/>
    <s v="Kiehl's Since 1851"/>
    <n v="63080"/>
    <x v="3"/>
    <n v="4.3712"/>
    <s v="Yes"/>
    <s v="High"/>
    <n v="862"/>
    <x v="78"/>
    <s v="Mid"/>
    <n v="0"/>
    <n v="0"/>
    <s v="Cleansers"/>
  </r>
  <r>
    <s v="P455676"/>
    <s v="Yo Glow AHA &amp; BHA Facial Enzyme Scrub"/>
    <n v="6316"/>
    <s v="Wishful"/>
    <n v="63463"/>
    <x v="3"/>
    <n v="4.2460000000000004"/>
    <s v="Yes"/>
    <s v="High"/>
    <n v="2207"/>
    <x v="7"/>
    <s v="Mid"/>
    <n v="0"/>
    <n v="0"/>
    <s v="Cleansers"/>
  </r>
  <r>
    <s v="P416139"/>
    <s v="Mini C.E.O. Vitamin C Brightening Rich Hydration Moisturizer"/>
    <n v="6073"/>
    <s v="Sunday Riley"/>
    <n v="63669"/>
    <x v="3"/>
    <n v="4.0133000000000001"/>
    <s v="Yes"/>
    <s v="High"/>
    <n v="977"/>
    <x v="92"/>
    <s v="Premium"/>
    <n v="0"/>
    <n v="0"/>
    <s v="Moisturizers"/>
  </r>
  <r>
    <s v="P455926"/>
    <s v="Retinol Reform Treatment Serum"/>
    <n v="6314"/>
    <s v="Shani Darden Skin Care"/>
    <n v="63782"/>
    <x v="3"/>
    <n v="4.2568999999999999"/>
    <s v="Yes"/>
    <s v="High"/>
    <n v="1012"/>
    <x v="118"/>
    <s v="Premium"/>
    <n v="0"/>
    <n v="0"/>
    <s v="Treatments"/>
  </r>
  <r>
    <s v="P411393"/>
    <s v="Bye Bye Redness Neutralizing Color-Correcting Cream"/>
    <n v="6175"/>
    <s v="IT Cosmetics"/>
    <n v="64038"/>
    <x v="3"/>
    <n v="4.1768000000000001"/>
    <s v="Yes"/>
    <s v="High"/>
    <n v="933"/>
    <x v="9"/>
    <s v="Mid"/>
    <n v="0"/>
    <n v="0"/>
    <s v="Moisturizers"/>
  </r>
  <r>
    <s v="P481989"/>
    <s v="Watermelon Glow Niacinamide Sunscreen SPF 50"/>
    <n v="6189"/>
    <s v="Glow Recipe"/>
    <n v="64453"/>
    <x v="3"/>
    <n v="3.7610000000000001"/>
    <s v="Yes"/>
    <s v="Medium"/>
    <n v="1293"/>
    <x v="9"/>
    <s v="Mid"/>
    <n v="0"/>
    <n v="0"/>
    <s v="Sunscreen"/>
  </r>
  <r>
    <s v="P467249"/>
    <s v="Hydra Vizor Invisible Moisturizer Broad Spectrum SPF 30 Sunscreen with Niacinamide + Kalahari Melon"/>
    <n v="6352"/>
    <s v="Fenty Skin"/>
    <n v="64620"/>
    <x v="3"/>
    <n v="4.0128000000000004"/>
    <s v="Yes"/>
    <s v="High"/>
    <n v="781"/>
    <x v="7"/>
    <s v="Mid"/>
    <n v="0"/>
    <n v="0"/>
    <s v="Moisturizers"/>
  </r>
  <r>
    <s v="P482320"/>
    <s v="Mini Glowscreen Sunscreen SPF 40 PA+++ with Hyaluronic Acid + Niacinamide"/>
    <n v="5987"/>
    <s v="Supergoop!"/>
    <n v="64624"/>
    <x v="3"/>
    <n v="3.9659"/>
    <s v="Yes"/>
    <s v="Medium"/>
    <n v="1439"/>
    <x v="75"/>
    <s v="Mid"/>
    <n v="0"/>
    <n v="1"/>
    <s v="Sunscreen"/>
  </r>
  <r>
    <s v="P426707"/>
    <s v="Hello FAB Coconut Water Cream"/>
    <n v="5972"/>
    <s v="First Aid Beauty"/>
    <n v="64785"/>
    <x v="3"/>
    <n v="4.0008999999999997"/>
    <s v="Yes"/>
    <s v="High"/>
    <n v="1072"/>
    <x v="8"/>
    <s v="Mid"/>
    <n v="0"/>
    <n v="0"/>
    <s v="Moisturizers"/>
  </r>
  <r>
    <s v="P448853"/>
    <s v="Mini SOS Daily Rescue Facial Spray"/>
    <n v="2000"/>
    <s v="Tower 28 Beauty"/>
    <n v="64871"/>
    <x v="3"/>
    <n v="3.9091"/>
    <s v="Yes"/>
    <s v="Medium"/>
    <n v="187"/>
    <x v="51"/>
    <s v="Budget"/>
    <n v="0"/>
    <n v="0"/>
    <s v="Moisturizers"/>
  </r>
  <r>
    <s v="P411401"/>
    <s v="Bye Bye Under Eye Brightening Eye Cream for Dark Circles"/>
    <n v="6175"/>
    <s v="IT Cosmetics"/>
    <n v="64892"/>
    <x v="3"/>
    <n v="4.0049000000000001"/>
    <s v="Yes"/>
    <s v="High"/>
    <n v="1024"/>
    <x v="154"/>
    <s v="Mid"/>
    <n v="0"/>
    <n v="0"/>
    <s v="Eye Care"/>
  </r>
  <r>
    <s v="P460512"/>
    <s v="Mini Liquid Silk Canvas: Featherweight Protective Primer"/>
    <n v="6041"/>
    <s v="Tatcha"/>
    <n v="65016"/>
    <x v="3"/>
    <n v="4.3975999999999997"/>
    <s v="Yes"/>
    <s v="High"/>
    <n v="1831"/>
    <x v="0"/>
    <s v="Mid"/>
    <n v="0"/>
    <n v="0"/>
    <s v="Mini Size"/>
  </r>
  <r>
    <s v="P455338"/>
    <s v="100% L-Ascorbic Acid Powder"/>
    <n v="6234"/>
    <s v="The Ordinary"/>
    <n v="65023"/>
    <x v="3"/>
    <n v="4.3316999999999997"/>
    <s v="Yes"/>
    <s v="High"/>
    <n v="202"/>
    <x v="143"/>
    <s v="Budget"/>
    <n v="0"/>
    <n v="0"/>
    <s v="Treatments"/>
  </r>
  <r>
    <s v="P447596"/>
    <s v="100% Organic Cold-Pressed Moroccan Argan Oil"/>
    <n v="6234"/>
    <s v="The Ordinary"/>
    <n v="65051"/>
    <x v="3"/>
    <n v="4.1708999999999996"/>
    <s v="Yes"/>
    <s v="High"/>
    <n v="357"/>
    <x v="67"/>
    <s v="Budget"/>
    <n v="0"/>
    <n v="0"/>
    <s v="Moisturizers"/>
  </r>
  <r>
    <s v="P375852"/>
    <s v="Pitera Facial Treatment Mask"/>
    <n v="6084"/>
    <s v="SK-II"/>
    <n v="65151"/>
    <x v="3"/>
    <n v="4.2972000000000001"/>
    <s v="Yes"/>
    <s v="High"/>
    <n v="434"/>
    <x v="109"/>
    <s v="Premium"/>
    <n v="0"/>
    <n v="0"/>
    <s v="Masks"/>
  </r>
  <r>
    <s v="P436353"/>
    <s v="Mini Rose &amp; Hyaluronic Acid Deep Hydration Toner"/>
    <n v="4348"/>
    <s v="fresh"/>
    <n v="65185"/>
    <x v="3"/>
    <n v="4.125"/>
    <s v="Yes"/>
    <s v="High"/>
    <n v="336"/>
    <x v="95"/>
    <s v="Mid"/>
    <n v="0"/>
    <n v="0"/>
    <s v="Mini Size"/>
  </r>
  <r>
    <s v="P266126"/>
    <s v="Rosebud Salve in a Tube"/>
    <n v="5671"/>
    <s v="Rosebud Perfume Co."/>
    <n v="65272"/>
    <x v="3"/>
    <n v="4.3796999999999997"/>
    <s v="Yes"/>
    <s v="High"/>
    <n v="2399"/>
    <x v="127"/>
    <s v="Budget"/>
    <n v="0"/>
    <n v="0"/>
    <s v="Lip Balms &amp; Treatments"/>
  </r>
  <r>
    <s v="P217513"/>
    <s v="Black Tea Instant Perfecting Mask"/>
    <n v="4348"/>
    <s v="fresh"/>
    <n v="65834"/>
    <x v="3"/>
    <n v="4.2919"/>
    <s v="Yes"/>
    <s v="High"/>
    <n v="908"/>
    <x v="155"/>
    <s v="Premium"/>
    <n v="0"/>
    <n v="0"/>
    <s v="Masks"/>
  </r>
  <r>
    <s v="P443846"/>
    <s v="Collagen Booster Firming Peptide Serum"/>
    <n v="6285"/>
    <s v="The INKEY List"/>
    <n v="66477"/>
    <x v="3"/>
    <n v="4.3102999999999998"/>
    <s v="Yes"/>
    <s v="High"/>
    <n v="580"/>
    <x v="32"/>
    <s v="Budget"/>
    <n v="0"/>
    <n v="0"/>
    <s v="Treatments"/>
  </r>
  <r>
    <s v="P440075"/>
    <s v="A+ High-Dose Retinol Serum"/>
    <n v="6073"/>
    <s v="Sunday Riley"/>
    <n v="66551"/>
    <x v="3"/>
    <n v="4.2016"/>
    <s v="Yes"/>
    <s v="High"/>
    <n v="516"/>
    <x v="99"/>
    <s v="Premium"/>
    <n v="0"/>
    <n v="0"/>
    <s v="Treatments"/>
  </r>
  <r>
    <s v="P420224"/>
    <s v="Vinoperfect Brightening Glycolic Essence"/>
    <n v="4171"/>
    <s v="Caudalie"/>
    <n v="66634"/>
    <x v="3"/>
    <n v="4.2691999999999997"/>
    <s v="Yes"/>
    <s v="High"/>
    <n v="535"/>
    <x v="83"/>
    <s v="Premium"/>
    <n v="0"/>
    <n v="0"/>
    <s v="Moisturizers"/>
  </r>
  <r>
    <s v="P470255"/>
    <s v="Mini Unseen Sunscreen SPF 40 PA+++"/>
    <n v="5987"/>
    <s v="Supergoop!"/>
    <n v="66960"/>
    <x v="3"/>
    <n v="4.2603999999999997"/>
    <s v="Yes"/>
    <s v="High"/>
    <n v="3260"/>
    <x v="75"/>
    <s v="Mid"/>
    <n v="0"/>
    <n v="0"/>
    <s v="Mini Size"/>
  </r>
  <r>
    <s v="P467655"/>
    <s v="Succinic Acid Acne Treatment"/>
    <n v="6285"/>
    <s v="The INKEY List"/>
    <n v="67403"/>
    <x v="3"/>
    <n v="3.8502999999999998"/>
    <s v="Yes"/>
    <s v="Medium"/>
    <n v="915"/>
    <x v="41"/>
    <s v="Budget"/>
    <n v="0"/>
    <n v="0"/>
    <s v="Treatments"/>
  </r>
  <r>
    <s v="P421277"/>
    <s v="GENIUS Liquid Collagen Serum"/>
    <n v="6018"/>
    <s v="Algenist"/>
    <n v="67870"/>
    <x v="3"/>
    <n v="4.0259"/>
    <s v="Yes"/>
    <s v="High"/>
    <n v="1159"/>
    <x v="153"/>
    <s v="Premium"/>
    <n v="0"/>
    <n v="0"/>
    <s v="Treatments"/>
  </r>
  <r>
    <s v="P422000"/>
    <s v="Creamy Eye Treatment with Avocado"/>
    <n v="6218"/>
    <s v="Kiehl's Since 1851"/>
    <n v="68043"/>
    <x v="3"/>
    <n v="3.9994000000000001"/>
    <s v="Yes"/>
    <s v="Medium"/>
    <n v="1668"/>
    <x v="8"/>
    <s v="Mid"/>
    <n v="0"/>
    <n v="0"/>
    <s v="Eye Care"/>
  </r>
  <r>
    <s v="P467976"/>
    <s v="(Re)setting 100% Mineral Powder Sunscreen SPF 35 PA+++"/>
    <n v="5987"/>
    <s v="Supergoop!"/>
    <n v="68453"/>
    <x v="3"/>
    <n v="4.0426000000000002"/>
    <s v="Yes"/>
    <s v="High"/>
    <n v="376"/>
    <x v="9"/>
    <s v="Mid"/>
    <n v="0"/>
    <n v="0"/>
    <s v="Sunscreen"/>
  </r>
  <r>
    <s v="P436387"/>
    <s v="Overtime Mask"/>
    <n v="6247"/>
    <s v="Summer Fridays"/>
    <n v="68583"/>
    <x v="3"/>
    <n v="4.4086999999999996"/>
    <s v="Yes"/>
    <s v="High"/>
    <n v="531"/>
    <x v="25"/>
    <s v="Mid"/>
    <n v="0"/>
    <n v="0"/>
    <s v="Masks"/>
  </r>
  <r>
    <s v="P400203"/>
    <s v="Lapis Blue Tansy Face Oil - For Oily &amp; Acne-Prone Skin"/>
    <n v="6117"/>
    <s v="Herbivore"/>
    <n v="68960"/>
    <x v="3"/>
    <n v="4.2461000000000002"/>
    <s v="Yes"/>
    <s v="High"/>
    <n v="959"/>
    <x v="28"/>
    <s v="Premium"/>
    <n v="0"/>
    <n v="0"/>
    <s v="Moisturizers"/>
  </r>
  <r>
    <s v="P174502"/>
    <s v="All About Eyes Rich Eye Cream"/>
    <n v="1254"/>
    <s v="CLINIQUE"/>
    <n v="68979"/>
    <x v="3"/>
    <n v="4.1444000000000001"/>
    <s v="Yes"/>
    <s v="High"/>
    <n v="1614"/>
    <x v="96"/>
    <s v="Mid"/>
    <n v="0"/>
    <n v="0"/>
    <s v="Eye Care"/>
  </r>
  <r>
    <s v="P455369"/>
    <s v="Peptide Moisturizer"/>
    <n v="6285"/>
    <s v="The INKEY List"/>
    <n v="69215"/>
    <x v="3"/>
    <n v="3.7913000000000001"/>
    <s v="Yes"/>
    <s v="Medium"/>
    <n v="781"/>
    <x v="144"/>
    <s v="Budget"/>
    <n v="0"/>
    <n v="0"/>
    <s v="Moisturizers"/>
  </r>
  <r>
    <s v="P414737"/>
    <s v="Pearly Girl Vegan Teeth Whitening Pen"/>
    <n v="5648"/>
    <s v="tarte"/>
    <n v="69366"/>
    <x v="3"/>
    <n v="4.1787999999999998"/>
    <s v="Yes"/>
    <s v="High"/>
    <n v="481"/>
    <x v="94"/>
    <s v="Mid"/>
    <n v="0"/>
    <n v="0"/>
    <s v="High Tech Tools"/>
  </r>
  <r>
    <s v="P309306"/>
    <s v="Juno Antioxidant + Superfood Face Oil"/>
    <n v="6073"/>
    <s v="Sunday Riley"/>
    <n v="69459"/>
    <x v="3"/>
    <n v="4.3299000000000003"/>
    <s v="Yes"/>
    <s v="High"/>
    <n v="585"/>
    <x v="55"/>
    <s v="Premium"/>
    <n v="0"/>
    <n v="0"/>
    <s v="Moisturizers"/>
  </r>
  <r>
    <s v="P3617"/>
    <s v="Therapeutic Sulfur Acne Treatment Mask"/>
    <n v="3728"/>
    <s v="Peter Thomas Roth"/>
    <n v="69468"/>
    <x v="3"/>
    <n v="4.5110999999999999"/>
    <s v="Yes"/>
    <s v="High"/>
    <n v="1217"/>
    <x v="23"/>
    <s v="Premium"/>
    <n v="0"/>
    <n v="0"/>
    <s v="Masks"/>
  </r>
  <r>
    <s v="P416564"/>
    <s v="100% Sugarcane Squalane Oil"/>
    <n v="6195"/>
    <s v="Biossance"/>
    <n v="69489"/>
    <x v="3"/>
    <n v="4.5335999999999999"/>
    <s v="Yes"/>
    <s v="High"/>
    <n v="476"/>
    <x v="18"/>
    <s v="Mid"/>
    <n v="0"/>
    <n v="0"/>
    <s v="Moisturizers"/>
  </r>
  <r>
    <s v="P435386"/>
    <s v="Mini Watermelon Pink Juice Oil-Free Moisturizer"/>
    <n v="6189"/>
    <s v="Glow Recipe"/>
    <n v="69635"/>
    <x v="3"/>
    <n v="3.7555000000000001"/>
    <s v="Yes"/>
    <s v="Medium"/>
    <n v="409"/>
    <x v="128"/>
    <s v="Mid"/>
    <n v="0"/>
    <n v="0"/>
    <s v="Mini Size"/>
  </r>
  <r>
    <s v="P418872"/>
    <s v="Pore-Balance Facial Sauna Scrub"/>
    <n v="5674"/>
    <s v="OLEHENRIKSEN"/>
    <n v="69759"/>
    <x v="3"/>
    <n v="4.5597000000000003"/>
    <s v="Yes"/>
    <s v="High"/>
    <n v="879"/>
    <x v="9"/>
    <s v="Mid"/>
    <n v="0"/>
    <n v="0"/>
    <s v="Cleansers"/>
  </r>
  <r>
    <s v="P405599"/>
    <s v="SEA drink of H2O hydrating boost moisturizer"/>
    <n v="5648"/>
    <s v="tarte"/>
    <n v="70039"/>
    <x v="3"/>
    <n v="4.2373000000000003"/>
    <s v="Yes"/>
    <s v="High"/>
    <n v="1749"/>
    <x v="7"/>
    <s v="Mid"/>
    <n v="0"/>
    <n v="0"/>
    <s v="Moisturizers"/>
  </r>
  <r>
    <s v="P504212"/>
    <s v="Berries n' Choco Kisses Set"/>
    <n v="6125"/>
    <s v="LANEIGE"/>
    <n v="71206"/>
    <x v="3"/>
    <n v="4.5953999999999997"/>
    <s v="Yes"/>
    <s v="High"/>
    <n v="173"/>
    <x v="95"/>
    <s v="Mid"/>
    <n v="1"/>
    <n v="0"/>
    <s v="Value &amp; Gift Sets"/>
  </r>
  <r>
    <s v="P454120"/>
    <s v="F-Balm Electrolyte Waterfacial Mask"/>
    <n v="7083"/>
    <s v="Drunk Elephant"/>
    <n v="71224"/>
    <x v="3"/>
    <n v="4.1665000000000001"/>
    <s v="Yes"/>
    <s v="High"/>
    <n v="1105"/>
    <x v="30"/>
    <s v="Premium"/>
    <n v="0"/>
    <n v="0"/>
    <s v="Masks"/>
  </r>
  <r>
    <s v="P453224"/>
    <s v="Squalane + 10% Lactic Acid Resurfacing Serum"/>
    <n v="6195"/>
    <s v="Biossance"/>
    <n v="72034"/>
    <x v="3"/>
    <n v="4.3964999999999996"/>
    <s v="Yes"/>
    <s v="High"/>
    <n v="966"/>
    <x v="92"/>
    <s v="Premium"/>
    <n v="0"/>
    <n v="0"/>
    <s v="Treatments"/>
  </r>
  <r>
    <s v="P429953"/>
    <s v="Glow Stick Sunscreen SPF 50 PA++++"/>
    <n v="5987"/>
    <s v="Supergoop!"/>
    <n v="72075"/>
    <x v="3"/>
    <n v="3.6587000000000001"/>
    <s v="Yes"/>
    <s v="Medium"/>
    <n v="501"/>
    <x v="95"/>
    <s v="Mid"/>
    <n v="0"/>
    <n v="0"/>
    <s v="Sunscreen"/>
  </r>
  <r>
    <s v="P458209"/>
    <s v="Daily Greens Oil-Free Gel Moisturizer with Moringa and Papaya"/>
    <n v="8001"/>
    <s v="Farmacy"/>
    <n v="72156"/>
    <x v="3"/>
    <n v="4.0612000000000004"/>
    <s v="Yes"/>
    <s v="High"/>
    <n v="1356"/>
    <x v="36"/>
    <s v="Mid"/>
    <n v="0"/>
    <n v="0"/>
    <s v="Moisturizers"/>
  </r>
  <r>
    <s v="P501760"/>
    <s v="Guava Vitamin C Bright-Eye Gel Cream"/>
    <n v="6189"/>
    <s v="Glow Recipe"/>
    <n v="72173"/>
    <x v="3"/>
    <n v="4.5109000000000004"/>
    <s v="Yes"/>
    <s v="High"/>
    <n v="914"/>
    <x v="12"/>
    <s v="Mid"/>
    <n v="0"/>
    <n v="0"/>
    <s v="Eye Care"/>
  </r>
  <r>
    <s v="P436359"/>
    <s v="Blueberry Bounce Gentle Cleanser"/>
    <n v="6189"/>
    <s v="Glow Recipe"/>
    <n v="72289"/>
    <x v="3"/>
    <n v="3.8102999999999998"/>
    <s v="Yes"/>
    <s v="Medium"/>
    <n v="1065"/>
    <x v="18"/>
    <s v="Mid"/>
    <n v="0"/>
    <n v="0"/>
    <s v="Cleansers"/>
  </r>
  <r>
    <s v="P416815"/>
    <s v="Find Your Balance Oil Control Cleanser"/>
    <n v="5674"/>
    <s v="OLEHENRIKSEN"/>
    <n v="72479"/>
    <x v="3"/>
    <n v="4.4298999999999999"/>
    <s v="Yes"/>
    <s v="High"/>
    <n v="1447"/>
    <x v="49"/>
    <s v="Mid"/>
    <n v="0"/>
    <n v="0"/>
    <s v="Cleansers"/>
  </r>
  <r>
    <s v="P427409"/>
    <s v="Vitamin C Suspension 30% in Silicone"/>
    <n v="6234"/>
    <s v="The Ordinary"/>
    <n v="72633"/>
    <x v="3"/>
    <n v="3.6345000000000001"/>
    <s v="Yes"/>
    <s v="Medium"/>
    <n v="394"/>
    <x v="156"/>
    <s v="Budget"/>
    <n v="0"/>
    <n v="0"/>
    <s v="Treatments"/>
  </r>
  <r>
    <s v="P442871"/>
    <s v="Beta Hydroxy Acid (BHA) Blemish + Blackhead Serum"/>
    <n v="6285"/>
    <s v="The INKEY List"/>
    <n v="72805"/>
    <x v="3"/>
    <n v="4.0834999999999999"/>
    <s v="Yes"/>
    <s v="High"/>
    <n v="431"/>
    <x v="32"/>
    <s v="Budget"/>
    <n v="0"/>
    <n v="0"/>
    <s v="Treatments"/>
  </r>
  <r>
    <s v="P431181"/>
    <s v="Self-Tanning Water"/>
    <n v="8008"/>
    <s v="Isle of Paradise"/>
    <n v="73112"/>
    <x v="3"/>
    <n v="3.7120000000000002"/>
    <s v="Yes"/>
    <s v="Medium"/>
    <n v="1073"/>
    <x v="29"/>
    <s v="Mid"/>
    <n v="0"/>
    <n v="0"/>
    <s v="Self Tanners"/>
  </r>
  <r>
    <s v="P391799"/>
    <s v="Black Tea Firming Overnight Mask"/>
    <n v="4348"/>
    <s v="fresh"/>
    <n v="73168"/>
    <x v="3"/>
    <n v="4.1368999999999998"/>
    <s v="Yes"/>
    <s v="High"/>
    <n v="482"/>
    <x v="155"/>
    <s v="Premium"/>
    <n v="0"/>
    <n v="0"/>
    <s v="Masks"/>
  </r>
  <r>
    <s v="P423259"/>
    <s v="Cicapair Tiger Grass Serum"/>
    <n v="6014"/>
    <s v="Dr. Jart+"/>
    <n v="73240"/>
    <x v="3"/>
    <n v="4.2656999999999998"/>
    <s v="Yes"/>
    <s v="High"/>
    <n v="1080"/>
    <x v="23"/>
    <s v="Premium"/>
    <n v="0"/>
    <n v="0"/>
    <s v="Treatments"/>
  </r>
  <r>
    <s v="P482264"/>
    <s v="Cookies N Clean Whipped Clay Pore Detox Face Mask with Salicylic Acid + Charcoal"/>
    <n v="6352"/>
    <s v="Fenty Skin"/>
    <n v="73465"/>
    <x v="3"/>
    <n v="4.6897000000000002"/>
    <s v="Yes"/>
    <s v="High"/>
    <n v="390"/>
    <x v="9"/>
    <s v="Mid"/>
    <n v="0"/>
    <n v="1"/>
    <s v="Masks"/>
  </r>
  <r>
    <s v="P455236"/>
    <s v="Glow Lip Pop Lip Balm"/>
    <n v="6189"/>
    <s v="Glow Recipe"/>
    <n v="73756"/>
    <x v="3"/>
    <n v="4.5777999999999999"/>
    <s v="Yes"/>
    <s v="High"/>
    <n v="1047"/>
    <x v="75"/>
    <s v="Mid"/>
    <n v="0"/>
    <n v="0"/>
    <s v="Lip Balms &amp; Treatments"/>
  </r>
  <r>
    <s v="P415701"/>
    <s v="Water Drench Hyaluronic Acid Moisturizer"/>
    <n v="3728"/>
    <s v="Peter Thomas Roth"/>
    <n v="73776"/>
    <x v="3"/>
    <n v="4.2649999999999997"/>
    <s v="Yes"/>
    <s v="High"/>
    <n v="1830"/>
    <x v="30"/>
    <s v="Premium"/>
    <n v="0"/>
    <n v="0"/>
    <s v="Moisturizers"/>
  </r>
  <r>
    <s v="P411539"/>
    <s v="Cicapair Tiger Grass Cream"/>
    <n v="6014"/>
    <s v="Dr. Jart+"/>
    <n v="73855"/>
    <x v="3"/>
    <n v="4.3232999999999997"/>
    <s v="Yes"/>
    <s v="High"/>
    <n v="1367"/>
    <x v="25"/>
    <s v="Mid"/>
    <n v="0"/>
    <n v="0"/>
    <s v="Moisturizers"/>
  </r>
  <r>
    <s v="P455339"/>
    <s v="Lactic Acid 5% + HA"/>
    <n v="6234"/>
    <s v="The Ordinary"/>
    <n v="74003"/>
    <x v="3"/>
    <n v="4.3080999999999996"/>
    <s v="Yes"/>
    <s v="High"/>
    <n v="172"/>
    <x v="54"/>
    <s v="Budget"/>
    <n v="0"/>
    <n v="0"/>
    <s v="Treatments"/>
  </r>
  <r>
    <s v="P460855"/>
    <s v="Clean Lip Balm &amp; Scrub"/>
    <n v="3902"/>
    <s v="SEPHORA COLLECTION"/>
    <n v="74119"/>
    <x v="3"/>
    <n v="2.282"/>
    <s v="Yes"/>
    <s v="Low"/>
    <n v="610"/>
    <x v="127"/>
    <s v="Budget"/>
    <n v="0"/>
    <n v="1"/>
    <s v="Lip Balms &amp; Treatments"/>
  </r>
  <r>
    <s v="P469506"/>
    <s v="C15 Vitamin C Super Booster"/>
    <n v="6341"/>
    <s v="Paula's Choice"/>
    <n v="74161"/>
    <x v="3"/>
    <n v="4.2096999999999998"/>
    <s v="Yes"/>
    <s v="High"/>
    <n v="434"/>
    <x v="103"/>
    <s v="Premium"/>
    <n v="0"/>
    <n v="0"/>
    <s v="Treatments"/>
  </r>
  <r>
    <s v="P429242"/>
    <s v="Clear Sunscreen Stick SPF 50+"/>
    <n v="5337"/>
    <s v="Shiseido"/>
    <n v="74272"/>
    <x v="3"/>
    <n v="4.6566000000000001"/>
    <s v="Yes"/>
    <s v="High"/>
    <n v="1529"/>
    <x v="78"/>
    <s v="Mid"/>
    <n v="0"/>
    <n v="0"/>
    <s v="Sunscreen"/>
  </r>
  <r>
    <s v="P471546"/>
    <s v="Mini Cicapair Tiger Grass Color Correcting Treatment SPF 30"/>
    <n v="6014"/>
    <s v="Dr. Jart+"/>
    <n v="74947"/>
    <x v="3"/>
    <n v="4.0164999999999997"/>
    <s v="Yes"/>
    <s v="High"/>
    <n v="5028"/>
    <x v="128"/>
    <s v="Mid"/>
    <n v="0"/>
    <n v="0"/>
    <s v="Mini Size"/>
  </r>
  <r>
    <s v="P232915"/>
    <s v="ExfoliKate Intensive Pore Exfoliating Treatment"/>
    <n v="5946"/>
    <s v="Kate Somerville"/>
    <n v="75332"/>
    <x v="3"/>
    <n v="4.4375"/>
    <s v="Yes"/>
    <s v="High"/>
    <n v="2990"/>
    <x v="131"/>
    <s v="Premium"/>
    <n v="0"/>
    <n v="0"/>
    <s v="Cleansers"/>
  </r>
  <r>
    <s v="P422022"/>
    <s v="Clearly Corrective Dark Spot Correcting Serum"/>
    <n v="6218"/>
    <s v="Kiehl's Since 1851"/>
    <n v="75403"/>
    <x v="3"/>
    <n v="3.8477999999999999"/>
    <s v="Yes"/>
    <s v="Medium"/>
    <n v="913"/>
    <x v="92"/>
    <s v="Premium"/>
    <n v="0"/>
    <n v="0"/>
    <s v="Treatments"/>
  </r>
  <r>
    <s v="P442761"/>
    <s v="C.E.O Glow Vitamin C + Turmeric Face Oil"/>
    <n v="6073"/>
    <s v="Sunday Riley"/>
    <n v="75741"/>
    <x v="3"/>
    <n v="4.0758999999999999"/>
    <s v="Yes"/>
    <s v="High"/>
    <n v="843"/>
    <x v="19"/>
    <s v="Premium"/>
    <n v="0"/>
    <n v="0"/>
    <s v="Moisturizers"/>
  </r>
  <r>
    <s v="P419223"/>
    <s v="Shaba Complex Firming Eye Serum"/>
    <n v="7083"/>
    <s v="Drunk Elephant"/>
    <n v="75752"/>
    <x v="3"/>
    <n v="3.8963000000000001"/>
    <s v="Yes"/>
    <s v="Medium"/>
    <n v="1070"/>
    <x v="37"/>
    <s v="Premium"/>
    <n v="0"/>
    <n v="0"/>
    <s v="Eye Care"/>
  </r>
  <r>
    <s v="P472468"/>
    <s v="Watermelon Glow Hyaluronic Clay Pore-Tight Facial Mask"/>
    <n v="6189"/>
    <s v="Glow Recipe"/>
    <n v="76226"/>
    <x v="3"/>
    <n v="4.5911999999999997"/>
    <s v="Yes"/>
    <s v="High"/>
    <n v="981"/>
    <x v="24"/>
    <s v="Mid"/>
    <n v="0"/>
    <n v="0"/>
    <s v="Masks"/>
  </r>
  <r>
    <s v="P428095"/>
    <s v="Ready Steady Glow Daily AHA Tonic"/>
    <n v="5857"/>
    <s v="REN Clean Skincare"/>
    <n v="76269"/>
    <x v="3"/>
    <n v="4.1429999999999998"/>
    <s v="Yes"/>
    <s v="High"/>
    <n v="1238"/>
    <x v="24"/>
    <s v="Mid"/>
    <n v="0"/>
    <n v="0"/>
    <s v="Cleansers"/>
  </r>
  <r>
    <s v="P433887"/>
    <s v="Squalane + Omega Repair Deep Hydration Moisturizer"/>
    <n v="6195"/>
    <s v="Biossance"/>
    <n v="76514"/>
    <x v="3"/>
    <n v="4.2100999999999997"/>
    <s v="Yes"/>
    <s v="High"/>
    <n v="2089"/>
    <x v="37"/>
    <s v="Premium"/>
    <n v="0"/>
    <n v="0"/>
    <s v="Moisturizers"/>
  </r>
  <r>
    <s v="P455366"/>
    <s v="Retinol Eye Cream"/>
    <n v="6285"/>
    <s v="The INKEY List"/>
    <n v="76545"/>
    <x v="3"/>
    <n v="3.9531999999999998"/>
    <s v="Yes"/>
    <s v="Medium"/>
    <n v="662"/>
    <x v="32"/>
    <s v="Budget"/>
    <n v="0"/>
    <n v="0"/>
    <s v="Eye Care"/>
  </r>
  <r>
    <s v="P503692"/>
    <s v="Plush Puddinâ€™ Intensive Recovery Lip Mask With Pomegranate Sterols + Vitamin E"/>
    <n v="6352"/>
    <s v="Fenty Skin"/>
    <n v="76840"/>
    <x v="3"/>
    <n v="4.1143999999999998"/>
    <s v="Yes"/>
    <s v="High"/>
    <n v="376"/>
    <x v="75"/>
    <s v="Mid"/>
    <n v="0"/>
    <n v="1"/>
    <s v="Lip Balms &amp; Treatments"/>
  </r>
  <r>
    <s v="P466155"/>
    <s v="The Dewy Serum Resurfacing and Plumping Treatment"/>
    <n v="6041"/>
    <s v="Tatcha"/>
    <n v="77027"/>
    <x v="3"/>
    <n v="4.6355000000000004"/>
    <s v="Yes"/>
    <s v="High"/>
    <n v="1391"/>
    <x v="53"/>
    <s v="Premium"/>
    <n v="0"/>
    <n v="0"/>
    <s v="Treatments"/>
  </r>
  <r>
    <s v="P467248"/>
    <s v="Fat Water Niacinamide Pore-Refining Toner Serum with Barbados Cherry"/>
    <n v="6352"/>
    <s v="Fenty Skin"/>
    <n v="77300"/>
    <x v="3"/>
    <n v="4.1052"/>
    <s v="Yes"/>
    <s v="High"/>
    <n v="485"/>
    <x v="18"/>
    <s v="Mid"/>
    <n v="0"/>
    <n v="0"/>
    <s v="Cleansers"/>
  </r>
  <r>
    <s v="P429529"/>
    <s v="Sheet Masks"/>
    <n v="6014"/>
    <s v="Dr. Jart+"/>
    <n v="77748"/>
    <x v="3"/>
    <n v="4.2176"/>
    <s v="Yes"/>
    <s v="High"/>
    <n v="432"/>
    <x v="127"/>
    <s v="Budget"/>
    <n v="0"/>
    <n v="0"/>
    <s v="Masks"/>
  </r>
  <r>
    <s v="P415237"/>
    <s v="Hello FAB Coconut Skin Smoothie Priming Moisturizer"/>
    <n v="5972"/>
    <s v="First Aid Beauty"/>
    <n v="77772"/>
    <x v="3"/>
    <n v="4.1988000000000003"/>
    <s v="Yes"/>
    <s v="High"/>
    <n v="1826"/>
    <x v="29"/>
    <s v="Mid"/>
    <n v="0"/>
    <n v="0"/>
    <s v="Moisturizers"/>
  </r>
  <r>
    <s v="P12295"/>
    <s v="Sugar Face Polish Exfoliator"/>
    <n v="4348"/>
    <s v="fresh"/>
    <n v="78005"/>
    <x v="3"/>
    <n v="4.5195999999999996"/>
    <s v="Yes"/>
    <s v="High"/>
    <n v="1070"/>
    <x v="56"/>
    <s v="Premium"/>
    <n v="0"/>
    <n v="0"/>
    <s v="Cleansers"/>
  </r>
  <r>
    <s v="P479330"/>
    <s v="Water Sleeping Mask with Squalane"/>
    <n v="6125"/>
    <s v="LANEIGE"/>
    <n v="78940"/>
    <x v="3"/>
    <n v="4.3623000000000003"/>
    <s v="Yes"/>
    <s v="High"/>
    <n v="472"/>
    <x v="29"/>
    <s v="Mid"/>
    <n v="0"/>
    <n v="0"/>
    <s v="Masks"/>
  </r>
  <r>
    <s v="P297551"/>
    <s v="Out of Trouble 10 Minute Mask to Rescue Problem Skin"/>
    <n v="3733"/>
    <s v="Origins"/>
    <n v="79246"/>
    <x v="3"/>
    <n v="4.3970000000000002"/>
    <s v="Yes"/>
    <s v="High"/>
    <n v="1000"/>
    <x v="29"/>
    <s v="Mid"/>
    <n v="0"/>
    <n v="0"/>
    <s v="Masks"/>
  </r>
  <r>
    <s v="P461555"/>
    <s v="Mini Superberry Hydrate + Glow Dream Mask"/>
    <n v="6169"/>
    <s v="Youth To The People"/>
    <n v="79524"/>
    <x v="3"/>
    <n v="4.3236999999999997"/>
    <s v="Yes"/>
    <s v="High"/>
    <n v="2354"/>
    <x v="5"/>
    <s v="Budget"/>
    <n v="0"/>
    <n v="0"/>
    <s v="Mini Size"/>
  </r>
  <r>
    <s v="P376726"/>
    <s v="Maracuja Oil"/>
    <n v="5648"/>
    <s v="tarte"/>
    <n v="79986"/>
    <x v="3"/>
    <n v="4.3959999999999999"/>
    <s v="Yes"/>
    <s v="High"/>
    <n v="2419"/>
    <x v="14"/>
    <s v="Mid"/>
    <n v="0"/>
    <n v="0"/>
    <s v="Moisturizers"/>
  </r>
  <r>
    <s v="P454313"/>
    <s v="Cica Sleeping Mask"/>
    <n v="6125"/>
    <s v="LANEIGE"/>
    <n v="80111"/>
    <x v="3"/>
    <n v="4.6375000000000002"/>
    <s v="Yes"/>
    <s v="High"/>
    <n v="971"/>
    <x v="18"/>
    <s v="Mid"/>
    <n v="0"/>
    <n v="0"/>
    <s v="Masks"/>
  </r>
  <r>
    <s v="P446942"/>
    <s v="Niacinamide Oil Control Serum"/>
    <n v="6285"/>
    <s v="The INKEY List"/>
    <n v="80563"/>
    <x v="3"/>
    <n v="4.1989999999999998"/>
    <s v="Yes"/>
    <s v="High"/>
    <n v="985"/>
    <x v="41"/>
    <s v="Budget"/>
    <n v="0"/>
    <n v="0"/>
    <s v="Treatments"/>
  </r>
  <r>
    <s v="P460701"/>
    <s v="Clean Face Mask"/>
    <n v="3902"/>
    <s v="SEPHORA COLLECTION"/>
    <n v="80684"/>
    <x v="3"/>
    <n v="4.1455000000000002"/>
    <s v="Yes"/>
    <s v="High"/>
    <n v="385"/>
    <x v="79"/>
    <s v="Budget"/>
    <n v="0"/>
    <n v="0"/>
    <s v="Masks"/>
  </r>
  <r>
    <s v="P39970"/>
    <s v="Rose Floral Toner"/>
    <n v="4348"/>
    <s v="fresh"/>
    <n v="80841"/>
    <x v="3"/>
    <n v="4.1067"/>
    <s v="Yes"/>
    <s v="High"/>
    <n v="937"/>
    <x v="64"/>
    <s v="Budget"/>
    <n v="0"/>
    <n v="0"/>
    <s v="Cleansers"/>
  </r>
  <r>
    <s v="P449180"/>
    <s v="CC Me Vitamin C + Niacinamide Serum"/>
    <n v="6247"/>
    <s v="Summer Fridays"/>
    <n v="80956"/>
    <x v="3"/>
    <n v="4.0892999999999997"/>
    <s v="Yes"/>
    <s v="High"/>
    <n v="896"/>
    <x v="6"/>
    <s v="Premium"/>
    <n v="0"/>
    <n v="0"/>
    <s v="Treatments"/>
  </r>
  <r>
    <s v="P173619"/>
    <s v="Benefiance WrinkleResist24 Pure Retinol Express Smoothing Eye Mask"/>
    <n v="5337"/>
    <s v="Shiseido"/>
    <n v="81341"/>
    <x v="3"/>
    <n v="4.4219999999999997"/>
    <s v="Yes"/>
    <s v="High"/>
    <n v="500"/>
    <x v="10"/>
    <s v="Premium"/>
    <n v="0"/>
    <n v="0"/>
    <s v="Eye Care"/>
  </r>
  <r>
    <s v="P42204"/>
    <s v="Rosebud Salve"/>
    <n v="5671"/>
    <s v="Rosebud Perfume Co."/>
    <n v="81724"/>
    <x v="3"/>
    <n v="4.6463000000000001"/>
    <s v="Yes"/>
    <s v="High"/>
    <n v="5199"/>
    <x v="127"/>
    <s v="Budget"/>
    <n v="0"/>
    <n v="0"/>
    <s v="Lip Balms &amp; Treatments"/>
  </r>
  <r>
    <s v="P455934"/>
    <s v="Yerba Mate Resurfacing + Exfoliating Energy Facial with Enzymes + Niacinamide"/>
    <n v="6169"/>
    <s v="Youth To The People"/>
    <n v="82444"/>
    <x v="3"/>
    <n v="4.4774000000000003"/>
    <s v="Yes"/>
    <s v="High"/>
    <n v="620"/>
    <x v="83"/>
    <s v="Premium"/>
    <n v="0"/>
    <n v="0"/>
    <s v="Cleansers"/>
  </r>
  <r>
    <s v="P379510"/>
    <s v="Advanced GÃ©nifique Radiance Boosting Face Serum"/>
    <n v="1741"/>
    <s v="LancÃ´me"/>
    <n v="82978"/>
    <x v="3"/>
    <n v="4.4032"/>
    <s v="Yes"/>
    <s v="High"/>
    <n v="1602"/>
    <x v="157"/>
    <s v="Premium"/>
    <n v="0"/>
    <n v="0"/>
    <s v="Treatments"/>
  </r>
  <r>
    <s v="P427405"/>
    <s v="Matrixyl* 10% + HA"/>
    <n v="6234"/>
    <s v="The Ordinary"/>
    <n v="83357"/>
    <x v="3"/>
    <n v="4.3164999999999996"/>
    <s v="Yes"/>
    <s v="High"/>
    <n v="237"/>
    <x v="158"/>
    <s v="Budget"/>
    <n v="0"/>
    <n v="0"/>
    <s v="Treatments"/>
  </r>
  <r>
    <s v="P403818"/>
    <s v="Lippe Balm"/>
    <n v="7083"/>
    <s v="Drunk Elephant"/>
    <n v="84276"/>
    <x v="3"/>
    <n v="3.7385999999999999"/>
    <s v="Yes"/>
    <s v="Medium"/>
    <n v="1901"/>
    <x v="5"/>
    <s v="Budget"/>
    <n v="0"/>
    <n v="0"/>
    <s v="Lip Balms &amp; Treatments"/>
  </r>
  <r>
    <s v="P442753"/>
    <s v="Argireline Solution 10%"/>
    <n v="6234"/>
    <s v="The Ordinary"/>
    <n v="85389"/>
    <x v="3"/>
    <n v="4.1984000000000004"/>
    <s v="Yes"/>
    <s v="High"/>
    <n v="247"/>
    <x v="159"/>
    <s v="Budget"/>
    <n v="0"/>
    <n v="0"/>
    <s v="Treatments"/>
  </r>
  <r>
    <s v="P460516"/>
    <s v="Papaya Sorbet Smoothing Enzyme Cleansing Balm &amp; Makeup Remover"/>
    <n v="6189"/>
    <s v="Glow Recipe"/>
    <n v="87376"/>
    <x v="3"/>
    <n v="4.1989000000000001"/>
    <s v="Yes"/>
    <s v="High"/>
    <n v="1428"/>
    <x v="29"/>
    <s v="Mid"/>
    <n v="0"/>
    <n v="0"/>
    <s v="Cleansers"/>
  </r>
  <r>
    <s v="P455368"/>
    <s v="15% Vitamin C and EGF Brightening Serum"/>
    <n v="6285"/>
    <s v="The INKEY List"/>
    <n v="87389"/>
    <x v="3"/>
    <n v="3.9445999999999999"/>
    <s v="Yes"/>
    <s v="Medium"/>
    <n v="668"/>
    <x v="144"/>
    <s v="Budget"/>
    <n v="0"/>
    <n v="0"/>
    <s v="Treatments"/>
  </r>
  <r>
    <s v="P448802"/>
    <s v="Brighten-i Eye Cream"/>
    <n v="6285"/>
    <s v="The INKEY List"/>
    <n v="87730"/>
    <x v="3"/>
    <n v="3.7616999999999998"/>
    <s v="Yes"/>
    <s v="Medium"/>
    <n v="1137"/>
    <x v="32"/>
    <s v="Budget"/>
    <n v="0"/>
    <n v="0"/>
    <s v="Eye Care"/>
  </r>
  <r>
    <s v="P378852"/>
    <s v="GinZing Ultra-Hydrating Energy-Boosting Cream"/>
    <n v="3733"/>
    <s v="Origins"/>
    <n v="87846"/>
    <x v="3"/>
    <n v="4.4009999999999998"/>
    <s v="Yes"/>
    <s v="High"/>
    <n v="3135"/>
    <x v="8"/>
    <s v="Mid"/>
    <n v="0"/>
    <n v="0"/>
    <s v="Moisturizers"/>
  </r>
  <r>
    <s v="P442566"/>
    <s v="Slaai  Makeup-Melting Butter Cleanser"/>
    <n v="7083"/>
    <s v="Drunk Elephant"/>
    <n v="88374"/>
    <x v="3"/>
    <n v="3.7810000000000001"/>
    <s v="Yes"/>
    <s v="Medium"/>
    <n v="1525"/>
    <x v="8"/>
    <s v="Mid"/>
    <n v="0"/>
    <n v="0"/>
    <s v="Cleansers"/>
  </r>
  <r>
    <s v="P456566"/>
    <s v="Banana Bright 15% Vitamin C Serum"/>
    <n v="5674"/>
    <s v="OLEHENRIKSEN"/>
    <n v="88410"/>
    <x v="3"/>
    <n v="3.9403999999999999"/>
    <s v="Yes"/>
    <s v="Medium"/>
    <n v="1041"/>
    <x v="136"/>
    <s v="Premium"/>
    <n v="0"/>
    <n v="0"/>
    <s v="Treatments"/>
  </r>
  <r>
    <s v="P416341"/>
    <s v="CrÃ¨me de la Mer Moisturizer"/>
    <n v="6201"/>
    <s v="La Mer"/>
    <n v="90776"/>
    <x v="3"/>
    <n v="4.0566000000000004"/>
    <s v="Yes"/>
    <s v="High"/>
    <n v="1377"/>
    <x v="115"/>
    <s v="Premium"/>
    <n v="0"/>
    <n v="0"/>
    <s v="Moisturizers"/>
  </r>
  <r>
    <s v="P442752"/>
    <s v="&quot;Buffet&quot; + Copper Peptides 1%"/>
    <n v="6234"/>
    <s v="The Ordinary"/>
    <n v="91079"/>
    <x v="3"/>
    <n v="4.1803999999999997"/>
    <s v="Yes"/>
    <s v="High"/>
    <n v="255"/>
    <x v="160"/>
    <s v="Mid"/>
    <n v="0"/>
    <n v="0"/>
    <s v="Treatments"/>
  </r>
  <r>
    <s v="P448852"/>
    <s v="SOS Daily Rescue Facial Spray"/>
    <n v="2000"/>
    <s v="Tower 28 Beauty"/>
    <n v="91499"/>
    <x v="3"/>
    <n v="4.2481"/>
    <s v="Yes"/>
    <s v="High"/>
    <n v="653"/>
    <x v="51"/>
    <s v="Budget"/>
    <n v="0"/>
    <n v="0"/>
    <s v="Moisturizers"/>
  </r>
  <r>
    <s v="P447780"/>
    <s v="The Silk Peony Melting Eye Cream"/>
    <n v="6041"/>
    <s v="Tatcha"/>
    <n v="91742"/>
    <x v="3"/>
    <n v="4.1593"/>
    <s v="Yes"/>
    <s v="High"/>
    <n v="1557"/>
    <x v="48"/>
    <s v="Premium"/>
    <n v="0"/>
    <n v="0"/>
    <s v="Eye Care"/>
  </r>
  <r>
    <s v="P381030"/>
    <s v="Dramatically Different Moisturizing Lotion+"/>
    <n v="1254"/>
    <s v="CLINIQUE"/>
    <n v="92239"/>
    <x v="3"/>
    <n v="3.9100999999999999"/>
    <s v="Yes"/>
    <s v="Medium"/>
    <n v="2124"/>
    <x v="146"/>
    <s v="Mid"/>
    <n v="0"/>
    <n v="0"/>
    <s v="Moisturizers"/>
  </r>
  <r>
    <s v="P447210"/>
    <s v="Squalane + Marine Algae Firming &amp; Lifting Eye Cream"/>
    <n v="6195"/>
    <s v="Biossance"/>
    <n v="92333"/>
    <x v="3"/>
    <n v="4.1436000000000002"/>
    <s v="Yes"/>
    <s v="High"/>
    <n v="1010"/>
    <x v="70"/>
    <s v="Premium"/>
    <n v="0"/>
    <n v="0"/>
    <s v="Eye Care"/>
  </r>
  <r>
    <s v="P459141"/>
    <s v="Deep Sweep 2% BHA Pore Cleaning Toner with Moringa + Papaya"/>
    <n v="8001"/>
    <s v="Farmacy"/>
    <n v="93009"/>
    <x v="3"/>
    <n v="4.4835000000000003"/>
    <s v="Yes"/>
    <s v="High"/>
    <n v="819"/>
    <x v="29"/>
    <s v="Mid"/>
    <n v="0"/>
    <n v="0"/>
    <s v="Cleansers"/>
  </r>
  <r>
    <s v="P484080"/>
    <s v="Mini Faded Serum for Dark Spots &amp; Discoloration"/>
    <n v="6355"/>
    <s v="Topicals"/>
    <n v="93075"/>
    <x v="3"/>
    <n v="3.6634000000000002"/>
    <s v="Yes"/>
    <s v="Medium"/>
    <n v="906"/>
    <x v="5"/>
    <s v="Budget"/>
    <n v="0"/>
    <n v="0"/>
    <s v="Treatments"/>
  </r>
  <r>
    <s v="P469490"/>
    <s v="Lip Treatment Balm"/>
    <n v="6125"/>
    <s v="LANEIGE"/>
    <n v="93358"/>
    <x v="3"/>
    <n v="4.2127999999999997"/>
    <s v="Yes"/>
    <s v="High"/>
    <n v="719"/>
    <x v="94"/>
    <s v="Mid"/>
    <n v="0"/>
    <n v="0"/>
    <s v="Lip Balms &amp; Treatments"/>
  </r>
  <r>
    <s v="P432823"/>
    <s v="Gua Sha Facial Lifting Tool"/>
    <n v="6256"/>
    <s v="Mount Lai"/>
    <n v="93790"/>
    <x v="3"/>
    <n v="4.1254"/>
    <s v="Yes"/>
    <s v="High"/>
    <n v="303"/>
    <x v="78"/>
    <s v="Mid"/>
    <n v="0"/>
    <n v="0"/>
    <s v="High Tech Tools"/>
  </r>
  <r>
    <s v="P457008"/>
    <s v="Cryo Rubber Masks"/>
    <n v="6014"/>
    <s v="Dr. Jart+"/>
    <n v="93809"/>
    <x v="3"/>
    <n v="4.3148999999999997"/>
    <s v="Yes"/>
    <s v="High"/>
    <n v="562"/>
    <x v="64"/>
    <s v="Budget"/>
    <n v="0"/>
    <n v="0"/>
    <s v="Masks"/>
  </r>
  <r>
    <s v="P232903"/>
    <s v="EradiKate Acne Treatment"/>
    <n v="5946"/>
    <s v="Kate Somerville"/>
    <n v="93898"/>
    <x v="3"/>
    <n v="4.2243000000000004"/>
    <s v="Yes"/>
    <s v="High"/>
    <n v="3152"/>
    <x v="52"/>
    <s v="Mid"/>
    <n v="0"/>
    <n v="0"/>
    <s v="Treatments"/>
  </r>
  <r>
    <s v="P433435"/>
    <s v="CC+ Cream Oil-Free Matte with SPF 40"/>
    <n v="6175"/>
    <s v="IT Cosmetics"/>
    <n v="94058"/>
    <x v="3"/>
    <n v="3.8460000000000001"/>
    <s v="Yes"/>
    <s v="Medium"/>
    <n v="1422"/>
    <x v="124"/>
    <s v="Mid"/>
    <n v="0"/>
    <n v="0"/>
    <s v="Moisturizers"/>
  </r>
  <r>
    <s v="P460856"/>
    <s v="Clean Eye Mask"/>
    <n v="3902"/>
    <s v="SEPHORA COLLECTION"/>
    <n v="94157"/>
    <x v="3"/>
    <n v="4.1698000000000004"/>
    <s v="Yes"/>
    <s v="High"/>
    <n v="371"/>
    <x v="142"/>
    <s v="Budget"/>
    <n v="0"/>
    <n v="0"/>
    <s v="Masks"/>
  </r>
  <r>
    <s v="P423688"/>
    <s v="Daily Microfoliant Exfoliator"/>
    <n v="6219"/>
    <s v="Dermalogica"/>
    <n v="95311"/>
    <x v="3"/>
    <n v="4.6959999999999997"/>
    <s v="Yes"/>
    <s v="High"/>
    <n v="4598"/>
    <x v="92"/>
    <s v="Premium"/>
    <n v="0"/>
    <n v="0"/>
    <s v="Cleansers"/>
  </r>
  <r>
    <s v="P466164"/>
    <s v="15% Vitamin C + Clean Caffeine Energy Serum"/>
    <n v="6169"/>
    <s v="Youth To The People"/>
    <n v="95527"/>
    <x v="3"/>
    <n v="4.3983999999999996"/>
    <s v="Yes"/>
    <s v="High"/>
    <n v="989"/>
    <x v="116"/>
    <s v="Premium"/>
    <n v="0"/>
    <n v="0"/>
    <s v="Treatments"/>
  </r>
  <r>
    <s v="P122900"/>
    <s v="Dramatically Different Moisturizing Gel"/>
    <n v="1254"/>
    <s v="CLINIQUE"/>
    <n v="95864"/>
    <x v="3"/>
    <n v="4.4382999999999999"/>
    <s v="Yes"/>
    <s v="High"/>
    <n v="3977"/>
    <x v="146"/>
    <s v="Mid"/>
    <n v="0"/>
    <n v="0"/>
    <s v="Moisturizers"/>
  </r>
  <r>
    <s v="P281835"/>
    <s v="GLO Brilliant White Smile - At Home Teeth Whitening Device"/>
    <n v="5996"/>
    <s v="GLO Science"/>
    <n v="95949"/>
    <x v="3"/>
    <n v="3.9986999999999999"/>
    <s v="Yes"/>
    <s v="Medium"/>
    <n v="779"/>
    <x v="82"/>
    <s v="Premium"/>
    <n v="0"/>
    <n v="0"/>
    <s v="Value &amp; Gift Sets"/>
  </r>
  <r>
    <s v="P420699"/>
    <s v="Violet-C Radiance Mask"/>
    <n v="6041"/>
    <s v="Tatcha"/>
    <n v="96300"/>
    <x v="3"/>
    <n v="4.0507"/>
    <s v="Yes"/>
    <s v="High"/>
    <n v="651"/>
    <x v="10"/>
    <s v="Premium"/>
    <n v="0"/>
    <n v="0"/>
    <s v="Masks"/>
  </r>
  <r>
    <s v="P418346"/>
    <s v="C.E.O. 15% Vitamin C Brightening Serum"/>
    <n v="6073"/>
    <s v="Sunday Riley"/>
    <n v="97114"/>
    <x v="3"/>
    <n v="4.1036000000000001"/>
    <s v="Yes"/>
    <s v="High"/>
    <n v="1785"/>
    <x v="99"/>
    <s v="Premium"/>
    <n v="0"/>
    <n v="0"/>
    <s v="Treatments"/>
  </r>
  <r>
    <s v="P416816"/>
    <s v="Balancing Force Oil Control Toner"/>
    <n v="5674"/>
    <s v="OLEHENRIKSEN"/>
    <n v="98160"/>
    <x v="3"/>
    <n v="4.3017000000000003"/>
    <s v="Yes"/>
    <s v="High"/>
    <n v="1674"/>
    <x v="9"/>
    <s v="Mid"/>
    <n v="0"/>
    <n v="0"/>
    <s v="Cleansers"/>
  </r>
  <r>
    <s v="P297517"/>
    <s v="Super Spot Remover Acne Treatment Gel"/>
    <n v="3733"/>
    <s v="Origins"/>
    <n v="98392"/>
    <x v="3"/>
    <n v="3.9348999999999998"/>
    <s v="Yes"/>
    <s v="Medium"/>
    <n v="1706"/>
    <x v="60"/>
    <s v="Mid"/>
    <n v="0"/>
    <n v="0"/>
    <s v="Treatments"/>
  </r>
  <r>
    <s v="P440934"/>
    <s v="The Silk Canvas Protective Primer Mini"/>
    <n v="6041"/>
    <s v="Tatcha"/>
    <n v="98580"/>
    <x v="3"/>
    <n v="3.6444000000000001"/>
    <s v="Yes"/>
    <s v="Medium"/>
    <n v="807"/>
    <x v="0"/>
    <s v="Mid"/>
    <n v="0"/>
    <n v="0"/>
    <s v="Mini Size"/>
  </r>
  <r>
    <s v="P297516"/>
    <s v="Checks and Balances Frothy Face Wash"/>
    <n v="3733"/>
    <s v="Origins"/>
    <n v="98621"/>
    <x v="3"/>
    <n v="4.2888000000000002"/>
    <s v="Yes"/>
    <s v="High"/>
    <n v="3286"/>
    <x v="129"/>
    <s v="Mid"/>
    <n v="0"/>
    <n v="0"/>
    <s v="Cleansers"/>
  </r>
  <r>
    <s v="P500763"/>
    <s v="Lip Sleeping Mask"/>
    <n v="3902"/>
    <s v="SEPHORA COLLECTION"/>
    <n v="1006"/>
    <x v="4"/>
    <n v="3.6667000000000001"/>
    <s v="Yes"/>
    <s v="Medium"/>
    <n v="3"/>
    <x v="100"/>
    <s v="Budget"/>
    <n v="0"/>
    <n v="1"/>
    <s v="Lip Balms &amp; Treatments"/>
  </r>
  <r>
    <s v="P503560"/>
    <s v="GLOfacial Antimicrobial Treatment Tips + Cleaning Brush Accessories"/>
    <n v="6272"/>
    <s v="BeautyBio"/>
    <n v="1011"/>
    <x v="4"/>
    <n v="5"/>
    <s v="Yes"/>
    <s v="High"/>
    <n v="7"/>
    <x v="78"/>
    <s v="Mid"/>
    <n v="0"/>
    <n v="0"/>
    <s v="High Tech Tools"/>
  </r>
  <r>
    <s v="P505054"/>
    <s v="The POREfessional Speedy Smooth Mask"/>
    <n v="5333"/>
    <s v="Benefit Cosmetics"/>
    <n v="1024"/>
    <x v="4"/>
    <n v="4.7134"/>
    <s v="Yes"/>
    <s v="High"/>
    <n v="471"/>
    <x v="7"/>
    <s v="Mid"/>
    <n v="1"/>
    <n v="0"/>
    <s v="Masks"/>
  </r>
  <r>
    <s v="P504411"/>
    <s v="Microdermabrasion Smoothing Lip Scrub"/>
    <n v="4372"/>
    <s v="Dr. Brandt Skincare"/>
    <n v="1030"/>
    <x v="4"/>
    <n v="4"/>
    <s v="Yes"/>
    <s v="High"/>
    <n v="2"/>
    <x v="78"/>
    <s v="Mid"/>
    <n v="1"/>
    <n v="0"/>
    <s v="Lip Balms &amp; Treatments"/>
  </r>
  <r>
    <s v="P504861"/>
    <s v="Gentle Eye Gel Waterproof Eye &amp; Lip Makeup Remover"/>
    <n v="4028"/>
    <s v="MAKE UP FOR EVER"/>
    <n v="1031"/>
    <x v="4"/>
    <m/>
    <s v="No"/>
    <s v="Not Rated"/>
    <n v="0"/>
    <x v="31"/>
    <s v="Mid"/>
    <n v="1"/>
    <n v="0"/>
    <s v="Cleansers"/>
  </r>
  <r>
    <s v="P474858"/>
    <s v="Hydra Prep Soothing &amp; Hydrating Gel"/>
    <n v="6314"/>
    <s v="Shani Darden Skin Care"/>
    <n v="1033"/>
    <x v="4"/>
    <m/>
    <s v="No"/>
    <s v="Not Rated"/>
    <n v="0"/>
    <x v="12"/>
    <s v="Mid"/>
    <n v="0"/>
    <n v="0"/>
    <s v="Moisturizers"/>
  </r>
  <r>
    <s v="P504417"/>
    <s v="Acne Treatment Gel"/>
    <n v="3902"/>
    <s v="SEPHORA COLLECTION"/>
    <n v="1039"/>
    <x v="4"/>
    <n v="5"/>
    <s v="Yes"/>
    <s v="High"/>
    <n v="1"/>
    <x v="60"/>
    <s v="Mid"/>
    <n v="1"/>
    <n v="0"/>
    <s v="Treatments"/>
  </r>
  <r>
    <s v="P500094"/>
    <s v="Hydrating Oil-Free Gel Moisturizer"/>
    <n v="6743"/>
    <s v="Community Sixty-Six"/>
    <n v="1039"/>
    <x v="4"/>
    <n v="4.1245000000000003"/>
    <s v="Yes"/>
    <s v="High"/>
    <n v="241"/>
    <x v="94"/>
    <s v="Mid"/>
    <n v="0"/>
    <n v="0"/>
    <s v="Moisturizers"/>
  </r>
  <r>
    <s v="P504016"/>
    <s v="Mini Evening Primrose + Green Tea Algae Retinol Face Oil"/>
    <n v="6749"/>
    <s v="MARA"/>
    <n v="1039"/>
    <x v="4"/>
    <n v="4.9486999999999997"/>
    <s v="Yes"/>
    <s v="High"/>
    <n v="78"/>
    <x v="40"/>
    <s v="Premium"/>
    <n v="1"/>
    <n v="0"/>
    <s v="Moisturizers"/>
  </r>
  <r>
    <s v="P502381"/>
    <s v="Concentrated Ginseng Renewing Sheet Masks"/>
    <n v="6307"/>
    <s v="Sulwhasoo"/>
    <n v="1048"/>
    <x v="4"/>
    <m/>
    <s v="No"/>
    <s v="Not Rated"/>
    <n v="0"/>
    <x v="119"/>
    <s v="Premium"/>
    <n v="0"/>
    <n v="0"/>
    <s v="Masks"/>
  </r>
  <r>
    <s v="P502986"/>
    <s v="Jade Facial Roller"/>
    <n v="3902"/>
    <s v="SEPHORA COLLECTION"/>
    <n v="1060"/>
    <x v="4"/>
    <n v="4.8914999999999997"/>
    <s v="Yes"/>
    <s v="High"/>
    <n v="129"/>
    <x v="75"/>
    <s v="Mid"/>
    <n v="1"/>
    <n v="0"/>
    <s v="Wellness"/>
  </r>
  <r>
    <s v="P481668"/>
    <s v="Clarifying Do-Over Peel"/>
    <n v="1254"/>
    <s v="CLINIQUE"/>
    <n v="1064"/>
    <x v="4"/>
    <n v="3"/>
    <s v="Yes"/>
    <s v="Medium"/>
    <n v="5"/>
    <x v="9"/>
    <s v="Mid"/>
    <n v="0"/>
    <n v="0"/>
    <s v="Treatments"/>
  </r>
  <r>
    <s v="P481085"/>
    <s v="Faceshot Vitamin Ampoules Refill"/>
    <n v="6329"/>
    <s v="FaceGym"/>
    <n v="1068"/>
    <x v="4"/>
    <m/>
    <s v="No"/>
    <s v="Not Rated"/>
    <n v="0"/>
    <x v="17"/>
    <s v="Premium"/>
    <n v="0"/>
    <n v="0"/>
    <s v="Treatments"/>
  </r>
  <r>
    <s v="P502474"/>
    <s v="Concentrated Ginseng Renewing Rescue Ampoule"/>
    <n v="6307"/>
    <s v="Sulwhasoo"/>
    <n v="1085"/>
    <x v="4"/>
    <m/>
    <s v="No"/>
    <s v="Not Rated"/>
    <n v="0"/>
    <x v="87"/>
    <s v="Premium"/>
    <n v="0"/>
    <n v="0"/>
    <s v="Treatments"/>
  </r>
  <r>
    <s v="P504221"/>
    <s v="Trinity+ Starter Kit"/>
    <n v="6001"/>
    <s v="NuFACE"/>
    <n v="1085"/>
    <x v="4"/>
    <n v="5"/>
    <s v="Yes"/>
    <s v="High"/>
    <n v="2"/>
    <x v="161"/>
    <s v="Premium"/>
    <n v="1"/>
    <n v="0"/>
    <s v="High Tech Tools"/>
  </r>
  <r>
    <s v="P504888"/>
    <s v="Aqua Bomb Protect &amp; Glow Travel Kit"/>
    <n v="7075"/>
    <s v="belif"/>
    <n v="1088"/>
    <x v="4"/>
    <n v="3.5"/>
    <s v="Yes"/>
    <s v="Medium"/>
    <n v="2"/>
    <x v="129"/>
    <s v="Mid"/>
    <n v="1"/>
    <n v="0"/>
    <s v="Value &amp; Gift Sets"/>
  </r>
  <r>
    <s v="P504446"/>
    <s v="Restoring Moonseed Treatment - Lâ€™Immortale Empress"/>
    <n v="6475"/>
    <s v="RANAVAT"/>
    <n v="1098"/>
    <x v="4"/>
    <n v="4.7222"/>
    <s v="Yes"/>
    <s v="High"/>
    <n v="54"/>
    <x v="81"/>
    <s v="Premium"/>
    <n v="1"/>
    <n v="0"/>
    <s v="Moisturizers"/>
  </r>
  <r>
    <s v="P504986"/>
    <s v="Urban Environment Vita-Clear Sunscreen SPF 42"/>
    <n v="5337"/>
    <s v="Shiseido"/>
    <n v="1107"/>
    <x v="4"/>
    <n v="4.6125999999999996"/>
    <s v="Yes"/>
    <s v="High"/>
    <n v="555"/>
    <x v="12"/>
    <s v="Mid"/>
    <n v="1"/>
    <n v="0"/>
    <s v="Sunscreen"/>
  </r>
  <r>
    <s v="P501004"/>
    <s v="Youthful Active Roller with Niacinamide"/>
    <n v="6329"/>
    <s v="FaceGym"/>
    <n v="1119"/>
    <x v="4"/>
    <n v="4.6315999999999997"/>
    <s v="Yes"/>
    <s v="High"/>
    <n v="38"/>
    <x v="10"/>
    <s v="Premium"/>
    <n v="0"/>
    <n v="0"/>
    <s v="High Tech Tools"/>
  </r>
  <r>
    <s v="P474036"/>
    <s v="Aloe Vera Gel"/>
    <n v="6302"/>
    <s v="Dr. Barbara Sturm"/>
    <n v="1128"/>
    <x v="4"/>
    <n v="3.3332999999999999"/>
    <s v="Yes"/>
    <s v="Medium"/>
    <n v="9"/>
    <x v="76"/>
    <s v="Premium"/>
    <n v="0"/>
    <n v="0"/>
    <s v="Moisturizers"/>
  </r>
  <r>
    <s v="P502656"/>
    <s v="Secret Sauce Moisturizer"/>
    <n v="6175"/>
    <s v="IT Cosmetics"/>
    <n v="1132"/>
    <x v="4"/>
    <n v="4.0934999999999997"/>
    <s v="Yes"/>
    <s v="High"/>
    <n v="920"/>
    <x v="55"/>
    <s v="Premium"/>
    <n v="0"/>
    <n v="0"/>
    <s v="Moisturizers"/>
  </r>
  <r>
    <s v="P469121"/>
    <s v="Microdermabrasion Scrub"/>
    <n v="6318"/>
    <s v="Dr. Lara Devgan Scientific Beauty"/>
    <n v="1136"/>
    <x v="4"/>
    <n v="4.2"/>
    <s v="Yes"/>
    <s v="High"/>
    <n v="10"/>
    <x v="92"/>
    <s v="Premium"/>
    <n v="0"/>
    <n v="0"/>
    <s v="Cleansers"/>
  </r>
  <r>
    <s v="P481082"/>
    <s v="Revitalizing Supreme+ Youth Power Eye Balm"/>
    <n v="6089"/>
    <s v="EstÃ©e Lauder"/>
    <n v="1136"/>
    <x v="4"/>
    <n v="3.5"/>
    <s v="Yes"/>
    <s v="Medium"/>
    <n v="4"/>
    <x v="113"/>
    <s v="Premium"/>
    <n v="0"/>
    <n v="0"/>
    <s v="Eye Care"/>
  </r>
  <r>
    <s v="P501751"/>
    <s v="Absolue Rose 80 Brightening Toner with Salicylic Acid"/>
    <n v="1741"/>
    <s v="LancÃ´me"/>
    <n v="1139"/>
    <x v="4"/>
    <m/>
    <s v="No"/>
    <s v="Not Rated"/>
    <n v="0"/>
    <x v="119"/>
    <s v="Premium"/>
    <n v="0"/>
    <n v="0"/>
    <s v="Cleansers"/>
  </r>
  <r>
    <s v="P481397"/>
    <s v="Revitalizing Supreme+ Bright Soft Creme Moisturizer"/>
    <n v="6089"/>
    <s v="EstÃ©e Lauder"/>
    <n v="1140"/>
    <x v="4"/>
    <n v="5"/>
    <s v="Yes"/>
    <s v="High"/>
    <n v="1"/>
    <x v="131"/>
    <s v="Premium"/>
    <n v="0"/>
    <n v="0"/>
    <s v="Moisturizers"/>
  </r>
  <r>
    <s v="P467757"/>
    <s v="Total Cleansing Oil &amp; Makeup Remover"/>
    <n v="2082"/>
    <s v="Clarins"/>
    <n v="1143"/>
    <x v="4"/>
    <n v="3.25"/>
    <s v="Yes"/>
    <s v="Medium"/>
    <n v="4"/>
    <x v="96"/>
    <s v="Mid"/>
    <n v="0"/>
    <n v="0"/>
    <s v="Cleansers"/>
  </r>
  <r>
    <s v="P448545"/>
    <s v="Darker Skin Tones Foam Cleanser"/>
    <n v="6302"/>
    <s v="Dr. Barbara Sturm"/>
    <n v="1146"/>
    <x v="4"/>
    <n v="3.7"/>
    <s v="Yes"/>
    <s v="Medium"/>
    <n v="10"/>
    <x v="76"/>
    <s v="Premium"/>
    <n v="0"/>
    <n v="0"/>
    <s v="Cleansers"/>
  </r>
  <r>
    <s v="P469801"/>
    <s v="Mini Equilibrium Rebalancing Cream Cleanser"/>
    <n v="5879"/>
    <s v="Hourglass"/>
    <n v="1149"/>
    <x v="4"/>
    <n v="5"/>
    <s v="Yes"/>
    <s v="High"/>
    <n v="1"/>
    <x v="94"/>
    <s v="Mid"/>
    <n v="0"/>
    <n v="0"/>
    <s v="Cleansers"/>
  </r>
  <r>
    <s v="P504199"/>
    <s v="Plankton + PHAFlower Acid Algae Serum"/>
    <n v="6749"/>
    <s v="MARA"/>
    <n v="1159"/>
    <x v="4"/>
    <n v="4.8845999999999998"/>
    <s v="Yes"/>
    <s v="High"/>
    <n v="52"/>
    <x v="28"/>
    <s v="Premium"/>
    <n v="1"/>
    <n v="0"/>
    <s v="Treatments"/>
  </r>
  <r>
    <s v="P503635"/>
    <s v="Pack Up &amp; Glow Priming Mineral SPF 40"/>
    <n v="6149"/>
    <s v="Wander Beauty"/>
    <n v="1160"/>
    <x v="4"/>
    <n v="4.25"/>
    <s v="Yes"/>
    <s v="High"/>
    <n v="4"/>
    <x v="8"/>
    <s v="Mid"/>
    <n v="0"/>
    <n v="0"/>
    <s v="Sunscreen"/>
  </r>
  <r>
    <s v="P481742"/>
    <s v="Advanced Retinol Daily Repair Face Moisturizer Broad Spectrum SPF 30"/>
    <n v="6358"/>
    <s v="StriVectin"/>
    <n v="1162"/>
    <x v="4"/>
    <n v="4.7142999999999997"/>
    <s v="Yes"/>
    <s v="High"/>
    <n v="42"/>
    <x v="102"/>
    <s v="Premium"/>
    <n v="0"/>
    <n v="0"/>
    <s v="Moisturizers"/>
  </r>
  <r>
    <s v="P478269"/>
    <s v="Rising Star Sleep Travel Set"/>
    <n v="7081"/>
    <s v="Erno Laszlo"/>
    <n v="1169"/>
    <x v="4"/>
    <m/>
    <s v="No"/>
    <s v="Not Rated"/>
    <n v="0"/>
    <x v="76"/>
    <s v="Premium"/>
    <n v="0"/>
    <n v="1"/>
    <s v="Value &amp; Gift Sets"/>
  </r>
  <r>
    <s v="P504291"/>
    <s v="Daily Hydrating Sun Protection Set"/>
    <n v="5337"/>
    <s v="Shiseido"/>
    <n v="1171"/>
    <x v="4"/>
    <m/>
    <s v="No"/>
    <s v="Not Rated"/>
    <n v="0"/>
    <x v="23"/>
    <s v="Premium"/>
    <n v="1"/>
    <n v="0"/>
    <s v="Value &amp; Gift Sets"/>
  </r>
  <r>
    <s v="P504465"/>
    <s v="Genifique Routine Set"/>
    <n v="1741"/>
    <s v="LancÃ´me"/>
    <n v="1173"/>
    <x v="4"/>
    <m/>
    <s v="No"/>
    <s v="Not Rated"/>
    <n v="0"/>
    <x v="97"/>
    <s v="Premium"/>
    <n v="1"/>
    <n v="0"/>
    <s v="Value &amp; Gift Sets"/>
  </r>
  <r>
    <s v="P504277"/>
    <s v="Face Stone Nourishing Solid Refillable Facial Oil with Tamanu + Blue Tansy"/>
    <n v="6499"/>
    <s v="Kate McLeod"/>
    <n v="1182"/>
    <x v="4"/>
    <n v="4.6566999999999998"/>
    <s v="Yes"/>
    <s v="High"/>
    <n v="134"/>
    <x v="6"/>
    <s v="Premium"/>
    <n v="1"/>
    <n v="0"/>
    <s v="Moisturizers"/>
  </r>
  <r>
    <s v="P504302"/>
    <s v="Wrinkle Correcting Skincare Set"/>
    <n v="5337"/>
    <s v="Shiseido"/>
    <n v="1191"/>
    <x v="4"/>
    <m/>
    <s v="No"/>
    <s v="Not Rated"/>
    <n v="0"/>
    <x v="56"/>
    <s v="Premium"/>
    <n v="1"/>
    <n v="0"/>
    <s v="Value &amp; Gift Sets"/>
  </r>
  <r>
    <s v="P469448"/>
    <s v="Purifying Gentle Foaming Cleanser with Salicylic Acid"/>
    <n v="2082"/>
    <s v="Clarins"/>
    <n v="1195"/>
    <x v="4"/>
    <n v="2.5293999999999999"/>
    <s v="Yes"/>
    <s v="Low"/>
    <n v="17"/>
    <x v="78"/>
    <s v="Mid"/>
    <n v="0"/>
    <n v="0"/>
    <s v="Cleansers"/>
  </r>
  <r>
    <s v="P376946"/>
    <s v="Repairwear Uplifting Firming Cream Broad Spectrum SPF 15"/>
    <n v="1254"/>
    <s v="CLINIQUE"/>
    <n v="1195"/>
    <x v="4"/>
    <n v="3.4"/>
    <s v="Yes"/>
    <s v="Medium"/>
    <n v="15"/>
    <x v="55"/>
    <s v="Premium"/>
    <n v="0"/>
    <n v="0"/>
    <s v="Moisturizers"/>
  </r>
  <r>
    <s v="P500113"/>
    <s v="Detoxifying AHA/BHA Gel Cleanser"/>
    <n v="6743"/>
    <s v="Community Sixty-Six"/>
    <n v="1205"/>
    <x v="4"/>
    <n v="4.0503999999999998"/>
    <s v="Yes"/>
    <s v="High"/>
    <n v="119"/>
    <x v="47"/>
    <s v="Budget"/>
    <n v="0"/>
    <n v="0"/>
    <s v="Cleansers"/>
  </r>
  <r>
    <s v="P481970"/>
    <s v="Hydra Life Fresh Sorbet CrÃ¨me Moisturizer"/>
    <n v="1073"/>
    <s v="Dior"/>
    <n v="1208"/>
    <x v="4"/>
    <n v="3.5"/>
    <s v="Yes"/>
    <s v="Medium"/>
    <n v="6"/>
    <x v="99"/>
    <s v="Premium"/>
    <n v="0"/>
    <n v="0"/>
    <s v="Moisturizers"/>
  </r>
  <r>
    <s v="P476894"/>
    <s v="NUDESKIN Lemon-Aid Detox &amp; Glow Micro-Peel"/>
    <n v="7055"/>
    <s v="NUDESTIX"/>
    <n v="1215"/>
    <x v="4"/>
    <n v="4.4691000000000001"/>
    <s v="Yes"/>
    <s v="High"/>
    <n v="81"/>
    <x v="9"/>
    <s v="Mid"/>
    <n v="0"/>
    <n v="0"/>
    <s v="Treatments"/>
  </r>
  <r>
    <s v="P482258"/>
    <s v="Mineral Face Sunscreen Sheer Matte SPF 30"/>
    <n v="7091"/>
    <s v="COOLA"/>
    <n v="1237"/>
    <x v="4"/>
    <n v="3.5"/>
    <s v="Yes"/>
    <s v="Medium"/>
    <n v="6"/>
    <x v="8"/>
    <s v="Mid"/>
    <n v="0"/>
    <n v="0"/>
    <s v="Sunscreen"/>
  </r>
  <r>
    <s v="P500718"/>
    <s v="Smart Clinical Repair Wrinkle Correcting Cream"/>
    <n v="1254"/>
    <s v="CLINIQUE"/>
    <n v="1237"/>
    <x v="4"/>
    <n v="4.1779999999999999"/>
    <s v="Yes"/>
    <s v="High"/>
    <n v="1899"/>
    <x v="6"/>
    <s v="Premium"/>
    <n v="0"/>
    <n v="0"/>
    <s v="Moisturizers"/>
  </r>
  <r>
    <s v="P500155"/>
    <s v="ExfoliKate All Over Glow Kit"/>
    <n v="5946"/>
    <s v="Kate Somerville"/>
    <n v="1243"/>
    <x v="4"/>
    <n v="5"/>
    <s v="Yes"/>
    <s v="High"/>
    <n v="1"/>
    <x v="153"/>
    <s v="Premium"/>
    <n v="0"/>
    <n v="0"/>
    <s v="Value &amp; Gift Sets"/>
  </r>
  <r>
    <s v="P481081"/>
    <s v="Revitalizing Supreme+ Night Intensive Restorative CrÃ¨me"/>
    <n v="6089"/>
    <s v="EstÃ©e Lauder"/>
    <n v="1255"/>
    <x v="4"/>
    <n v="3.75"/>
    <s v="Yes"/>
    <s v="Medium"/>
    <n v="4"/>
    <x v="162"/>
    <s v="Premium"/>
    <n v="0"/>
    <n v="0"/>
    <s v="Moisturizers"/>
  </r>
  <r>
    <s v="P475187"/>
    <s v="Firm Up Deep Wrinkle Serum"/>
    <n v="6373"/>
    <s v="TULA Skincare"/>
    <n v="1258"/>
    <x v="4"/>
    <n v="4.1578999999999997"/>
    <s v="Yes"/>
    <s v="High"/>
    <n v="38"/>
    <x v="150"/>
    <s v="Premium"/>
    <n v="0"/>
    <n v="0"/>
    <s v="Treatments"/>
  </r>
  <r>
    <s v="P476726"/>
    <s v="Evercalm Gentle Cleansing Gel"/>
    <n v="5857"/>
    <s v="REN Clean Skincare"/>
    <n v="1293"/>
    <x v="4"/>
    <n v="4.3600000000000003"/>
    <s v="Yes"/>
    <s v="High"/>
    <n v="125"/>
    <x v="12"/>
    <s v="Mid"/>
    <n v="0"/>
    <n v="0"/>
    <s v="Cleansers"/>
  </r>
  <r>
    <s v="P505332"/>
    <s v="Dior Skin Mattifying Papers"/>
    <n v="1073"/>
    <s v="Dior"/>
    <n v="1294"/>
    <x v="4"/>
    <n v="5"/>
    <s v="Yes"/>
    <s v="High"/>
    <n v="1"/>
    <x v="9"/>
    <s v="Mid"/>
    <n v="1"/>
    <n v="0"/>
    <s v="Cleansers"/>
  </r>
  <r>
    <s v="P472022"/>
    <s v="Paradisi Hydrating Essence Mist"/>
    <n v="6349"/>
    <s v="DAMDAM"/>
    <n v="1300"/>
    <x v="4"/>
    <n v="4.5"/>
    <s v="Yes"/>
    <s v="High"/>
    <n v="40"/>
    <x v="14"/>
    <s v="Mid"/>
    <n v="0"/>
    <n v="0"/>
    <s v="Moisturizers"/>
  </r>
  <r>
    <s v="P500098"/>
    <s v="Makeup Melting Balm Cleanser"/>
    <n v="6743"/>
    <s v="Community Sixty-Six"/>
    <n v="1308"/>
    <x v="4"/>
    <n v="3.4032"/>
    <s v="Yes"/>
    <s v="Medium"/>
    <n v="248"/>
    <x v="47"/>
    <s v="Budget"/>
    <n v="0"/>
    <n v="0"/>
    <s v="Cleansers"/>
  </r>
  <r>
    <s v="P500124"/>
    <s v="EradiKate Try-Me-Kit"/>
    <n v="5946"/>
    <s v="Kate Somerville"/>
    <n v="1311"/>
    <x v="4"/>
    <n v="4"/>
    <s v="Yes"/>
    <s v="High"/>
    <n v="4"/>
    <x v="25"/>
    <s v="Mid"/>
    <n v="0"/>
    <n v="0"/>
    <s v="Value &amp; Gift Sets"/>
  </r>
  <r>
    <s v="P500464"/>
    <s v="NuBODY - Body Toning Device"/>
    <n v="6001"/>
    <s v="NuFACE"/>
    <n v="1312"/>
    <x v="4"/>
    <n v="1"/>
    <s v="Yes"/>
    <s v="Low"/>
    <n v="2"/>
    <x v="163"/>
    <s v="Premium"/>
    <n v="0"/>
    <n v="0"/>
    <s v="High Tech Tools"/>
  </r>
  <r>
    <s v="P504464"/>
    <s v="Mask and Moisturize Duo Skincare Gift Set"/>
    <n v="6218"/>
    <s v="Kiehl's Since 1851"/>
    <n v="1314"/>
    <x v="4"/>
    <n v="5"/>
    <s v="Yes"/>
    <s v="High"/>
    <n v="1"/>
    <x v="78"/>
    <s v="Mid"/>
    <n v="1"/>
    <n v="0"/>
    <s v="Value &amp; Gift Sets"/>
  </r>
  <r>
    <s v="P502758"/>
    <s v="Super-C Dark Circle Brightening Eye Serum"/>
    <n v="6358"/>
    <s v="StriVectin"/>
    <n v="1322"/>
    <x v="4"/>
    <n v="4.55"/>
    <s v="Yes"/>
    <s v="High"/>
    <n v="40"/>
    <x v="92"/>
    <s v="Premium"/>
    <n v="0"/>
    <n v="0"/>
    <s v="Eye Care"/>
  </r>
  <r>
    <s v="P504023"/>
    <s v="Algae + Zinc Sea Kale Mineral Sunscreen SÃ©rum SPF 30"/>
    <n v="6749"/>
    <s v="MARA"/>
    <n v="1323"/>
    <x v="4"/>
    <n v="4.5713999999999997"/>
    <s v="Yes"/>
    <s v="High"/>
    <n v="28"/>
    <x v="23"/>
    <s v="Premium"/>
    <n v="1"/>
    <n v="0"/>
    <s v="Treatments"/>
  </r>
  <r>
    <s v="P475184"/>
    <s v="Hello Radiance Illuminating Serum"/>
    <n v="6373"/>
    <s v="TULA Skincare"/>
    <n v="1327"/>
    <x v="4"/>
    <n v="4.2182000000000004"/>
    <s v="Yes"/>
    <s v="High"/>
    <n v="55"/>
    <x v="6"/>
    <s v="Premium"/>
    <n v="0"/>
    <n v="0"/>
    <s v="Treatments"/>
  </r>
  <r>
    <s v="P504026"/>
    <s v="Mini Algae + Moringa Universal Face Oil"/>
    <n v="6749"/>
    <s v="MARA"/>
    <n v="1333"/>
    <x v="4"/>
    <n v="4.9009"/>
    <s v="Yes"/>
    <s v="High"/>
    <n v="111"/>
    <x v="24"/>
    <s v="Mid"/>
    <n v="1"/>
    <n v="0"/>
    <s v="Moisturizers"/>
  </r>
  <r>
    <s v="P483089"/>
    <s v="Eye Want It All Face + Eye Microneedling Set"/>
    <n v="6272"/>
    <s v="BeautyBio"/>
    <n v="1349"/>
    <x v="4"/>
    <n v="3.5"/>
    <s v="Yes"/>
    <s v="Medium"/>
    <n v="2"/>
    <x v="164"/>
    <s v="Premium"/>
    <n v="0"/>
    <n v="0"/>
    <s v="Value &amp; Gift Sets"/>
  </r>
  <r>
    <s v="P473269"/>
    <s v="Precision MINI Edges 8-Pack Refill"/>
    <n v="6136"/>
    <s v="DERMAFLASH"/>
    <n v="1352"/>
    <x v="4"/>
    <m/>
    <s v="No"/>
    <s v="Not Rated"/>
    <n v="0"/>
    <x v="31"/>
    <s v="Mid"/>
    <n v="0"/>
    <n v="0"/>
    <s v="High Tech Tools"/>
  </r>
  <r>
    <s v="P501187"/>
    <s v="SHIKULIME Gel-to-Oil Cleanser"/>
    <n v="6371"/>
    <s v="WASO"/>
    <n v="1360"/>
    <x v="4"/>
    <n v="4.4249000000000001"/>
    <s v="Yes"/>
    <s v="High"/>
    <n v="506"/>
    <x v="52"/>
    <s v="Mid"/>
    <n v="0"/>
    <n v="0"/>
    <s v="Cleansers"/>
  </r>
  <r>
    <s v="P464237"/>
    <s v="Retinol Recovery Eye Cream"/>
    <n v="6334"/>
    <s v="Dr. Zenovia Skincare"/>
    <n v="1366"/>
    <x v="4"/>
    <n v="3.8812000000000002"/>
    <s v="Yes"/>
    <s v="Medium"/>
    <n v="101"/>
    <x v="56"/>
    <s v="Premium"/>
    <n v="0"/>
    <n v="0"/>
    <s v="Eye Care"/>
  </r>
  <r>
    <s v="P503052"/>
    <s v="Mini Flatter Me Digestive Enzyme Supplement"/>
    <n v="7050"/>
    <s v="HUM Nutrition"/>
    <n v="1375"/>
    <x v="4"/>
    <n v="4.2643000000000004"/>
    <s v="Yes"/>
    <s v="High"/>
    <n v="401"/>
    <x v="64"/>
    <s v="Budget"/>
    <n v="0"/>
    <n v="0"/>
    <s v="Wellness"/>
  </r>
  <r>
    <s v="P504515"/>
    <s v="Daily Defense Moisturizer Mineral SPF 60 with Vitamin C"/>
    <n v="6750"/>
    <s v="Soleil Toujours"/>
    <n v="1375"/>
    <x v="4"/>
    <n v="3.8"/>
    <s v="Yes"/>
    <s v="Medium"/>
    <n v="10"/>
    <x v="69"/>
    <s v="Premium"/>
    <n v="1"/>
    <n v="0"/>
    <s v="Moisturizers"/>
  </r>
  <r>
    <s v="P500420"/>
    <s v="The Light Cream"/>
    <n v="6356"/>
    <s v="Augustinus Bader"/>
    <n v="1389"/>
    <x v="4"/>
    <n v="4.3196000000000003"/>
    <s v="Yes"/>
    <s v="High"/>
    <n v="194"/>
    <x v="98"/>
    <s v="Premium"/>
    <n v="0"/>
    <n v="0"/>
    <s v="Moisturizers"/>
  </r>
  <r>
    <s v="P500482"/>
    <s v="The Clean Dream Team Set"/>
    <n v="7020"/>
    <s v="Tata Harper"/>
    <n v="1395"/>
    <x v="4"/>
    <n v="4"/>
    <s v="Yes"/>
    <s v="High"/>
    <n v="3"/>
    <x v="76"/>
    <s v="Premium"/>
    <n v="0"/>
    <n v="0"/>
    <s v="Value &amp; Gift Sets"/>
  </r>
  <r>
    <s v="P482318"/>
    <s v="Gradual Tan Tinted Daily Firming Lotion"/>
    <n v="5626"/>
    <s v="St. Tropez"/>
    <n v="1397"/>
    <x v="4"/>
    <n v="2.75"/>
    <s v="Yes"/>
    <s v="Low"/>
    <n v="16"/>
    <x v="31"/>
    <s v="Mid"/>
    <n v="0"/>
    <n v="0"/>
    <s v="Self Tanners"/>
  </r>
  <r>
    <s v="P501178"/>
    <s v="YUZU-C Glow-On Shot Serum"/>
    <n v="6371"/>
    <s v="WASO"/>
    <n v="1403"/>
    <x v="4"/>
    <n v="4.4206000000000003"/>
    <s v="Yes"/>
    <s v="High"/>
    <n v="359"/>
    <x v="44"/>
    <s v="Mid"/>
    <n v="0"/>
    <n v="0"/>
    <s v="Treatments"/>
  </r>
  <r>
    <s v="P464250"/>
    <s v="GOOPGENES Nourishing Repair Body Butter"/>
    <n v="6309"/>
    <s v="goop"/>
    <n v="1403"/>
    <x v="4"/>
    <n v="3.8260999999999998"/>
    <s v="Yes"/>
    <s v="Medium"/>
    <n v="23"/>
    <x v="92"/>
    <s v="Premium"/>
    <n v="0"/>
    <n v="0"/>
    <s v="Moisturizers"/>
  </r>
  <r>
    <s v="P448564"/>
    <s v="Clinique Smart Clinical MD Multi-Dimensional Age Transformer Resculpt"/>
    <n v="1254"/>
    <s v="CLINIQUE"/>
    <n v="1410"/>
    <x v="4"/>
    <n v="3.6875"/>
    <s v="Yes"/>
    <s v="Medium"/>
    <n v="16"/>
    <x v="28"/>
    <s v="Premium"/>
    <n v="0"/>
    <n v="0"/>
    <s v="Moisturizers"/>
  </r>
  <r>
    <s v="P500116"/>
    <s v="Hydrating Cream Cleanser with Hyaluronic Acid"/>
    <n v="6743"/>
    <s v="Community Sixty-Six"/>
    <n v="1413"/>
    <x v="4"/>
    <n v="4.75"/>
    <s v="Yes"/>
    <s v="High"/>
    <n v="8"/>
    <x v="47"/>
    <s v="Budget"/>
    <n v="0"/>
    <n v="0"/>
    <s v="Cleansers"/>
  </r>
  <r>
    <s v="P501003"/>
    <s v="Clarifying Water Gel Moisturizer with Hyaluronic Acid"/>
    <n v="4164"/>
    <s v="Murad"/>
    <n v="1415"/>
    <x v="4"/>
    <n v="3"/>
    <s v="Yes"/>
    <s v="Medium"/>
    <n v="8"/>
    <x v="25"/>
    <s v="Mid"/>
    <n v="0"/>
    <n v="0"/>
    <s v="Moisturizers"/>
  </r>
  <r>
    <s v="P504509"/>
    <s v="Hydra Lip Masque Mineral SPF 15 with Peptides"/>
    <n v="6750"/>
    <s v="Soleil Toujours"/>
    <n v="1420"/>
    <x v="4"/>
    <n v="4.6666999999999996"/>
    <s v="Yes"/>
    <s v="High"/>
    <n v="12"/>
    <x v="95"/>
    <s v="Mid"/>
    <n v="1"/>
    <n v="0"/>
    <s v="Lip Balms &amp; Treatments"/>
  </r>
  <r>
    <s v="P449601"/>
    <s v="Face Cream Light"/>
    <n v="6302"/>
    <s v="Dr. Barbara Sturm"/>
    <n v="1420"/>
    <x v="4"/>
    <n v="3.9333"/>
    <s v="Yes"/>
    <s v="Medium"/>
    <n v="15"/>
    <x v="165"/>
    <s v="Premium"/>
    <n v="0"/>
    <n v="0"/>
    <s v="Moisturizers"/>
  </r>
  <r>
    <s v="P448563"/>
    <s v="Clinique Smart Clinical MD Multi-Dimensional Age Transformer Revolumize"/>
    <n v="1254"/>
    <s v="CLINIQUE"/>
    <n v="1423"/>
    <x v="4"/>
    <n v="3.3264999999999998"/>
    <s v="Yes"/>
    <s v="Medium"/>
    <n v="49"/>
    <x v="28"/>
    <s v="Premium"/>
    <n v="0"/>
    <n v="0"/>
    <s v="Moisturizers"/>
  </r>
  <r>
    <s v="P405285"/>
    <s v="Smart Broad Spectrum SPF 15 Custom-Repair Moisturizer for Very Dry to Dry Skin"/>
    <n v="1254"/>
    <s v="CLINIQUE"/>
    <n v="1428"/>
    <x v="4"/>
    <n v="4.5"/>
    <s v="Yes"/>
    <s v="High"/>
    <n v="6"/>
    <x v="56"/>
    <s v="Premium"/>
    <n v="0"/>
    <n v="0"/>
    <s v="Moisturizers"/>
  </r>
  <r>
    <s v="P500114"/>
    <s v="Retinol Resurfacing Night Moisturizer"/>
    <n v="6743"/>
    <s v="Community Sixty-Six"/>
    <n v="1442"/>
    <x v="4"/>
    <n v="4.0658000000000003"/>
    <s v="Yes"/>
    <s v="High"/>
    <n v="243"/>
    <x v="9"/>
    <s v="Mid"/>
    <n v="0"/>
    <n v="0"/>
    <s v="Moisturizers"/>
  </r>
  <r>
    <s v="P470548"/>
    <s v="Knockout 10% Acid Complex Serum"/>
    <n v="5648"/>
    <s v="tarte"/>
    <n v="1445"/>
    <x v="4"/>
    <n v="5"/>
    <s v="Yes"/>
    <s v="High"/>
    <n v="3"/>
    <x v="7"/>
    <s v="Mid"/>
    <n v="0"/>
    <n v="0"/>
    <s v="Treatments"/>
  </r>
  <r>
    <s v="P502047"/>
    <s v="Evercalm Skin Zen Trio"/>
    <n v="5857"/>
    <s v="REN Clean Skincare"/>
    <n v="1448"/>
    <x v="4"/>
    <n v="4.5"/>
    <s v="Yes"/>
    <s v="High"/>
    <n v="2"/>
    <x v="40"/>
    <s v="Premium"/>
    <n v="0"/>
    <n v="0"/>
    <s v="Value &amp; Gift Sets"/>
  </r>
  <r>
    <s v="P481084"/>
    <s v="Mini Revitalizing Supreme+ Youth Power Creme Moisturizer"/>
    <n v="6089"/>
    <s v="EstÃ©e Lauder"/>
    <n v="1449"/>
    <x v="4"/>
    <n v="4.3201999999999998"/>
    <s v="Yes"/>
    <s v="High"/>
    <n v="2783"/>
    <x v="56"/>
    <s v="Premium"/>
    <n v="0"/>
    <n v="0"/>
    <s v="Moisturizers"/>
  </r>
  <r>
    <s v="P482025"/>
    <s v="Absolue Rich Cream Moisturizer"/>
    <n v="1741"/>
    <s v="LancÃ´me"/>
    <n v="1453"/>
    <x v="4"/>
    <n v="4.8030999999999997"/>
    <s v="Yes"/>
    <s v="High"/>
    <n v="127"/>
    <x v="120"/>
    <s v="Premium"/>
    <n v="0"/>
    <n v="0"/>
    <s v="Moisturizers"/>
  </r>
  <r>
    <s v="P482755"/>
    <s v="Claydate Detoxifying &amp; Toning Face Mask Stick"/>
    <n v="6373"/>
    <s v="TULA Skincare"/>
    <n v="1460"/>
    <x v="4"/>
    <n v="4.3333000000000004"/>
    <s v="Yes"/>
    <s v="High"/>
    <n v="36"/>
    <x v="8"/>
    <s v="Mid"/>
    <n v="0"/>
    <n v="0"/>
    <s v="Masks"/>
  </r>
  <r>
    <s v="P476570"/>
    <s v="Triple Active Retinol Gentle Overnight Renewal Cream"/>
    <n v="4372"/>
    <s v="Dr. Brandt Skincare"/>
    <n v="1466"/>
    <x v="4"/>
    <n v="3.7273000000000001"/>
    <s v="Yes"/>
    <s v="Medium"/>
    <n v="11"/>
    <x v="76"/>
    <s v="Premium"/>
    <n v="0"/>
    <n v="0"/>
    <s v="Moisturizers"/>
  </r>
  <r>
    <s v="P473133"/>
    <s v="Fruit-Tox Resurfacing Facial Remedy"/>
    <n v="8012"/>
    <s v="Naturally Serious"/>
    <n v="1467"/>
    <x v="4"/>
    <n v="4.5999999999999996"/>
    <s v="Yes"/>
    <s v="High"/>
    <n v="195"/>
    <x v="129"/>
    <s v="Mid"/>
    <n v="0"/>
    <n v="0"/>
    <s v="Treatments"/>
  </r>
  <r>
    <s v="P480354"/>
    <s v="Glow Facial Set"/>
    <n v="7020"/>
    <s v="Tata Harper"/>
    <n v="1476"/>
    <x v="4"/>
    <n v="3"/>
    <s v="Yes"/>
    <s v="Medium"/>
    <n v="1"/>
    <x v="131"/>
    <s v="Premium"/>
    <n v="0"/>
    <n v="0"/>
    <s v="Value &amp; Gift Sets"/>
  </r>
  <r>
    <s v="P464235"/>
    <s v="Inflam-Aging Night Repair Treatment"/>
    <n v="6334"/>
    <s v="Dr. Zenovia Skincare"/>
    <n v="1478"/>
    <x v="4"/>
    <n v="4.4768999999999997"/>
    <s v="Yes"/>
    <s v="High"/>
    <n v="260"/>
    <x v="55"/>
    <s v="Premium"/>
    <n v="0"/>
    <n v="0"/>
    <s v="Treatments"/>
  </r>
  <r>
    <s v="P503652"/>
    <s v="24-7 Moisture Intense Ultra Hydrating Day &amp; Night Cream with Hyaluronic Acid + Squalane"/>
    <n v="6373"/>
    <s v="TULA Skincare"/>
    <n v="1482"/>
    <x v="4"/>
    <n v="4.4181999999999997"/>
    <s v="Yes"/>
    <s v="High"/>
    <n v="110"/>
    <x v="69"/>
    <s v="Premium"/>
    <n v="1"/>
    <n v="0"/>
    <s v="Moisturizers"/>
  </r>
  <r>
    <s v="P467756"/>
    <s v="Soothing Toning Lotion with Chamomile"/>
    <n v="2082"/>
    <s v="Clarins"/>
    <n v="1484"/>
    <x v="4"/>
    <n v="3.375"/>
    <s v="Yes"/>
    <s v="Medium"/>
    <n v="8"/>
    <x v="78"/>
    <s v="Mid"/>
    <n v="0"/>
    <n v="0"/>
    <s v="Cleansers"/>
  </r>
  <r>
    <s v="P504309"/>
    <s v="Solar Power Luminous SPF 30 Brightening Serum"/>
    <n v="6367"/>
    <s v="ROSE INC"/>
    <n v="1484"/>
    <x v="4"/>
    <n v="4.4603999999999999"/>
    <s v="Yes"/>
    <s v="High"/>
    <n v="265"/>
    <x v="45"/>
    <s v="Mid"/>
    <n v="1"/>
    <n v="0"/>
    <s v="Treatments"/>
  </r>
  <r>
    <s v="P448551"/>
    <s v="Brightening Face Lotion"/>
    <n v="6302"/>
    <s v="Dr. Barbara Sturm"/>
    <n v="1490"/>
    <x v="4"/>
    <n v="4.4286000000000003"/>
    <s v="Yes"/>
    <s v="High"/>
    <n v="7"/>
    <x v="166"/>
    <s v="Premium"/>
    <n v="0"/>
    <n v="0"/>
    <s v="Moisturizers"/>
  </r>
  <r>
    <s v="P501189"/>
    <s v="KOSHIRICE Acne Calming Spot Treatment"/>
    <n v="6371"/>
    <s v="WASO"/>
    <n v="1501"/>
    <x v="4"/>
    <n v="4.2211999999999996"/>
    <s v="Yes"/>
    <s v="High"/>
    <n v="443"/>
    <x v="94"/>
    <s v="Mid"/>
    <n v="0"/>
    <n v="0"/>
    <s v="Treatments"/>
  </r>
  <r>
    <s v="P475143"/>
    <s v="NUDESKIN 3-Step: Citrus Renew Set For Makeup"/>
    <n v="7055"/>
    <s v="NUDESTIX"/>
    <n v="1520"/>
    <x v="4"/>
    <n v="3.7639"/>
    <s v="Yes"/>
    <s v="Medium"/>
    <n v="72"/>
    <x v="31"/>
    <s v="Mid"/>
    <n v="0"/>
    <n v="0"/>
    <s v="Value &amp; Gift Sets"/>
  </r>
  <r>
    <s v="P405825"/>
    <s v="Repairwear Laser Focus Line Smoothing Cream Broad Spectrum SPF 15 for Very Dry to Dry Combination Skin"/>
    <n v="1254"/>
    <s v="CLINIQUE"/>
    <n v="1535"/>
    <x v="4"/>
    <n v="4.125"/>
    <s v="Yes"/>
    <s v="High"/>
    <n v="8"/>
    <x v="167"/>
    <s v="Premium"/>
    <n v="0"/>
    <n v="0"/>
    <s v="Moisturizers"/>
  </r>
  <r>
    <s v="P502831"/>
    <s v="LUNA 4 Facial Cleansing &amp; Firming Massage for Combination Skin"/>
    <n v="7037"/>
    <s v="FOREO"/>
    <n v="1536"/>
    <x v="4"/>
    <n v="4.9230999999999998"/>
    <s v="Yes"/>
    <s v="High"/>
    <n v="13"/>
    <x v="168"/>
    <s v="Premium"/>
    <n v="0"/>
    <n v="0"/>
    <s v="High Tech Tools"/>
  </r>
  <r>
    <s v="P500096"/>
    <s v="Oil Control Moisturizer with Niacinamide"/>
    <n v="6743"/>
    <s v="Community Sixty-Six"/>
    <n v="1550"/>
    <x v="4"/>
    <n v="3.75"/>
    <s v="Yes"/>
    <s v="Medium"/>
    <n v="20"/>
    <x v="94"/>
    <s v="Mid"/>
    <n v="0"/>
    <n v="0"/>
    <s v="Moisturizers"/>
  </r>
  <r>
    <s v="P504059"/>
    <s v="Chlorella + Reishi Sea Vitamin C SÃ©rum"/>
    <n v="6749"/>
    <s v="MARA"/>
    <n v="1554"/>
    <x v="4"/>
    <n v="4.9032"/>
    <s v="Yes"/>
    <s v="High"/>
    <n v="62"/>
    <x v="155"/>
    <s v="Premium"/>
    <n v="1"/>
    <n v="0"/>
    <s v="Treatments"/>
  </r>
  <r>
    <s v="P482021"/>
    <s v="Ultra Facial Hydrating Concentrated Cleansing Bar"/>
    <n v="6218"/>
    <s v="Kiehl's Since 1851"/>
    <n v="1558"/>
    <x v="4"/>
    <n v="4.3333000000000004"/>
    <s v="Yes"/>
    <s v="High"/>
    <n v="6"/>
    <x v="60"/>
    <s v="Mid"/>
    <n v="0"/>
    <n v="0"/>
    <s v="Cleansers"/>
  </r>
  <r>
    <s v="P476554"/>
    <s v="Skin Hydrator Ceramide and Hyaluronic Acid Supplement"/>
    <n v="6375"/>
    <s v="The Nue Co."/>
    <n v="1560"/>
    <x v="4"/>
    <n v="4.1882999999999999"/>
    <s v="Yes"/>
    <s v="High"/>
    <n v="154"/>
    <x v="44"/>
    <s v="Mid"/>
    <n v="0"/>
    <n v="0"/>
    <s v="Wellness"/>
  </r>
  <r>
    <s v="P469449"/>
    <s v="Hydrating Gentle Foaming Cleanser with Aloe Vera"/>
    <n v="2082"/>
    <s v="Clarins"/>
    <n v="1562"/>
    <x v="4"/>
    <n v="3.3332999999999999"/>
    <s v="Yes"/>
    <s v="Medium"/>
    <n v="24"/>
    <x v="78"/>
    <s v="Mid"/>
    <n v="0"/>
    <n v="0"/>
    <s v="Cleansers"/>
  </r>
  <r>
    <s v="P474323"/>
    <s v="GOOPGENES All-in-One Nourishing Skincare Kit"/>
    <n v="6309"/>
    <s v="goop"/>
    <n v="1575"/>
    <x v="4"/>
    <n v="4.5"/>
    <s v="Yes"/>
    <s v="High"/>
    <n v="2"/>
    <x v="99"/>
    <s v="Premium"/>
    <n v="0"/>
    <n v="0"/>
    <s v="Value &amp; Gift Sets"/>
  </r>
  <r>
    <s v="P505274"/>
    <s v="Glucoside Foaming Cleanser"/>
    <n v="6234"/>
    <s v="The Ordinary"/>
    <n v="1580"/>
    <x v="4"/>
    <n v="4.3333000000000004"/>
    <s v="Yes"/>
    <s v="High"/>
    <n v="6"/>
    <x v="169"/>
    <s v="Budget"/>
    <n v="1"/>
    <n v="0"/>
    <s v="Cleansers"/>
  </r>
  <r>
    <s v="P483458"/>
    <s v="Blades"/>
    <n v="6476"/>
    <s v="Hanni"/>
    <n v="1586"/>
    <x v="4"/>
    <n v="3.6667000000000001"/>
    <s v="Yes"/>
    <s v="Medium"/>
    <n v="3"/>
    <x v="1"/>
    <s v="Budget"/>
    <n v="0"/>
    <n v="0"/>
    <s v="High Tech Tools"/>
  </r>
  <r>
    <s v="P504840"/>
    <s v="Hydrate + Purify Mini Bestsellers Discovery Skincare Set"/>
    <n v="6295"/>
    <s v="innisfree"/>
    <n v="1592"/>
    <x v="4"/>
    <n v="3.25"/>
    <s v="Yes"/>
    <s v="Medium"/>
    <n v="4"/>
    <x v="5"/>
    <s v="Budget"/>
    <n v="0"/>
    <n v="0"/>
    <s v="Value &amp; Gift Sets"/>
  </r>
  <r>
    <s v="P503991"/>
    <s v="Algae + Moringa Universal Hydrating Face Oil"/>
    <n v="6749"/>
    <s v="MARA"/>
    <n v="1595"/>
    <x v="4"/>
    <n v="4.9009"/>
    <s v="Yes"/>
    <s v="High"/>
    <n v="111"/>
    <x v="55"/>
    <s v="Premium"/>
    <n v="1"/>
    <n v="0"/>
    <s v="Moisturizers"/>
  </r>
  <r>
    <s v="P479946"/>
    <s v="Self Tanning Face &amp; Body Tinted Gel"/>
    <n v="2082"/>
    <s v="Clarins"/>
    <n v="1606"/>
    <x v="4"/>
    <n v="5"/>
    <s v="Yes"/>
    <s v="High"/>
    <n v="4"/>
    <x v="36"/>
    <s v="Mid"/>
    <n v="0"/>
    <n v="1"/>
    <s v="Self Tanners"/>
  </r>
  <r>
    <s v="P483141"/>
    <s v="The Quench Eye Reviving Quadralipid Eye Balm"/>
    <n v="6272"/>
    <s v="BeautyBio"/>
    <n v="1607"/>
    <x v="4"/>
    <n v="4"/>
    <s v="Yes"/>
    <s v="High"/>
    <n v="5"/>
    <x v="102"/>
    <s v="Premium"/>
    <n v="0"/>
    <n v="0"/>
    <s v="Eye Care"/>
  </r>
  <r>
    <s v="P476677"/>
    <s v="Supreme Restructure Collagen-Boosting Cermide Cream"/>
    <n v="6329"/>
    <s v="FaceGym"/>
    <n v="1609"/>
    <x v="4"/>
    <n v="4.4400000000000004"/>
    <s v="Yes"/>
    <s v="High"/>
    <n v="25"/>
    <x v="119"/>
    <s v="Premium"/>
    <n v="0"/>
    <n v="0"/>
    <s v="Moisturizers"/>
  </r>
  <r>
    <s v="P469193"/>
    <s v="Supers Set"/>
    <n v="6226"/>
    <s v="Moon Juice"/>
    <n v="1614"/>
    <x v="4"/>
    <n v="1.25"/>
    <s v="Yes"/>
    <s v="Low"/>
    <n v="4"/>
    <x v="76"/>
    <s v="Premium"/>
    <n v="0"/>
    <n v="0"/>
    <s v="Wellness"/>
  </r>
  <r>
    <s v="P481834"/>
    <s v="Concentrated Ginseng Renewing Cream Classic"/>
    <n v="6307"/>
    <s v="Sulwhasoo"/>
    <n v="1615"/>
    <x v="4"/>
    <n v="4.8"/>
    <s v="Yes"/>
    <s v="High"/>
    <n v="60"/>
    <x v="72"/>
    <s v="Premium"/>
    <n v="0"/>
    <n v="0"/>
    <s v="Moisturizers"/>
  </r>
  <r>
    <s v="P462386"/>
    <s v="Drying Cream"/>
    <n v="8017"/>
    <s v="Mario Badescu"/>
    <n v="1635"/>
    <x v="4"/>
    <n v="3.75"/>
    <s v="Yes"/>
    <s v="Medium"/>
    <n v="4"/>
    <x v="34"/>
    <s v="Budget"/>
    <n v="0"/>
    <n v="0"/>
    <s v="Treatments"/>
  </r>
  <r>
    <s v="P502395"/>
    <s v="Concentrated Ginseng Renewing Serum"/>
    <n v="6307"/>
    <s v="Sulwhasoo"/>
    <n v="1645"/>
    <x v="4"/>
    <n v="4.6971999999999996"/>
    <s v="Yes"/>
    <s v="High"/>
    <n v="142"/>
    <x v="170"/>
    <s v="Premium"/>
    <n v="0"/>
    <n v="0"/>
    <s v="Treatments"/>
  </r>
  <r>
    <s v="P460756"/>
    <s v="Hyaluronic Dew Cream"/>
    <n v="8017"/>
    <s v="Mario Badescu"/>
    <n v="1647"/>
    <x v="4"/>
    <n v="3.2"/>
    <s v="Yes"/>
    <s v="Medium"/>
    <n v="15"/>
    <x v="95"/>
    <s v="Mid"/>
    <n v="0"/>
    <n v="0"/>
    <s v="Moisturizers"/>
  </r>
  <r>
    <s v="P409227"/>
    <s v="Multi-Active Anti-Aging Day Moisturizer for Glowing Skin"/>
    <n v="2082"/>
    <s v="Clarins"/>
    <n v="1652"/>
    <x v="4"/>
    <n v="4.8571"/>
    <s v="Yes"/>
    <s v="High"/>
    <n v="7"/>
    <x v="69"/>
    <s v="Premium"/>
    <n v="0"/>
    <n v="0"/>
    <s v="Moisturizers"/>
  </r>
  <r>
    <s v="P504644"/>
    <s v="Personalized Cleanser, SPF Day Moisturizer, Night Cream Set"/>
    <n v="6756"/>
    <s v="PROVEN Skincare"/>
    <n v="1660"/>
    <x v="4"/>
    <n v="4.3396999999999997"/>
    <s v="Yes"/>
    <s v="High"/>
    <n v="209"/>
    <x v="171"/>
    <s v="Premium"/>
    <n v="1"/>
    <n v="0"/>
    <s v="Value &amp; Gift Sets"/>
  </r>
  <r>
    <s v="P501188"/>
    <s v="SATOCANE Pore Purifying Scrub Mask"/>
    <n v="6371"/>
    <s v="WASO"/>
    <n v="1673"/>
    <x v="4"/>
    <n v="4.5728999999999997"/>
    <s v="Yes"/>
    <s v="High"/>
    <n v="494"/>
    <x v="12"/>
    <s v="Mid"/>
    <n v="0"/>
    <n v="0"/>
    <s v="Masks"/>
  </r>
  <r>
    <s v="P448544"/>
    <s v="Darker Skin Tones Face Cream"/>
    <n v="6302"/>
    <s v="Dr. Barbara Sturm"/>
    <n v="1685"/>
    <x v="4"/>
    <n v="5"/>
    <s v="Yes"/>
    <s v="High"/>
    <n v="9"/>
    <x v="172"/>
    <s v="Premium"/>
    <n v="0"/>
    <n v="0"/>
    <s v="Moisturizers"/>
  </r>
  <r>
    <s v="P482675"/>
    <s v="Active Blast Concentrated Collagen Daily Treatment"/>
    <n v="6329"/>
    <s v="FaceGym"/>
    <n v="1695"/>
    <x v="4"/>
    <n v="4.6832000000000003"/>
    <s v="Yes"/>
    <s v="High"/>
    <n v="101"/>
    <x v="92"/>
    <s v="Premium"/>
    <n v="0"/>
    <n v="0"/>
    <s v="Treatments"/>
  </r>
  <r>
    <s v="P505208"/>
    <s v="100% Mineral Sunscreen Starter Kit"/>
    <n v="5987"/>
    <s v="Supergoop!"/>
    <n v="1702"/>
    <x v="4"/>
    <n v="5"/>
    <s v="Yes"/>
    <s v="High"/>
    <n v="1"/>
    <x v="78"/>
    <s v="Mid"/>
    <n v="1"/>
    <n v="0"/>
    <s v="Value &amp; Gift Sets"/>
  </r>
  <r>
    <s v="P451748"/>
    <s v="15% Niacinamide Gel Serum"/>
    <n v="6303"/>
    <s v="SOBEL SKIN Rx"/>
    <n v="1702"/>
    <x v="4"/>
    <n v="4.1590999999999996"/>
    <s v="Yes"/>
    <s v="High"/>
    <n v="132"/>
    <x v="76"/>
    <s v="Premium"/>
    <n v="0"/>
    <n v="0"/>
    <s v="Treatments"/>
  </r>
  <r>
    <s v="P448549"/>
    <s v="Brightening Serum"/>
    <n v="6302"/>
    <s v="Dr. Barbara Sturm"/>
    <n v="1709"/>
    <x v="4"/>
    <n v="3.5556000000000001"/>
    <s v="Yes"/>
    <s v="Medium"/>
    <n v="9"/>
    <x v="173"/>
    <s v="Premium"/>
    <n v="0"/>
    <n v="0"/>
    <s v="Treatments"/>
  </r>
  <r>
    <s v="P504040"/>
    <s v="Spirulina + Ashwagandha Volcanic Sea Clay Detox Masque"/>
    <n v="6749"/>
    <s v="MARA"/>
    <n v="1713"/>
    <x v="4"/>
    <n v="4.8518999999999997"/>
    <s v="Yes"/>
    <s v="High"/>
    <n v="27"/>
    <x v="30"/>
    <s v="Premium"/>
    <n v="1"/>
    <n v="0"/>
    <s v="Masks"/>
  </r>
  <r>
    <s v="P503552"/>
    <s v="GLOfacial Clarifying Salicylic &amp; Plumping Hyaluronic Acid Concentrate"/>
    <n v="6272"/>
    <s v="BeautyBio"/>
    <n v="1715"/>
    <x v="4"/>
    <n v="5"/>
    <s v="Yes"/>
    <s v="High"/>
    <n v="8"/>
    <x v="44"/>
    <s v="Mid"/>
    <n v="0"/>
    <n v="0"/>
    <s v="Treatments"/>
  </r>
  <r>
    <s v="P454375"/>
    <s v="Clarifying Acne Spot Treatment"/>
    <n v="6302"/>
    <s v="Dr. Barbara Sturm"/>
    <n v="1720"/>
    <x v="4"/>
    <n v="3.5"/>
    <s v="Yes"/>
    <s v="Medium"/>
    <n v="14"/>
    <x v="103"/>
    <s v="Premium"/>
    <n v="0"/>
    <n v="0"/>
    <s v="Treatments"/>
  </r>
  <r>
    <s v="P468410"/>
    <s v="SKINPOWER Essence Serum"/>
    <n v="6084"/>
    <s v="SK-II"/>
    <n v="1721"/>
    <x v="4"/>
    <n v="4"/>
    <s v="Yes"/>
    <s v="High"/>
    <n v="6"/>
    <x v="166"/>
    <s v="Premium"/>
    <n v="0"/>
    <n v="0"/>
    <s v="Moisturizers"/>
  </r>
  <r>
    <s v="P503820"/>
    <s v="Daily Brightness Boosters Kit"/>
    <n v="6219"/>
    <s v="Dermalogica"/>
    <n v="1723"/>
    <x v="4"/>
    <n v="4.8333000000000004"/>
    <s v="Yes"/>
    <s v="High"/>
    <n v="30"/>
    <x v="154"/>
    <s v="Mid"/>
    <n v="0"/>
    <n v="0"/>
    <s v="Value &amp; Gift Sets"/>
  </r>
  <r>
    <s v="P474940"/>
    <s v="Mini Even Better Clinical Radical Dark Spot Corrector + Interrupter Serum"/>
    <n v="1254"/>
    <s v="CLINIQUE"/>
    <n v="1728"/>
    <x v="4"/>
    <n v="3.5823999999999998"/>
    <s v="Yes"/>
    <s v="Medium"/>
    <n v="91"/>
    <x v="128"/>
    <s v="Mid"/>
    <n v="0"/>
    <n v="0"/>
    <s v="Treatments"/>
  </r>
  <r>
    <s v="P500106"/>
    <s v="Everyday Mineral Moisturizer SPF 30 Sunscreen"/>
    <n v="6743"/>
    <s v="Community Sixty-Six"/>
    <n v="1733"/>
    <x v="4"/>
    <n v="4"/>
    <s v="Yes"/>
    <s v="High"/>
    <n v="13"/>
    <x v="78"/>
    <s v="Mid"/>
    <n v="0"/>
    <n v="0"/>
    <s v="Moisturizers"/>
  </r>
  <r>
    <s v="P477150"/>
    <s v="Super Anti-Aging Eye Cream"/>
    <n v="6302"/>
    <s v="Dr. Barbara Sturm"/>
    <n v="1735"/>
    <x v="4"/>
    <n v="4.3333000000000004"/>
    <s v="Yes"/>
    <s v="High"/>
    <n v="6"/>
    <x v="170"/>
    <s v="Premium"/>
    <n v="0"/>
    <n v="0"/>
    <s v="Eye Care"/>
  </r>
  <r>
    <s v="P504852"/>
    <s v="Aqua Bomb Everyday Hydration Set"/>
    <n v="7075"/>
    <s v="belif"/>
    <n v="1736"/>
    <x v="4"/>
    <m/>
    <s v="No"/>
    <s v="Not Rated"/>
    <n v="0"/>
    <x v="12"/>
    <s v="Mid"/>
    <n v="1"/>
    <n v="0"/>
    <s v="Value &amp; Gift Sets"/>
  </r>
  <r>
    <s v="P483691"/>
    <s v="Gradual Tan Classic Daily Youth Boosting Cream"/>
    <n v="5626"/>
    <s v="St. Tropez"/>
    <n v="1740"/>
    <x v="4"/>
    <n v="5"/>
    <s v="Yes"/>
    <s v="High"/>
    <n v="1"/>
    <x v="31"/>
    <s v="Mid"/>
    <n v="0"/>
    <n v="0"/>
    <s v="Self Tanners"/>
  </r>
  <r>
    <s v="P469452"/>
    <s v="All About Clean 2-in-1 Charcoal Face Mask + Scrub"/>
    <n v="1254"/>
    <s v="CLINIQUE"/>
    <n v="1746"/>
    <x v="4"/>
    <n v="3.75"/>
    <s v="Yes"/>
    <s v="Medium"/>
    <n v="8"/>
    <x v="49"/>
    <s v="Mid"/>
    <n v="0"/>
    <n v="0"/>
    <s v="Masks"/>
  </r>
  <r>
    <s v="P474838"/>
    <s v="Boost Sweet Boost - Vegan Gummies for Immune Support"/>
    <n v="7050"/>
    <s v="HUM Nutrition"/>
    <n v="1748"/>
    <x v="4"/>
    <n v="4.8635999999999999"/>
    <s v="Yes"/>
    <s v="High"/>
    <n v="88"/>
    <x v="95"/>
    <s v="Mid"/>
    <n v="0"/>
    <n v="0"/>
    <s v="Wellness"/>
  </r>
  <r>
    <s v="P475084"/>
    <s v="Extra-Firming Energy + Radiance Boosting Moisturizer"/>
    <n v="2082"/>
    <s v="Clarins"/>
    <n v="1758"/>
    <x v="4"/>
    <n v="4.3414999999999999"/>
    <s v="Yes"/>
    <s v="High"/>
    <n v="205"/>
    <x v="89"/>
    <s v="Premium"/>
    <n v="0"/>
    <n v="0"/>
    <s v="Moisturizers"/>
  </r>
  <r>
    <s v="P501175"/>
    <s v="White Ginseng Radiance Refining Mask"/>
    <n v="6307"/>
    <s v="Sulwhasoo"/>
    <n v="1769"/>
    <x v="4"/>
    <n v="5"/>
    <s v="Yes"/>
    <s v="High"/>
    <n v="1"/>
    <x v="6"/>
    <s v="Premium"/>
    <n v="0"/>
    <n v="0"/>
    <s v="Masks"/>
  </r>
  <r>
    <s v="P502827"/>
    <s v="LUNA 4 Facial Cleansing &amp; Firming Massage for Sensitive Skin"/>
    <n v="7037"/>
    <s v="FOREO"/>
    <n v="1769"/>
    <x v="4"/>
    <n v="4.8"/>
    <s v="Yes"/>
    <s v="High"/>
    <n v="15"/>
    <x v="168"/>
    <s v="Premium"/>
    <n v="0"/>
    <n v="0"/>
    <s v="High Tech Tools"/>
  </r>
  <r>
    <s v="P505023"/>
    <s v="The POREfessional Deep Retreat Pore-Clearing Clay Mask"/>
    <n v="5333"/>
    <s v="Benefit Cosmetics"/>
    <n v="1773"/>
    <x v="4"/>
    <n v="4.766"/>
    <s v="Yes"/>
    <s v="High"/>
    <n v="705"/>
    <x v="7"/>
    <s v="Mid"/>
    <n v="1"/>
    <n v="0"/>
    <s v="Masks"/>
  </r>
  <r>
    <s v="P503894"/>
    <s v="Green Tea Hyaluronic Acid Hydrating Eye Cream"/>
    <n v="6295"/>
    <s v="innisfree"/>
    <n v="1784"/>
    <x v="4"/>
    <n v="3.5"/>
    <s v="Yes"/>
    <s v="Medium"/>
    <n v="4"/>
    <x v="95"/>
    <s v="Mid"/>
    <n v="0"/>
    <n v="0"/>
    <s v="Eye Care"/>
  </r>
  <r>
    <s v="P464245"/>
    <s v="Bakuchiol Hydrating Cleanser"/>
    <n v="6334"/>
    <s v="Dr. Zenovia Skincare"/>
    <n v="1784"/>
    <x v="4"/>
    <n v="4.4983000000000004"/>
    <s v="Yes"/>
    <s v="High"/>
    <n v="301"/>
    <x v="36"/>
    <s v="Mid"/>
    <n v="0"/>
    <n v="0"/>
    <s v="Cleansers"/>
  </r>
  <r>
    <s v="P483058"/>
    <s v="GOOPGLOW Flower Acids Resurfacing Toner"/>
    <n v="6309"/>
    <s v="goop"/>
    <n v="1797"/>
    <x v="4"/>
    <n v="4.6666999999999996"/>
    <s v="Yes"/>
    <s v="High"/>
    <n v="6"/>
    <x v="44"/>
    <s v="Mid"/>
    <n v="0"/>
    <n v="0"/>
    <s v="Cleansers"/>
  </r>
  <r>
    <s v="P502200"/>
    <s v="HydraKate Recharging Serum with Hyaluronic Acid"/>
    <n v="5946"/>
    <s v="Kate Somerville"/>
    <n v="1808"/>
    <x v="4"/>
    <n v="4.7640000000000002"/>
    <s v="Yes"/>
    <s v="High"/>
    <n v="89"/>
    <x v="15"/>
    <s v="Premium"/>
    <n v="0"/>
    <n v="0"/>
    <s v="Treatments"/>
  </r>
  <r>
    <s v="P469832"/>
    <s v="Equilibrium Rebalancing Cream Cleanser"/>
    <n v="5879"/>
    <s v="Hourglass"/>
    <n v="1812"/>
    <x v="4"/>
    <n v="4.4000000000000004"/>
    <s v="Yes"/>
    <s v="High"/>
    <n v="55"/>
    <x v="23"/>
    <s v="Premium"/>
    <n v="0"/>
    <n v="0"/>
    <s v="Cleansers"/>
  </r>
  <r>
    <s v="P501316"/>
    <s v="Beauty Sleep Overnight Repair Treatment Cream with AHA's and Vitamin C"/>
    <n v="6373"/>
    <s v="TULA Skincare"/>
    <n v="1817"/>
    <x v="4"/>
    <n v="4.0416999999999996"/>
    <s v="Yes"/>
    <s v="High"/>
    <n v="72"/>
    <x v="6"/>
    <s v="Premium"/>
    <n v="0"/>
    <n v="0"/>
    <s v="Moisturizers"/>
  </r>
  <r>
    <s v="P476538"/>
    <s v="Prebiotic + Probiotic Vegan Gut Microbiome Supplement"/>
    <n v="6375"/>
    <s v="The Nue Co."/>
    <n v="1820"/>
    <x v="4"/>
    <n v="4.4356"/>
    <s v="Yes"/>
    <s v="High"/>
    <n v="163"/>
    <x v="103"/>
    <s v="Premium"/>
    <n v="0"/>
    <n v="0"/>
    <s v="Wellness"/>
  </r>
  <r>
    <s v="P442747"/>
    <s v="Self Tan Purity Water Gel"/>
    <n v="5626"/>
    <s v="St. Tropez"/>
    <n v="1821"/>
    <x v="4"/>
    <n v="3.3102999999999998"/>
    <s v="Yes"/>
    <s v="Medium"/>
    <n v="58"/>
    <x v="124"/>
    <s v="Mid"/>
    <n v="0"/>
    <n v="0"/>
    <s v="Self Tanners"/>
  </r>
  <r>
    <s v="P500502"/>
    <s v="SuperFruit Exfoliating Tonic 8% AHA Solution"/>
    <n v="7100"/>
    <s v="ROSE Ingleton MD"/>
    <n v="1826"/>
    <x v="4"/>
    <n v="4.8571"/>
    <s v="Yes"/>
    <s v="High"/>
    <n v="7"/>
    <x v="14"/>
    <s v="Mid"/>
    <n v="0"/>
    <n v="0"/>
    <s v="Cleansers"/>
  </r>
  <r>
    <s v="P451750"/>
    <s v="Oligo Peptide Eye Cream"/>
    <n v="6303"/>
    <s v="SOBEL SKIN Rx"/>
    <n v="1832"/>
    <x v="4"/>
    <n v="4.5"/>
    <s v="Yes"/>
    <s v="High"/>
    <n v="6"/>
    <x v="92"/>
    <s v="Premium"/>
    <n v="0"/>
    <n v="0"/>
    <s v="Eye Care"/>
  </r>
  <r>
    <s v="P482529"/>
    <s v="Micro Essence Treatment Lotion with Bio-Ferment"/>
    <n v="6089"/>
    <s v="EstÃ©e Lauder"/>
    <n v="1834"/>
    <x v="4"/>
    <n v="4.0556000000000001"/>
    <s v="Yes"/>
    <s v="High"/>
    <n v="216"/>
    <x v="87"/>
    <s v="Premium"/>
    <n v="0"/>
    <n v="0"/>
    <s v="Moisturizers"/>
  </r>
  <r>
    <s v="P470248"/>
    <s v="Retexturizing Retinol Booster Serum"/>
    <n v="7100"/>
    <s v="ROSE Ingleton MD"/>
    <n v="1842"/>
    <x v="4"/>
    <n v="4.5556000000000001"/>
    <s v="Yes"/>
    <s v="High"/>
    <n v="18"/>
    <x v="10"/>
    <s v="Premium"/>
    <n v="0"/>
    <n v="0"/>
    <s v="Treatments"/>
  </r>
  <r>
    <s v="P461937"/>
    <s v="Serum Serum Serum"/>
    <n v="7037"/>
    <s v="FOREO"/>
    <n v="1850"/>
    <x v="4"/>
    <n v="1.8462000000000001"/>
    <s v="Yes"/>
    <s v="Low"/>
    <n v="13"/>
    <x v="83"/>
    <s v="Premium"/>
    <n v="0"/>
    <n v="0"/>
    <s v="Treatments"/>
  </r>
  <r>
    <s v="P501153"/>
    <s v="Major Eye Impact Repair + Brighten Skincare Set"/>
    <n v="6089"/>
    <s v="EstÃ©e Lauder"/>
    <n v="1854"/>
    <x v="4"/>
    <n v="4"/>
    <s v="Yes"/>
    <s v="High"/>
    <n v="1"/>
    <x v="55"/>
    <s v="Premium"/>
    <n v="0"/>
    <n v="0"/>
    <s v="Value &amp; Gift Sets"/>
  </r>
  <r>
    <s v="P476447"/>
    <s v="Debloat+ Anti-Bloat Supplement with Digestive Enzymes"/>
    <n v="6375"/>
    <s v="The Nue Co."/>
    <n v="1867"/>
    <x v="4"/>
    <n v="4.2651000000000003"/>
    <s v="Yes"/>
    <s v="High"/>
    <n v="166"/>
    <x v="44"/>
    <s v="Mid"/>
    <n v="0"/>
    <n v="0"/>
    <s v="Wellness"/>
  </r>
  <r>
    <s v="P480289"/>
    <s v="Mini Acne Solutions Cleansing Foam"/>
    <n v="1254"/>
    <s v="CLINIQUE"/>
    <n v="1874"/>
    <x v="4"/>
    <n v="4"/>
    <s v="Yes"/>
    <s v="High"/>
    <n v="5"/>
    <x v="174"/>
    <s v="Budget"/>
    <n v="0"/>
    <n v="0"/>
    <s v="Cleansers"/>
  </r>
  <r>
    <s v="P423167"/>
    <s v="Future Solution LX Total Protective Cream Broad Spectrum SPF 20 Sunscreen"/>
    <n v="5337"/>
    <s v="Shiseido"/>
    <n v="1874"/>
    <x v="4"/>
    <n v="5"/>
    <s v="Yes"/>
    <s v="High"/>
    <n v="2"/>
    <x v="120"/>
    <s v="Premium"/>
    <n v="0"/>
    <n v="0"/>
    <s v="Sunscreen"/>
  </r>
  <r>
    <s v="P504517"/>
    <s v="Brightening Eye Cream Mineral SPF 15 with Peptides"/>
    <n v="6750"/>
    <s v="Soleil Toujours"/>
    <n v="1880"/>
    <x v="4"/>
    <n v="4.8666999999999998"/>
    <s v="Yes"/>
    <s v="High"/>
    <n v="15"/>
    <x v="6"/>
    <s v="Premium"/>
    <n v="1"/>
    <n v="0"/>
    <s v="Eye Care"/>
  </r>
  <r>
    <s v="P442860"/>
    <s v="ALIVE Prebiotic Balancing Moisturizer SPF 15"/>
    <n v="6018"/>
    <s v="Algenist"/>
    <n v="1897"/>
    <x v="4"/>
    <n v="3.2"/>
    <s v="Yes"/>
    <s v="Medium"/>
    <n v="30"/>
    <x v="24"/>
    <s v="Mid"/>
    <n v="0"/>
    <n v="0"/>
    <s v="Moisturizers"/>
  </r>
  <r>
    <s v="P423166"/>
    <s v="Future Solution LX Intensive Firming Contour Serum"/>
    <n v="5337"/>
    <s v="Shiseido"/>
    <n v="1898"/>
    <x v="4"/>
    <n v="4.4000000000000004"/>
    <s v="Yes"/>
    <s v="High"/>
    <n v="5"/>
    <x v="173"/>
    <s v="Premium"/>
    <n v="0"/>
    <n v="0"/>
    <s v="Treatments"/>
  </r>
  <r>
    <s v="P435209"/>
    <s v="Radiance Resurfacing Foam"/>
    <n v="4372"/>
    <s v="Dr. Brandt Skincare"/>
    <n v="1903"/>
    <x v="4"/>
    <n v="4.4478"/>
    <s v="Yes"/>
    <s v="High"/>
    <n v="297"/>
    <x v="55"/>
    <s v="Premium"/>
    <n v="0"/>
    <n v="0"/>
    <s v="Treatments"/>
  </r>
  <r>
    <s v="P481368"/>
    <s v="Detoxifying Facial Massage Tool - Kansa Wand"/>
    <n v="6475"/>
    <s v="RANAVAT"/>
    <n v="1919"/>
    <x v="4"/>
    <n v="4.6364000000000001"/>
    <s v="Yes"/>
    <s v="High"/>
    <n v="22"/>
    <x v="10"/>
    <s v="Premium"/>
    <n v="0"/>
    <n v="0"/>
    <s v="Wellness"/>
  </r>
  <r>
    <s v="P475186"/>
    <s v="Revive + Rewind Revitalizing Eye Cream"/>
    <n v="6373"/>
    <s v="TULA Skincare"/>
    <n v="1921"/>
    <x v="4"/>
    <n v="4.2390999999999996"/>
    <s v="Yes"/>
    <s v="High"/>
    <n v="46"/>
    <x v="23"/>
    <s v="Premium"/>
    <n v="0"/>
    <n v="0"/>
    <s v="Eye Care"/>
  </r>
  <r>
    <s v="P504850"/>
    <s v="Premier Cru Fine Lines and Wrinkles Anti-Aging Set"/>
    <n v="4171"/>
    <s v="Caudalie"/>
    <n v="1926"/>
    <x v="4"/>
    <n v="4"/>
    <s v="Yes"/>
    <s v="High"/>
    <n v="1"/>
    <x v="104"/>
    <s v="Premium"/>
    <n v="1"/>
    <n v="0"/>
    <s v="Value &amp; Gift Sets"/>
  </r>
  <r>
    <s v="P503933"/>
    <s v="The Night Time Edit- Jenna Rennert X OLEHENRIKSEN"/>
    <n v="5674"/>
    <s v="OLEHENRIKSEN"/>
    <n v="1927"/>
    <x v="4"/>
    <n v="3.4"/>
    <s v="Yes"/>
    <s v="Medium"/>
    <n v="5"/>
    <x v="92"/>
    <s v="Premium"/>
    <n v="0"/>
    <n v="0"/>
    <s v="Value &amp; Gift Sets"/>
  </r>
  <r>
    <s v="P483460"/>
    <s v="Shower Holder"/>
    <n v="6476"/>
    <s v="Hanni"/>
    <n v="1932"/>
    <x v="4"/>
    <n v="5"/>
    <s v="Yes"/>
    <s v="High"/>
    <n v="2"/>
    <x v="51"/>
    <s v="Budget"/>
    <n v="0"/>
    <n v="0"/>
    <s v="High Tech Tools"/>
  </r>
  <r>
    <s v="P482510"/>
    <s v="The Ultimate Soothing Cream"/>
    <n v="6356"/>
    <s v="Augustinus Bader"/>
    <n v="1933"/>
    <x v="4"/>
    <n v="4.6500000000000004"/>
    <s v="Yes"/>
    <s v="High"/>
    <n v="100"/>
    <x v="126"/>
    <s v="Premium"/>
    <n v="0"/>
    <n v="0"/>
    <s v="Moisturizers"/>
  </r>
  <r>
    <s v="P504283"/>
    <s v="Mini Solar Power Luminous SPF 30 Serum"/>
    <n v="6367"/>
    <s v="ROSE INC"/>
    <n v="1939"/>
    <x v="4"/>
    <n v="3"/>
    <s v="Yes"/>
    <s v="Medium"/>
    <n v="4"/>
    <x v="5"/>
    <s v="Budget"/>
    <n v="1"/>
    <n v="0"/>
    <s v="Sunscreen"/>
  </r>
  <r>
    <s v="P504056"/>
    <s v="Perfect Canvas Smooth, Prep &amp; Plump Essence"/>
    <n v="5857"/>
    <s v="REN Clean Skincare"/>
    <n v="1944"/>
    <x v="4"/>
    <n v="4.7676999999999996"/>
    <s v="Yes"/>
    <s v="High"/>
    <n v="155"/>
    <x v="103"/>
    <s v="Premium"/>
    <n v="1"/>
    <n v="0"/>
    <s v="Moisturizers"/>
  </r>
  <r>
    <s v="P504073"/>
    <s v="Ultralight Moisture-Boosting Botanical Oil"/>
    <n v="6488"/>
    <s v="The Outset"/>
    <n v="1949"/>
    <x v="4"/>
    <n v="4.8360000000000003"/>
    <s v="Yes"/>
    <s v="High"/>
    <n v="189"/>
    <x v="124"/>
    <s v="Mid"/>
    <n v="1"/>
    <n v="0"/>
    <s v="Moisturizers"/>
  </r>
  <r>
    <s v="P433620"/>
    <s v="Treatment Softener"/>
    <n v="5337"/>
    <s v="Shiseido"/>
    <n v="1957"/>
    <x v="4"/>
    <n v="3.25"/>
    <s v="Yes"/>
    <s v="Medium"/>
    <n v="12"/>
    <x v="50"/>
    <s v="Premium"/>
    <n v="0"/>
    <n v="0"/>
    <s v="Moisturizers"/>
  </r>
  <r>
    <s v="P410809"/>
    <s v="ELEVATE Firming &amp; Lifting Contouring Eye Cream"/>
    <n v="6018"/>
    <s v="Algenist"/>
    <n v="1957"/>
    <x v="4"/>
    <n v="3.2581000000000002"/>
    <s v="Yes"/>
    <s v="Medium"/>
    <n v="31"/>
    <x v="55"/>
    <s v="Premium"/>
    <n v="0"/>
    <n v="0"/>
    <s v="Eye Care"/>
  </r>
  <r>
    <s v="P474369"/>
    <s v="Clear Improvement Zero Oil Cleanser With Charcoal"/>
    <n v="3733"/>
    <s v="Origins"/>
    <n v="1959"/>
    <x v="4"/>
    <n v="3.5"/>
    <s v="Yes"/>
    <s v="Medium"/>
    <n v="8"/>
    <x v="129"/>
    <s v="Mid"/>
    <n v="0"/>
    <n v="0"/>
    <s v="Cleansers"/>
  </r>
  <r>
    <s v="P502195"/>
    <s v="DelIKate Try Me Kit"/>
    <n v="5946"/>
    <s v="Kate Somerville"/>
    <n v="1959"/>
    <x v="4"/>
    <n v="5"/>
    <s v="Yes"/>
    <s v="High"/>
    <n v="3"/>
    <x v="25"/>
    <s v="Mid"/>
    <n v="0"/>
    <n v="0"/>
    <s v="Value &amp; Gift Sets"/>
  </r>
  <r>
    <s v="P467107"/>
    <s v="GloPRO Cryo Skin Icing Attachments"/>
    <n v="6272"/>
    <s v="BeautyBio"/>
    <n v="1960"/>
    <x v="4"/>
    <n v="4.5"/>
    <s v="Yes"/>
    <s v="High"/>
    <n v="10"/>
    <x v="76"/>
    <s v="Premium"/>
    <n v="0"/>
    <n v="0"/>
    <s v="High Tech Tools"/>
  </r>
  <r>
    <s v="P504315"/>
    <s v="Mini Skin Resolution Clarifying Acid Toner"/>
    <n v="6367"/>
    <s v="ROSE INC"/>
    <n v="1962"/>
    <x v="4"/>
    <n v="4.6848000000000001"/>
    <s v="Yes"/>
    <s v="High"/>
    <n v="184"/>
    <x v="64"/>
    <s v="Budget"/>
    <n v="0"/>
    <n v="0"/>
    <s v="Cleansers"/>
  </r>
  <r>
    <s v="P448565"/>
    <s v="Clinique Smart Clinical MD Multi-Dimensional Age Transformer Duo Resculpt + Revolumize"/>
    <n v="1254"/>
    <s v="CLINIQUE"/>
    <n v="1968"/>
    <x v="4"/>
    <n v="3"/>
    <s v="Yes"/>
    <s v="Medium"/>
    <n v="11"/>
    <x v="28"/>
    <s v="Premium"/>
    <n v="0"/>
    <n v="0"/>
    <s v="Moisturizers"/>
  </r>
  <r>
    <s v="P482747"/>
    <s v="PLAY Mineral Mist SPF 30 with Marigold Extract"/>
    <n v="5987"/>
    <s v="Supergoop!"/>
    <n v="1971"/>
    <x v="4"/>
    <n v="2.5"/>
    <s v="Yes"/>
    <s v="Low"/>
    <n v="2"/>
    <x v="18"/>
    <s v="Mid"/>
    <n v="0"/>
    <n v="0"/>
    <s v="Sunscreen"/>
  </r>
  <r>
    <s v="P503876"/>
    <s v="OLE Glow Icons Skincare Set"/>
    <n v="5674"/>
    <s v="OLEHENRIKSEN"/>
    <n v="1997"/>
    <x v="4"/>
    <n v="3.75"/>
    <s v="Yes"/>
    <s v="Medium"/>
    <n v="4"/>
    <x v="48"/>
    <s v="Premium"/>
    <n v="1"/>
    <n v="0"/>
    <s v="Value &amp; Gift Sets"/>
  </r>
  <r>
    <s v="P448550"/>
    <s v="Brightening Face Cream"/>
    <n v="6302"/>
    <s v="Dr. Barbara Sturm"/>
    <n v="2000"/>
    <x v="4"/>
    <n v="5"/>
    <s v="Yes"/>
    <s v="High"/>
    <n v="5"/>
    <x v="175"/>
    <s v="Premium"/>
    <n v="0"/>
    <n v="0"/>
    <s v="Moisturizers"/>
  </r>
  <r>
    <s v="P476736"/>
    <s v="Superkind Fragrance-Free Bio-Barrier Serum"/>
    <n v="7020"/>
    <s v="Tata Harper"/>
    <n v="2010"/>
    <x v="4"/>
    <n v="4.7272999999999996"/>
    <s v="Yes"/>
    <s v="High"/>
    <n v="44"/>
    <x v="176"/>
    <s v="Premium"/>
    <n v="0"/>
    <n v="0"/>
    <s v="Treatments"/>
  </r>
  <r>
    <s v="P478020"/>
    <s v="Lemon-Aid Makeup-Removing Cleansing Gel"/>
    <n v="8012"/>
    <s v="Naturally Serious"/>
    <n v="2017"/>
    <x v="4"/>
    <n v="4.5522"/>
    <s v="Yes"/>
    <s v="High"/>
    <n v="67"/>
    <x v="13"/>
    <s v="Budget"/>
    <n v="0"/>
    <n v="0"/>
    <s v="Cleansers"/>
  </r>
  <r>
    <s v="P455010"/>
    <s v="Knock Me Out Sleep Chews"/>
    <n v="6309"/>
    <s v="goop"/>
    <n v="2036"/>
    <x v="4"/>
    <n v="3.2381000000000002"/>
    <s v="Yes"/>
    <s v="Medium"/>
    <n v="21"/>
    <x v="78"/>
    <s v="Mid"/>
    <n v="0"/>
    <n v="1"/>
    <s v="Wellness"/>
  </r>
  <r>
    <s v="P481138"/>
    <s v="FIX  Line Smoothing Device"/>
    <n v="6001"/>
    <s v="NuFACE"/>
    <n v="2054"/>
    <x v="4"/>
    <n v="2"/>
    <s v="Yes"/>
    <s v="Low"/>
    <n v="12"/>
    <x v="82"/>
    <s v="Premium"/>
    <n v="0"/>
    <n v="0"/>
    <s v="High Tech Tools"/>
  </r>
  <r>
    <s v="P505049"/>
    <s v="barrier+ Triple Lipid + Collagen Brightening Eye Treatment"/>
    <n v="6289"/>
    <s v="Skinfix"/>
    <n v="2065"/>
    <x v="4"/>
    <n v="4.7984"/>
    <s v="Yes"/>
    <s v="High"/>
    <n v="258"/>
    <x v="30"/>
    <s v="Premium"/>
    <n v="1"/>
    <n v="0"/>
    <s v="Eye Care"/>
  </r>
  <r>
    <s v="P502235"/>
    <s v="The Daily Essential Duo The Cream"/>
    <n v="6356"/>
    <s v="Augustinus Bader"/>
    <n v="2080"/>
    <x v="4"/>
    <n v="4"/>
    <s v="Yes"/>
    <s v="High"/>
    <n v="3"/>
    <x v="177"/>
    <s v="Premium"/>
    <n v="0"/>
    <n v="0"/>
    <s v="Value &amp; Gift Sets"/>
  </r>
  <r>
    <s v="P429508"/>
    <s v="Sunless Tan Dry Body Oil Mist"/>
    <n v="7091"/>
    <s v="COOLA"/>
    <n v="2101"/>
    <x v="4"/>
    <n v="4.3478000000000003"/>
    <s v="Yes"/>
    <s v="High"/>
    <n v="23"/>
    <x v="45"/>
    <s v="Mid"/>
    <n v="0"/>
    <n v="1"/>
    <s v="Self Tanners"/>
  </r>
  <r>
    <s v="P481371"/>
    <s v="Balancing CrÃ¨me Cleanser - Luminous Ceremony"/>
    <n v="6475"/>
    <s v="RANAVAT"/>
    <n v="2102"/>
    <x v="4"/>
    <n v="4.4682000000000004"/>
    <s v="Yes"/>
    <s v="High"/>
    <n v="173"/>
    <x v="44"/>
    <s v="Mid"/>
    <n v="0"/>
    <n v="0"/>
    <s v="Cleansers"/>
  </r>
  <r>
    <s v="P481077"/>
    <s v="Capture Totale Intensive Essence Lotion"/>
    <n v="1073"/>
    <s v="Dior"/>
    <n v="2108"/>
    <x v="4"/>
    <n v="4"/>
    <s v="Yes"/>
    <s v="High"/>
    <n v="3"/>
    <x v="19"/>
    <s v="Premium"/>
    <n v="0"/>
    <n v="0"/>
    <s v="Moisturizers"/>
  </r>
  <r>
    <s v="P462375"/>
    <s v="Hyaluronic Dew Drops Hydrating Serum"/>
    <n v="8017"/>
    <s v="Mario Badescu"/>
    <n v="2112"/>
    <x v="4"/>
    <n v="3.5"/>
    <s v="Yes"/>
    <s v="Medium"/>
    <n v="6"/>
    <x v="78"/>
    <s v="Mid"/>
    <n v="0"/>
    <n v="0"/>
    <s v="Treatments"/>
  </r>
  <r>
    <s v="P402993"/>
    <s v="Trinity Facial Toning Device + Wrinkle Reducer Attachment Bundle"/>
    <n v="6001"/>
    <s v="NuFACE"/>
    <n v="2112"/>
    <x v="4"/>
    <n v="3.6667000000000001"/>
    <s v="Yes"/>
    <s v="Medium"/>
    <n v="9"/>
    <x v="178"/>
    <s v="Premium"/>
    <n v="0"/>
    <n v="1"/>
    <s v="High Tech Tools"/>
  </r>
  <r>
    <s v="P468409"/>
    <s v="SKINPOWER Airy Milky Lotion"/>
    <n v="6084"/>
    <s v="SK-II"/>
    <n v="2114"/>
    <x v="4"/>
    <n v="4.2647000000000004"/>
    <s v="Yes"/>
    <s v="High"/>
    <n v="831"/>
    <x v="179"/>
    <s v="Premium"/>
    <n v="0"/>
    <n v="0"/>
    <s v="Moisturizers"/>
  </r>
  <r>
    <s v="P462377"/>
    <s v="Acne Repair Kit"/>
    <n v="8017"/>
    <s v="Mario Badescu"/>
    <n v="2124"/>
    <x v="4"/>
    <m/>
    <s v="No"/>
    <s v="Not Rated"/>
    <n v="0"/>
    <x v="45"/>
    <s v="Mid"/>
    <n v="0"/>
    <n v="0"/>
    <s v="Value &amp; Gift Sets"/>
  </r>
  <r>
    <s v="P469112"/>
    <s v="KateCeuticals Total Repair Cream"/>
    <n v="5946"/>
    <s v="Kate Somerville"/>
    <n v="2129"/>
    <x v="4"/>
    <n v="4.7142999999999997"/>
    <s v="Yes"/>
    <s v="High"/>
    <n v="91"/>
    <x v="180"/>
    <s v="Premium"/>
    <n v="0"/>
    <n v="0"/>
    <s v="Moisturizers"/>
  </r>
  <r>
    <s v="P475193"/>
    <s v="Wrinkle Treatment Drops Retinol Alternative Serum"/>
    <n v="6373"/>
    <s v="TULA Skincare"/>
    <n v="2136"/>
    <x v="4"/>
    <n v="4.2979000000000003"/>
    <s v="Yes"/>
    <s v="High"/>
    <n v="47"/>
    <x v="6"/>
    <s v="Premium"/>
    <n v="0"/>
    <n v="0"/>
    <s v="Treatments"/>
  </r>
  <r>
    <s v="P475204"/>
    <s v="Sensitive Skin Treatment Drops Calming Vitamin B Serum"/>
    <n v="6373"/>
    <s v="TULA Skincare"/>
    <n v="2137"/>
    <x v="4"/>
    <n v="4.1489000000000003"/>
    <s v="Yes"/>
    <s v="High"/>
    <n v="47"/>
    <x v="14"/>
    <s v="Mid"/>
    <n v="0"/>
    <n v="0"/>
    <s v="Treatments"/>
  </r>
  <r>
    <s v="P462379"/>
    <s v="Witch Hazel &amp; Lavender Toner"/>
    <n v="8017"/>
    <s v="Mario Badescu"/>
    <n v="2138"/>
    <x v="4"/>
    <n v="4"/>
    <s v="Yes"/>
    <s v="High"/>
    <n v="6"/>
    <x v="58"/>
    <s v="Budget"/>
    <n v="0"/>
    <n v="0"/>
    <s v="Cleansers"/>
  </r>
  <r>
    <s v="P442545"/>
    <s v="Triple Action Cleanser"/>
    <n v="6283"/>
    <s v="Alpha-H"/>
    <n v="2138"/>
    <x v="4"/>
    <n v="4.25"/>
    <s v="Yes"/>
    <s v="High"/>
    <n v="12"/>
    <x v="12"/>
    <s v="Mid"/>
    <n v="0"/>
    <n v="0"/>
    <s v="Cleansers"/>
  </r>
  <r>
    <s v="P501243"/>
    <s v="GOOPGLOW Exfoliating Dark Spot Sleep Serum"/>
    <n v="6309"/>
    <s v="goop"/>
    <n v="2143"/>
    <x v="4"/>
    <n v="4.0598000000000001"/>
    <s v="Yes"/>
    <s v="High"/>
    <n v="251"/>
    <x v="131"/>
    <s v="Premium"/>
    <n v="0"/>
    <n v="0"/>
    <s v="Treatments"/>
  </r>
  <r>
    <s v="P427640"/>
    <s v="DayWear Eye Cooling Anti-Oxidant Moisture GelCreme"/>
    <n v="6089"/>
    <s v="EstÃ©e Lauder"/>
    <n v="2157"/>
    <x v="4"/>
    <n v="4.2727000000000004"/>
    <s v="Yes"/>
    <s v="High"/>
    <n v="11"/>
    <x v="45"/>
    <s v="Mid"/>
    <n v="0"/>
    <n v="0"/>
    <s v="Eye Care"/>
  </r>
  <r>
    <s v="P481354"/>
    <s v="Renewing Bakuchi CrÃ¨me - Eternal Reign"/>
    <n v="6475"/>
    <s v="RANAVAT"/>
    <n v="2168"/>
    <x v="4"/>
    <n v="4.3676000000000004"/>
    <s v="Yes"/>
    <s v="High"/>
    <n v="204"/>
    <x v="73"/>
    <s v="Premium"/>
    <n v="0"/>
    <n v="0"/>
    <s v="Moisturizers"/>
  </r>
  <r>
    <s v="P470247"/>
    <s v="Blemish Control Booster Serum"/>
    <n v="7100"/>
    <s v="ROSE Ingleton MD"/>
    <n v="2170"/>
    <x v="4"/>
    <n v="4.8182"/>
    <s v="Yes"/>
    <s v="High"/>
    <n v="33"/>
    <x v="10"/>
    <s v="Premium"/>
    <n v="0"/>
    <n v="0"/>
    <s v="Treatments"/>
  </r>
  <r>
    <s v="P474111"/>
    <s v="Super-C SPF 30 Vitamin C Face Moisturizer"/>
    <n v="6358"/>
    <s v="StriVectin"/>
    <n v="2182"/>
    <x v="4"/>
    <n v="4.6538000000000004"/>
    <s v="Yes"/>
    <s v="High"/>
    <n v="52"/>
    <x v="116"/>
    <s v="Premium"/>
    <n v="0"/>
    <n v="0"/>
    <s v="Moisturizers"/>
  </r>
  <r>
    <s v="P450934"/>
    <s v="Abeille Royale Day Cream"/>
    <n v="1132"/>
    <s v="GUERLAIN"/>
    <n v="2188"/>
    <x v="4"/>
    <n v="4.2857000000000003"/>
    <s v="Yes"/>
    <s v="High"/>
    <n v="14"/>
    <x v="179"/>
    <s v="Premium"/>
    <n v="0"/>
    <n v="0"/>
    <s v="Moisturizers"/>
  </r>
  <r>
    <s v="P449410"/>
    <s v="Boosted Contouring Retinol Eye Balm"/>
    <n v="7020"/>
    <s v="Tata Harper"/>
    <n v="2191"/>
    <x v="4"/>
    <n v="3.4167000000000001"/>
    <s v="Yes"/>
    <s v="Medium"/>
    <n v="12"/>
    <x v="72"/>
    <s v="Premium"/>
    <n v="0"/>
    <n v="0"/>
    <s v="Eye Care"/>
  </r>
  <r>
    <s v="P500705"/>
    <s v="Skin Changer Succinic Acid Essence-Toner"/>
    <n v="6329"/>
    <s v="FaceGym"/>
    <n v="2193"/>
    <x v="4"/>
    <n v="4.7680999999999996"/>
    <s v="Yes"/>
    <s v="High"/>
    <n v="69"/>
    <x v="14"/>
    <s v="Mid"/>
    <n v="0"/>
    <n v="0"/>
    <s v="Cleansers"/>
  </r>
  <r>
    <s v="P430143"/>
    <s v="Mini Confidence in a Cleanser"/>
    <n v="6175"/>
    <s v="IT Cosmetics"/>
    <n v="2196"/>
    <x v="4"/>
    <n v="4.1666999999999996"/>
    <s v="Yes"/>
    <s v="High"/>
    <n v="12"/>
    <x v="64"/>
    <s v="Budget"/>
    <n v="0"/>
    <n v="0"/>
    <s v="Mini Size"/>
  </r>
  <r>
    <s v="P480610"/>
    <s v="Hello Results Baby-Smooth Glycolic Peel + Caring Oil"/>
    <n v="6175"/>
    <s v="IT Cosmetics"/>
    <n v="2199"/>
    <x v="4"/>
    <n v="4.5"/>
    <s v="Yes"/>
    <s v="High"/>
    <n v="6"/>
    <x v="83"/>
    <s v="Premium"/>
    <n v="0"/>
    <n v="0"/>
    <s v="Treatments"/>
  </r>
  <r>
    <s v="P460757"/>
    <s v="Brightening Mask with Vitamin C"/>
    <n v="8017"/>
    <s v="Mario Badescu"/>
    <n v="2200"/>
    <x v="4"/>
    <n v="3.5"/>
    <s v="Yes"/>
    <s v="Medium"/>
    <n v="4"/>
    <x v="75"/>
    <s v="Mid"/>
    <n v="0"/>
    <n v="0"/>
    <s v="Masks"/>
  </r>
  <r>
    <s v="P481971"/>
    <s v="Hydra Life Intense Sorbet CrÃ¨me Moisturizer"/>
    <n v="1073"/>
    <s v="Dior"/>
    <n v="2201"/>
    <x v="4"/>
    <n v="5"/>
    <s v="Yes"/>
    <s v="High"/>
    <n v="3"/>
    <x v="99"/>
    <s v="Premium"/>
    <n v="0"/>
    <n v="0"/>
    <s v="Moisturizers"/>
  </r>
  <r>
    <s v="P464233"/>
    <s v="Mini Face Cream"/>
    <n v="6302"/>
    <s v="Dr. Barbara Sturm"/>
    <n v="2202"/>
    <x v="4"/>
    <n v="4.2407000000000004"/>
    <s v="Yes"/>
    <s v="High"/>
    <n v="810"/>
    <x v="76"/>
    <s v="Premium"/>
    <n v="0"/>
    <n v="1"/>
    <s v="Moisturizers"/>
  </r>
  <r>
    <s v="P482260"/>
    <s v="Rice Drops Face Oil Hydrating Serum"/>
    <n v="6349"/>
    <s v="DAMDAM"/>
    <n v="2203"/>
    <x v="4"/>
    <n v="4.8548"/>
    <s v="Yes"/>
    <s v="High"/>
    <n v="186"/>
    <x v="6"/>
    <s v="Premium"/>
    <n v="0"/>
    <n v="0"/>
    <s v="Moisturizers"/>
  </r>
  <r>
    <s v="P481342"/>
    <s v="Cleansing &amp; Hydrating Bestseller Set Bento Box"/>
    <n v="6349"/>
    <s v="DAMDAM"/>
    <n v="2206"/>
    <x v="4"/>
    <n v="5"/>
    <s v="Yes"/>
    <s v="High"/>
    <n v="2"/>
    <x v="36"/>
    <s v="Mid"/>
    <n v="0"/>
    <n v="0"/>
    <s v="Value &amp; Gift Sets"/>
  </r>
  <r>
    <s v="P457468"/>
    <s v="Brazilliance 2HR Express Deep Foaming Self-Tanner"/>
    <n v="5648"/>
    <s v="tarte"/>
    <n v="2207"/>
    <x v="4"/>
    <n v="3.0417000000000001"/>
    <s v="Yes"/>
    <s v="Medium"/>
    <n v="24"/>
    <x v="7"/>
    <s v="Mid"/>
    <n v="0"/>
    <n v="0"/>
    <s v="Self Tanners"/>
  </r>
  <r>
    <s v="P416588"/>
    <s v="Wrinkle Release Neck &amp; Chest Sheet Mask"/>
    <n v="6187"/>
    <s v="Skin Laundry"/>
    <n v="2226"/>
    <x v="4"/>
    <n v="3.25"/>
    <s v="Yes"/>
    <s v="Medium"/>
    <n v="4"/>
    <x v="64"/>
    <s v="Budget"/>
    <n v="0"/>
    <n v="1"/>
    <s v="Masks"/>
  </r>
  <r>
    <s v="P450935"/>
    <s v="Abeille Royale Night Cream"/>
    <n v="1132"/>
    <s v="GUERLAIN"/>
    <n v="2226"/>
    <x v="4"/>
    <n v="3.6667000000000001"/>
    <s v="Yes"/>
    <s v="Medium"/>
    <n v="3"/>
    <x v="181"/>
    <s v="Premium"/>
    <n v="0"/>
    <n v="0"/>
    <s v="Moisturizers"/>
  </r>
  <r>
    <s v="P475195"/>
    <s v="Protect + Plump Firming &amp; Hydrating Face Moisturizer"/>
    <n v="6373"/>
    <s v="TULA Skincare"/>
    <n v="2230"/>
    <x v="4"/>
    <n v="3.9630000000000001"/>
    <s v="Yes"/>
    <s v="Medium"/>
    <n v="54"/>
    <x v="56"/>
    <s v="Premium"/>
    <n v="0"/>
    <n v="0"/>
    <s v="Moisturizers"/>
  </r>
  <r>
    <s v="P448548"/>
    <s v="Darker Skin Tones Hyaluronic Serum"/>
    <n v="6302"/>
    <s v="Dr. Barbara Sturm"/>
    <n v="2233"/>
    <x v="4"/>
    <n v="4.3635999999999999"/>
    <s v="Yes"/>
    <s v="High"/>
    <n v="11"/>
    <x v="121"/>
    <s v="Premium"/>
    <n v="0"/>
    <n v="0"/>
    <s v="Treatments"/>
  </r>
  <r>
    <s v="P471064"/>
    <s v="Max Matte Shine Control Sunscreen Broad Spectrum SPF 45"/>
    <n v="3728"/>
    <s v="Peter Thomas Roth"/>
    <n v="2240"/>
    <x v="4"/>
    <n v="2.4864999999999999"/>
    <s v="Yes"/>
    <s v="Low"/>
    <n v="37"/>
    <x v="12"/>
    <s v="Mid"/>
    <n v="0"/>
    <n v="0"/>
    <s v="Sunscreen"/>
  </r>
  <r>
    <s v="P468406"/>
    <s v="Vital Perfection Intensive WrinkleSpot Treatment"/>
    <n v="5337"/>
    <s v="Shiseido"/>
    <n v="2248"/>
    <x v="4"/>
    <m/>
    <s v="No"/>
    <s v="Not Rated"/>
    <n v="0"/>
    <x v="63"/>
    <s v="Premium"/>
    <n v="0"/>
    <n v="0"/>
    <s v="Treatments"/>
  </r>
  <r>
    <s v="P504424"/>
    <s v="Clarifying Peel Pads Purify + Exfoliate"/>
    <n v="3902"/>
    <s v="SEPHORA COLLECTION"/>
    <n v="2254"/>
    <x v="4"/>
    <n v="5"/>
    <s v="Yes"/>
    <s v="High"/>
    <n v="1"/>
    <x v="34"/>
    <s v="Budget"/>
    <n v="1"/>
    <n v="0"/>
    <s v="Treatments"/>
  </r>
  <r>
    <s v="P473185"/>
    <s v="Water Drench Hyaluronic Cloud Makeup Removing Gel Cleanser"/>
    <n v="3728"/>
    <s v="Peter Thomas Roth"/>
    <n v="2272"/>
    <x v="4"/>
    <n v="4"/>
    <s v="Yes"/>
    <s v="High"/>
    <n v="14"/>
    <x v="29"/>
    <s v="Mid"/>
    <n v="0"/>
    <n v="0"/>
    <s v="Cleansers"/>
  </r>
  <r>
    <s v="P444987"/>
    <s v="Capture Youth Age-Delay Progressive Peeling CrÃ¨me"/>
    <n v="1073"/>
    <s v="Dior"/>
    <n v="2275"/>
    <x v="4"/>
    <n v="4.4286000000000003"/>
    <s v="Yes"/>
    <s v="High"/>
    <n v="7"/>
    <x v="61"/>
    <s v="Premium"/>
    <n v="0"/>
    <n v="0"/>
    <s v="Treatments"/>
  </r>
  <r>
    <s v="P459300"/>
    <s v="Mini GOOPGLOW Morning Skin Superpowder"/>
    <n v="6309"/>
    <s v="goop"/>
    <n v="2276"/>
    <x v="4"/>
    <n v="3.9910000000000001"/>
    <s v="Yes"/>
    <s v="Medium"/>
    <n v="1110"/>
    <x v="51"/>
    <s v="Budget"/>
    <n v="0"/>
    <n v="0"/>
    <s v="Mini Size"/>
  </r>
  <r>
    <s v="P448558"/>
    <s v="Clarifying Face Cream"/>
    <n v="6302"/>
    <s v="Dr. Barbara Sturm"/>
    <n v="2288"/>
    <x v="4"/>
    <n v="3.3182"/>
    <s v="Yes"/>
    <s v="Medium"/>
    <n v="22"/>
    <x v="172"/>
    <s v="Premium"/>
    <n v="0"/>
    <n v="0"/>
    <s v="Moisturizers"/>
  </r>
  <r>
    <s v="P474967"/>
    <s v="NuFACE Firming and Brightening Silk CrÃ¨me"/>
    <n v="6001"/>
    <s v="NuFACE"/>
    <n v="2299"/>
    <x v="4"/>
    <n v="4.5625"/>
    <s v="Yes"/>
    <s v="High"/>
    <n v="16"/>
    <x v="116"/>
    <s v="Premium"/>
    <n v="0"/>
    <n v="0"/>
    <s v="Moisturizers"/>
  </r>
  <r>
    <s v="P502640"/>
    <s v="Microdermabrasion Renewing Age-Defying Face Exfoliator"/>
    <n v="4372"/>
    <s v="Dr. Brandt Skincare"/>
    <n v="2309"/>
    <x v="4"/>
    <n v="4.8620999999999999"/>
    <s v="Yes"/>
    <s v="High"/>
    <n v="58"/>
    <x v="93"/>
    <s v="Premium"/>
    <n v="0"/>
    <n v="0"/>
    <s v="Cleansers"/>
  </r>
  <r>
    <s v="P483693"/>
    <s v="Essential Comfort Moisture Cream"/>
    <n v="6307"/>
    <s v="Sulwhasoo"/>
    <n v="2324"/>
    <x v="4"/>
    <n v="5"/>
    <s v="Yes"/>
    <s v="High"/>
    <n v="3"/>
    <x v="19"/>
    <s v="Premium"/>
    <n v="0"/>
    <n v="0"/>
    <s v="Moisturizers"/>
  </r>
  <r>
    <s v="P504018"/>
    <s v="The Skin Renewal System"/>
    <n v="6356"/>
    <s v="Augustinus Bader"/>
    <n v="2331"/>
    <x v="4"/>
    <n v="5"/>
    <s v="Yes"/>
    <s v="High"/>
    <n v="2"/>
    <x v="182"/>
    <s v="Premium"/>
    <n v="1"/>
    <n v="0"/>
    <s v="Value &amp; Gift Sets"/>
  </r>
  <r>
    <s v="P462383"/>
    <s v="Flower &amp; Tonic Clay Mask"/>
    <n v="8017"/>
    <s v="Mario Badescu"/>
    <n v="2333"/>
    <x v="4"/>
    <n v="4.5"/>
    <s v="Yes"/>
    <s v="High"/>
    <n v="4"/>
    <x v="5"/>
    <s v="Budget"/>
    <n v="0"/>
    <n v="1"/>
    <s v="Masks"/>
  </r>
  <r>
    <s v="P476432"/>
    <s v="Capture Totale Super Potent Cleanser"/>
    <n v="1073"/>
    <s v="Dior"/>
    <n v="2344"/>
    <x v="4"/>
    <n v="4.4545000000000003"/>
    <s v="Yes"/>
    <s v="High"/>
    <n v="11"/>
    <x v="92"/>
    <s v="Premium"/>
    <n v="0"/>
    <n v="0"/>
    <s v="Cleansers"/>
  </r>
  <r>
    <s v="P380001"/>
    <s v="DayWear Advanced Multi-Protection Anti-Oxidant Creme, Dry"/>
    <n v="6089"/>
    <s v="EstÃ©e Lauder"/>
    <n v="2348"/>
    <x v="4"/>
    <n v="4.2173999999999996"/>
    <s v="Yes"/>
    <s v="High"/>
    <n v="23"/>
    <x v="83"/>
    <s v="Premium"/>
    <n v="0"/>
    <n v="0"/>
    <s v="Moisturizers"/>
  </r>
  <r>
    <s v="P505211"/>
    <s v="(Glow)Setting 100% Mineral Powder SPF 35"/>
    <n v="5987"/>
    <s v="Supergoop!"/>
    <n v="2352"/>
    <x v="4"/>
    <n v="4.4757999999999996"/>
    <s v="Yes"/>
    <s v="High"/>
    <n v="124"/>
    <x v="8"/>
    <s v="Mid"/>
    <n v="1"/>
    <n v="0"/>
    <s v="Sunscreen"/>
  </r>
  <r>
    <s v="P458962"/>
    <s v="G.Tox Malachite and AHA Pore Refining Tonic"/>
    <n v="6309"/>
    <s v="goop"/>
    <n v="2373"/>
    <x v="4"/>
    <n v="3.9333"/>
    <s v="Yes"/>
    <s v="Medium"/>
    <n v="15"/>
    <x v="76"/>
    <s v="Premium"/>
    <n v="0"/>
    <n v="0"/>
    <s v="Cleansers"/>
  </r>
  <r>
    <s v="P470246"/>
    <s v="Calming Hydration Booster Serum"/>
    <n v="7100"/>
    <s v="ROSE Ingleton MD"/>
    <n v="2391"/>
    <x v="4"/>
    <n v="4.7142999999999997"/>
    <s v="Yes"/>
    <s v="High"/>
    <n v="21"/>
    <x v="10"/>
    <s v="Premium"/>
    <n v="0"/>
    <n v="0"/>
    <s v="Treatments"/>
  </r>
  <r>
    <s v="P476674"/>
    <s v="Electro-Lite Enzyme Brightening Gel Cleanser"/>
    <n v="6329"/>
    <s v="FaceGym"/>
    <n v="2393"/>
    <x v="4"/>
    <n v="4.7887000000000004"/>
    <s v="Yes"/>
    <s v="High"/>
    <n v="71"/>
    <x v="12"/>
    <s v="Mid"/>
    <n v="0"/>
    <n v="0"/>
    <s v="Cleansers"/>
  </r>
  <r>
    <s v="P458961"/>
    <s v="G.Tox Malachite and Fruit Acid Pore Purifying Cleanser"/>
    <n v="6309"/>
    <s v="goop"/>
    <n v="2395"/>
    <x v="4"/>
    <n v="4.3888999999999996"/>
    <s v="Yes"/>
    <s v="High"/>
    <n v="18"/>
    <x v="14"/>
    <s v="Mid"/>
    <n v="0"/>
    <n v="1"/>
    <s v="Cleansers"/>
  </r>
  <r>
    <s v="P456434"/>
    <s v="knockout brightening gel moisturizer"/>
    <n v="5648"/>
    <s v="tarte"/>
    <n v="2400"/>
    <x v="4"/>
    <n v="4.25"/>
    <s v="Yes"/>
    <s v="High"/>
    <n v="8"/>
    <x v="58"/>
    <s v="Budget"/>
    <n v="0"/>
    <n v="0"/>
    <s v="Moisturizers"/>
  </r>
  <r>
    <s v="P480606"/>
    <s v="goopglow Cloudberry Exfoliating Jelly Cleanser"/>
    <n v="6309"/>
    <s v="goop"/>
    <n v="2403"/>
    <x v="4"/>
    <n v="4.0194000000000001"/>
    <s v="Yes"/>
    <s v="High"/>
    <n v="413"/>
    <x v="9"/>
    <s v="Mid"/>
    <n v="0"/>
    <n v="0"/>
    <s v="Cleansers"/>
  </r>
  <r>
    <s v="P309409"/>
    <s v="Repairwear Uplifting Firming Cream"/>
    <n v="1254"/>
    <s v="CLINIQUE"/>
    <n v="2408"/>
    <x v="4"/>
    <n v="3.7143000000000002"/>
    <s v="Yes"/>
    <s v="Medium"/>
    <n v="42"/>
    <x v="28"/>
    <s v="Premium"/>
    <n v="0"/>
    <n v="0"/>
    <s v="Moisturizers"/>
  </r>
  <r>
    <s v="P443810"/>
    <s v="The Daily Vitamin C Day Serum with Antioxidant Complex"/>
    <n v="6272"/>
    <s v="BeautyBio"/>
    <n v="2415"/>
    <x v="4"/>
    <n v="3.1175999999999999"/>
    <s v="Yes"/>
    <s v="Medium"/>
    <n v="17"/>
    <x v="76"/>
    <s v="Premium"/>
    <n v="0"/>
    <n v="0"/>
    <s v="Treatments"/>
  </r>
  <r>
    <s v="P504987"/>
    <s v="Refreshing Water Sunscreen Stick SPF 50"/>
    <n v="7091"/>
    <s v="COOLA"/>
    <n v="2419"/>
    <x v="4"/>
    <n v="5"/>
    <s v="Yes"/>
    <s v="High"/>
    <n v="2"/>
    <x v="78"/>
    <s v="Mid"/>
    <n v="1"/>
    <n v="0"/>
    <s v="Sunscreen"/>
  </r>
  <r>
    <s v="P482058"/>
    <s v="Dr. Andrew Weil for Origins Mega-Mushroom Weightless Hydrating Moisturizer"/>
    <n v="3733"/>
    <s v="Origins"/>
    <n v="2424"/>
    <x v="4"/>
    <n v="4.0999999999999996"/>
    <s v="Yes"/>
    <s v="High"/>
    <n v="10"/>
    <x v="24"/>
    <s v="Mid"/>
    <n v="0"/>
    <n v="0"/>
    <s v="Moisturizers"/>
  </r>
  <r>
    <s v="P503999"/>
    <s v="Capture Totale Le SÃ©rum Anti-Aging Serum"/>
    <n v="1073"/>
    <s v="Dior"/>
    <n v="2435"/>
    <x v="4"/>
    <n v="4.4527000000000001"/>
    <s v="Yes"/>
    <s v="High"/>
    <n v="497"/>
    <x v="63"/>
    <s v="Premium"/>
    <n v="1"/>
    <n v="0"/>
    <s v="Treatments"/>
  </r>
  <r>
    <s v="P476678"/>
    <s v="Face Coach Lifting Squalane Face Oil"/>
    <n v="6329"/>
    <s v="FaceGym"/>
    <n v="2438"/>
    <x v="4"/>
    <n v="4.6052999999999997"/>
    <s v="Yes"/>
    <s v="High"/>
    <n v="76"/>
    <x v="10"/>
    <s v="Premium"/>
    <n v="0"/>
    <n v="0"/>
    <s v="Moisturizers"/>
  </r>
  <r>
    <s v="P481062"/>
    <s v="Clean Skin, Fresh Start Acne Solutions Kit"/>
    <n v="1254"/>
    <s v="CLINIQUE"/>
    <n v="2441"/>
    <x v="4"/>
    <n v="3"/>
    <s v="Yes"/>
    <s v="Medium"/>
    <n v="4"/>
    <x v="183"/>
    <s v="Mid"/>
    <n v="0"/>
    <n v="0"/>
    <s v="Value &amp; Gift Sets"/>
  </r>
  <r>
    <s v="P448542"/>
    <s v="Clarifying Mask"/>
    <n v="6302"/>
    <s v="Dr. Barbara Sturm"/>
    <n v="2446"/>
    <x v="4"/>
    <n v="4.125"/>
    <s v="Yes"/>
    <s v="High"/>
    <n v="16"/>
    <x v="184"/>
    <s v="Premium"/>
    <n v="0"/>
    <n v="0"/>
    <s v="Masks"/>
  </r>
  <r>
    <s v="P405589"/>
    <s v="Multi-Active Anti-Aging Day Cream-Gel Moisturizer for Glowing Skin"/>
    <n v="2082"/>
    <s v="Clarins"/>
    <n v="2459"/>
    <x v="4"/>
    <n v="3.7726999999999999"/>
    <s v="Yes"/>
    <s v="Medium"/>
    <n v="22"/>
    <x v="83"/>
    <s v="Premium"/>
    <n v="0"/>
    <n v="0"/>
    <s v="Moisturizers"/>
  </r>
  <r>
    <s v="P475197"/>
    <s v="Balancing Act Purifying &amp; pH Balancing Biodegradable Toner Pads"/>
    <n v="6373"/>
    <s v="TULA Skincare"/>
    <n v="2470"/>
    <x v="4"/>
    <n v="4.0545"/>
    <s v="Yes"/>
    <s v="High"/>
    <n v="55"/>
    <x v="8"/>
    <s v="Mid"/>
    <n v="0"/>
    <n v="0"/>
    <s v="Cleansers"/>
  </r>
  <r>
    <s v="P472024"/>
    <s v="Skin Mud Pure Vitamin C Brightening Mask"/>
    <n v="6349"/>
    <s v="DAMDAM"/>
    <n v="2472"/>
    <x v="4"/>
    <n v="4.7419000000000002"/>
    <s v="Yes"/>
    <s v="High"/>
    <n v="62"/>
    <x v="14"/>
    <s v="Mid"/>
    <n v="0"/>
    <n v="0"/>
    <s v="Masks"/>
  </r>
  <r>
    <s v="P464242"/>
    <s v="Hyaluronic Acid + Peptide Serum"/>
    <n v="6334"/>
    <s v="Dr. Zenovia Skincare"/>
    <n v="2472"/>
    <x v="4"/>
    <n v="4.5082000000000004"/>
    <s v="Yes"/>
    <s v="High"/>
    <n v="122"/>
    <x v="55"/>
    <s v="Premium"/>
    <n v="0"/>
    <n v="0"/>
    <s v="Treatments"/>
  </r>
  <r>
    <s v="P472341"/>
    <s v="Superkind Fragrance-Free Fortifying Moisturizer"/>
    <n v="7020"/>
    <s v="Tata Harper"/>
    <n v="2480"/>
    <x v="4"/>
    <n v="4.58"/>
    <s v="Yes"/>
    <s v="High"/>
    <n v="50"/>
    <x v="87"/>
    <s v="Premium"/>
    <n v="0"/>
    <n v="0"/>
    <s v="Moisturizers"/>
  </r>
  <r>
    <s v="P447788"/>
    <s v="Calming Serum"/>
    <n v="6302"/>
    <s v="Dr. Barbara Sturm"/>
    <n v="2487"/>
    <x v="4"/>
    <n v="3.7778"/>
    <s v="Yes"/>
    <s v="Medium"/>
    <n v="18"/>
    <x v="185"/>
    <s v="Premium"/>
    <n v="0"/>
    <n v="1"/>
    <s v="Treatments"/>
  </r>
  <r>
    <s v="P455229"/>
    <s v="White Lucent Illuminating Micro-Spot Serum"/>
    <n v="5337"/>
    <s v="Shiseido"/>
    <n v="2501"/>
    <x v="4"/>
    <n v="3"/>
    <s v="Yes"/>
    <s v="Medium"/>
    <n v="2"/>
    <x v="182"/>
    <s v="Premium"/>
    <n v="0"/>
    <n v="0"/>
    <s v="Treatments"/>
  </r>
  <r>
    <s v="P468390"/>
    <s v="Ashwagandha Organic Root Extract"/>
    <n v="6226"/>
    <s v="Moon Juice"/>
    <n v="2514"/>
    <x v="4"/>
    <n v="5"/>
    <s v="Yes"/>
    <s v="High"/>
    <n v="3"/>
    <x v="12"/>
    <s v="Mid"/>
    <n v="0"/>
    <n v="0"/>
    <s v="Wellness"/>
  </r>
  <r>
    <s v="P501518"/>
    <s v="Calming Herbal Repair Overnight Recovery Balm for Skin Barrier Support"/>
    <n v="6256"/>
    <s v="Mount Lai"/>
    <n v="2516"/>
    <x v="4"/>
    <n v="4.0875000000000004"/>
    <s v="Yes"/>
    <s v="High"/>
    <n v="160"/>
    <x v="37"/>
    <s v="Premium"/>
    <n v="0"/>
    <n v="0"/>
    <s v="Treatments"/>
  </r>
  <r>
    <s v="P448557"/>
    <s v="Clarifying Serum"/>
    <n v="6302"/>
    <s v="Dr. Barbara Sturm"/>
    <n v="2524"/>
    <x v="4"/>
    <n v="4.125"/>
    <s v="Yes"/>
    <s v="High"/>
    <n v="16"/>
    <x v="185"/>
    <s v="Premium"/>
    <n v="0"/>
    <n v="0"/>
    <s v="Treatments"/>
  </r>
  <r>
    <s v="P479974"/>
    <s v="Brightening Eye Serum"/>
    <n v="8017"/>
    <s v="Mario Badescu"/>
    <n v="2532"/>
    <x v="4"/>
    <n v="3.2856999999999998"/>
    <s v="Yes"/>
    <s v="Medium"/>
    <n v="7"/>
    <x v="0"/>
    <s v="Mid"/>
    <n v="0"/>
    <n v="0"/>
    <s v="Eye Care"/>
  </r>
  <r>
    <s v="P483692"/>
    <s v="Essential Comfort Firming Cream"/>
    <n v="6307"/>
    <s v="Sulwhasoo"/>
    <n v="2534"/>
    <x v="4"/>
    <n v="4.5019"/>
    <s v="Yes"/>
    <s v="High"/>
    <n v="257"/>
    <x v="119"/>
    <s v="Premium"/>
    <n v="0"/>
    <n v="0"/>
    <s v="Moisturizers"/>
  </r>
  <r>
    <s v="P481973"/>
    <s v="The Better B Niacinamide Serum"/>
    <n v="6302"/>
    <s v="Dr. Barbara Sturm"/>
    <n v="2538"/>
    <x v="4"/>
    <n v="4.8666999999999998"/>
    <s v="Yes"/>
    <s v="High"/>
    <n v="30"/>
    <x v="109"/>
    <s v="Premium"/>
    <n v="0"/>
    <n v="0"/>
    <s v="Treatments"/>
  </r>
  <r>
    <s v="P475200"/>
    <s v="Your Best Skin at Every Age Firming &amp; Smoothing Discovery Kit"/>
    <n v="6373"/>
    <s v="TULA Skincare"/>
    <n v="2541"/>
    <x v="4"/>
    <n v="3.8292999999999999"/>
    <s v="Yes"/>
    <s v="Medium"/>
    <n v="41"/>
    <x v="40"/>
    <s v="Premium"/>
    <n v="0"/>
    <n v="0"/>
    <s v="Value &amp; Gift Sets"/>
  </r>
  <r>
    <s v="P475907"/>
    <s v="The Serum with  TFC8"/>
    <n v="6356"/>
    <s v="Augustinus Bader"/>
    <n v="2556"/>
    <x v="4"/>
    <n v="3.9876999999999998"/>
    <s v="Yes"/>
    <s v="Medium"/>
    <n v="81"/>
    <x v="186"/>
    <s v="Premium"/>
    <n v="0"/>
    <n v="0"/>
    <s v="Treatments"/>
  </r>
  <r>
    <s v="P501164"/>
    <s v="Hydrate &amp; Glow Skincare Set"/>
    <n v="1254"/>
    <s v="CLINIQUE"/>
    <n v="2557"/>
    <x v="4"/>
    <m/>
    <s v="No"/>
    <s v="Not Rated"/>
    <n v="0"/>
    <x v="36"/>
    <s v="Mid"/>
    <n v="0"/>
    <n v="0"/>
    <s v="Value &amp; Gift Sets"/>
  </r>
  <r>
    <s v="P482661"/>
    <s v="The Essence"/>
    <n v="6356"/>
    <s v="Augustinus Bader"/>
    <n v="2564"/>
    <x v="4"/>
    <n v="4.5"/>
    <s v="Yes"/>
    <s v="High"/>
    <n v="4"/>
    <x v="89"/>
    <s v="Premium"/>
    <n v="0"/>
    <n v="0"/>
    <s v="Treatments"/>
  </r>
  <r>
    <s v="P445822"/>
    <s v="Intensive Moisture Cleanser"/>
    <n v="6219"/>
    <s v="Dermalogica"/>
    <n v="2582"/>
    <x v="4"/>
    <n v="4"/>
    <s v="Yes"/>
    <s v="High"/>
    <n v="11"/>
    <x v="36"/>
    <s v="Mid"/>
    <n v="0"/>
    <n v="0"/>
    <s v="Cleansers"/>
  </r>
  <r>
    <s v="P476553"/>
    <s v="Skin Filter Vitamin A and Zinc Blemish + Brightening Supplement"/>
    <n v="6375"/>
    <s v="The Nue Co."/>
    <n v="2584"/>
    <x v="4"/>
    <n v="4.1543999999999999"/>
    <s v="Yes"/>
    <s v="High"/>
    <n v="149"/>
    <x v="44"/>
    <s v="Mid"/>
    <n v="0"/>
    <n v="0"/>
    <s v="Wellness"/>
  </r>
  <r>
    <s v="P504506"/>
    <s v="The Silk Serum Wrinkle-Smoothing Retinol Alternative"/>
    <n v="6041"/>
    <s v="Tatcha"/>
    <n v="2589"/>
    <x v="4"/>
    <n v="4.8387000000000002"/>
    <s v="Yes"/>
    <s v="High"/>
    <n v="124"/>
    <x v="131"/>
    <s v="Premium"/>
    <n v="1"/>
    <n v="0"/>
    <s v="Treatments"/>
  </r>
  <r>
    <s v="P475196"/>
    <s v="So Smooth Resurfacing &amp; Brightening Fruit Enzyme Mask"/>
    <n v="6373"/>
    <s v="TULA Skincare"/>
    <n v="2603"/>
    <x v="4"/>
    <n v="4.25"/>
    <s v="Yes"/>
    <s v="High"/>
    <n v="44"/>
    <x v="8"/>
    <s v="Mid"/>
    <n v="0"/>
    <n v="0"/>
    <s v="Masks"/>
  </r>
  <r>
    <s v="P480346"/>
    <s v="SuperFruit Gentle Brightening Cleanser"/>
    <n v="7100"/>
    <s v="ROSE Ingleton MD"/>
    <n v="2610"/>
    <x v="4"/>
    <n v="4.7142999999999997"/>
    <s v="Yes"/>
    <s v="High"/>
    <n v="14"/>
    <x v="12"/>
    <s v="Mid"/>
    <n v="0"/>
    <n v="0"/>
    <s v="Cleansers"/>
  </r>
  <r>
    <s v="P456210"/>
    <s v="GOOPGLOW 20% Vitamin C and Hyaluronic Glow Serum"/>
    <n v="6309"/>
    <s v="goop"/>
    <n v="2613"/>
    <x v="4"/>
    <n v="3.5356999999999998"/>
    <s v="Yes"/>
    <s v="Medium"/>
    <n v="28"/>
    <x v="81"/>
    <s v="Premium"/>
    <n v="0"/>
    <n v="0"/>
    <s v="Treatments"/>
  </r>
  <r>
    <s v="P503747"/>
    <s v="Take The Day Off Charcoal Cleansing Balm Makeup Remover"/>
    <n v="1254"/>
    <s v="CLINIQUE"/>
    <n v="2618"/>
    <x v="4"/>
    <n v="4.5521000000000003"/>
    <s v="Yes"/>
    <s v="High"/>
    <n v="259"/>
    <x v="12"/>
    <s v="Mid"/>
    <n v="0"/>
    <n v="0"/>
    <s v="Cleansers"/>
  </r>
  <r>
    <s v="P472068"/>
    <s v="Reusable 3-Piece Grey Face Mask Set"/>
    <n v="3902"/>
    <s v="SEPHORA COLLECTION"/>
    <n v="2624"/>
    <x v="4"/>
    <n v="4.0769000000000002"/>
    <s v="Yes"/>
    <s v="High"/>
    <n v="13"/>
    <x v="64"/>
    <s v="Budget"/>
    <n v="0"/>
    <n v="0"/>
    <s v="Wellness"/>
  </r>
  <r>
    <s v="P481164"/>
    <s v="Essential Energy Hydrating Day Cream Broad Spectrum SPF 20"/>
    <n v="5337"/>
    <s v="Shiseido"/>
    <n v="2628"/>
    <x v="4"/>
    <n v="4.5518000000000001"/>
    <s v="Yes"/>
    <s v="High"/>
    <n v="926"/>
    <x v="50"/>
    <s v="Premium"/>
    <n v="0"/>
    <n v="0"/>
    <s v="Moisturizers"/>
  </r>
  <r>
    <s v="P423169"/>
    <s v="Future Solution LX Total Regenerating Cream"/>
    <n v="5337"/>
    <s v="Shiseido"/>
    <n v="2632"/>
    <x v="4"/>
    <n v="3.75"/>
    <s v="Yes"/>
    <s v="Medium"/>
    <n v="12"/>
    <x v="126"/>
    <s v="Premium"/>
    <n v="0"/>
    <n v="0"/>
    <s v="Moisturizers"/>
  </r>
  <r>
    <s v="P502237"/>
    <s v="Head-To-Toe AfterGLO Set"/>
    <n v="6272"/>
    <s v="BeautyBio"/>
    <n v="2634"/>
    <x v="4"/>
    <n v="4.3333000000000004"/>
    <s v="Yes"/>
    <s v="High"/>
    <n v="6"/>
    <x v="141"/>
    <s v="Premium"/>
    <n v="0"/>
    <n v="0"/>
    <s v="Value &amp; Gift Sets"/>
  </r>
  <r>
    <s v="P463106"/>
    <s v="Vital Perfection Uplifting and Firming Eye Cream"/>
    <n v="5337"/>
    <s v="Shiseido"/>
    <n v="2649"/>
    <x v="4"/>
    <n v="4"/>
    <s v="Yes"/>
    <s v="High"/>
    <n v="5"/>
    <x v="99"/>
    <s v="Premium"/>
    <n v="0"/>
    <n v="0"/>
    <s v="Eye Care"/>
  </r>
  <r>
    <s v="P479703"/>
    <s v="EradiKate Clarifying Acne Gel Cleanser with Salicylic Acid"/>
    <n v="5946"/>
    <s v="Kate Somerville"/>
    <n v="2655"/>
    <x v="4"/>
    <n v="4.6708999999999996"/>
    <s v="Yes"/>
    <s v="High"/>
    <n v="79"/>
    <x v="124"/>
    <s v="Mid"/>
    <n v="0"/>
    <n v="0"/>
    <s v="Treatments"/>
  </r>
  <r>
    <s v="P433446"/>
    <s v="Mini Original Skin Matte Moisturizer with Willowherb"/>
    <n v="3733"/>
    <s v="Origins"/>
    <n v="2661"/>
    <x v="4"/>
    <n v="4.0713999999999997"/>
    <s v="Yes"/>
    <s v="High"/>
    <n v="14"/>
    <x v="0"/>
    <s v="Mid"/>
    <n v="0"/>
    <n v="0"/>
    <s v="Mini Size"/>
  </r>
  <r>
    <s v="P443812"/>
    <s v="R45 The Lift 3-Phase Advanced Neck Contouring Treatment"/>
    <n v="6272"/>
    <s v="BeautyBio"/>
    <n v="2668"/>
    <x v="4"/>
    <n v="3.1667000000000001"/>
    <s v="Yes"/>
    <s v="Medium"/>
    <n v="12"/>
    <x v="99"/>
    <s v="Premium"/>
    <n v="0"/>
    <n v="0"/>
    <s v="Treatments"/>
  </r>
  <r>
    <s v="P467608"/>
    <s v="Smart Night Clinical MD Multi-Dimensional Repair Treatment Retinol Serum"/>
    <n v="1254"/>
    <s v="CLINIQUE"/>
    <n v="2689"/>
    <x v="4"/>
    <n v="4.75"/>
    <s v="Yes"/>
    <s v="High"/>
    <n v="8"/>
    <x v="28"/>
    <s v="Premium"/>
    <n v="0"/>
    <n v="0"/>
    <s v="Treatments"/>
  </r>
  <r>
    <s v="P467945"/>
    <s v="Capture Totale Super Potent Rich Cream"/>
    <n v="1073"/>
    <s v="Dior"/>
    <n v="2700"/>
    <x v="4"/>
    <n v="4.5457000000000001"/>
    <s v="Yes"/>
    <s v="High"/>
    <n v="678"/>
    <x v="87"/>
    <s v="Premium"/>
    <n v="0"/>
    <n v="0"/>
    <s v="Moisturizers"/>
  </r>
  <r>
    <s v="P468196"/>
    <s v="The Glow Up"/>
    <n v="8017"/>
    <s v="Mario Badescu"/>
    <n v="2710"/>
    <x v="4"/>
    <n v="2.5"/>
    <s v="Yes"/>
    <s v="Low"/>
    <n v="4"/>
    <x v="25"/>
    <s v="Mid"/>
    <n v="0"/>
    <n v="0"/>
    <s v="Value &amp; Gift Sets"/>
  </r>
  <r>
    <s v="P455421"/>
    <s v="Complete Cleansing Microfoam"/>
    <n v="5337"/>
    <s v="Shiseido"/>
    <n v="2716"/>
    <x v="4"/>
    <n v="4.0869999999999997"/>
    <s v="Yes"/>
    <s v="High"/>
    <n v="23"/>
    <x v="8"/>
    <s v="Mid"/>
    <n v="0"/>
    <n v="0"/>
    <s v="Cleansers"/>
  </r>
  <r>
    <s v="P383051"/>
    <s v="Do Not Age with Dr. Brandt Time Defying Cream"/>
    <n v="4372"/>
    <s v="Dr. Brandt Skincare"/>
    <n v="2722"/>
    <x v="4"/>
    <n v="4.0114000000000001"/>
    <s v="Yes"/>
    <s v="High"/>
    <n v="88"/>
    <x v="157"/>
    <s v="Premium"/>
    <n v="0"/>
    <n v="0"/>
    <s v="Moisturizers"/>
  </r>
  <r>
    <s v="P469110"/>
    <s v="KateCeuticals Firming Serum with Hyaluronic Acid"/>
    <n v="5946"/>
    <s v="Kate Somerville"/>
    <n v="2724"/>
    <x v="4"/>
    <n v="4.8765000000000001"/>
    <s v="Yes"/>
    <s v="High"/>
    <n v="81"/>
    <x v="61"/>
    <s v="Premium"/>
    <n v="0"/>
    <n v="0"/>
    <s v="Treatments"/>
  </r>
  <r>
    <s v="P448713"/>
    <s v="Clarifying Spot Treatment"/>
    <n v="6302"/>
    <s v="Dr. Barbara Sturm"/>
    <n v="2729"/>
    <x v="4"/>
    <n v="4.125"/>
    <s v="Yes"/>
    <s v="High"/>
    <n v="8"/>
    <x v="103"/>
    <s v="Premium"/>
    <n v="0"/>
    <n v="0"/>
    <s v="Treatments"/>
  </r>
  <r>
    <s v="P461165"/>
    <s v="GOOPGENES All-In-One Nourishing Eye Cream"/>
    <n v="6309"/>
    <s v="goop"/>
    <n v="2741"/>
    <x v="4"/>
    <n v="4.2026000000000003"/>
    <s v="Yes"/>
    <s v="High"/>
    <n v="627"/>
    <x v="103"/>
    <s v="Premium"/>
    <n v="0"/>
    <n v="0"/>
    <s v="Eye Care"/>
  </r>
  <r>
    <s v="P408273"/>
    <s v="Advanced Night Micro Cleansing Foam"/>
    <n v="6089"/>
    <s v="EstÃ©e Lauder"/>
    <n v="2742"/>
    <x v="4"/>
    <n v="3.9230999999999998"/>
    <s v="Yes"/>
    <s v="Medium"/>
    <n v="26"/>
    <x v="49"/>
    <s v="Mid"/>
    <n v="0"/>
    <n v="0"/>
    <s v="Cleansers"/>
  </r>
  <r>
    <s v="P475189"/>
    <s v="Secret Solutions Pro-Glycolic 10% Resurfacing Toner"/>
    <n v="6373"/>
    <s v="TULA Skincare"/>
    <n v="2757"/>
    <x v="4"/>
    <n v="4.1342999999999996"/>
    <s v="Yes"/>
    <s v="High"/>
    <n v="67"/>
    <x v="45"/>
    <s v="Mid"/>
    <n v="0"/>
    <n v="0"/>
    <s v="Cleansers"/>
  </r>
  <r>
    <s v="P502848"/>
    <s v="LUNA 4 go Facial Cleansing &amp; Massaging Device"/>
    <n v="7037"/>
    <s v="FOREO"/>
    <n v="2761"/>
    <x v="4"/>
    <n v="4.8113000000000001"/>
    <s v="Yes"/>
    <s v="High"/>
    <n v="53"/>
    <x v="106"/>
    <s v="Premium"/>
    <n v="0"/>
    <n v="0"/>
    <s v="High Tech Tools"/>
  </r>
  <r>
    <s v="P474371"/>
    <s v="Evercalm Gentle Cleansing Milk"/>
    <n v="5857"/>
    <s v="REN Clean Skincare"/>
    <n v="2764"/>
    <x v="4"/>
    <n v="4.3208000000000002"/>
    <s v="Yes"/>
    <s v="High"/>
    <n v="159"/>
    <x v="12"/>
    <s v="Mid"/>
    <n v="0"/>
    <n v="0"/>
    <s v="Cleansers"/>
  </r>
  <r>
    <s v="P502709"/>
    <s v="Mini Mist Collection"/>
    <n v="8017"/>
    <s v="Mario Badescu"/>
    <n v="2768"/>
    <x v="4"/>
    <n v="4.5"/>
    <s v="Yes"/>
    <s v="High"/>
    <n v="2"/>
    <x v="60"/>
    <s v="Mid"/>
    <n v="0"/>
    <n v="1"/>
    <s v="Value &amp; Gift Sets"/>
  </r>
  <r>
    <s v="P500880"/>
    <s v="Classic Face Organic Sunscreen Lotion SPF 50"/>
    <n v="7091"/>
    <s v="COOLA"/>
    <n v="2772"/>
    <x v="4"/>
    <n v="5"/>
    <s v="Yes"/>
    <s v="High"/>
    <n v="4"/>
    <x v="29"/>
    <s v="Mid"/>
    <n v="0"/>
    <n v="0"/>
    <s v="Sunscreen"/>
  </r>
  <r>
    <s v="P459130"/>
    <s v="Hyaluronic Serum"/>
    <n v="6318"/>
    <s v="Dr. Lara Devgan Scientific Beauty"/>
    <n v="2777"/>
    <x v="4"/>
    <n v="4.7850000000000001"/>
    <s v="Yes"/>
    <s v="High"/>
    <n v="321"/>
    <x v="62"/>
    <s v="Premium"/>
    <n v="0"/>
    <n v="0"/>
    <s v="Treatments"/>
  </r>
  <r>
    <s v="P501199"/>
    <s v="YUZU-C Eye Awakening Essence"/>
    <n v="6371"/>
    <s v="WASO"/>
    <n v="2784"/>
    <x v="4"/>
    <n v="4.4301000000000004"/>
    <s v="Yes"/>
    <s v="High"/>
    <n v="365"/>
    <x v="78"/>
    <s v="Mid"/>
    <n v="0"/>
    <n v="1"/>
    <s v="Eye Care"/>
  </r>
  <r>
    <s v="P483076"/>
    <s v="C.E.O. Afterglow Brightening Vitamin C Moisturizer"/>
    <n v="6073"/>
    <s v="Sunday Riley"/>
    <n v="2817"/>
    <x v="4"/>
    <n v="4.6660000000000004"/>
    <s v="Yes"/>
    <s v="High"/>
    <n v="527"/>
    <x v="75"/>
    <s v="Mid"/>
    <n v="1"/>
    <n v="0"/>
    <s v="Moisturizers"/>
  </r>
  <r>
    <s v="P474125"/>
    <s v="The Gamechangers"/>
    <n v="6358"/>
    <s v="StriVectin"/>
    <n v="2820"/>
    <x v="4"/>
    <n v="4.68"/>
    <s v="Yes"/>
    <s v="High"/>
    <n v="25"/>
    <x v="93"/>
    <s v="Premium"/>
    <n v="0"/>
    <n v="0"/>
    <s v="Value &amp; Gift Sets"/>
  </r>
  <r>
    <s v="P449177"/>
    <s v="AGE Smart Phyto-Nature Firming Serum"/>
    <n v="6219"/>
    <s v="Dermalogica"/>
    <n v="2823"/>
    <x v="4"/>
    <n v="4.3311000000000002"/>
    <s v="Yes"/>
    <s v="High"/>
    <n v="148"/>
    <x v="187"/>
    <s v="Premium"/>
    <n v="0"/>
    <n v="0"/>
    <s v="Treatments"/>
  </r>
  <r>
    <s v="P480191"/>
    <s v="Contour Restore Tightening &amp; Sculpting Moisturizing Face Cream"/>
    <n v="6358"/>
    <s v="StriVectin"/>
    <n v="2824"/>
    <x v="4"/>
    <n v="4.7708000000000004"/>
    <s v="Yes"/>
    <s v="High"/>
    <n v="48"/>
    <x v="102"/>
    <s v="Premium"/>
    <n v="0"/>
    <n v="0"/>
    <s v="Moisturizers"/>
  </r>
  <r>
    <s v="P422848"/>
    <s v="CrÃ¨me Riche Anti-Aging Peptide Night Cream"/>
    <n v="7020"/>
    <s v="Tata Harper"/>
    <n v="2825"/>
    <x v="4"/>
    <n v="4.1429"/>
    <s v="Yes"/>
    <s v="High"/>
    <n v="21"/>
    <x v="188"/>
    <s v="Premium"/>
    <n v="0"/>
    <n v="0"/>
    <s v="Moisturizers"/>
  </r>
  <r>
    <s v="P476675"/>
    <s v="Hydro-Bound Hyaluronic Acid + Niacinamide Serum"/>
    <n v="6329"/>
    <s v="FaceGym"/>
    <n v="2833"/>
    <x v="4"/>
    <n v="4.6376999999999997"/>
    <s v="Yes"/>
    <s v="High"/>
    <n v="69"/>
    <x v="6"/>
    <s v="Premium"/>
    <n v="0"/>
    <n v="0"/>
    <s v="Treatments"/>
  </r>
  <r>
    <s v="P503000"/>
    <s v="Feeling Groovy Yellow Jade Eye Massager Set"/>
    <n v="3902"/>
    <s v="SEPHORA COLLECTION"/>
    <n v="2842"/>
    <x v="4"/>
    <n v="5"/>
    <s v="Yes"/>
    <s v="High"/>
    <n v="2"/>
    <x v="5"/>
    <s v="Budget"/>
    <n v="1"/>
    <n v="0"/>
    <s v="Wellness"/>
  </r>
  <r>
    <s v="P450587"/>
    <s v="Illumi-nation Anti-Fatigue Power Serum"/>
    <n v="8012"/>
    <s v="Naturally Serious"/>
    <n v="2843"/>
    <x v="4"/>
    <n v="4.6704999999999997"/>
    <s v="Yes"/>
    <s v="High"/>
    <n v="88"/>
    <x v="7"/>
    <s v="Mid"/>
    <n v="0"/>
    <n v="0"/>
    <s v="Treatments"/>
  </r>
  <r>
    <s v="P456401"/>
    <s v="Self Tan Express Bronzing Gel"/>
    <n v="5626"/>
    <s v="St. Tropez"/>
    <n v="2845"/>
    <x v="4"/>
    <n v="3.4782999999999999"/>
    <s v="Yes"/>
    <s v="Medium"/>
    <n v="23"/>
    <x v="45"/>
    <s v="Mid"/>
    <n v="0"/>
    <n v="0"/>
    <s v="Self Tanners"/>
  </r>
  <r>
    <s v="P476680"/>
    <s v="Face Ball Tension Release Tool"/>
    <n v="6329"/>
    <s v="FaceGym"/>
    <n v="2856"/>
    <x v="4"/>
    <n v="4.5208000000000004"/>
    <s v="Yes"/>
    <s v="High"/>
    <n v="48"/>
    <x v="9"/>
    <s v="Mid"/>
    <n v="0"/>
    <n v="0"/>
    <s v="High Tech Tools"/>
  </r>
  <r>
    <s v="P464234"/>
    <s v="Advanced Retinol Night Repair Treatment"/>
    <n v="6334"/>
    <s v="Dr. Zenovia Skincare"/>
    <n v="2860"/>
    <x v="4"/>
    <n v="4.5019"/>
    <s v="Yes"/>
    <s v="High"/>
    <n v="267"/>
    <x v="55"/>
    <s v="Premium"/>
    <n v="0"/>
    <n v="0"/>
    <s v="Treatments"/>
  </r>
  <r>
    <s v="P471784"/>
    <s v="Gentle Foaming Cleanser"/>
    <n v="8017"/>
    <s v="Mario Badescu"/>
    <n v="2867"/>
    <x v="4"/>
    <n v="4"/>
    <s v="Yes"/>
    <s v="High"/>
    <n v="3"/>
    <x v="58"/>
    <s v="Budget"/>
    <n v="0"/>
    <n v="1"/>
    <s v="Cleansers"/>
  </r>
  <r>
    <s v="P483090"/>
    <s v="Firming Day Moisturizer with Peptides"/>
    <n v="3902"/>
    <s v="SEPHORA COLLECTION"/>
    <n v="2887"/>
    <x v="4"/>
    <n v="2.9375"/>
    <s v="Yes"/>
    <s v="Low"/>
    <n v="16"/>
    <x v="5"/>
    <s v="Budget"/>
    <n v="0"/>
    <n v="0"/>
    <s v="Moisturizers"/>
  </r>
  <r>
    <s v="P502761"/>
    <s v="Advanced GÃ©nifique Night Cream with Triple Ceramide Complex"/>
    <n v="1741"/>
    <s v="LancÃ´me"/>
    <n v="2887"/>
    <x v="4"/>
    <n v="4.7126999999999999"/>
    <s v="Yes"/>
    <s v="High"/>
    <n v="463"/>
    <x v="73"/>
    <s v="Premium"/>
    <n v="0"/>
    <n v="0"/>
    <s v="Moisturizers"/>
  </r>
  <r>
    <s v="P480630"/>
    <s v="Mini Jet Lag Mask"/>
    <n v="6247"/>
    <s v="Summer Fridays"/>
    <n v="2900"/>
    <x v="4"/>
    <n v="4.0262000000000002"/>
    <s v="Yes"/>
    <s v="High"/>
    <n v="4427"/>
    <x v="95"/>
    <s v="Mid"/>
    <n v="0"/>
    <n v="0"/>
    <s v="Masks"/>
  </r>
  <r>
    <s v="P454315"/>
    <s v="Milk Cleanse Gentle Foaming Cleanser"/>
    <n v="6226"/>
    <s v="Moon Juice"/>
    <n v="2902"/>
    <x v="4"/>
    <n v="4.4043000000000001"/>
    <s v="Yes"/>
    <s v="High"/>
    <n v="47"/>
    <x v="29"/>
    <s v="Mid"/>
    <n v="0"/>
    <n v="0"/>
    <s v="Cleansers"/>
  </r>
  <r>
    <s v="P446102"/>
    <s v="Mini DayWear Advanced Multi-Protection Anti-Oxidant Creme, Normal/Combination"/>
    <n v="6089"/>
    <s v="EstÃ©e Lauder"/>
    <n v="2904"/>
    <x v="4"/>
    <n v="4.4545000000000003"/>
    <s v="Yes"/>
    <s v="High"/>
    <n v="11"/>
    <x v="8"/>
    <s v="Mid"/>
    <n v="0"/>
    <n v="0"/>
    <s v="Mini Size"/>
  </r>
  <r>
    <s v="P475906"/>
    <s v="The Eye Cream with  TFC8"/>
    <n v="6356"/>
    <s v="Augustinus Bader"/>
    <n v="2922"/>
    <x v="4"/>
    <n v="4.2267000000000001"/>
    <s v="Yes"/>
    <s v="High"/>
    <n v="75"/>
    <x v="189"/>
    <s v="Premium"/>
    <n v="0"/>
    <n v="0"/>
    <s v="Eye Care"/>
  </r>
  <r>
    <s v="P471045"/>
    <s v="Daily Deflector Mineral Sunscreen SPF 40  PA++++"/>
    <n v="5946"/>
    <s v="Kate Somerville"/>
    <n v="2924"/>
    <x v="4"/>
    <n v="4.4149000000000003"/>
    <s v="Yes"/>
    <s v="High"/>
    <n v="94"/>
    <x v="30"/>
    <s v="Premium"/>
    <n v="0"/>
    <n v="0"/>
    <s v="Sunscreen"/>
  </r>
  <r>
    <s v="P482746"/>
    <s v="PLAY 100% Mineral Lotion SPF 30 with Green Algae"/>
    <n v="5987"/>
    <s v="Supergoop!"/>
    <n v="2927"/>
    <x v="4"/>
    <n v="4.0909000000000004"/>
    <s v="Yes"/>
    <s v="High"/>
    <n v="11"/>
    <x v="8"/>
    <s v="Mid"/>
    <n v="0"/>
    <n v="0"/>
    <s v="Sunscreen"/>
  </r>
  <r>
    <s v="P416589"/>
    <s v="Wrinkle Release Facial Sheet Mask"/>
    <n v="6187"/>
    <s v="Skin Laundry"/>
    <n v="2931"/>
    <x v="4"/>
    <n v="4.5"/>
    <s v="Yes"/>
    <s v="High"/>
    <n v="8"/>
    <x v="51"/>
    <s v="Budget"/>
    <n v="0"/>
    <n v="1"/>
    <s v="Masks"/>
  </r>
  <r>
    <s v="P462381"/>
    <s v="Glycolic Eye Cream"/>
    <n v="8017"/>
    <s v="Mario Badescu"/>
    <n v="2932"/>
    <x v="4"/>
    <n v="4.1111000000000004"/>
    <s v="Yes"/>
    <s v="High"/>
    <n v="9"/>
    <x v="60"/>
    <s v="Mid"/>
    <n v="0"/>
    <n v="1"/>
    <s v="Eye Care"/>
  </r>
  <r>
    <s v="P467649"/>
    <s v="Clean 1 Minute Face Masks"/>
    <n v="3902"/>
    <s v="SEPHORA COLLECTION"/>
    <n v="2950"/>
    <x v="4"/>
    <n v="1.8571"/>
    <s v="Yes"/>
    <s v="Low"/>
    <n v="7"/>
    <x v="51"/>
    <s v="Budget"/>
    <n v="0"/>
    <n v="0"/>
    <s v="Masks"/>
  </r>
  <r>
    <s v="P500060"/>
    <s v="Play! Mineral SPF Stick"/>
    <n v="5987"/>
    <s v="Supergoop!"/>
    <n v="2951"/>
    <x v="4"/>
    <n v="3"/>
    <s v="Yes"/>
    <s v="Medium"/>
    <n v="4"/>
    <x v="0"/>
    <s v="Mid"/>
    <n v="0"/>
    <n v="0"/>
    <s v="Sunscreen"/>
  </r>
  <r>
    <s v="P457854"/>
    <s v="Vital Perfection Uplifting and Firming Cream Day Cream"/>
    <n v="5337"/>
    <s v="Shiseido"/>
    <n v="2959"/>
    <x v="4"/>
    <n v="4.5263"/>
    <s v="Yes"/>
    <s v="High"/>
    <n v="19"/>
    <x v="180"/>
    <s v="Premium"/>
    <n v="0"/>
    <n v="0"/>
    <s v="Moisturizers"/>
  </r>
  <r>
    <s v="P462378"/>
    <s v="Anti-Aging Regimen Kit"/>
    <n v="8017"/>
    <s v="Mario Badescu"/>
    <n v="2962"/>
    <x v="4"/>
    <n v="4.3"/>
    <s v="Yes"/>
    <s v="High"/>
    <n v="10"/>
    <x v="78"/>
    <s v="Mid"/>
    <n v="0"/>
    <n v="0"/>
    <s v="Value &amp; Gift Sets"/>
  </r>
  <r>
    <s v="P463110"/>
    <s v="Clarifying Peel Off Mask"/>
    <n v="6307"/>
    <s v="Sulwhasoo"/>
    <n v="2963"/>
    <x v="4"/>
    <n v="4.5"/>
    <s v="Yes"/>
    <s v="High"/>
    <n v="10"/>
    <x v="44"/>
    <s v="Mid"/>
    <n v="0"/>
    <n v="0"/>
    <s v="Masks"/>
  </r>
  <r>
    <s v="P429675"/>
    <s v="Hydra Life Balancing Hydration 2 in 1 Sorbet Water"/>
    <n v="1073"/>
    <s v="Dior"/>
    <n v="2966"/>
    <x v="4"/>
    <n v="3.7692000000000001"/>
    <s v="Yes"/>
    <s v="Medium"/>
    <n v="13"/>
    <x v="44"/>
    <s v="Mid"/>
    <n v="0"/>
    <n v="0"/>
    <s v="Moisturizers"/>
  </r>
  <r>
    <s v="P503690"/>
    <s v="Water Drench Hyaluronic Cloud Rich Barrier Moisturizer"/>
    <n v="3728"/>
    <s v="Peter Thomas Roth"/>
    <n v="2975"/>
    <x v="4"/>
    <n v="4.7488999999999999"/>
    <s v="Yes"/>
    <s v="High"/>
    <n v="219"/>
    <x v="69"/>
    <s v="Premium"/>
    <n v="0"/>
    <n v="0"/>
    <s v="Moisturizers"/>
  </r>
  <r>
    <s v="P475083"/>
    <s v="Skincare Essentials Kit"/>
    <n v="2082"/>
    <s v="Clarins"/>
    <n v="2986"/>
    <x v="4"/>
    <n v="3"/>
    <s v="Yes"/>
    <s v="Medium"/>
    <n v="2"/>
    <x v="63"/>
    <s v="Premium"/>
    <n v="0"/>
    <n v="0"/>
    <s v="Treatments"/>
  </r>
  <r>
    <s v="P460578"/>
    <s v="GOOPGENES All-In-One Nourishing Face Cream"/>
    <n v="6309"/>
    <s v="goop"/>
    <n v="2987"/>
    <x v="4"/>
    <n v="4.2846000000000002"/>
    <s v="Yes"/>
    <s v="High"/>
    <n v="738"/>
    <x v="131"/>
    <s v="Premium"/>
    <n v="0"/>
    <n v="0"/>
    <s v="Moisturizers"/>
  </r>
  <r>
    <s v="P504447"/>
    <s v="Gradual Tanning Drops Face &amp; Body"/>
    <n v="3902"/>
    <s v="SEPHORA COLLECTION"/>
    <n v="2988"/>
    <x v="4"/>
    <n v="3.25"/>
    <s v="Yes"/>
    <s v="Medium"/>
    <n v="8"/>
    <x v="47"/>
    <s v="Budget"/>
    <n v="1"/>
    <n v="0"/>
    <s v="Self Tanners"/>
  </r>
  <r>
    <s v="P443550"/>
    <s v="Dr. Andrew Weil for Origins Mega-Mushroom Relief &amp; Resilience Hydra Burst Gel Lotion"/>
    <n v="3733"/>
    <s v="Origins"/>
    <n v="3001"/>
    <x v="4"/>
    <n v="4.0345000000000004"/>
    <s v="Yes"/>
    <s v="High"/>
    <n v="29"/>
    <x v="136"/>
    <s v="Premium"/>
    <n v="0"/>
    <n v="0"/>
    <s v="Moisturizers"/>
  </r>
  <r>
    <s v="P483708"/>
    <s v="Mini Essential Comfort Firming Cream"/>
    <n v="6307"/>
    <s v="Sulwhasoo"/>
    <n v="3008"/>
    <x v="4"/>
    <n v="4.5019"/>
    <s v="Yes"/>
    <s v="High"/>
    <n v="257"/>
    <x v="52"/>
    <s v="Mid"/>
    <n v="0"/>
    <n v="0"/>
    <s v="Moisturizers"/>
  </r>
  <r>
    <s v="P483457"/>
    <s v="Shave Pillow Moisturizing Body Gel"/>
    <n v="6476"/>
    <s v="Hanni"/>
    <n v="3023"/>
    <x v="4"/>
    <n v="4.6954000000000002"/>
    <s v="Yes"/>
    <s v="High"/>
    <n v="151"/>
    <x v="0"/>
    <s v="Mid"/>
    <n v="0"/>
    <n v="0"/>
    <s v="Moisturizers"/>
  </r>
  <r>
    <s v="P375854"/>
    <s v="Ultimate Revival Cream"/>
    <n v="6084"/>
    <s v="SK-II"/>
    <n v="3031"/>
    <x v="4"/>
    <n v="4.4667000000000003"/>
    <s v="Yes"/>
    <s v="High"/>
    <n v="60"/>
    <x v="190"/>
    <s v="Premium"/>
    <n v="0"/>
    <n v="0"/>
    <s v="Moisturizers"/>
  </r>
  <r>
    <s v="P474115"/>
    <s v="Peptight  Tightening &amp; Brightening Face Serum"/>
    <n v="6358"/>
    <s v="StriVectin"/>
    <n v="3033"/>
    <x v="4"/>
    <n v="4.8085000000000004"/>
    <s v="Yes"/>
    <s v="High"/>
    <n v="47"/>
    <x v="102"/>
    <s v="Premium"/>
    <n v="0"/>
    <n v="0"/>
    <s v="Treatments"/>
  </r>
  <r>
    <s v="P477202"/>
    <s v="Ting Energy + Metabolism Non-Stim Supplement With Ginseng"/>
    <n v="6226"/>
    <s v="Moon Juice"/>
    <n v="3042"/>
    <x v="4"/>
    <n v="4.5932000000000004"/>
    <s v="Yes"/>
    <s v="High"/>
    <n v="59"/>
    <x v="36"/>
    <s v="Mid"/>
    <n v="0"/>
    <n v="0"/>
    <s v="Wellness"/>
  </r>
  <r>
    <s v="P446629"/>
    <s v="Clean Pro"/>
    <n v="6114"/>
    <s v="PMD"/>
    <n v="3044"/>
    <x v="4"/>
    <n v="4.2857000000000003"/>
    <s v="Yes"/>
    <s v="High"/>
    <n v="77"/>
    <x v="85"/>
    <s v="Premium"/>
    <n v="0"/>
    <n v="0"/>
    <s v="High Tech Tools"/>
  </r>
  <r>
    <s v="P442001"/>
    <s v="Hyaluronic Facial Cream"/>
    <n v="4372"/>
    <s v="Dr. Brandt Skincare"/>
    <n v="3056"/>
    <x v="4"/>
    <n v="3.8140000000000001"/>
    <s v="Yes"/>
    <s v="Medium"/>
    <n v="43"/>
    <x v="55"/>
    <s v="Premium"/>
    <n v="0"/>
    <n v="0"/>
    <s v="Moisturizers"/>
  </r>
  <r>
    <s v="P501550"/>
    <s v="Acne-Clear Essentials 4-Piece Acne Kit"/>
    <n v="3728"/>
    <s v="Peter Thomas Roth"/>
    <n v="3080"/>
    <x v="4"/>
    <n v="2.75"/>
    <s v="Yes"/>
    <s v="Low"/>
    <n v="4"/>
    <x v="9"/>
    <s v="Mid"/>
    <n v="0"/>
    <n v="0"/>
    <s v="Value &amp; Gift Sets"/>
  </r>
  <r>
    <s v="P504017"/>
    <s v="Nighttime Necessities Repair + Lift + Hydrate"/>
    <n v="6089"/>
    <s v="EstÃ©e Lauder"/>
    <n v="3091"/>
    <x v="4"/>
    <m/>
    <s v="No"/>
    <s v="Not Rated"/>
    <n v="0"/>
    <x v="153"/>
    <s v="Premium"/>
    <n v="1"/>
    <n v="0"/>
    <s v="Value &amp; Gift Sets"/>
  </r>
  <r>
    <s v="P390987"/>
    <s v="Purifying Cleansing Brush Head Refill"/>
    <n v="1254"/>
    <s v="CLINIQUE"/>
    <n v="3095"/>
    <x v="4"/>
    <n v="4.5385"/>
    <s v="Yes"/>
    <s v="High"/>
    <n v="13"/>
    <x v="29"/>
    <s v="Mid"/>
    <n v="0"/>
    <n v="0"/>
    <s v="High Tech Tools"/>
  </r>
  <r>
    <s v="P456992"/>
    <s v="Superdefense SPF 25 Fatigue + 1st Signs of Age Multi-Correcting Cream"/>
    <n v="1254"/>
    <s v="CLINIQUE"/>
    <n v="3096"/>
    <x v="4"/>
    <n v="3.8824000000000001"/>
    <s v="Yes"/>
    <s v="Medium"/>
    <n v="17"/>
    <x v="70"/>
    <s v="Premium"/>
    <n v="0"/>
    <n v="1"/>
    <s v="Moisturizers"/>
  </r>
  <r>
    <s v="P462748"/>
    <s v="Mini Purifying Pore Detox Cleanser"/>
    <n v="7020"/>
    <s v="Tata Harper"/>
    <n v="3104"/>
    <x v="4"/>
    <n v="4.2058999999999997"/>
    <s v="Yes"/>
    <s v="High"/>
    <n v="170"/>
    <x v="45"/>
    <s v="Mid"/>
    <n v="0"/>
    <n v="0"/>
    <s v="Mini Size"/>
  </r>
  <r>
    <s v="P476676"/>
    <s v="Youth Reformer Firming Vitamin C Oil Serum"/>
    <n v="6329"/>
    <s v="FaceGym"/>
    <n v="3104"/>
    <x v="4"/>
    <n v="4.9622999999999999"/>
    <s v="Yes"/>
    <s v="High"/>
    <n v="53"/>
    <x v="61"/>
    <s v="Premium"/>
    <n v="0"/>
    <n v="0"/>
    <s v="Treatments"/>
  </r>
  <r>
    <s v="P469200"/>
    <s v="The Good C Vitamin C Serum"/>
    <n v="6302"/>
    <s v="Dr. Barbara Sturm"/>
    <n v="3108"/>
    <x v="4"/>
    <n v="3.5"/>
    <s v="Yes"/>
    <s v="Medium"/>
    <n v="24"/>
    <x v="109"/>
    <s v="Premium"/>
    <n v="0"/>
    <n v="0"/>
    <s v="Treatments"/>
  </r>
  <r>
    <s v="P479734"/>
    <s v="Smart Clinical Repair Wrinkle Correcting Eye Cream"/>
    <n v="1254"/>
    <s v="CLINIQUE"/>
    <n v="3109"/>
    <x v="4"/>
    <n v="4.24"/>
    <s v="Yes"/>
    <s v="High"/>
    <n v="2017"/>
    <x v="191"/>
    <s v="Premium"/>
    <n v="0"/>
    <n v="0"/>
    <s v="Eye Care"/>
  </r>
  <r>
    <s v="P502608"/>
    <s v="Double Serum Face &amp; Eye Power Duo"/>
    <n v="2082"/>
    <s v="Clarins"/>
    <n v="3113"/>
    <x v="4"/>
    <m/>
    <s v="No"/>
    <s v="Not Rated"/>
    <n v="0"/>
    <x v="102"/>
    <s v="Premium"/>
    <n v="0"/>
    <n v="1"/>
    <s v="Value &amp; Gift Sets"/>
  </r>
  <r>
    <s v="P479903"/>
    <s v="Mini Phoenix Rosehip Anti-Aging Face Oil - For Dry Skin"/>
    <n v="6117"/>
    <s v="Herbivore"/>
    <n v="3119"/>
    <x v="4"/>
    <n v="4.4169"/>
    <s v="Yes"/>
    <s v="High"/>
    <n v="343"/>
    <x v="37"/>
    <s v="Premium"/>
    <n v="0"/>
    <n v="0"/>
    <s v="Moisturizers"/>
  </r>
  <r>
    <s v="P502448"/>
    <s v="Concentrated Ginseng Renewing Eye Cream"/>
    <n v="6307"/>
    <s v="Sulwhasoo"/>
    <n v="3126"/>
    <x v="4"/>
    <n v="4.3333000000000004"/>
    <s v="Yes"/>
    <s v="High"/>
    <n v="3"/>
    <x v="180"/>
    <s v="Premium"/>
    <n v="0"/>
    <n v="0"/>
    <s v="Eye Care"/>
  </r>
  <r>
    <s v="P443377"/>
    <s v="White Lucent Day Emulsion Broad Spectrum SPF 23"/>
    <n v="5337"/>
    <s v="Shiseido"/>
    <n v="3128"/>
    <x v="4"/>
    <n v="3.5"/>
    <s v="Yes"/>
    <s v="Medium"/>
    <n v="16"/>
    <x v="76"/>
    <s v="Premium"/>
    <n v="0"/>
    <n v="0"/>
    <s v="Sunscreen"/>
  </r>
  <r>
    <s v="P468672"/>
    <s v="Clarifying Spot Serum with Bija Seed Oil"/>
    <n v="6295"/>
    <s v="innisfree"/>
    <n v="3131"/>
    <x v="4"/>
    <n v="4.5347"/>
    <s v="Yes"/>
    <s v="High"/>
    <n v="101"/>
    <x v="5"/>
    <s v="Budget"/>
    <n v="0"/>
    <n v="0"/>
    <s v="Treatments"/>
  </r>
  <r>
    <s v="P481363"/>
    <s v="Smoothing Facial Polish - Imperial Glow"/>
    <n v="6475"/>
    <s v="RANAVAT"/>
    <n v="3144"/>
    <x v="4"/>
    <n v="4.6364000000000001"/>
    <s v="Yes"/>
    <s v="High"/>
    <n v="176"/>
    <x v="44"/>
    <s v="Mid"/>
    <n v="0"/>
    <n v="0"/>
    <s v="Cleansers"/>
  </r>
  <r>
    <s v="P448546"/>
    <s v="Darker Skin Tones Enzyme Cleanser"/>
    <n v="6302"/>
    <s v="Dr. Barbara Sturm"/>
    <n v="3148"/>
    <x v="4"/>
    <n v="4.7778"/>
    <s v="Yes"/>
    <s v="High"/>
    <n v="9"/>
    <x v="76"/>
    <s v="Premium"/>
    <n v="0"/>
    <n v="0"/>
    <s v="Cleansers"/>
  </r>
  <r>
    <s v="P468143"/>
    <s v="GOOPGENES All-In-One Super Nutrient Face Oil"/>
    <n v="6309"/>
    <s v="goop"/>
    <n v="3159"/>
    <x v="4"/>
    <n v="3.5676000000000001"/>
    <s v="Yes"/>
    <s v="Medium"/>
    <n v="37"/>
    <x v="131"/>
    <s v="Premium"/>
    <n v="0"/>
    <n v="0"/>
    <s v="Moisturizers"/>
  </r>
  <r>
    <s v="P405286"/>
    <s v="Smart Broad Spectrum SPF 15 Custom-Repair Moisturizer for Dry Combination Skin"/>
    <n v="1254"/>
    <s v="CLINIQUE"/>
    <n v="3174"/>
    <x v="4"/>
    <n v="4.3143000000000002"/>
    <s v="Yes"/>
    <s v="High"/>
    <n v="35"/>
    <x v="56"/>
    <s v="Premium"/>
    <n v="0"/>
    <n v="0"/>
    <s v="Moisturizers"/>
  </r>
  <r>
    <s v="P500716"/>
    <s v="10 Day Results Kit"/>
    <n v="6018"/>
    <s v="Algenist"/>
    <n v="3206"/>
    <x v="4"/>
    <n v="4.8022999999999998"/>
    <s v="Yes"/>
    <s v="High"/>
    <n v="258"/>
    <x v="118"/>
    <s v="Premium"/>
    <n v="0"/>
    <n v="0"/>
    <s v="Value &amp; Gift Sets"/>
  </r>
  <r>
    <s v="P433971"/>
    <s v="Skin Warrior Moisture Rescue Cream"/>
    <n v="8012"/>
    <s v="Naturally Serious"/>
    <n v="3211"/>
    <x v="4"/>
    <n v="4.1905000000000001"/>
    <s v="Yes"/>
    <s v="High"/>
    <n v="168"/>
    <x v="9"/>
    <s v="Mid"/>
    <n v="0"/>
    <n v="0"/>
    <s v="Moisturizers"/>
  </r>
  <r>
    <s v="P470245"/>
    <s v="Complexion Brightening Booster Serum"/>
    <n v="7100"/>
    <s v="ROSE Ingleton MD"/>
    <n v="3223"/>
    <x v="4"/>
    <n v="4.5"/>
    <s v="Yes"/>
    <s v="High"/>
    <n v="34"/>
    <x v="10"/>
    <s v="Premium"/>
    <n v="0"/>
    <n v="0"/>
    <s v="Treatments"/>
  </r>
  <r>
    <s v="P502197"/>
    <s v="HydraKate Recharging Water Cream Moisturizer"/>
    <n v="5946"/>
    <s v="Kate Somerville"/>
    <n v="3226"/>
    <x v="4"/>
    <n v="4.8255999999999997"/>
    <s v="Yes"/>
    <s v="High"/>
    <n v="86"/>
    <x v="113"/>
    <s v="Premium"/>
    <n v="0"/>
    <n v="0"/>
    <s v="Moisturizers"/>
  </r>
  <r>
    <s v="P459301"/>
    <s v="Mini GOOPGLOW 15% Glycolic Acid Overnight Glow Peel"/>
    <n v="6309"/>
    <s v="goop"/>
    <n v="3228"/>
    <x v="4"/>
    <n v="4.2549999999999999"/>
    <s v="Yes"/>
    <s v="High"/>
    <n v="1196"/>
    <x v="44"/>
    <s v="Mid"/>
    <n v="0"/>
    <n v="0"/>
    <s v="Mini Size"/>
  </r>
  <r>
    <s v="P504429"/>
    <s v="Hydrating Serum"/>
    <n v="3902"/>
    <s v="SEPHORA COLLECTION"/>
    <n v="3242"/>
    <x v="4"/>
    <n v="4.8445"/>
    <s v="Yes"/>
    <s v="High"/>
    <n v="238"/>
    <x v="60"/>
    <s v="Mid"/>
    <n v="1"/>
    <n v="0"/>
    <s v="Treatments"/>
  </r>
  <r>
    <s v="P468408"/>
    <s v="SKINPOWER Eye Cream"/>
    <n v="6084"/>
    <s v="SK-II"/>
    <n v="3246"/>
    <x v="4"/>
    <n v="4.3226000000000004"/>
    <s v="Yes"/>
    <s v="High"/>
    <n v="747"/>
    <x v="109"/>
    <s v="Premium"/>
    <n v="0"/>
    <n v="0"/>
    <s v="Eye Care"/>
  </r>
  <r>
    <s v="P383054"/>
    <s v="Do Not Age with Dr. Brandt Transforming Pearl Serum"/>
    <n v="4372"/>
    <s v="Dr. Brandt Skincare"/>
    <n v="3259"/>
    <x v="4"/>
    <n v="4.1852"/>
    <s v="Yes"/>
    <s v="High"/>
    <n v="54"/>
    <x v="192"/>
    <s v="Premium"/>
    <n v="0"/>
    <n v="0"/>
    <s v="Treatments"/>
  </r>
  <r>
    <s v="P474107"/>
    <s v="Hyaluronic Tripeptide Gel-Cream for Eyes"/>
    <n v="6358"/>
    <s v="StriVectin"/>
    <n v="3261"/>
    <x v="4"/>
    <n v="4.6889000000000003"/>
    <s v="Yes"/>
    <s v="High"/>
    <n v="45"/>
    <x v="92"/>
    <s v="Premium"/>
    <n v="0"/>
    <n v="0"/>
    <s v="Eye Care"/>
  </r>
  <r>
    <s v="P470041"/>
    <s v="UV Expert Aquagel Defense Sunscreen, Primer &amp; Moisturizer SPF 50 Duo"/>
    <n v="1741"/>
    <s v="LancÃ´me"/>
    <n v="3271"/>
    <x v="4"/>
    <n v="4.2382999999999997"/>
    <s v="Yes"/>
    <s v="High"/>
    <n v="1045"/>
    <x v="92"/>
    <s v="Premium"/>
    <n v="0"/>
    <n v="0"/>
    <s v="Value &amp; Gift Sets"/>
  </r>
  <r>
    <s v="P502997"/>
    <s v="Salicylic Acid Acne Treatment Serum"/>
    <n v="6209"/>
    <s v="Peace Out"/>
    <n v="3297"/>
    <x v="4"/>
    <n v="3.6667000000000001"/>
    <s v="Yes"/>
    <s v="Medium"/>
    <n v="120"/>
    <x v="18"/>
    <s v="Mid"/>
    <n v="0"/>
    <n v="0"/>
    <s v="Treatments"/>
  </r>
  <r>
    <s v="P500109"/>
    <s v="Hydrating Caffeine Eye Cream"/>
    <n v="6743"/>
    <s v="Community Sixty-Six"/>
    <n v="3298"/>
    <x v="4"/>
    <n v="4.1379000000000001"/>
    <s v="Yes"/>
    <s v="High"/>
    <n v="116"/>
    <x v="5"/>
    <s v="Budget"/>
    <n v="0"/>
    <n v="0"/>
    <s v="Eye Care"/>
  </r>
  <r>
    <s v="P448553"/>
    <s v="Face Cream Rich"/>
    <n v="6302"/>
    <s v="Dr. Barbara Sturm"/>
    <n v="3298"/>
    <x v="4"/>
    <n v="4.3182"/>
    <s v="Yes"/>
    <s v="High"/>
    <n v="22"/>
    <x v="175"/>
    <s v="Premium"/>
    <n v="0"/>
    <n v="0"/>
    <s v="Moisturizers"/>
  </r>
  <r>
    <s v="P420638"/>
    <s v="ELEVATE Advanced Lift Contouring Cream"/>
    <n v="6018"/>
    <s v="Algenist"/>
    <n v="3317"/>
    <x v="4"/>
    <n v="4.3243"/>
    <s v="Yes"/>
    <s v="High"/>
    <n v="37"/>
    <x v="155"/>
    <s v="Premium"/>
    <n v="0"/>
    <n v="0"/>
    <s v="Moisturizers"/>
  </r>
  <r>
    <s v="P430405"/>
    <s v="Mini The Moisturizing Cool Gel Cream"/>
    <n v="6201"/>
    <s v="La Mer"/>
    <n v="3320"/>
    <x v="4"/>
    <n v="4.3"/>
    <s v="Yes"/>
    <s v="High"/>
    <n v="10"/>
    <x v="63"/>
    <s v="Premium"/>
    <n v="0"/>
    <n v="0"/>
    <s v="Mini Size"/>
  </r>
  <r>
    <s v="P501170"/>
    <s v="SHIKULIME Color Control Oil-Free Moisturizer SPF 30"/>
    <n v="6371"/>
    <s v="WASO"/>
    <n v="3322"/>
    <x v="4"/>
    <n v="4.1776"/>
    <s v="Yes"/>
    <s v="High"/>
    <n v="490"/>
    <x v="8"/>
    <s v="Mid"/>
    <n v="0"/>
    <n v="0"/>
    <s v="Moisturizers"/>
  </r>
  <r>
    <s v="P474114"/>
    <s v="Power Starters Tightening Trio"/>
    <n v="6358"/>
    <s v="StriVectin"/>
    <n v="3322"/>
    <x v="4"/>
    <n v="4.5263"/>
    <s v="Yes"/>
    <s v="High"/>
    <n v="19"/>
    <x v="53"/>
    <s v="Premium"/>
    <n v="0"/>
    <n v="0"/>
    <s v="Value &amp; Gift Sets"/>
  </r>
  <r>
    <s v="P395507"/>
    <s v="Extra Repair Moisture Cream"/>
    <n v="5644"/>
    <s v="Bobbi Brown"/>
    <n v="3331"/>
    <x v="4"/>
    <n v="4.5"/>
    <s v="Yes"/>
    <s v="High"/>
    <n v="2"/>
    <x v="61"/>
    <s v="Premium"/>
    <n v="0"/>
    <n v="0"/>
    <s v="Moisturizers"/>
  </r>
  <r>
    <s v="P438630"/>
    <s v="Contouring + De-Puffing Rose Quartz GloPRO Attachment Head"/>
    <n v="6272"/>
    <s v="BeautyBio"/>
    <n v="3334"/>
    <x v="4"/>
    <n v="4.1429"/>
    <s v="Yes"/>
    <s v="High"/>
    <n v="7"/>
    <x v="25"/>
    <s v="Mid"/>
    <n v="0"/>
    <n v="0"/>
    <s v="High Tech Tools"/>
  </r>
  <r>
    <s v="P478274"/>
    <s v="GOOPGENES Clean Nourishing Lip Balm Trio"/>
    <n v="6309"/>
    <s v="goop"/>
    <n v="3354"/>
    <x v="4"/>
    <n v="3.5556000000000001"/>
    <s v="Yes"/>
    <s v="Medium"/>
    <n v="27"/>
    <x v="14"/>
    <s v="Mid"/>
    <n v="0"/>
    <n v="0"/>
    <s v="Value &amp; Gift Sets"/>
  </r>
  <r>
    <s v="P449411"/>
    <s v="Mini Micellar Magic Makeup Remover &amp; Cleanser"/>
    <n v="5648"/>
    <s v="tarte"/>
    <n v="3357"/>
    <x v="4"/>
    <n v="3.4285999999999999"/>
    <s v="Yes"/>
    <s v="Medium"/>
    <n v="14"/>
    <x v="59"/>
    <s v="Budget"/>
    <n v="0"/>
    <n v="1"/>
    <s v="Mini Size"/>
  </r>
  <r>
    <s v="P468411"/>
    <s v="SKINPOWER Cream"/>
    <n v="6084"/>
    <s v="SK-II"/>
    <n v="3361"/>
    <x v="4"/>
    <n v="4.1878000000000002"/>
    <s v="Yes"/>
    <s v="High"/>
    <n v="442"/>
    <x v="185"/>
    <s v="Premium"/>
    <n v="0"/>
    <n v="0"/>
    <s v="Moisturizers"/>
  </r>
  <r>
    <s v="P481703"/>
    <s v="Black Tea Corset Cream Firming Moisturizer"/>
    <n v="4348"/>
    <s v="fresh"/>
    <n v="3371"/>
    <x v="4"/>
    <n v="4.0065"/>
    <s v="Yes"/>
    <s v="High"/>
    <n v="153"/>
    <x v="73"/>
    <s v="Premium"/>
    <n v="0"/>
    <n v="0"/>
    <s v="Moisturizers"/>
  </r>
  <r>
    <s v="P467028"/>
    <s v="Glow In A Wink ExfoliKate Bestsellers Set"/>
    <n v="5946"/>
    <s v="Kate Somerville"/>
    <n v="3372"/>
    <x v="4"/>
    <n v="4.9066999999999998"/>
    <s v="Yes"/>
    <s v="High"/>
    <n v="75"/>
    <x v="55"/>
    <s v="Premium"/>
    <n v="0"/>
    <n v="0"/>
    <s v="Value &amp; Gift Sets"/>
  </r>
  <r>
    <s v="P454937"/>
    <s v="Mini Super Anti-Aging Serum"/>
    <n v="6302"/>
    <s v="Dr. Barbara Sturm"/>
    <n v="3397"/>
    <x v="4"/>
    <n v="3.3683999999999998"/>
    <s v="Yes"/>
    <s v="Medium"/>
    <n v="38"/>
    <x v="87"/>
    <s v="Premium"/>
    <n v="0"/>
    <n v="0"/>
    <s v="Mini Size"/>
  </r>
  <r>
    <s v="P442537"/>
    <s v="Liquid Gold Firming Eye Cream"/>
    <n v="6283"/>
    <s v="Alpha-H"/>
    <n v="3406"/>
    <x v="4"/>
    <n v="3.8824000000000001"/>
    <s v="Yes"/>
    <s v="Medium"/>
    <n v="17"/>
    <x v="42"/>
    <s v="Premium"/>
    <n v="0"/>
    <n v="0"/>
    <s v="Eye Care"/>
  </r>
  <r>
    <s v="P457273"/>
    <s v="Immortelle Overnight Reset Eye Serum"/>
    <n v="2366"/>
    <s v="L'Occitane"/>
    <n v="3415"/>
    <x v="4"/>
    <n v="3.6"/>
    <s v="Yes"/>
    <s v="Medium"/>
    <n v="10"/>
    <x v="37"/>
    <s v="Premium"/>
    <n v="0"/>
    <n v="0"/>
    <s v="Eye Care"/>
  </r>
  <r>
    <s v="P482313"/>
    <s v="Eyebrow Razor Set"/>
    <n v="3902"/>
    <s v="SEPHORA COLLECTION"/>
    <n v="3419"/>
    <x v="4"/>
    <n v="4.1429"/>
    <s v="Yes"/>
    <s v="High"/>
    <n v="7"/>
    <x v="110"/>
    <s v="Budget"/>
    <n v="0"/>
    <n v="0"/>
    <s v="High Tech Tools"/>
  </r>
  <r>
    <s v="P504313"/>
    <s v="Peptides + C Energy Eye Concentrate with Vitamin C and Caffeine"/>
    <n v="6169"/>
    <s v="Youth To The People"/>
    <n v="3420"/>
    <x v="4"/>
    <n v="4.8"/>
    <s v="Yes"/>
    <s v="High"/>
    <n v="45"/>
    <x v="14"/>
    <s v="Mid"/>
    <n v="1"/>
    <n v="0"/>
    <s v="Eye Care"/>
  </r>
  <r>
    <s v="P457272"/>
    <s v="Abeille Royale Anti-Aging Eye Cream"/>
    <n v="1132"/>
    <s v="GUERLAIN"/>
    <n v="3420"/>
    <x v="4"/>
    <n v="3.7856999999999998"/>
    <s v="Yes"/>
    <s v="Medium"/>
    <n v="14"/>
    <x v="61"/>
    <s v="Premium"/>
    <n v="0"/>
    <n v="0"/>
    <s v="Eye Care"/>
  </r>
  <r>
    <s v="P464240"/>
    <s v="10% Glycolic Acne Control Peel Pads"/>
    <n v="6334"/>
    <s v="Dr. Zenovia Skincare"/>
    <n v="3425"/>
    <x v="4"/>
    <n v="4.4095000000000004"/>
    <s v="Yes"/>
    <s v="High"/>
    <n v="105"/>
    <x v="36"/>
    <s v="Mid"/>
    <n v="0"/>
    <n v="0"/>
    <s v="Treatments"/>
  </r>
  <r>
    <s v="P501264"/>
    <s v="The Hydrating Treatment Lotion &amp; CrÃ¨me Set"/>
    <n v="6201"/>
    <s v="La Mer"/>
    <n v="3433"/>
    <x v="4"/>
    <n v="3"/>
    <s v="Yes"/>
    <s v="Medium"/>
    <n v="2"/>
    <x v="181"/>
    <s v="Premium"/>
    <n v="0"/>
    <n v="0"/>
    <s v="Value &amp; Gift Sets"/>
  </r>
  <r>
    <s v="P472023"/>
    <s v="Nomadâ€™s Cream Purifying &amp; Exfoliating AHA Cleanser"/>
    <n v="6349"/>
    <s v="DAMDAM"/>
    <n v="3446"/>
    <x v="4"/>
    <n v="4.7929000000000004"/>
    <s v="Yes"/>
    <s v="High"/>
    <n v="198"/>
    <x v="12"/>
    <s v="Mid"/>
    <n v="0"/>
    <n v="0"/>
    <s v="Cleansers"/>
  </r>
  <r>
    <s v="P379009"/>
    <s v="RÃ©nergie Lift Multi-Action Day Cream with SPF 15 - All Skin Types"/>
    <n v="1741"/>
    <s v="LancÃ´me"/>
    <n v="3448"/>
    <x v="4"/>
    <n v="3.8108"/>
    <s v="Yes"/>
    <s v="Medium"/>
    <n v="37"/>
    <x v="193"/>
    <s v="Premium"/>
    <n v="0"/>
    <n v="0"/>
    <s v="Moisturizers"/>
  </r>
  <r>
    <s v="P409920"/>
    <s v="Clarifying Lotion 1.0 Twice A Day Exfoliator"/>
    <n v="1254"/>
    <s v="CLINIQUE"/>
    <n v="3470"/>
    <x v="4"/>
    <n v="3.6429"/>
    <s v="Yes"/>
    <s v="Medium"/>
    <n v="42"/>
    <x v="29"/>
    <s v="Mid"/>
    <n v="0"/>
    <n v="0"/>
    <s v="Cleansers"/>
  </r>
  <r>
    <s v="P504044"/>
    <s v="Pro-Retinol Megamoisture Face Cream"/>
    <n v="5922"/>
    <s v="Josie Maran"/>
    <n v="3498"/>
    <x v="4"/>
    <n v="4.7518000000000002"/>
    <s v="Yes"/>
    <s v="High"/>
    <n v="278"/>
    <x v="30"/>
    <s v="Premium"/>
    <n v="0"/>
    <n v="0"/>
    <s v="Moisturizers"/>
  </r>
  <r>
    <s v="P502046"/>
    <s v="GinZing Energizing Gel Cream with Caffeine &amp; Niacinamide"/>
    <n v="3733"/>
    <s v="Origins"/>
    <n v="3509"/>
    <x v="4"/>
    <n v="4.5965999999999996"/>
    <s v="Yes"/>
    <s v="High"/>
    <n v="119"/>
    <x v="8"/>
    <s v="Mid"/>
    <n v="0"/>
    <n v="0"/>
    <s v="Moisturizers"/>
  </r>
  <r>
    <s v="P422260"/>
    <s v="Super Multi-Corrective Cream Sunscreen Broad Spectrum SPF 30"/>
    <n v="6218"/>
    <s v="Kiehl's Since 1851"/>
    <n v="3510"/>
    <x v="4"/>
    <n v="3.6"/>
    <s v="Yes"/>
    <s v="Medium"/>
    <n v="15"/>
    <x v="73"/>
    <s v="Premium"/>
    <n v="0"/>
    <n v="0"/>
    <s v="Moisturizers"/>
  </r>
  <r>
    <s v="P480162"/>
    <s v="Cica Recover &amp; Repair Multi-Use Balm"/>
    <n v="1073"/>
    <s v="Dior"/>
    <n v="3512"/>
    <x v="4"/>
    <n v="4.6416000000000004"/>
    <s v="Yes"/>
    <s v="High"/>
    <n v="611"/>
    <x v="37"/>
    <s v="Premium"/>
    <n v="0"/>
    <n v="0"/>
    <s v="Moisturizers"/>
  </r>
  <r>
    <s v="P480176"/>
    <s v="Mini Calendula Deep Clean Foaming Face Wash"/>
    <n v="6218"/>
    <s v="Kiehl's Since 1851"/>
    <n v="3514"/>
    <x v="4"/>
    <n v="5"/>
    <s v="Yes"/>
    <s v="High"/>
    <n v="3"/>
    <x v="5"/>
    <s v="Budget"/>
    <n v="0"/>
    <n v="0"/>
    <s v="Cleansers"/>
  </r>
  <r>
    <s v="P443549"/>
    <s v="Dr. Andrew Weil for Origins Mega-Mushroom Relief &amp; Resilience Soothing Cream"/>
    <n v="3733"/>
    <s v="Origins"/>
    <n v="3524"/>
    <x v="4"/>
    <n v="4.2667000000000002"/>
    <s v="Yes"/>
    <s v="High"/>
    <n v="15"/>
    <x v="136"/>
    <s v="Premium"/>
    <n v="0"/>
    <n v="0"/>
    <s v="Moisturizers"/>
  </r>
  <r>
    <s v="P469833"/>
    <s v="Equilibrium Restoring Essence"/>
    <n v="5879"/>
    <s v="Hourglass"/>
    <n v="3526"/>
    <x v="4"/>
    <n v="4.7691999999999997"/>
    <s v="Yes"/>
    <s v="High"/>
    <n v="52"/>
    <x v="92"/>
    <s v="Premium"/>
    <n v="0"/>
    <n v="0"/>
    <s v="Moisturizers"/>
  </r>
  <r>
    <s v="P447790"/>
    <s v="Anti-Pollution Drops"/>
    <n v="6302"/>
    <s v="Dr. Barbara Sturm"/>
    <n v="3528"/>
    <x v="4"/>
    <n v="3.6326999999999998"/>
    <s v="Yes"/>
    <s v="Medium"/>
    <n v="49"/>
    <x v="184"/>
    <s v="Premium"/>
    <n v="0"/>
    <n v="0"/>
    <s v="Treatments"/>
  </r>
  <r>
    <s v="P447789"/>
    <s v="Sun Drops SPF 50"/>
    <n v="6302"/>
    <s v="Dr. Barbara Sturm"/>
    <n v="3538"/>
    <x v="4"/>
    <n v="2.7164000000000001"/>
    <s v="Yes"/>
    <s v="Low"/>
    <n v="67"/>
    <x v="184"/>
    <s v="Premium"/>
    <n v="0"/>
    <n v="0"/>
    <s v="Sunscreen"/>
  </r>
  <r>
    <s v="P503915"/>
    <s v="Mini Floral Recovery Overnight Mask with Squalane"/>
    <n v="4348"/>
    <s v="fresh"/>
    <n v="3539"/>
    <x v="4"/>
    <n v="5"/>
    <s v="Yes"/>
    <s v="High"/>
    <n v="1"/>
    <x v="52"/>
    <s v="Mid"/>
    <n v="1"/>
    <n v="0"/>
    <s v="Masks"/>
  </r>
  <r>
    <s v="P483694"/>
    <s v="Essential Comfort Balancing Water"/>
    <n v="6307"/>
    <s v="Sulwhasoo"/>
    <n v="3539"/>
    <x v="4"/>
    <n v="5"/>
    <s v="Yes"/>
    <s v="High"/>
    <n v="4"/>
    <x v="6"/>
    <s v="Premium"/>
    <n v="0"/>
    <n v="0"/>
    <s v="Moisturizers"/>
  </r>
  <r>
    <s v="P467650"/>
    <s v="Self-Tanning Body Mousse"/>
    <n v="3902"/>
    <s v="SEPHORA COLLECTION"/>
    <n v="3544"/>
    <x v="4"/>
    <n v="3.4839000000000002"/>
    <s v="Yes"/>
    <s v="Medium"/>
    <n v="31"/>
    <x v="5"/>
    <s v="Budget"/>
    <n v="0"/>
    <n v="0"/>
    <s v="Self Tanners"/>
  </r>
  <r>
    <s v="P475183"/>
    <s v="So Polished Exfoliating Sugar Scrub"/>
    <n v="6373"/>
    <s v="TULA Skincare"/>
    <n v="3585"/>
    <x v="4"/>
    <n v="4.32"/>
    <s v="Yes"/>
    <s v="High"/>
    <n v="50"/>
    <x v="18"/>
    <s v="Mid"/>
    <n v="0"/>
    <n v="0"/>
    <s v="Cleansers"/>
  </r>
  <r>
    <s v="P500856"/>
    <s v="Retinol Anti-Aging Power Duo"/>
    <n v="6209"/>
    <s v="Peace Out"/>
    <n v="3592"/>
    <x v="4"/>
    <n v="4.2222"/>
    <s v="Yes"/>
    <s v="High"/>
    <n v="18"/>
    <x v="14"/>
    <s v="Mid"/>
    <n v="0"/>
    <n v="0"/>
    <s v="Value &amp; Gift Sets"/>
  </r>
  <r>
    <s v="P433974"/>
    <s v="Supercharge Anti-Oxidant Moisture Serum"/>
    <n v="8012"/>
    <s v="Naturally Serious"/>
    <n v="3597"/>
    <x v="4"/>
    <n v="4.5758000000000001"/>
    <s v="Yes"/>
    <s v="High"/>
    <n v="99"/>
    <x v="7"/>
    <s v="Mid"/>
    <n v="0"/>
    <n v="0"/>
    <s v="Treatments"/>
  </r>
  <r>
    <s v="P467970"/>
    <s v="Clean Pro Obsidian"/>
    <n v="6114"/>
    <s v="PMD"/>
    <n v="3602"/>
    <x v="4"/>
    <n v="4.7069000000000001"/>
    <s v="Yes"/>
    <s v="High"/>
    <n v="58"/>
    <x v="130"/>
    <s v="Premium"/>
    <n v="0"/>
    <n v="0"/>
    <s v="High Tech Tools"/>
  </r>
  <r>
    <s v="P442546"/>
    <s v="Balancing Cleanser"/>
    <n v="6283"/>
    <s v="Alpha-H"/>
    <n v="3612"/>
    <x v="4"/>
    <n v="4.5454999999999997"/>
    <s v="Yes"/>
    <s v="High"/>
    <n v="77"/>
    <x v="12"/>
    <s v="Mid"/>
    <n v="0"/>
    <n v="0"/>
    <s v="Cleansers"/>
  </r>
  <r>
    <s v="P481833"/>
    <s v="Concentrated Ginseng Renewing Cream"/>
    <n v="6307"/>
    <s v="Sulwhasoo"/>
    <n v="3616"/>
    <x v="4"/>
    <n v="4.4766000000000004"/>
    <s v="Yes"/>
    <s v="High"/>
    <n v="342"/>
    <x v="72"/>
    <s v="Premium"/>
    <n v="0"/>
    <n v="0"/>
    <s v="Moisturizers"/>
  </r>
  <r>
    <s v="P481975"/>
    <s v="Alpha Beta Daily Essentials - Universal"/>
    <n v="5668"/>
    <s v="Dr. Dennis Gross Skincare"/>
    <n v="3622"/>
    <x v="4"/>
    <n v="4.6295999999999999"/>
    <s v="Yes"/>
    <s v="High"/>
    <n v="27"/>
    <x v="27"/>
    <s v="Premium"/>
    <n v="0"/>
    <n v="0"/>
    <s v="Value &amp; Gift Sets"/>
  </r>
  <r>
    <s v="P503892"/>
    <s v="Instant Hydration Set"/>
    <n v="6195"/>
    <s v="Biossance"/>
    <n v="3629"/>
    <x v="4"/>
    <n v="3.6667000000000001"/>
    <s v="Yes"/>
    <s v="Medium"/>
    <n v="3"/>
    <x v="28"/>
    <s v="Premium"/>
    <n v="1"/>
    <n v="0"/>
    <s v="Value &amp; Gift Sets"/>
  </r>
  <r>
    <s v="P442267"/>
    <s v="Sunless Tan Express Sculpting Mousse"/>
    <n v="7091"/>
    <s v="COOLA"/>
    <n v="3650"/>
    <x v="4"/>
    <n v="4"/>
    <s v="Yes"/>
    <s v="High"/>
    <n v="27"/>
    <x v="14"/>
    <s v="Mid"/>
    <n v="0"/>
    <n v="0"/>
    <s v="Self Tanners"/>
  </r>
  <r>
    <s v="P504815"/>
    <s v="Universal Pro-Retinol Overnight Renewing Treatment"/>
    <n v="6751"/>
    <s v="Glossier"/>
    <n v="3669"/>
    <x v="4"/>
    <n v="3.7778"/>
    <s v="Yes"/>
    <s v="Medium"/>
    <n v="9"/>
    <x v="9"/>
    <s v="Mid"/>
    <n v="1"/>
    <n v="0"/>
    <s v="Treatments"/>
  </r>
  <r>
    <s v="P475926"/>
    <s v="The SturmGlow Kit"/>
    <n v="6302"/>
    <s v="Dr. Barbara Sturm"/>
    <n v="3701"/>
    <x v="4"/>
    <n v="3.1111"/>
    <s v="Yes"/>
    <s v="Medium"/>
    <n v="9"/>
    <x v="182"/>
    <s v="Premium"/>
    <n v="0"/>
    <n v="0"/>
    <s v="Value &amp; Gift Sets"/>
  </r>
  <r>
    <s v="P467755"/>
    <s v="Hydrating Toner Lotion with Aloe Vera"/>
    <n v="2082"/>
    <s v="Clarins"/>
    <n v="3710"/>
    <x v="4"/>
    <n v="3.8462000000000001"/>
    <s v="Yes"/>
    <s v="Medium"/>
    <n v="13"/>
    <x v="78"/>
    <s v="Mid"/>
    <n v="0"/>
    <n v="0"/>
    <s v="Cleansers"/>
  </r>
  <r>
    <s v="P500318"/>
    <s v="That Overnight Hustle AHA + BHA Resurfacer"/>
    <n v="6335"/>
    <s v="JLo Beauty"/>
    <n v="3724"/>
    <x v="4"/>
    <n v="4.4409000000000001"/>
    <s v="Yes"/>
    <s v="High"/>
    <n v="127"/>
    <x v="69"/>
    <s v="Premium"/>
    <n v="0"/>
    <n v="0"/>
    <s v="Treatments"/>
  </r>
  <r>
    <s v="P481401"/>
    <s v="Hydrating Jasmine Mist - Royal Refresh"/>
    <n v="6475"/>
    <s v="RANAVAT"/>
    <n v="3733"/>
    <x v="4"/>
    <n v="4.4570999999999996"/>
    <s v="Yes"/>
    <s v="High"/>
    <n v="35"/>
    <x v="44"/>
    <s v="Mid"/>
    <n v="0"/>
    <n v="0"/>
    <s v="Moisturizers"/>
  </r>
  <r>
    <s v="P480604"/>
    <s v="FAB Faves Trio"/>
    <n v="5972"/>
    <s v="First Aid Beauty"/>
    <n v="3738"/>
    <x v="4"/>
    <n v="4"/>
    <s v="Yes"/>
    <s v="High"/>
    <n v="4"/>
    <x v="78"/>
    <s v="Mid"/>
    <n v="0"/>
    <n v="0"/>
    <s v="Value &amp; Gift Sets"/>
  </r>
  <r>
    <s v="P500729"/>
    <s v="Best Sellers Set"/>
    <n v="3902"/>
    <s v="SEPHORA COLLECTION"/>
    <n v="3742"/>
    <x v="4"/>
    <n v="4.3333000000000004"/>
    <s v="Yes"/>
    <s v="High"/>
    <n v="6"/>
    <x v="60"/>
    <s v="Mid"/>
    <n v="0"/>
    <n v="0"/>
    <s v="Value &amp; Gift Sets"/>
  </r>
  <r>
    <s v="P443376"/>
    <s v="White Lucent Overnight Cream &amp; Mask"/>
    <n v="5337"/>
    <s v="Shiseido"/>
    <n v="3749"/>
    <x v="4"/>
    <n v="3.2726999999999999"/>
    <s v="Yes"/>
    <s v="Medium"/>
    <n v="22"/>
    <x v="61"/>
    <s v="Premium"/>
    <n v="0"/>
    <n v="0"/>
    <s v="Moisturizers"/>
  </r>
  <r>
    <s v="P483700"/>
    <s v="Smoothing Vitamin C Eye + Expression Lines Cream"/>
    <n v="6488"/>
    <s v="The Outset"/>
    <n v="3752"/>
    <x v="4"/>
    <n v="4.3739999999999997"/>
    <s v="Yes"/>
    <s v="High"/>
    <n v="123"/>
    <x v="36"/>
    <s v="Mid"/>
    <n v="0"/>
    <n v="0"/>
    <s v="Eye Care"/>
  </r>
  <r>
    <s v="P482068"/>
    <s v="Sacred Sleep Overnight Repair with Retinol"/>
    <n v="6294"/>
    <s v="Saint Jane Beauty"/>
    <n v="3758"/>
    <x v="4"/>
    <n v="4.7544000000000004"/>
    <s v="Yes"/>
    <s v="High"/>
    <n v="57"/>
    <x v="10"/>
    <s v="Premium"/>
    <n v="0"/>
    <n v="0"/>
    <s v="Treatments"/>
  </r>
  <r>
    <s v="P478021"/>
    <s v="Sleepover Retin-Oil Nighttime Treatment"/>
    <n v="8012"/>
    <s v="Naturally Serious"/>
    <n v="3771"/>
    <x v="4"/>
    <n v="4.7656000000000001"/>
    <s v="Yes"/>
    <s v="High"/>
    <n v="64"/>
    <x v="7"/>
    <s v="Mid"/>
    <n v="0"/>
    <n v="0"/>
    <s v="Treatments"/>
  </r>
  <r>
    <s v="P447608"/>
    <s v="Rose Sorbet Cryo-Mask"/>
    <n v="1741"/>
    <s v="LancÃ´me"/>
    <n v="3771"/>
    <x v="4"/>
    <n v="3.5185"/>
    <s v="Yes"/>
    <s v="Medium"/>
    <n v="27"/>
    <x v="44"/>
    <s v="Mid"/>
    <n v="0"/>
    <n v="0"/>
    <s v="Masks"/>
  </r>
  <r>
    <s v="P477761"/>
    <s v="Lovely Lashes Contour Sleep Mask"/>
    <n v="6130"/>
    <s v="Slip"/>
    <n v="3771"/>
    <x v="4"/>
    <n v="4"/>
    <s v="Yes"/>
    <s v="High"/>
    <n v="8"/>
    <x v="103"/>
    <s v="Premium"/>
    <n v="0"/>
    <n v="0"/>
    <s v="Wellness"/>
  </r>
  <r>
    <s v="P479696"/>
    <s v="Brighten Trial Kit"/>
    <n v="4164"/>
    <s v="Murad"/>
    <n v="3779"/>
    <x v="4"/>
    <n v="5"/>
    <s v="Yes"/>
    <s v="High"/>
    <n v="2"/>
    <x v="23"/>
    <s v="Premium"/>
    <n v="0"/>
    <n v="0"/>
    <s v="Value &amp; Gift Sets"/>
  </r>
  <r>
    <s v="P474121"/>
    <s v="SD Advanced  PLUS Intensive Moisturizer For Wrinkles &amp; Stretch Marks"/>
    <n v="6358"/>
    <s v="StriVectin"/>
    <n v="3783"/>
    <x v="4"/>
    <n v="4.6848000000000001"/>
    <s v="Yes"/>
    <s v="High"/>
    <n v="92"/>
    <x v="42"/>
    <s v="Premium"/>
    <n v="0"/>
    <n v="0"/>
    <s v="Moisturizers"/>
  </r>
  <r>
    <s v="P504786"/>
    <s v="Solution Skin-Perfecting Daily Chemical Exfoliator"/>
    <n v="6751"/>
    <s v="Glossier"/>
    <n v="3786"/>
    <x v="4"/>
    <n v="3.7143000000000002"/>
    <s v="Yes"/>
    <s v="Medium"/>
    <n v="21"/>
    <x v="95"/>
    <s v="Mid"/>
    <n v="1"/>
    <n v="0"/>
    <s v="Cleansers"/>
  </r>
  <r>
    <s v="P450210"/>
    <s v="Vitamin Nectar Glow Juice Antioxidant Face Serum"/>
    <n v="4348"/>
    <s v="fresh"/>
    <n v="3789"/>
    <x v="4"/>
    <n v="3.9714"/>
    <s v="Yes"/>
    <s v="Medium"/>
    <n v="70"/>
    <x v="52"/>
    <s v="Mid"/>
    <n v="0"/>
    <n v="0"/>
    <s v="Treatments"/>
  </r>
  <r>
    <s v="P482754"/>
    <s v="Mineral Magic Oil-Free Mineral Sunscreen Fluid Broad Spectrum SPF 30"/>
    <n v="6373"/>
    <s v="TULA Skincare"/>
    <n v="3802"/>
    <x v="4"/>
    <n v="4.3548"/>
    <s v="Yes"/>
    <s v="High"/>
    <n v="62"/>
    <x v="12"/>
    <s v="Mid"/>
    <n v="0"/>
    <n v="0"/>
    <s v="Sunscreen"/>
  </r>
  <r>
    <s v="P468396"/>
    <s v="PLANTSCRIPTION Multi-powered Anti-Aging Peptide Serum"/>
    <n v="3733"/>
    <s v="Origins"/>
    <n v="3806"/>
    <x v="4"/>
    <n v="4.4356"/>
    <s v="Yes"/>
    <s v="High"/>
    <n v="225"/>
    <x v="167"/>
    <s v="Premium"/>
    <n v="0"/>
    <n v="0"/>
    <s v="Treatments"/>
  </r>
  <r>
    <s v="P464244"/>
    <s v="Vitamin C Brightening Toner"/>
    <n v="6334"/>
    <s v="Dr. Zenovia Skincare"/>
    <n v="3840"/>
    <x v="4"/>
    <n v="4.5980999999999996"/>
    <s v="Yes"/>
    <s v="High"/>
    <n v="107"/>
    <x v="12"/>
    <s v="Mid"/>
    <n v="0"/>
    <n v="0"/>
    <s v="Cleansers"/>
  </r>
  <r>
    <s v="P482741"/>
    <s v="Urban Environment Oil-Free Mineral Sunscreen Broad-Spectrum SPF 42"/>
    <n v="5337"/>
    <s v="Shiseido"/>
    <n v="3841"/>
    <x v="4"/>
    <n v="4.3071999999999999"/>
    <s v="Yes"/>
    <s v="High"/>
    <n v="485"/>
    <x v="12"/>
    <s v="Mid"/>
    <n v="0"/>
    <n v="0"/>
    <s v="Sunscreen"/>
  </r>
  <r>
    <s v="P483696"/>
    <s v="Gentle Micellar Antioxidant Cleanser"/>
    <n v="6488"/>
    <s v="The Outset"/>
    <n v="3860"/>
    <x v="4"/>
    <n v="4.6936999999999998"/>
    <s v="Yes"/>
    <s v="High"/>
    <n v="111"/>
    <x v="29"/>
    <s v="Mid"/>
    <n v="0"/>
    <n v="0"/>
    <s v="Cleansers"/>
  </r>
  <r>
    <s v="P428103"/>
    <s v="Ultimate Revival Essence"/>
    <n v="6084"/>
    <s v="SK-II"/>
    <n v="3863"/>
    <x v="4"/>
    <n v="4.5454999999999997"/>
    <s v="Yes"/>
    <s v="High"/>
    <n v="11"/>
    <x v="194"/>
    <s v="Premium"/>
    <n v="0"/>
    <n v="0"/>
    <s v="Moisturizers"/>
  </r>
  <r>
    <s v="P456211"/>
    <s v="GOOPGLOW Morning Skin Superpowder"/>
    <n v="6309"/>
    <s v="goop"/>
    <n v="3866"/>
    <x v="4"/>
    <n v="3.9910000000000001"/>
    <s v="Yes"/>
    <s v="Medium"/>
    <n v="1110"/>
    <x v="37"/>
    <s v="Premium"/>
    <n v="0"/>
    <n v="0"/>
    <s v="Wellness"/>
  </r>
  <r>
    <s v="P447504"/>
    <s v="AA (Alguronic Acid) Barrier Serum"/>
    <n v="6018"/>
    <s v="Algenist"/>
    <n v="3877"/>
    <x v="4"/>
    <n v="3.97"/>
    <s v="Yes"/>
    <s v="Medium"/>
    <n v="100"/>
    <x v="99"/>
    <s v="Premium"/>
    <n v="0"/>
    <n v="0"/>
    <s v="Treatments"/>
  </r>
  <r>
    <s v="P481347"/>
    <s v="Clear Skin Kit Acne Treatment Kit"/>
    <n v="6341"/>
    <s v="Paula's Choice"/>
    <n v="3884"/>
    <x v="4"/>
    <n v="3.4375"/>
    <s v="Yes"/>
    <s v="Medium"/>
    <n v="16"/>
    <x v="76"/>
    <s v="Premium"/>
    <n v="0"/>
    <n v="0"/>
    <s v="Value &amp; Gift Sets"/>
  </r>
  <r>
    <s v="P455919"/>
    <s v="MenoReverse Volumizing Serum-in-Moisturizer"/>
    <n v="5715"/>
    <s v="KORRES"/>
    <n v="3897"/>
    <x v="4"/>
    <n v="4.0517000000000003"/>
    <s v="Yes"/>
    <s v="High"/>
    <n v="58"/>
    <x v="44"/>
    <s v="Mid"/>
    <n v="0"/>
    <n v="0"/>
    <s v="Moisturizers"/>
  </r>
  <r>
    <s v="P503814"/>
    <s v="Dynamic Skin Retinol Serum"/>
    <n v="6219"/>
    <s v="Dermalogica"/>
    <n v="3898"/>
    <x v="4"/>
    <n v="4.8080999999999996"/>
    <s v="Yes"/>
    <s v="High"/>
    <n v="344"/>
    <x v="27"/>
    <s v="Premium"/>
    <n v="0"/>
    <n v="0"/>
    <s v="Treatments"/>
  </r>
  <r>
    <s v="P472058"/>
    <s v="Crystal Facial Roller Set"/>
    <n v="3902"/>
    <s v="SEPHORA COLLECTION"/>
    <n v="3924"/>
    <x v="4"/>
    <n v="4"/>
    <s v="Yes"/>
    <s v="High"/>
    <n v="2"/>
    <x v="9"/>
    <s v="Mid"/>
    <n v="0"/>
    <n v="0"/>
    <s v="Wellness"/>
  </r>
  <r>
    <s v="P451745"/>
    <s v="30% Glycolic Acid Peel Concentrate"/>
    <n v="6303"/>
    <s v="SOBEL SKIN Rx"/>
    <n v="3924"/>
    <x v="4"/>
    <n v="4.125"/>
    <s v="Yes"/>
    <s v="High"/>
    <n v="24"/>
    <x v="45"/>
    <s v="Mid"/>
    <n v="0"/>
    <n v="0"/>
    <s v="Treatments"/>
  </r>
  <r>
    <s v="P480150"/>
    <s v="Liquid Gold Midnight Reboot Serum with 14% Glycolic Acid and Tripeptide-5"/>
    <n v="6283"/>
    <s v="Alpha-H"/>
    <n v="3928"/>
    <x v="4"/>
    <n v="5"/>
    <s v="Yes"/>
    <s v="High"/>
    <n v="16"/>
    <x v="38"/>
    <s v="Premium"/>
    <n v="0"/>
    <n v="0"/>
    <s v="Treatments"/>
  </r>
  <r>
    <s v="P474964"/>
    <s v="Facial Spray with Aloe Adaptogens, and Coconut Water"/>
    <n v="8017"/>
    <s v="Mario Badescu"/>
    <n v="3932"/>
    <x v="4"/>
    <n v="4.2857000000000003"/>
    <s v="Yes"/>
    <s v="High"/>
    <n v="14"/>
    <x v="59"/>
    <s v="Budget"/>
    <n v="0"/>
    <n v="0"/>
    <s v="Moisturizers"/>
  </r>
  <r>
    <s v="P480608"/>
    <s v="Equilibrium Instant Plumping Eye Mask"/>
    <n v="5879"/>
    <s v="Hourglass"/>
    <n v="3935"/>
    <x v="4"/>
    <n v="4.4718999999999998"/>
    <s v="Yes"/>
    <s v="High"/>
    <n v="89"/>
    <x v="6"/>
    <s v="Premium"/>
    <n v="0"/>
    <n v="0"/>
    <s v="Eye Care"/>
  </r>
  <r>
    <s v="P501236"/>
    <s v="Abeille Royale Anti-Aging Double R Advanced Serum"/>
    <n v="1132"/>
    <s v="GUERLAIN"/>
    <n v="3942"/>
    <x v="4"/>
    <n v="4.6196000000000002"/>
    <s v="Yes"/>
    <s v="High"/>
    <n v="418"/>
    <x v="175"/>
    <s v="Premium"/>
    <n v="0"/>
    <n v="0"/>
    <s v="Treatments"/>
  </r>
  <r>
    <s v="P502192"/>
    <s v="Acne Away Kit + Salicylic Acid + Azelaic Acid + Niacinamide"/>
    <n v="6289"/>
    <s v="Skinfix"/>
    <n v="3945"/>
    <x v="4"/>
    <n v="4"/>
    <s v="Yes"/>
    <s v="High"/>
    <n v="1"/>
    <x v="9"/>
    <s v="Mid"/>
    <n v="0"/>
    <n v="0"/>
    <s v="Value &amp; Gift Sets"/>
  </r>
  <r>
    <s v="P500002"/>
    <s v="Brighten. Tighten. Hydrate. 3-Piece Set"/>
    <n v="6335"/>
    <s v="JLo Beauty"/>
    <n v="3952"/>
    <x v="4"/>
    <n v="4.2782"/>
    <s v="Yes"/>
    <s v="High"/>
    <n v="133"/>
    <x v="56"/>
    <s v="Premium"/>
    <n v="0"/>
    <n v="0"/>
    <s v="Value &amp; Gift Sets"/>
  </r>
  <r>
    <s v="P504848"/>
    <s v="Resveratrol-Lift Ultimate Firming Set"/>
    <n v="4171"/>
    <s v="Caudalie"/>
    <n v="3970"/>
    <x v="4"/>
    <n v="4.25"/>
    <s v="Yes"/>
    <s v="High"/>
    <n v="4"/>
    <x v="150"/>
    <s v="Premium"/>
    <n v="1"/>
    <n v="0"/>
    <s v="Value &amp; Gift Sets"/>
  </r>
  <r>
    <s v="P455332"/>
    <s v="Hydrating Water Fresh Cream Moisturizer"/>
    <n v="5644"/>
    <s v="Bobbi Brown"/>
    <n v="3974"/>
    <x v="4"/>
    <n v="4.3333000000000004"/>
    <s v="Yes"/>
    <s v="High"/>
    <n v="18"/>
    <x v="40"/>
    <s v="Premium"/>
    <n v="0"/>
    <n v="0"/>
    <s v="Moisturizers"/>
  </r>
  <r>
    <s v="P469111"/>
    <s v="KateCeuticals Lifting Eye Cream"/>
    <n v="5946"/>
    <s v="Kate Somerville"/>
    <n v="3993"/>
    <x v="4"/>
    <n v="4.6353999999999997"/>
    <s v="Yes"/>
    <s v="High"/>
    <n v="96"/>
    <x v="180"/>
    <s v="Premium"/>
    <n v="0"/>
    <n v="0"/>
    <s v="Eye Care"/>
  </r>
  <r>
    <s v="P503226"/>
    <s v="Sugar Triple-Action Lip Serum Advanced Therapy"/>
    <n v="4348"/>
    <s v="fresh"/>
    <n v="3996"/>
    <x v="4"/>
    <n v="3.8571"/>
    <s v="Yes"/>
    <s v="Medium"/>
    <n v="7"/>
    <x v="8"/>
    <s v="Mid"/>
    <n v="0"/>
    <n v="0"/>
    <s v="Lip Balms &amp; Treatments"/>
  </r>
  <r>
    <s v="P463951"/>
    <s v="Mini Benefiance Wrinkle Smoothing Cream Enriched"/>
    <n v="5337"/>
    <s v="Shiseido"/>
    <n v="4039"/>
    <x v="4"/>
    <n v="3.7143000000000002"/>
    <s v="Yes"/>
    <s v="Medium"/>
    <n v="7"/>
    <x v="78"/>
    <s v="Mid"/>
    <n v="0"/>
    <n v="0"/>
    <s v="Mini Size"/>
  </r>
  <r>
    <s v="P504594"/>
    <s v="The Brightening Essentials Skincare Gift Set"/>
    <n v="6367"/>
    <s v="ROSE INC"/>
    <n v="4044"/>
    <x v="4"/>
    <n v="5"/>
    <s v="Yes"/>
    <s v="High"/>
    <n v="4"/>
    <x v="40"/>
    <s v="Premium"/>
    <n v="0"/>
    <n v="0"/>
    <s v="Value &amp; Gift Sets"/>
  </r>
  <r>
    <s v="P462747"/>
    <s v="Mini Clarifying Blemish &amp; Oil Control Cleanser"/>
    <n v="7020"/>
    <s v="Tata Harper"/>
    <n v="4047"/>
    <x v="4"/>
    <n v="3.9476"/>
    <s v="Yes"/>
    <s v="Medium"/>
    <n v="267"/>
    <x v="45"/>
    <s v="Mid"/>
    <n v="0"/>
    <n v="0"/>
    <s v="Mini Size"/>
  </r>
  <r>
    <s v="P438629"/>
    <s v="The Radiance Brightening Vitamin E + Rosehip Seed Facial Oil"/>
    <n v="6272"/>
    <s v="BeautyBio"/>
    <n v="4050"/>
    <x v="4"/>
    <n v="4.1818"/>
    <s v="Yes"/>
    <s v="High"/>
    <n v="11"/>
    <x v="10"/>
    <s v="Premium"/>
    <n v="0"/>
    <n v="0"/>
    <s v="Moisturizers"/>
  </r>
  <r>
    <s v="P457696"/>
    <s v="DeliKate Soothing Cleanser"/>
    <n v="5946"/>
    <s v="Kate Somerville"/>
    <n v="4060"/>
    <x v="4"/>
    <n v="4.1875"/>
    <s v="Yes"/>
    <s v="High"/>
    <n v="144"/>
    <x v="124"/>
    <s v="Mid"/>
    <n v="0"/>
    <n v="0"/>
    <s v="Cleansers"/>
  </r>
  <r>
    <s v="P473723"/>
    <s v="Hydrating Petal Cream â€“ 1% Pure Hyaluronic Acid Moisturizer"/>
    <n v="6294"/>
    <s v="Saint Jane Beauty"/>
    <n v="4072"/>
    <x v="4"/>
    <n v="4.5395000000000003"/>
    <s v="Yes"/>
    <s v="High"/>
    <n v="76"/>
    <x v="6"/>
    <s v="Premium"/>
    <n v="0"/>
    <n v="0"/>
    <s v="Moisturizers"/>
  </r>
  <r>
    <s v="P442748"/>
    <s v="Hydrating Floral Mask"/>
    <n v="7020"/>
    <s v="Tata Harper"/>
    <n v="4076"/>
    <x v="4"/>
    <n v="4.375"/>
    <s v="Yes"/>
    <s v="High"/>
    <n v="32"/>
    <x v="73"/>
    <s v="Premium"/>
    <n v="0"/>
    <n v="0"/>
    <s v="Masks"/>
  </r>
  <r>
    <s v="P472448"/>
    <s v="Glass &amp; Gloss 2-Step Facial Retexturizing &amp; Brightening Treatment"/>
    <n v="6272"/>
    <s v="BeautyBio"/>
    <n v="4079"/>
    <x v="4"/>
    <n v="4.6353999999999997"/>
    <s v="Yes"/>
    <s v="High"/>
    <n v="181"/>
    <x v="116"/>
    <s v="Premium"/>
    <n v="0"/>
    <n v="0"/>
    <s v="Treatments"/>
  </r>
  <r>
    <s v="P468850"/>
    <s v="Signature Moisturizer"/>
    <n v="7100"/>
    <s v="ROSE Ingleton MD"/>
    <n v="4096"/>
    <x v="4"/>
    <n v="4.7"/>
    <s v="Yes"/>
    <s v="High"/>
    <n v="120"/>
    <x v="99"/>
    <s v="Premium"/>
    <n v="0"/>
    <n v="0"/>
    <s v="Moisturizers"/>
  </r>
  <r>
    <s v="P472343"/>
    <s v="Superkind Fragrance-Free Softening Cleanser"/>
    <n v="7020"/>
    <s v="Tata Harper"/>
    <n v="4114"/>
    <x v="4"/>
    <n v="4.5416999999999996"/>
    <s v="Yes"/>
    <s v="High"/>
    <n v="48"/>
    <x v="118"/>
    <s v="Premium"/>
    <n v="0"/>
    <n v="0"/>
    <s v="Cleansers"/>
  </r>
  <r>
    <s v="P402992"/>
    <s v="Trinity + Eye and Lip Enhancer Attachment Bundle"/>
    <n v="6001"/>
    <s v="NuFACE"/>
    <n v="4122"/>
    <x v="4"/>
    <n v="3.4380999999999999"/>
    <s v="Yes"/>
    <s v="Medium"/>
    <n v="105"/>
    <x v="178"/>
    <s v="Premium"/>
    <n v="0"/>
    <n v="1"/>
    <s v="High Tech Tools"/>
  </r>
  <r>
    <s v="P503935"/>
    <s v="Volcanic Pore Clearing Facial Cleanser with AHA + BHA"/>
    <n v="6295"/>
    <s v="innisfree"/>
    <n v="4123"/>
    <x v="4"/>
    <n v="4.4443999999999999"/>
    <s v="Yes"/>
    <s v="High"/>
    <n v="9"/>
    <x v="58"/>
    <s v="Budget"/>
    <n v="0"/>
    <n v="0"/>
    <s v="Cleansers"/>
  </r>
  <r>
    <s v="P470506"/>
    <s v="The Cream Cleansing Gel with TFC8 Gentle Cleanser"/>
    <n v="6356"/>
    <s v="Augustinus Bader"/>
    <n v="4123"/>
    <x v="4"/>
    <n v="4.4825999999999997"/>
    <s v="Yes"/>
    <s v="High"/>
    <n v="661"/>
    <x v="10"/>
    <s v="Premium"/>
    <n v="0"/>
    <n v="0"/>
    <s v="Cleansers"/>
  </r>
  <r>
    <s v="P433440"/>
    <s v="Wonder Oil Illuminating Self-Tan Oil"/>
    <n v="6225"/>
    <s v="TAN-LUXE"/>
    <n v="4124"/>
    <x v="4"/>
    <n v="3.8182"/>
    <s v="Yes"/>
    <s v="Medium"/>
    <n v="33"/>
    <x v="116"/>
    <s v="Premium"/>
    <n v="0"/>
    <n v="0"/>
    <s v="Self Tanners"/>
  </r>
  <r>
    <s v="P469806"/>
    <s v="Abeille Royale Anti-Aging Eye Lifting Serum"/>
    <n v="1132"/>
    <s v="GUERLAIN"/>
    <n v="4148"/>
    <x v="4"/>
    <n v="3.7332999999999998"/>
    <s v="Yes"/>
    <s v="Medium"/>
    <n v="15"/>
    <x v="87"/>
    <s v="Premium"/>
    <n v="0"/>
    <n v="1"/>
    <s v="Eye Care"/>
  </r>
  <r>
    <s v="P502216"/>
    <s v="Shani Darden by DÃ©esse PRO LED Light Mask"/>
    <n v="6314"/>
    <s v="Shani Darden Skin Care"/>
    <n v="4154"/>
    <x v="4"/>
    <n v="3.75"/>
    <s v="Yes"/>
    <s v="Medium"/>
    <n v="4"/>
    <x v="195"/>
    <s v="Premium"/>
    <n v="0"/>
    <n v="0"/>
    <s v="High Tech Tools"/>
  </r>
  <r>
    <s v="P481341"/>
    <s v="Alpha Beta Daily Moisturizer"/>
    <n v="5668"/>
    <s v="Dr. Dennis Gross Skincare"/>
    <n v="4205"/>
    <x v="4"/>
    <n v="4.5609999999999999"/>
    <s v="Yes"/>
    <s v="High"/>
    <n v="82"/>
    <x v="55"/>
    <s v="Premium"/>
    <n v="0"/>
    <n v="0"/>
    <s v="Moisturizers"/>
  </r>
  <r>
    <s v="P501185"/>
    <s v="Luxury Lip Shine â€“ Longwear Hydration Lip Oil with Vitamin C"/>
    <n v="6294"/>
    <s v="Saint Jane Beauty"/>
    <n v="4219"/>
    <x v="4"/>
    <n v="4.6551999999999998"/>
    <s v="Yes"/>
    <s v="High"/>
    <n v="29"/>
    <x v="52"/>
    <s v="Mid"/>
    <n v="0"/>
    <n v="0"/>
    <s v="Lip Balms &amp; Treatments"/>
  </r>
  <r>
    <s v="P476436"/>
    <s v="Clean Pro Jade"/>
    <n v="6114"/>
    <s v="PMD"/>
    <n v="4221"/>
    <x v="4"/>
    <n v="4.8205"/>
    <s v="Yes"/>
    <s v="High"/>
    <n v="39"/>
    <x v="130"/>
    <s v="Premium"/>
    <n v="0"/>
    <n v="0"/>
    <s v="High Tech Tools"/>
  </r>
  <r>
    <s v="P446111"/>
    <s v="V Shaping Facial Lift Depuff &amp; Contour Serum with Hyaluronic Acid"/>
    <n v="2082"/>
    <s v="Clarins"/>
    <n v="4239"/>
    <x v="4"/>
    <n v="3.5714000000000001"/>
    <s v="Yes"/>
    <s v="Medium"/>
    <n v="14"/>
    <x v="17"/>
    <s v="Premium"/>
    <n v="0"/>
    <n v="0"/>
    <s v="Treatments"/>
  </r>
  <r>
    <s v="P483128"/>
    <s v="Scar Gel Treatment"/>
    <n v="6334"/>
    <s v="Dr. Zenovia Skincare"/>
    <n v="4241"/>
    <x v="4"/>
    <n v="4.3285"/>
    <s v="Yes"/>
    <s v="High"/>
    <n v="137"/>
    <x v="14"/>
    <s v="Mid"/>
    <n v="0"/>
    <n v="0"/>
    <s v="Treatments"/>
  </r>
  <r>
    <s v="P501171"/>
    <s v="YUZU-C Beauty Sleeping Mask"/>
    <n v="6371"/>
    <s v="WASO"/>
    <n v="4247"/>
    <x v="4"/>
    <n v="4.5949999999999998"/>
    <s v="Yes"/>
    <s v="High"/>
    <n v="484"/>
    <x v="12"/>
    <s v="Mid"/>
    <n v="0"/>
    <n v="1"/>
    <s v="Masks"/>
  </r>
  <r>
    <s v="P502756"/>
    <s v="SuperSolutions 10% Urea Moisturizer Textured Skin Solution"/>
    <n v="6285"/>
    <s v="The INKEY List"/>
    <n v="4253"/>
    <x v="4"/>
    <n v="4.1935000000000002"/>
    <s v="Yes"/>
    <s v="High"/>
    <n v="62"/>
    <x v="196"/>
    <s v="Budget"/>
    <n v="0"/>
    <n v="0"/>
    <s v="Moisturizers"/>
  </r>
  <r>
    <s v="P474830"/>
    <s v="LUNA play plus 2"/>
    <n v="7037"/>
    <s v="FOREO"/>
    <n v="4264"/>
    <x v="4"/>
    <n v="3.55"/>
    <s v="Yes"/>
    <s v="Medium"/>
    <n v="20"/>
    <x v="116"/>
    <s v="Premium"/>
    <n v="0"/>
    <n v="0"/>
    <s v="High Tech Tools"/>
  </r>
  <r>
    <s v="P410657"/>
    <s v="Extra-Firming &amp; Smoothing Face Mask"/>
    <n v="2082"/>
    <s v="Clarins"/>
    <n v="4267"/>
    <x v="4"/>
    <n v="4.25"/>
    <s v="Yes"/>
    <s v="High"/>
    <n v="16"/>
    <x v="93"/>
    <s v="Premium"/>
    <n v="0"/>
    <n v="0"/>
    <s v="Masks"/>
  </r>
  <r>
    <s v="P475188"/>
    <s v="Instant De-Puff Eye Renewal Serum"/>
    <n v="6373"/>
    <s v="TULA Skincare"/>
    <n v="4283"/>
    <x v="4"/>
    <n v="4.2104999999999997"/>
    <s v="Yes"/>
    <s v="High"/>
    <n v="76"/>
    <x v="69"/>
    <s v="Premium"/>
    <n v="0"/>
    <n v="0"/>
    <s v="Treatments"/>
  </r>
  <r>
    <s v="P476459"/>
    <s v="Forest Lungs Anti-Stress Fragrance Travel Spray"/>
    <n v="6375"/>
    <s v="The Nue Co."/>
    <n v="4285"/>
    <x v="4"/>
    <n v="4.2042000000000002"/>
    <s v="Yes"/>
    <s v="High"/>
    <n v="191"/>
    <x v="78"/>
    <s v="Mid"/>
    <n v="0"/>
    <n v="0"/>
    <s v="Wellness"/>
  </r>
  <r>
    <s v="P440923"/>
    <s v="Capture Youth Age-Delay Advanced Eye Treatment"/>
    <n v="1073"/>
    <s v="Dior"/>
    <n v="4285"/>
    <x v="4"/>
    <n v="3.4666999999999999"/>
    <s v="Yes"/>
    <s v="Medium"/>
    <n v="30"/>
    <x v="76"/>
    <s v="Premium"/>
    <n v="0"/>
    <n v="0"/>
    <s v="Eye Care"/>
  </r>
  <r>
    <s v="P504064"/>
    <s v="Ceramidin Cream-Infused Mask"/>
    <n v="6014"/>
    <s v="Dr. Jart+"/>
    <n v="4288"/>
    <x v="4"/>
    <n v="4.6323999999999996"/>
    <s v="Yes"/>
    <s v="High"/>
    <n v="340"/>
    <x v="64"/>
    <s v="Budget"/>
    <n v="1"/>
    <n v="0"/>
    <s v="Masks"/>
  </r>
  <r>
    <s v="P483453"/>
    <s v="Shave Starter Set"/>
    <n v="6476"/>
    <s v="Hanni"/>
    <n v="4292"/>
    <x v="4"/>
    <n v="4.55"/>
    <s v="Yes"/>
    <s v="High"/>
    <n v="180"/>
    <x v="6"/>
    <s v="Premium"/>
    <n v="0"/>
    <n v="0"/>
    <s v="Value &amp; Gift Sets"/>
  </r>
  <r>
    <s v="P473267"/>
    <s v="Smart Clinical Repair Wrinkle Correcting Serum"/>
    <n v="1254"/>
    <s v="CLINIQUE"/>
    <n v="4293"/>
    <x v="4"/>
    <n v="4.194"/>
    <s v="Yes"/>
    <s v="High"/>
    <n v="1670"/>
    <x v="136"/>
    <s v="Premium"/>
    <n v="0"/>
    <n v="0"/>
    <s v="Treatments"/>
  </r>
  <r>
    <s v="P454090"/>
    <s v="Cosmic Cream Collagen Protecting Moisturizer"/>
    <n v="6226"/>
    <s v="Moon Juice"/>
    <n v="4295"/>
    <x v="4"/>
    <n v="3.4666999999999999"/>
    <s v="Yes"/>
    <s v="Medium"/>
    <n v="75"/>
    <x v="69"/>
    <s v="Premium"/>
    <n v="0"/>
    <n v="0"/>
    <s v="Moisturizers"/>
  </r>
  <r>
    <s v="P456421"/>
    <s v="Black Pine 3D Eye-Lift Super Serum"/>
    <n v="5715"/>
    <s v="KORRES"/>
    <n v="4302"/>
    <x v="4"/>
    <n v="4.0063000000000004"/>
    <s v="Yes"/>
    <s v="High"/>
    <n v="158"/>
    <x v="167"/>
    <s v="Premium"/>
    <n v="0"/>
    <n v="0"/>
    <s v="Eye Care"/>
  </r>
  <r>
    <s v="P470049"/>
    <s v="Clearcalm Clarifying Clay Cleanser"/>
    <n v="5857"/>
    <s v="REN Clean Skincare"/>
    <n v="4303"/>
    <x v="4"/>
    <n v="4.5999999999999996"/>
    <s v="Yes"/>
    <s v="High"/>
    <n v="40"/>
    <x v="12"/>
    <s v="Mid"/>
    <n v="0"/>
    <n v="0"/>
    <s v="Cleansers"/>
  </r>
  <r>
    <s v="P471029"/>
    <s v="GOOPGLOW Glow Lotion"/>
    <n v="6309"/>
    <s v="goop"/>
    <n v="4306"/>
    <x v="4"/>
    <n v="4.0637999999999996"/>
    <s v="Yes"/>
    <s v="High"/>
    <n v="815"/>
    <x v="69"/>
    <s v="Premium"/>
    <n v="0"/>
    <n v="0"/>
    <s v="Moisturizers"/>
  </r>
  <r>
    <s v="P454377"/>
    <s v="Mini knockout daily exfoliating cleanser"/>
    <n v="5648"/>
    <s v="tarte"/>
    <n v="4343"/>
    <x v="4"/>
    <n v="3.7894999999999999"/>
    <s v="Yes"/>
    <s v="Medium"/>
    <n v="19"/>
    <x v="51"/>
    <s v="Budget"/>
    <n v="0"/>
    <n v="0"/>
    <s v="Mini Size"/>
  </r>
  <r>
    <s v="P421249"/>
    <s v="The Moisturizing Matte Lotion"/>
    <n v="6201"/>
    <s v="La Mer"/>
    <n v="4347"/>
    <x v="4"/>
    <n v="4.2257999999999996"/>
    <s v="Yes"/>
    <s v="High"/>
    <n v="62"/>
    <x v="197"/>
    <s v="Premium"/>
    <n v="0"/>
    <n v="0"/>
    <s v="Moisturizers"/>
  </r>
  <r>
    <s v="P476860"/>
    <s v="APHRODISIA Intimate Arousal Cannabis Oil"/>
    <n v="6274"/>
    <s v="Flora + Bast"/>
    <n v="4350"/>
    <x v="4"/>
    <n v="4.4737"/>
    <s v="Yes"/>
    <s v="High"/>
    <n v="19"/>
    <x v="111"/>
    <s v="Premium"/>
    <n v="0"/>
    <n v="0"/>
    <s v="Wellness"/>
  </r>
  <r>
    <s v="P423145"/>
    <s v="Age Reversal Eye Complex"/>
    <n v="6219"/>
    <s v="Dermalogica"/>
    <n v="4351"/>
    <x v="4"/>
    <n v="3.7273000000000001"/>
    <s v="Yes"/>
    <s v="Medium"/>
    <n v="22"/>
    <x v="93"/>
    <s v="Premium"/>
    <n v="0"/>
    <n v="0"/>
    <s v="Eye Care"/>
  </r>
  <r>
    <s v="P448715"/>
    <s v="Balancing Toner"/>
    <n v="6302"/>
    <s v="Dr. Barbara Sturm"/>
    <n v="4371"/>
    <x v="4"/>
    <n v="4.4828000000000001"/>
    <s v="Yes"/>
    <s v="High"/>
    <n v="29"/>
    <x v="76"/>
    <s v="Premium"/>
    <n v="0"/>
    <n v="0"/>
    <s v="Cleansers"/>
  </r>
  <r>
    <s v="P500757"/>
    <s v="Microneedling Anti-Wrinkle Retinol Patches"/>
    <n v="6209"/>
    <s v="Peace Out"/>
    <n v="4415"/>
    <x v="4"/>
    <n v="3.9965000000000002"/>
    <s v="Yes"/>
    <s v="Medium"/>
    <n v="1128"/>
    <x v="0"/>
    <s v="Mid"/>
    <n v="0"/>
    <n v="0"/>
    <s v="Treatments"/>
  </r>
  <r>
    <s v="P504289"/>
    <s v="Prep &amp; Treat Lip Care Gift Set"/>
    <n v="4348"/>
    <s v="fresh"/>
    <n v="4428"/>
    <x v="4"/>
    <n v="3.5"/>
    <s v="Yes"/>
    <s v="Medium"/>
    <n v="2"/>
    <x v="52"/>
    <s v="Mid"/>
    <n v="1"/>
    <n v="0"/>
    <s v="Value &amp; Gift Sets"/>
  </r>
  <r>
    <s v="P483701"/>
    <s v="Daily Essentials Travel Set"/>
    <n v="6488"/>
    <s v="The Outset"/>
    <n v="4435"/>
    <x v="4"/>
    <n v="4.5740999999999996"/>
    <s v="Yes"/>
    <s v="High"/>
    <n v="108"/>
    <x v="50"/>
    <s v="Premium"/>
    <n v="0"/>
    <n v="0"/>
    <s v="Value &amp; Gift Sets"/>
  </r>
  <r>
    <s v="P503912"/>
    <s v="Firm + Bright + Glow Vitamin C Lactic Set"/>
    <n v="5668"/>
    <s v="Dr. Dennis Gross Skincare"/>
    <n v="4442"/>
    <x v="4"/>
    <n v="3.4285999999999999"/>
    <s v="Yes"/>
    <s v="Medium"/>
    <n v="7"/>
    <x v="99"/>
    <s v="Premium"/>
    <n v="0"/>
    <n v="0"/>
    <s v="Value &amp; Gift Sets"/>
  </r>
  <r>
    <s v="P474078"/>
    <s v="Mini Goodbye Acne  AHA/BHA Acne Clearing Gel Face Body Spot Treatment"/>
    <n v="3728"/>
    <s v="Peter Thomas Roth"/>
    <n v="4443"/>
    <x v="4"/>
    <n v="4.2767999999999997"/>
    <s v="Yes"/>
    <s v="High"/>
    <n v="625"/>
    <x v="60"/>
    <s v="Mid"/>
    <n v="0"/>
    <n v="1"/>
    <s v="Mini Size"/>
  </r>
  <r>
    <s v="P503992"/>
    <s v="Chia + Moringa Algae Enzyme Cleansing Oil"/>
    <n v="6749"/>
    <s v="MARA"/>
    <n v="4444"/>
    <x v="4"/>
    <n v="4.8838999999999997"/>
    <s v="Yes"/>
    <s v="High"/>
    <n v="224"/>
    <x v="69"/>
    <s v="Premium"/>
    <n v="1"/>
    <n v="0"/>
    <s v="Cleansers"/>
  </r>
  <r>
    <s v="P504452"/>
    <s v="Mini Must Haves Skincare Set"/>
    <n v="5644"/>
    <s v="Bobbi Brown"/>
    <n v="4452"/>
    <x v="4"/>
    <n v="3.4285999999999999"/>
    <s v="Yes"/>
    <s v="Medium"/>
    <n v="7"/>
    <x v="94"/>
    <s v="Mid"/>
    <n v="0"/>
    <n v="0"/>
    <s v="Mini Size"/>
  </r>
  <r>
    <s v="P503944"/>
    <s v="Mini Acid Potion AHA + BHA Resurfacing Exfoliator"/>
    <n v="6226"/>
    <s v="Moon Juice"/>
    <n v="4454"/>
    <x v="4"/>
    <n v="3.5"/>
    <s v="Yes"/>
    <s v="Medium"/>
    <n v="4"/>
    <x v="64"/>
    <s v="Budget"/>
    <n v="0"/>
    <n v="0"/>
    <s v="Treatments"/>
  </r>
  <r>
    <s v="P454771"/>
    <s v="Aglow Cleansing Butter"/>
    <n v="6216"/>
    <s v="lilah b."/>
    <n v="4469"/>
    <x v="4"/>
    <n v="4.5349000000000004"/>
    <s v="Yes"/>
    <s v="High"/>
    <n v="86"/>
    <x v="58"/>
    <s v="Budget"/>
    <n v="0"/>
    <n v="1"/>
    <s v="Cleansers"/>
  </r>
  <r>
    <s v="P467129"/>
    <s v="Acne Control 30-Day Trial Kit for Clearer Skin"/>
    <n v="4164"/>
    <s v="Murad"/>
    <n v="4471"/>
    <x v="4"/>
    <n v="3.5333000000000001"/>
    <s v="Yes"/>
    <s v="Medium"/>
    <n v="15"/>
    <x v="8"/>
    <s v="Mid"/>
    <n v="0"/>
    <n v="0"/>
    <s v="Value &amp; Gift Sets"/>
  </r>
  <r>
    <s v="P483145"/>
    <s v="Ultra Glow Mask with Vitamins C + E"/>
    <n v="3902"/>
    <s v="SEPHORA COLLECTION"/>
    <n v="4478"/>
    <x v="4"/>
    <n v="4.5"/>
    <s v="Yes"/>
    <s v="High"/>
    <n v="6"/>
    <x v="47"/>
    <s v="Budget"/>
    <n v="0"/>
    <n v="0"/>
    <s v="Masks"/>
  </r>
  <r>
    <s v="P501421"/>
    <s v="Dew Dream- Hydrating Makeup Removing Cleansing Balm with Tiger Grass"/>
    <n v="6377"/>
    <s v="EADEM"/>
    <n v="4482"/>
    <x v="4"/>
    <n v="4.6881000000000004"/>
    <s v="Yes"/>
    <s v="High"/>
    <n v="109"/>
    <x v="78"/>
    <s v="Mid"/>
    <n v="0"/>
    <n v="1"/>
    <s v="Cleansers"/>
  </r>
  <r>
    <s v="P479701"/>
    <s v="EradiKate Acne Mark Fading Gel with Salicylic Acid"/>
    <n v="5946"/>
    <s v="Kate Somerville"/>
    <n v="4497"/>
    <x v="4"/>
    <n v="4.7011000000000003"/>
    <s v="Yes"/>
    <s v="High"/>
    <n v="87"/>
    <x v="6"/>
    <s v="Premium"/>
    <n v="0"/>
    <n v="0"/>
    <s v="Treatments"/>
  </r>
  <r>
    <s v="P447787"/>
    <s v="Super Anti-Aging Serum"/>
    <n v="6302"/>
    <s v="Dr. Barbara Sturm"/>
    <n v="4523"/>
    <x v="4"/>
    <n v="3.3683999999999998"/>
    <s v="Yes"/>
    <s v="Medium"/>
    <n v="38"/>
    <x v="198"/>
    <s v="Premium"/>
    <n v="0"/>
    <n v="0"/>
    <s v="Treatments"/>
  </r>
  <r>
    <s v="P447785"/>
    <s v="Eye Cream"/>
    <n v="6302"/>
    <s v="Dr. Barbara Sturm"/>
    <n v="4529"/>
    <x v="4"/>
    <n v="3.8220999999999998"/>
    <s v="Yes"/>
    <s v="Medium"/>
    <n v="253"/>
    <x v="109"/>
    <s v="Premium"/>
    <n v="0"/>
    <n v="0"/>
    <s v="Eye Care"/>
  </r>
  <r>
    <s v="P468149"/>
    <s v="Calm Sweet Calm Stress Management Vegan Gummies with Ashwagandha &amp; L-Theanine"/>
    <n v="7050"/>
    <s v="HUM Nutrition"/>
    <n v="4531"/>
    <x v="4"/>
    <n v="4.2055999999999996"/>
    <s v="Yes"/>
    <s v="High"/>
    <n v="107"/>
    <x v="78"/>
    <s v="Mid"/>
    <n v="0"/>
    <n v="0"/>
    <s v="Wellness"/>
  </r>
  <r>
    <s v="P232920"/>
    <s v="Line Release Under Eye Repair Cream"/>
    <n v="5946"/>
    <s v="Kate Somerville"/>
    <n v="4556"/>
    <x v="4"/>
    <n v="3.9142999999999999"/>
    <s v="Yes"/>
    <s v="Medium"/>
    <n v="70"/>
    <x v="180"/>
    <s v="Premium"/>
    <n v="0"/>
    <n v="0"/>
    <s v="Eye Care"/>
  </r>
  <r>
    <s v="P449150"/>
    <s v="Hydrating Oil"/>
    <n v="5746"/>
    <s v="Anastasia Beverly Hills"/>
    <n v="4568"/>
    <x v="4"/>
    <n v="4.5556000000000001"/>
    <s v="Yes"/>
    <s v="High"/>
    <n v="27"/>
    <x v="44"/>
    <s v="Mid"/>
    <n v="0"/>
    <n v="0"/>
    <s v="Moisturizers"/>
  </r>
  <r>
    <s v="P383308"/>
    <s v="Age Arrest Eye Cream"/>
    <n v="5946"/>
    <s v="Kate Somerville"/>
    <n v="4568"/>
    <x v="4"/>
    <n v="3.7450999999999999"/>
    <s v="Yes"/>
    <s v="Medium"/>
    <n v="51"/>
    <x v="131"/>
    <s v="Premium"/>
    <n v="0"/>
    <n v="0"/>
    <s v="Eye Care"/>
  </r>
  <r>
    <s v="P503216"/>
    <s v="Hyper Even Daily Duo Kit for Hyperpigmentation"/>
    <n v="6368"/>
    <s v="Hyper Skin"/>
    <n v="4569"/>
    <x v="4"/>
    <n v="4.6666999999999996"/>
    <s v="Yes"/>
    <s v="High"/>
    <n v="15"/>
    <x v="7"/>
    <s v="Mid"/>
    <n v="0"/>
    <n v="0"/>
    <s v="Value &amp; Gift Sets"/>
  </r>
  <r>
    <s v="P482321"/>
    <s v="Mini Mineral Sheerscreen Sunscreen SPF 30 PA+++"/>
    <n v="5987"/>
    <s v="Supergoop!"/>
    <n v="4572"/>
    <x v="4"/>
    <n v="3.9472999999999998"/>
    <s v="Yes"/>
    <s v="Medium"/>
    <n v="455"/>
    <x v="75"/>
    <s v="Mid"/>
    <n v="0"/>
    <n v="0"/>
    <s v="Sunscreen"/>
  </r>
  <r>
    <s v="P417107"/>
    <s v="The Moisturizing Soft Lotion"/>
    <n v="6201"/>
    <s v="La Mer"/>
    <n v="4580"/>
    <x v="4"/>
    <n v="4.0704000000000002"/>
    <s v="Yes"/>
    <s v="High"/>
    <n v="71"/>
    <x v="197"/>
    <s v="Premium"/>
    <n v="0"/>
    <n v="0"/>
    <s v="Moisturizers"/>
  </r>
  <r>
    <s v="P479904"/>
    <s v="Mini Lapis Blue Tansy Face Oil - For Oily &amp; Acne-Prone Skin"/>
    <n v="6117"/>
    <s v="Herbivore"/>
    <n v="4593"/>
    <x v="4"/>
    <n v="4.2461000000000002"/>
    <s v="Yes"/>
    <s v="High"/>
    <n v="959"/>
    <x v="64"/>
    <s v="Budget"/>
    <n v="0"/>
    <n v="0"/>
    <s v="Moisturizers"/>
  </r>
  <r>
    <s v="P456208"/>
    <s v="GOOPGLOW 15% Glycolic Acid Overnight Glow Peel"/>
    <n v="6309"/>
    <s v="goop"/>
    <n v="4597"/>
    <x v="4"/>
    <n v="4.2549999999999999"/>
    <s v="Yes"/>
    <s v="High"/>
    <n v="1196"/>
    <x v="81"/>
    <s v="Premium"/>
    <n v="0"/>
    <n v="0"/>
    <s v="Treatments"/>
  </r>
  <r>
    <s v="P467614"/>
    <s v="C Scription Vitamin C Brightening Serum"/>
    <n v="4372"/>
    <s v="Dr. Brandt Skincare"/>
    <n v="4599"/>
    <x v="4"/>
    <n v="4.6959"/>
    <s v="Yes"/>
    <s v="High"/>
    <n v="148"/>
    <x v="119"/>
    <s v="Premium"/>
    <n v="0"/>
    <n v="0"/>
    <s v="Treatments"/>
  </r>
  <r>
    <s v="P423163"/>
    <s v="Future Solution LX Concentrated Balancing Softener"/>
    <n v="5337"/>
    <s v="Shiseido"/>
    <n v="4608"/>
    <x v="4"/>
    <n v="4.9375"/>
    <s v="Yes"/>
    <s v="High"/>
    <n v="16"/>
    <x v="61"/>
    <s v="Premium"/>
    <n v="0"/>
    <n v="0"/>
    <s v="Moisturizers"/>
  </r>
  <r>
    <s v="P427513"/>
    <s v="Perfectionist Pro Rapid Firm + Lift Treatment"/>
    <n v="6089"/>
    <s v="EstÃ©e Lauder"/>
    <n v="4615"/>
    <x v="4"/>
    <n v="4"/>
    <s v="Yes"/>
    <s v="High"/>
    <n v="13"/>
    <x v="105"/>
    <s v="Premium"/>
    <n v="0"/>
    <n v="0"/>
    <s v="Treatments"/>
  </r>
  <r>
    <s v="P422649"/>
    <s v="Resilience Multi-Effect Night Tri-Peptide Face and Neck Moisturizer Creme"/>
    <n v="6089"/>
    <s v="EstÃ©e Lauder"/>
    <n v="4621"/>
    <x v="4"/>
    <n v="4.1852"/>
    <s v="Yes"/>
    <s v="High"/>
    <n v="27"/>
    <x v="61"/>
    <s v="Premium"/>
    <n v="0"/>
    <n v="0"/>
    <s v="Moisturizers"/>
  </r>
  <r>
    <s v="P433619"/>
    <s v="Extra Rich Cleansing Milk"/>
    <n v="5337"/>
    <s v="Shiseido"/>
    <n v="4643"/>
    <x v="4"/>
    <n v="4.2381000000000002"/>
    <s v="Yes"/>
    <s v="High"/>
    <n v="21"/>
    <x v="8"/>
    <s v="Mid"/>
    <n v="0"/>
    <n v="0"/>
    <s v="Cleansers"/>
  </r>
  <r>
    <s v="P428422"/>
    <s v="Oil Control Blotting Paper"/>
    <n v="5337"/>
    <s v="Shiseido"/>
    <n v="4649"/>
    <x v="4"/>
    <n v="3.9697"/>
    <s v="Yes"/>
    <s v="Medium"/>
    <n v="33"/>
    <x v="60"/>
    <s v="Mid"/>
    <n v="0"/>
    <n v="0"/>
    <s v="Cleansers"/>
  </r>
  <r>
    <s v="P440496"/>
    <s v="Buffering Lotion"/>
    <n v="8017"/>
    <s v="Mario Badescu"/>
    <n v="4679"/>
    <x v="4"/>
    <n v="3.9512"/>
    <s v="Yes"/>
    <s v="Medium"/>
    <n v="41"/>
    <x v="13"/>
    <s v="Budget"/>
    <n v="0"/>
    <n v="0"/>
    <s v="Cleansers"/>
  </r>
  <r>
    <s v="P481837"/>
    <s v="The CrÃ¨me Gradual Self-Tanning Face Moisturizer"/>
    <n v="6225"/>
    <s v="TAN-LUXE"/>
    <n v="4679"/>
    <x v="4"/>
    <n v="4.4443999999999999"/>
    <s v="Yes"/>
    <s v="High"/>
    <n v="18"/>
    <x v="25"/>
    <s v="Mid"/>
    <n v="0"/>
    <n v="0"/>
    <s v="Self Tanners"/>
  </r>
  <r>
    <s v="P454936"/>
    <s v="Mini Hyaluronic Serum"/>
    <n v="6302"/>
    <s v="Dr. Barbara Sturm"/>
    <n v="4691"/>
    <x v="4"/>
    <n v="3.9386000000000001"/>
    <s v="Yes"/>
    <s v="Medium"/>
    <n v="879"/>
    <x v="61"/>
    <s v="Premium"/>
    <n v="0"/>
    <n v="0"/>
    <s v="Mini Size"/>
  </r>
  <r>
    <s v="P480274"/>
    <s v="GENIUS Liquid Skin Resurfacing 2% BHA Toner"/>
    <n v="6018"/>
    <s v="Algenist"/>
    <n v="4693"/>
    <x v="4"/>
    <n v="4.7938999999999998"/>
    <s v="Yes"/>
    <s v="High"/>
    <n v="165"/>
    <x v="24"/>
    <s v="Mid"/>
    <n v="0"/>
    <n v="0"/>
    <s v="Cleansers"/>
  </r>
  <r>
    <s v="P476681"/>
    <s v="Hyaluronic Acid Roller Dissolving Microneedling Tool"/>
    <n v="6329"/>
    <s v="FaceGym"/>
    <n v="4697"/>
    <x v="4"/>
    <n v="4.6757"/>
    <s v="Yes"/>
    <s v="High"/>
    <n v="37"/>
    <x v="73"/>
    <s v="Premium"/>
    <n v="0"/>
    <n v="1"/>
    <s v="High Tech Tools"/>
  </r>
  <r>
    <s v="P500782"/>
    <s v="100% Mineral SPF Starter Kit"/>
    <n v="5987"/>
    <s v="Supergoop!"/>
    <n v="4707"/>
    <x v="4"/>
    <n v="1.8"/>
    <s v="Yes"/>
    <s v="Low"/>
    <n v="5"/>
    <x v="31"/>
    <s v="Mid"/>
    <n v="0"/>
    <n v="0"/>
    <s v="Value &amp; Gift Sets"/>
  </r>
  <r>
    <s v="P483698"/>
    <s v="Nourishing Squalane Daily Moisturizer"/>
    <n v="6488"/>
    <s v="The Outset"/>
    <n v="4721"/>
    <x v="4"/>
    <n v="4.5892999999999997"/>
    <s v="Yes"/>
    <s v="High"/>
    <n v="112"/>
    <x v="124"/>
    <s v="Mid"/>
    <n v="0"/>
    <n v="0"/>
    <s v="Moisturizers"/>
  </r>
  <r>
    <s v="P424987"/>
    <s v="SLEEP OIL Rejuvenating Miracle Tanning Oil"/>
    <n v="6225"/>
    <s v="TAN-LUXE"/>
    <n v="4731"/>
    <x v="4"/>
    <n v="3.5"/>
    <s v="Yes"/>
    <s v="Medium"/>
    <n v="24"/>
    <x v="23"/>
    <s v="Premium"/>
    <n v="0"/>
    <n v="0"/>
    <s v="Self Tanners"/>
  </r>
  <r>
    <s v="P447781"/>
    <s v="Face Cream"/>
    <n v="6302"/>
    <s v="Dr. Barbara Sturm"/>
    <n v="4738"/>
    <x v="4"/>
    <n v="4.2407000000000004"/>
    <s v="Yes"/>
    <s v="High"/>
    <n v="810"/>
    <x v="172"/>
    <s v="Premium"/>
    <n v="0"/>
    <n v="0"/>
    <s v="Moisturizers"/>
  </r>
  <r>
    <s v="P469523"/>
    <s v="RESIST Anti-Aging Clear Skin Hydrator"/>
    <n v="6341"/>
    <s v="Paula's Choice"/>
    <n v="4739"/>
    <x v="4"/>
    <n v="3.4"/>
    <s v="Yes"/>
    <s v="Medium"/>
    <n v="25"/>
    <x v="96"/>
    <s v="Mid"/>
    <n v="0"/>
    <n v="0"/>
    <s v="Moisturizers"/>
  </r>
  <r>
    <s v="P438642"/>
    <s v="GloPRO Prep Pads Clarifying Skin Cleansing Wipes with Peptides"/>
    <n v="6272"/>
    <s v="BeautyBio"/>
    <n v="4747"/>
    <x v="4"/>
    <n v="3.5556000000000001"/>
    <s v="Yes"/>
    <s v="Medium"/>
    <n v="18"/>
    <x v="7"/>
    <s v="Mid"/>
    <n v="0"/>
    <n v="0"/>
    <s v="Cleansers"/>
  </r>
  <r>
    <s v="P481832"/>
    <s v="Gradual Tan Watermelon Daily Firming Lotion"/>
    <n v="5626"/>
    <s v="St. Tropez"/>
    <n v="4749"/>
    <x v="4"/>
    <n v="4.3238000000000003"/>
    <s v="Yes"/>
    <s v="High"/>
    <n v="386"/>
    <x v="31"/>
    <s v="Mid"/>
    <n v="0"/>
    <n v="0"/>
    <s v="Self Tanners"/>
  </r>
  <r>
    <s v="P483078"/>
    <s v="COOLA Scalp &amp; Hair Mist Organic Sunscreen SPF 30"/>
    <n v="7091"/>
    <s v="COOLA"/>
    <n v="4752"/>
    <x v="4"/>
    <n v="3.2856999999999998"/>
    <s v="Yes"/>
    <s v="Medium"/>
    <n v="7"/>
    <x v="52"/>
    <s v="Mid"/>
    <n v="0"/>
    <n v="0"/>
    <s v="Sunscreen"/>
  </r>
  <r>
    <s v="P467111"/>
    <s v="Retinol Acne Clearing Oil"/>
    <n v="6219"/>
    <s v="Dermalogica"/>
    <n v="4762"/>
    <x v="4"/>
    <n v="4.3981000000000003"/>
    <s v="Yes"/>
    <s v="High"/>
    <n v="314"/>
    <x v="105"/>
    <s v="Premium"/>
    <n v="0"/>
    <n v="0"/>
    <s v="Moisturizers"/>
  </r>
  <r>
    <s v="P476009"/>
    <s v="Radiant Reveal Clean Brightening Vitamin C Serum"/>
    <n v="6367"/>
    <s v="ROSE INC"/>
    <n v="4769"/>
    <x v="4"/>
    <n v="4.6687000000000003"/>
    <s v="Yes"/>
    <s v="High"/>
    <n v="166"/>
    <x v="28"/>
    <s v="Premium"/>
    <n v="0"/>
    <n v="0"/>
    <s v="Treatments"/>
  </r>
  <r>
    <s v="P469451"/>
    <s v="All About Clean 2-in-1 Cleansing + Exfoliating Jelly"/>
    <n v="1254"/>
    <s v="CLINIQUE"/>
    <n v="4781"/>
    <x v="4"/>
    <n v="4.5651999999999999"/>
    <s v="Yes"/>
    <s v="High"/>
    <n v="23"/>
    <x v="139"/>
    <s v="Mid"/>
    <n v="0"/>
    <n v="0"/>
    <s v="Cleansers"/>
  </r>
  <r>
    <s v="P482009"/>
    <s v="Self-Tanning Mitt"/>
    <n v="8008"/>
    <s v="Isle of Paradise"/>
    <n v="4790"/>
    <x v="4"/>
    <n v="3.4"/>
    <s v="Yes"/>
    <s v="Medium"/>
    <n v="5"/>
    <x v="57"/>
    <s v="Budget"/>
    <n v="0"/>
    <n v="0"/>
    <s v="Self Tanners"/>
  </r>
  <r>
    <s v="P444225"/>
    <s v="Clean Biotic pH-balanced yogurt cleanser with chlorophyll"/>
    <n v="4372"/>
    <s v="Dr. Brandt Skincare"/>
    <n v="4790"/>
    <x v="4"/>
    <n v="4.2211999999999996"/>
    <s v="Yes"/>
    <s v="High"/>
    <n v="104"/>
    <x v="8"/>
    <s v="Mid"/>
    <n v="0"/>
    <n v="0"/>
    <s v="Cleansers"/>
  </r>
  <r>
    <s v="P474080"/>
    <s v="Water Drench Hyaluronic Cloud Mask Hydrating Gel"/>
    <n v="3728"/>
    <s v="Peter Thomas Roth"/>
    <n v="4791"/>
    <x v="4"/>
    <n v="4.25"/>
    <s v="Yes"/>
    <s v="High"/>
    <n v="12"/>
    <x v="103"/>
    <s v="Premium"/>
    <n v="0"/>
    <n v="0"/>
    <s v="Masks"/>
  </r>
  <r>
    <s v="P375354"/>
    <s v="Capture Totale Intensive Night Restorative CrÃ¨me"/>
    <n v="1073"/>
    <s v="Dior"/>
    <n v="4799"/>
    <x v="4"/>
    <n v="4.4545000000000003"/>
    <s v="Yes"/>
    <s v="High"/>
    <n v="44"/>
    <x v="199"/>
    <s v="Premium"/>
    <n v="0"/>
    <n v="0"/>
    <s v="Moisturizers"/>
  </r>
  <r>
    <s v="P421271"/>
    <s v="Wrinkle Warrior Eye Gel Visible Dark Circle Eraser"/>
    <n v="5946"/>
    <s v="Kate Somerville"/>
    <n v="4822"/>
    <x v="4"/>
    <n v="3.0667"/>
    <s v="Yes"/>
    <s v="Medium"/>
    <n v="90"/>
    <x v="113"/>
    <s v="Premium"/>
    <n v="0"/>
    <n v="0"/>
    <s v="Eye Care"/>
  </r>
  <r>
    <s v="P469831"/>
    <s v="Equilibrium Intensive Hydrating Eye Balm"/>
    <n v="5879"/>
    <s v="Hourglass"/>
    <n v="4836"/>
    <x v="4"/>
    <n v="4.5303000000000004"/>
    <s v="Yes"/>
    <s v="High"/>
    <n v="66"/>
    <x v="42"/>
    <s v="Premium"/>
    <n v="0"/>
    <n v="0"/>
    <s v="Eye Care"/>
  </r>
  <r>
    <s v="P454029"/>
    <s v="RÃ¨nergie Lift Multi-Action Ultra Double-Wrapping Cream Face Mask"/>
    <n v="1741"/>
    <s v="LancÃ´me"/>
    <n v="4838"/>
    <x v="4"/>
    <n v="4.7222"/>
    <s v="Yes"/>
    <s v="High"/>
    <n v="18"/>
    <x v="6"/>
    <s v="Premium"/>
    <n v="0"/>
    <n v="0"/>
    <s v="Masks"/>
  </r>
  <r>
    <s v="P471000"/>
    <s v="Algae Niacinamide Moisture Veil"/>
    <n v="6018"/>
    <s v="Algenist"/>
    <n v="4845"/>
    <x v="4"/>
    <n v="4.6981999999999999"/>
    <s v="Yes"/>
    <s v="High"/>
    <n v="169"/>
    <x v="92"/>
    <s v="Premium"/>
    <n v="0"/>
    <n v="0"/>
    <s v="Moisturizers"/>
  </r>
  <r>
    <s v="P472810"/>
    <s v="Smart Response Serum"/>
    <n v="6219"/>
    <s v="Dermalogica"/>
    <n v="4851"/>
    <x v="4"/>
    <n v="4.7824999999999998"/>
    <s v="Yes"/>
    <s v="High"/>
    <n v="354"/>
    <x v="109"/>
    <s v="Premium"/>
    <n v="0"/>
    <n v="0"/>
    <s v="Treatments"/>
  </r>
  <r>
    <s v="P457279"/>
    <s v="Moisturizer Mini knockout brightening gel"/>
    <n v="5648"/>
    <s v="tarte"/>
    <n v="4857"/>
    <x v="4"/>
    <n v="4.6666999999999996"/>
    <s v="Yes"/>
    <s v="High"/>
    <n v="3"/>
    <x v="58"/>
    <s v="Budget"/>
    <n v="0"/>
    <n v="0"/>
    <s v="Mini Size"/>
  </r>
  <r>
    <s v="P503997"/>
    <s v="Cleanse + Treat Duo Nighttime Routine for Clean, Smooth Skin"/>
    <n v="8001"/>
    <s v="Farmacy"/>
    <n v="4870"/>
    <x v="4"/>
    <n v="4.7778"/>
    <s v="Yes"/>
    <s v="High"/>
    <n v="9"/>
    <x v="45"/>
    <s v="Mid"/>
    <n v="0"/>
    <n v="0"/>
    <s v="Value &amp; Gift Sets"/>
  </r>
  <r>
    <s v="P474068"/>
    <s v="Minty Mineral Hydration Face Mist with Aloe Vera"/>
    <n v="6207"/>
    <s v="KORA Organics"/>
    <n v="4877"/>
    <x v="4"/>
    <n v="4.5026999999999999"/>
    <s v="Yes"/>
    <s v="High"/>
    <n v="183"/>
    <x v="124"/>
    <s v="Mid"/>
    <n v="0"/>
    <n v="0"/>
    <s v="Moisturizers"/>
  </r>
  <r>
    <s v="P436343"/>
    <s v="H2Overdose Activated Mask"/>
    <n v="7037"/>
    <s v="FOREO"/>
    <n v="4878"/>
    <x v="4"/>
    <n v="3.8182"/>
    <s v="Yes"/>
    <s v="Medium"/>
    <n v="11"/>
    <x v="60"/>
    <s v="Mid"/>
    <n v="0"/>
    <n v="1"/>
    <s v="Masks"/>
  </r>
  <r>
    <s v="P504240"/>
    <s v="Mini Instant Reset Brightening Overnight Recovery Gel-Cream With Niacinamide + Kalahari Melon Oil"/>
    <n v="6352"/>
    <s v="Fenty Skin"/>
    <n v="4881"/>
    <x v="4"/>
    <n v="4.1988000000000003"/>
    <s v="Yes"/>
    <s v="High"/>
    <n v="166"/>
    <x v="95"/>
    <s v="Mid"/>
    <n v="1"/>
    <n v="0"/>
    <s v="Moisturizers"/>
  </r>
  <r>
    <s v="P472342"/>
    <s v="Superkind Fragrance-Free Radiance Mask"/>
    <n v="7020"/>
    <s v="Tata Harper"/>
    <n v="4881"/>
    <x v="4"/>
    <n v="4.75"/>
    <s v="Yes"/>
    <s v="High"/>
    <n v="4"/>
    <x v="6"/>
    <s v="Premium"/>
    <n v="0"/>
    <n v="0"/>
    <s v="Masks"/>
  </r>
  <r>
    <s v="P410755"/>
    <s v="GenOptics Spot Essence Serum"/>
    <n v="6084"/>
    <s v="SK-II"/>
    <n v="4899"/>
    <x v="4"/>
    <n v="4.1345999999999998"/>
    <s v="Yes"/>
    <s v="High"/>
    <n v="104"/>
    <x v="172"/>
    <s v="Premium"/>
    <n v="0"/>
    <n v="0"/>
    <s v="Moisturizers"/>
  </r>
  <r>
    <s v="P481336"/>
    <s v="Resurfacing Saffron AHA Masque - Radiant Rani"/>
    <n v="6475"/>
    <s v="RANAVAT"/>
    <n v="4918"/>
    <x v="4"/>
    <n v="4.6298000000000004"/>
    <s v="Yes"/>
    <s v="High"/>
    <n v="181"/>
    <x v="76"/>
    <s v="Premium"/>
    <n v="0"/>
    <n v="0"/>
    <s v="Masks"/>
  </r>
  <r>
    <s v="P456997"/>
    <s v="Night Serum"/>
    <n v="6302"/>
    <s v="Dr. Barbara Sturm"/>
    <n v="4921"/>
    <x v="4"/>
    <n v="4.7020999999999997"/>
    <s v="Yes"/>
    <s v="High"/>
    <n v="47"/>
    <x v="173"/>
    <s v="Premium"/>
    <n v="0"/>
    <n v="0"/>
    <s v="Treatments"/>
  </r>
  <r>
    <s v="P438638"/>
    <s v="GloPRO EYE MicroTip Attachment Head"/>
    <n v="6272"/>
    <s v="BeautyBio"/>
    <n v="4925"/>
    <x v="4"/>
    <n v="2.5"/>
    <s v="Yes"/>
    <s v="Low"/>
    <n v="8"/>
    <x v="7"/>
    <s v="Mid"/>
    <n v="0"/>
    <n v="0"/>
    <s v="High Tech Tools"/>
  </r>
  <r>
    <s v="P440493"/>
    <s v="Oil Free Moisturizer Broad Spectrum SPF 30"/>
    <n v="8017"/>
    <s v="Mario Badescu"/>
    <n v="4935"/>
    <x v="4"/>
    <n v="3.6452"/>
    <s v="Yes"/>
    <s v="Medium"/>
    <n v="31"/>
    <x v="52"/>
    <s v="Mid"/>
    <n v="0"/>
    <n v="0"/>
    <s v="Moisturizers"/>
  </r>
  <r>
    <s v="P389097"/>
    <s v="Arctic Repair Fine Lines and Wrinkles Supplement"/>
    <n v="7050"/>
    <s v="HUM Nutrition"/>
    <n v="4938"/>
    <x v="4"/>
    <n v="3.7778"/>
    <s v="Yes"/>
    <s v="Medium"/>
    <n v="18"/>
    <x v="37"/>
    <s v="Premium"/>
    <n v="0"/>
    <n v="0"/>
    <s v="Wellness"/>
  </r>
  <r>
    <s v="P474122"/>
    <s v="Advanced Retinol Nightly Renewal Face Moisturizer with Retinol"/>
    <n v="6358"/>
    <s v="StriVectin"/>
    <n v="4940"/>
    <x v="4"/>
    <n v="4.7812999999999999"/>
    <s v="Yes"/>
    <s v="High"/>
    <n v="64"/>
    <x v="200"/>
    <s v="Premium"/>
    <n v="0"/>
    <n v="0"/>
    <s v="Moisturizers"/>
  </r>
  <r>
    <s v="P383182"/>
    <s v="Wrinkle Reducer Trinity Attachment"/>
    <n v="6001"/>
    <s v="NuFACE"/>
    <n v="4948"/>
    <x v="4"/>
    <n v="2.7143000000000002"/>
    <s v="Yes"/>
    <s v="Low"/>
    <n v="14"/>
    <x v="82"/>
    <s v="Premium"/>
    <n v="0"/>
    <n v="0"/>
    <s v="High Tech Tools"/>
  </r>
  <r>
    <s v="P469118"/>
    <s v="Melting Moisture Mask"/>
    <n v="6219"/>
    <s v="Dermalogica"/>
    <n v="4950"/>
    <x v="4"/>
    <n v="4.6879"/>
    <s v="Yes"/>
    <s v="High"/>
    <n v="298"/>
    <x v="116"/>
    <s v="Premium"/>
    <n v="0"/>
    <n v="0"/>
    <s v="Masks"/>
  </r>
  <r>
    <s v="P463791"/>
    <s v="GloPRO SCALP MicroTip Attachment Head"/>
    <n v="6272"/>
    <s v="BeautyBio"/>
    <n v="4954"/>
    <x v="4"/>
    <n v="4.2727000000000004"/>
    <s v="Yes"/>
    <s v="High"/>
    <n v="11"/>
    <x v="83"/>
    <s v="Premium"/>
    <n v="0"/>
    <n v="0"/>
    <s v="High Tech Tools"/>
  </r>
  <r>
    <s v="P479839"/>
    <s v="Revitalizing Supreme+ Youth Power Creme Moisturizer"/>
    <n v="6089"/>
    <s v="EstÃ©e Lauder"/>
    <n v="4961"/>
    <x v="4"/>
    <n v="4.3201999999999998"/>
    <s v="Yes"/>
    <s v="High"/>
    <n v="2783"/>
    <x v="131"/>
    <s v="Premium"/>
    <n v="0"/>
    <n v="0"/>
    <s v="Moisturizers"/>
  </r>
  <r>
    <s v="P468671"/>
    <s v="Clarifying Cleansing Foam with Bija Seed Oil"/>
    <n v="6295"/>
    <s v="innisfree"/>
    <n v="4981"/>
    <x v="4"/>
    <n v="4.2161999999999997"/>
    <s v="Yes"/>
    <s v="High"/>
    <n v="37"/>
    <x v="51"/>
    <s v="Budget"/>
    <n v="0"/>
    <n v="0"/>
    <s v="Cleansers"/>
  </r>
  <r>
    <s v="P438640"/>
    <s v="The Nightly Retinol + Peptide Anti-Aging Serum"/>
    <n v="6272"/>
    <s v="BeautyBio"/>
    <n v="5003"/>
    <x v="5"/>
    <n v="3.7"/>
    <s v="Yes"/>
    <s v="Medium"/>
    <n v="10"/>
    <x v="73"/>
    <s v="Premium"/>
    <n v="0"/>
    <n v="0"/>
    <s v="Treatments"/>
  </r>
  <r>
    <s v="P501574"/>
    <s v="Renew + Recover Face + Eye Hydration Essentials"/>
    <n v="6352"/>
    <s v="Fenty Skin"/>
    <n v="5017"/>
    <x v="5"/>
    <m/>
    <s v="No"/>
    <s v="Not Rated"/>
    <n v="0"/>
    <x v="44"/>
    <s v="Mid"/>
    <n v="0"/>
    <n v="0"/>
    <s v="Value &amp; Gift Sets"/>
  </r>
  <r>
    <s v="P504441"/>
    <s v="Prebiotic Smoothie Mask"/>
    <n v="3902"/>
    <s v="SEPHORA COLLECTION"/>
    <n v="5029"/>
    <x v="5"/>
    <n v="4.0909000000000004"/>
    <s v="Yes"/>
    <s v="High"/>
    <n v="11"/>
    <x v="110"/>
    <s v="Budget"/>
    <n v="1"/>
    <n v="0"/>
    <s v="Masks"/>
  </r>
  <r>
    <s v="P481334"/>
    <s v="Moon Fruit Retinol Alternative Sleep Mask"/>
    <n v="6117"/>
    <s v="Herbivore"/>
    <n v="5029"/>
    <x v="5"/>
    <n v="3.4167000000000001"/>
    <s v="Yes"/>
    <s v="Medium"/>
    <n v="12"/>
    <x v="30"/>
    <s v="Premium"/>
    <n v="0"/>
    <n v="0"/>
    <s v="Masks"/>
  </r>
  <r>
    <s v="P454376"/>
    <s v="knockout daily exfoliating cleanser"/>
    <n v="5648"/>
    <s v="tarte"/>
    <n v="5032"/>
    <x v="5"/>
    <n v="3.8982999999999999"/>
    <s v="Yes"/>
    <s v="Medium"/>
    <n v="59"/>
    <x v="51"/>
    <s v="Budget"/>
    <n v="0"/>
    <n v="0"/>
    <s v="Cleansers"/>
  </r>
  <r>
    <s v="P480300"/>
    <s v="Faceshot Electric Microneedling Device + Vitamin Ampoules"/>
    <n v="6329"/>
    <s v="FaceGym"/>
    <n v="5049"/>
    <x v="5"/>
    <n v="4.5404999999999998"/>
    <s v="Yes"/>
    <s v="High"/>
    <n v="37"/>
    <x v="201"/>
    <s v="Premium"/>
    <n v="0"/>
    <n v="0"/>
    <s v="Value &amp; Gift Sets"/>
  </r>
  <r>
    <s v="P449541"/>
    <s v="Pure Vitality Skin Renewing Cream"/>
    <n v="6218"/>
    <s v="Kiehl's Since 1851"/>
    <n v="5068"/>
    <x v="5"/>
    <n v="4.3300999999999998"/>
    <s v="Yes"/>
    <s v="High"/>
    <n v="206"/>
    <x v="76"/>
    <s v="Premium"/>
    <n v="0"/>
    <n v="0"/>
    <s v="Moisturizers"/>
  </r>
  <r>
    <s v="P502710"/>
    <s v="SuperSolutions 20% Niacinamide Serum"/>
    <n v="6285"/>
    <s v="The INKEY List"/>
    <n v="5072"/>
    <x v="5"/>
    <n v="3.8971"/>
    <s v="Yes"/>
    <s v="Medium"/>
    <n v="68"/>
    <x v="202"/>
    <s v="Budget"/>
    <n v="0"/>
    <n v="0"/>
    <s v="Treatments"/>
  </r>
  <r>
    <s v="P474118"/>
    <s v="Intensive Eye Cream Concentrate for Wrinkles PLUS"/>
    <n v="6358"/>
    <s v="StriVectin"/>
    <n v="5072"/>
    <x v="5"/>
    <n v="4.4249999999999998"/>
    <s v="Yes"/>
    <s v="High"/>
    <n v="40"/>
    <x v="55"/>
    <s v="Premium"/>
    <n v="0"/>
    <n v="0"/>
    <s v="Eye Care"/>
  </r>
  <r>
    <s v="P476679"/>
    <s v="Multi-Sculpt High-Performance Gua Sha"/>
    <n v="6329"/>
    <s v="FaceGym"/>
    <n v="5082"/>
    <x v="5"/>
    <n v="4.8795000000000002"/>
    <s v="Yes"/>
    <s v="High"/>
    <n v="83"/>
    <x v="92"/>
    <s v="Premium"/>
    <n v="0"/>
    <n v="0"/>
    <s v="High Tech Tools"/>
  </r>
  <r>
    <s v="P406941"/>
    <s v="Multi-Active Anti-Aging Day Moisturizer with SPF 20 for Glowing Skin"/>
    <n v="2082"/>
    <s v="Clarins"/>
    <n v="5083"/>
    <x v="5"/>
    <n v="3.7467000000000001"/>
    <s v="Yes"/>
    <s v="Medium"/>
    <n v="75"/>
    <x v="83"/>
    <s v="Premium"/>
    <n v="0"/>
    <n v="0"/>
    <s v="Moisturizers"/>
  </r>
  <r>
    <s v="P392472"/>
    <s v="All About Clean Foaming Facial Soap"/>
    <n v="1254"/>
    <s v="CLINIQUE"/>
    <n v="5092"/>
    <x v="5"/>
    <n v="4.0254000000000003"/>
    <s v="Yes"/>
    <s v="High"/>
    <n v="118"/>
    <x v="86"/>
    <s v="Mid"/>
    <n v="0"/>
    <n v="0"/>
    <s v="Cleansers"/>
  </r>
  <r>
    <s v="P504615"/>
    <s v="Mini Deep Cleanse Gentle Exfoliating Cleanser"/>
    <n v="6041"/>
    <s v="Tatcha"/>
    <n v="5097"/>
    <x v="5"/>
    <n v="4.1478000000000002"/>
    <s v="Yes"/>
    <s v="High"/>
    <n v="2361"/>
    <x v="5"/>
    <s v="Budget"/>
    <n v="1"/>
    <n v="0"/>
    <s v="Mini Size"/>
  </r>
  <r>
    <s v="P423164"/>
    <s v="Future Solution LX Extra Rich Cleansing Foam"/>
    <n v="5337"/>
    <s v="Shiseido"/>
    <n v="5098"/>
    <x v="5"/>
    <n v="4.3042999999999996"/>
    <s v="Yes"/>
    <s v="High"/>
    <n v="23"/>
    <x v="92"/>
    <s v="Premium"/>
    <n v="0"/>
    <n v="0"/>
    <s v="Cleansers"/>
  </r>
  <r>
    <s v="P475159"/>
    <s v="Evercalm Redness Relief Serum"/>
    <n v="5857"/>
    <s v="REN Clean Skincare"/>
    <n v="5110"/>
    <x v="5"/>
    <n v="4.3985000000000003"/>
    <s v="Yes"/>
    <s v="High"/>
    <n v="271"/>
    <x v="37"/>
    <s v="Premium"/>
    <n v="0"/>
    <n v="0"/>
    <s v="Treatments"/>
  </r>
  <r>
    <s v="P442263"/>
    <s v="needles no more 3-D LIP PLUMPFIX"/>
    <n v="4372"/>
    <s v="Dr. Brandt Skincare"/>
    <n v="5114"/>
    <x v="5"/>
    <n v="2.8946999999999998"/>
    <s v="Yes"/>
    <s v="Low"/>
    <n v="38"/>
    <x v="7"/>
    <s v="Mid"/>
    <n v="0"/>
    <n v="0"/>
    <s v="Lip Balms &amp; Treatments"/>
  </r>
  <r>
    <s v="P470545"/>
    <s v="Super Gloss Instant Bronzing Face Drops with SPF 30"/>
    <n v="6225"/>
    <s v="TAN-LUXE"/>
    <n v="5117"/>
    <x v="5"/>
    <n v="4.4286000000000003"/>
    <s v="Yes"/>
    <s v="High"/>
    <n v="21"/>
    <x v="25"/>
    <s v="Mid"/>
    <n v="0"/>
    <n v="0"/>
    <s v="Self Tanners"/>
  </r>
  <r>
    <s v="P449164"/>
    <s v="ELEVATE Firming &amp; Lifting Neck Cream"/>
    <n v="6018"/>
    <s v="Algenist"/>
    <n v="5118"/>
    <x v="5"/>
    <n v="3.8889"/>
    <s v="Yes"/>
    <s v="Medium"/>
    <n v="18"/>
    <x v="150"/>
    <s v="Premium"/>
    <n v="0"/>
    <n v="0"/>
    <s v="Moisturizers"/>
  </r>
  <r>
    <s v="P448710"/>
    <s v="pores no more Pore Purifying Cleanser"/>
    <n v="4372"/>
    <s v="Dr. Brandt Skincare"/>
    <n v="5136"/>
    <x v="5"/>
    <n v="4.2537000000000003"/>
    <s v="Yes"/>
    <s v="High"/>
    <n v="67"/>
    <x v="12"/>
    <s v="Mid"/>
    <n v="0"/>
    <n v="0"/>
    <s v="Cleansers"/>
  </r>
  <r>
    <s v="P457520"/>
    <s v="FIRMx Collagen Moisturizer"/>
    <n v="3728"/>
    <s v="Peter Thomas Roth"/>
    <n v="5148"/>
    <x v="5"/>
    <n v="3.3871000000000002"/>
    <s v="Yes"/>
    <s v="Medium"/>
    <n v="31"/>
    <x v="118"/>
    <s v="Premium"/>
    <n v="0"/>
    <n v="0"/>
    <s v="Moisturizers"/>
  </r>
  <r>
    <s v="P451727"/>
    <s v="Mini Magic Night 15ml Travel Size"/>
    <n v="6236"/>
    <s v="Charlotte Tilbury"/>
    <n v="5165"/>
    <x v="5"/>
    <n v="2.875"/>
    <s v="Yes"/>
    <s v="Low"/>
    <n v="8"/>
    <x v="44"/>
    <s v="Mid"/>
    <n v="0"/>
    <n v="0"/>
    <s v="Moisturizers"/>
  </r>
  <r>
    <s v="P404168"/>
    <s v="POWER Advanced Wrinkle Fighter Moisturizer"/>
    <n v="6018"/>
    <s v="Algenist"/>
    <n v="5169"/>
    <x v="5"/>
    <n v="4.1818"/>
    <s v="Yes"/>
    <s v="High"/>
    <n v="77"/>
    <x v="99"/>
    <s v="Premium"/>
    <n v="0"/>
    <n v="0"/>
    <s v="Moisturizers"/>
  </r>
  <r>
    <s v="P500614"/>
    <s v="Gentle Brightening Gel Cleanser with Mandelic Acid"/>
    <n v="6368"/>
    <s v="Hyper Skin"/>
    <n v="5176"/>
    <x v="5"/>
    <n v="4.7009999999999996"/>
    <s v="Yes"/>
    <s v="High"/>
    <n v="97"/>
    <x v="52"/>
    <s v="Mid"/>
    <n v="0"/>
    <n v="0"/>
    <s v="Cleansers"/>
  </r>
  <r>
    <s v="P481162"/>
    <s v="Essential Energy Hydrating Cream"/>
    <n v="5337"/>
    <s v="Shiseido"/>
    <n v="5184"/>
    <x v="5"/>
    <n v="4.5465"/>
    <s v="Yes"/>
    <s v="High"/>
    <n v="452"/>
    <x v="50"/>
    <s v="Premium"/>
    <n v="0"/>
    <n v="0"/>
    <s v="Moisturizers"/>
  </r>
  <r>
    <s v="P479706"/>
    <s v="Even Smoother Glycolic Retinol Resurfacing Serum"/>
    <n v="3728"/>
    <s v="Peter Thomas Roth"/>
    <n v="5185"/>
    <x v="5"/>
    <n v="4.5803000000000003"/>
    <s v="Yes"/>
    <s v="High"/>
    <n v="467"/>
    <x v="92"/>
    <s v="Premium"/>
    <n v="0"/>
    <n v="0"/>
    <s v="Treatments"/>
  </r>
  <r>
    <s v="P453824"/>
    <s v="Vital-E Antioxidant Recovery Cream"/>
    <n v="3728"/>
    <s v="Peter Thomas Roth"/>
    <n v="5199"/>
    <x v="5"/>
    <n v="4.4112"/>
    <s v="Yes"/>
    <s v="High"/>
    <n v="676"/>
    <x v="76"/>
    <s v="Premium"/>
    <n v="0"/>
    <n v="0"/>
    <s v="Moisturizers"/>
  </r>
  <r>
    <s v="P482024"/>
    <s v="Mini The Treatment Lotion"/>
    <n v="6201"/>
    <s v="La Mer"/>
    <n v="5212"/>
    <x v="5"/>
    <n v="4.6439000000000004"/>
    <s v="Yes"/>
    <s v="High"/>
    <n v="424"/>
    <x v="81"/>
    <s v="Premium"/>
    <n v="0"/>
    <n v="0"/>
    <s v="Moisturizers"/>
  </r>
  <r>
    <s v="P467106"/>
    <s v="Cryo Skin Icing Dual-Ended Roller"/>
    <n v="6272"/>
    <s v="BeautyBio"/>
    <n v="5219"/>
    <x v="5"/>
    <n v="4.4762000000000004"/>
    <s v="Yes"/>
    <s v="High"/>
    <n v="21"/>
    <x v="99"/>
    <s v="Premium"/>
    <n v="0"/>
    <n v="0"/>
    <s v="High Tech Tools"/>
  </r>
  <r>
    <s v="P482259"/>
    <s v="Dew Good Illuminating Serum SPF 30"/>
    <n v="7091"/>
    <s v="COOLA"/>
    <n v="5254"/>
    <x v="5"/>
    <n v="4.5556000000000001"/>
    <s v="Yes"/>
    <s v="High"/>
    <n v="9"/>
    <x v="14"/>
    <s v="Mid"/>
    <n v="0"/>
    <n v="0"/>
    <s v="Sunscreen"/>
  </r>
  <r>
    <s v="P422253"/>
    <s v="Rare Earth Pore Refining Tonic"/>
    <n v="6218"/>
    <s v="Kiehl's Since 1851"/>
    <n v="5263"/>
    <x v="5"/>
    <n v="3.5758000000000001"/>
    <s v="Yes"/>
    <s v="Medium"/>
    <n v="33"/>
    <x v="94"/>
    <s v="Mid"/>
    <n v="0"/>
    <n v="0"/>
    <s v="Cleansers"/>
  </r>
  <r>
    <s v="P500412"/>
    <s v="Prep Set Tan Face and Body Brush"/>
    <n v="6331"/>
    <s v="Iconic London"/>
    <n v="5266"/>
    <x v="5"/>
    <n v="4.8213999999999997"/>
    <s v="Yes"/>
    <s v="High"/>
    <n v="28"/>
    <x v="94"/>
    <s v="Mid"/>
    <n v="0"/>
    <n v="0"/>
    <s v="Self Tanners"/>
  </r>
  <r>
    <s v="P431418"/>
    <s v="Disco Tan Instant Wash-Off Body Bronzer"/>
    <n v="8008"/>
    <s v="Isle of Paradise"/>
    <n v="5272"/>
    <x v="5"/>
    <n v="3.5"/>
    <s v="Yes"/>
    <s v="Medium"/>
    <n v="24"/>
    <x v="0"/>
    <s v="Mid"/>
    <n v="0"/>
    <n v="0"/>
    <s v="Self Tanners"/>
  </r>
  <r>
    <s v="P422428"/>
    <s v="Hydra Zen Anti-Stress Moisturizing Face Cream"/>
    <n v="1741"/>
    <s v="LancÃ´me"/>
    <n v="5273"/>
    <x v="5"/>
    <n v="4.2691999999999997"/>
    <s v="Yes"/>
    <s v="High"/>
    <n v="78"/>
    <x v="191"/>
    <s v="Premium"/>
    <n v="0"/>
    <n v="0"/>
    <s v="Moisturizers"/>
  </r>
  <r>
    <s v="P502326"/>
    <s v="Dynamic Skin Recovery SPF50 Moisturizer"/>
    <n v="6219"/>
    <s v="Dermalogica"/>
    <n v="5274"/>
    <x v="5"/>
    <n v="4.8189000000000002"/>
    <s v="Yes"/>
    <s v="High"/>
    <n v="265"/>
    <x v="93"/>
    <s v="Premium"/>
    <n v="0"/>
    <n v="0"/>
    <s v="Sunscreen"/>
  </r>
  <r>
    <s v="P440317"/>
    <s v="Potent-C Vitamin C Bright &amp; Plump Moisturizer"/>
    <n v="3728"/>
    <s v="Peter Thomas Roth"/>
    <n v="5285"/>
    <x v="5"/>
    <n v="3.6238999999999999"/>
    <s v="Yes"/>
    <s v="Medium"/>
    <n v="109"/>
    <x v="55"/>
    <s v="Premium"/>
    <n v="0"/>
    <n v="1"/>
    <s v="Moisturizers"/>
  </r>
  <r>
    <s v="P444990"/>
    <s v="Blend It Multi-Purpose Self-Tan Blender"/>
    <n v="8008"/>
    <s v="Isle of Paradise"/>
    <n v="5294"/>
    <x v="5"/>
    <n v="2.3845999999999998"/>
    <s v="Yes"/>
    <s v="Low"/>
    <n v="26"/>
    <x v="75"/>
    <s v="Mid"/>
    <n v="0"/>
    <n v="0"/>
    <s v="Self Tanners"/>
  </r>
  <r>
    <s v="P480174"/>
    <s v="Waves of Clarity Skincare Set"/>
    <n v="6117"/>
    <s v="Herbivore"/>
    <n v="5295"/>
    <x v="5"/>
    <n v="4.5"/>
    <s v="Yes"/>
    <s v="High"/>
    <n v="6"/>
    <x v="29"/>
    <s v="Mid"/>
    <n v="0"/>
    <n v="0"/>
    <s v="Value &amp; Gift Sets"/>
  </r>
  <r>
    <s v="P438648"/>
    <s v="The Quench Quadralipid Rapid Recovery Facial Moisturizer"/>
    <n v="6272"/>
    <s v="BeautyBio"/>
    <n v="5300"/>
    <x v="5"/>
    <n v="3.8462000000000001"/>
    <s v="Yes"/>
    <s v="Medium"/>
    <n v="39"/>
    <x v="106"/>
    <s v="Premium"/>
    <n v="0"/>
    <n v="0"/>
    <s v="Moisturizers"/>
  </r>
  <r>
    <s v="P479478"/>
    <s v="Germanium Stone Facial Massager"/>
    <n v="3902"/>
    <s v="SEPHORA COLLECTION"/>
    <n v="5302"/>
    <x v="5"/>
    <n v="4.8571"/>
    <s v="Yes"/>
    <s v="High"/>
    <n v="7"/>
    <x v="52"/>
    <s v="Mid"/>
    <n v="0"/>
    <n v="0"/>
    <s v="Wellness"/>
  </r>
  <r>
    <s v="P504790"/>
    <s v="Cleanser Concentrate AHA Clarifying and Exfoliating Face Wash"/>
    <n v="6751"/>
    <s v="Glossier"/>
    <n v="5305"/>
    <x v="5"/>
    <n v="3.625"/>
    <s v="Yes"/>
    <s v="Medium"/>
    <n v="8"/>
    <x v="128"/>
    <s v="Mid"/>
    <n v="1"/>
    <n v="0"/>
    <s v="Cleansers"/>
  </r>
  <r>
    <s v="P454799"/>
    <s v="Mini SuperYou Daily Stress Management"/>
    <n v="6226"/>
    <s v="Moon Juice"/>
    <n v="5313"/>
    <x v="5"/>
    <n v="4.5749000000000004"/>
    <s v="Yes"/>
    <s v="High"/>
    <n v="494"/>
    <x v="94"/>
    <s v="Mid"/>
    <n v="0"/>
    <n v="0"/>
    <s v="Mini Size"/>
  </r>
  <r>
    <s v="P483455"/>
    <s v="The Weighted Razor Kit"/>
    <n v="6476"/>
    <s v="Hanni"/>
    <n v="5333"/>
    <x v="5"/>
    <n v="4.6452"/>
    <s v="Yes"/>
    <s v="High"/>
    <n v="155"/>
    <x v="36"/>
    <s v="Mid"/>
    <n v="0"/>
    <n v="0"/>
    <s v="High Tech Tools"/>
  </r>
  <r>
    <s v="P474968"/>
    <s v="NuFACE Hydrating Aqua Gel"/>
    <n v="6001"/>
    <s v="NuFACE"/>
    <n v="5336"/>
    <x v="5"/>
    <n v="4.3182"/>
    <s v="Yes"/>
    <s v="High"/>
    <n v="22"/>
    <x v="7"/>
    <s v="Mid"/>
    <n v="0"/>
    <n v="0"/>
    <s v="Moisturizers"/>
  </r>
  <r>
    <s v="P467969"/>
    <s v="Personal Microderm Elite Pro"/>
    <n v="6114"/>
    <s v="PMD"/>
    <n v="5350"/>
    <x v="5"/>
    <n v="4.6666999999999996"/>
    <s v="Yes"/>
    <s v="High"/>
    <n v="60"/>
    <x v="108"/>
    <s v="Premium"/>
    <n v="0"/>
    <n v="0"/>
    <s v="High Tech Tools"/>
  </r>
  <r>
    <s v="P450290"/>
    <s v="The Regenerating Serum"/>
    <n v="6201"/>
    <s v="La Mer"/>
    <n v="5356"/>
    <x v="5"/>
    <n v="4.375"/>
    <s v="Yes"/>
    <s v="High"/>
    <n v="152"/>
    <x v="203"/>
    <s v="Premium"/>
    <n v="0"/>
    <n v="0"/>
    <s v="Treatments"/>
  </r>
  <r>
    <s v="P504881"/>
    <s v="Vinoperfect  Brightening Solution Set"/>
    <n v="4171"/>
    <s v="Caudalie"/>
    <n v="5361"/>
    <x v="5"/>
    <n v="5"/>
    <s v="Yes"/>
    <s v="High"/>
    <n v="4"/>
    <x v="42"/>
    <s v="Premium"/>
    <n v="1"/>
    <n v="0"/>
    <s v="Value &amp; Gift Sets"/>
  </r>
  <r>
    <s v="P428423"/>
    <s v="Refreshing Cleansing Sheets"/>
    <n v="5337"/>
    <s v="Shiseido"/>
    <n v="5363"/>
    <x v="5"/>
    <n v="4.1764999999999999"/>
    <s v="Yes"/>
    <s v="High"/>
    <n v="34"/>
    <x v="60"/>
    <s v="Mid"/>
    <n v="0"/>
    <n v="0"/>
    <s v="Cleansers"/>
  </r>
  <r>
    <s v="P482681"/>
    <s v="Bye Bye Makeup 3-in-1 Makeup Melting Cleansing Balm"/>
    <n v="6175"/>
    <s v="IT Cosmetics"/>
    <n v="5368"/>
    <x v="5"/>
    <n v="4.6741000000000001"/>
    <s v="Yes"/>
    <s v="High"/>
    <n v="359"/>
    <x v="36"/>
    <s v="Mid"/>
    <n v="0"/>
    <n v="0"/>
    <s v="Cleansers"/>
  </r>
  <r>
    <s v="P453713"/>
    <s v="Collagen POP + Vitamin C Dissolvable Tablets"/>
    <n v="7050"/>
    <s v="HUM Nutrition"/>
    <n v="5372"/>
    <x v="5"/>
    <n v="4.3455000000000004"/>
    <s v="Yes"/>
    <s v="High"/>
    <n v="220"/>
    <x v="51"/>
    <s v="Budget"/>
    <n v="0"/>
    <n v="0"/>
    <s v="Wellness"/>
  </r>
  <r>
    <s v="P446639"/>
    <s v="Massaging Jade Textured Facial Roller"/>
    <n v="6256"/>
    <s v="Mount Lai"/>
    <n v="5375"/>
    <x v="5"/>
    <n v="3.8275999999999999"/>
    <s v="Yes"/>
    <s v="Medium"/>
    <n v="29"/>
    <x v="8"/>
    <s v="Mid"/>
    <n v="0"/>
    <n v="0"/>
    <s v="Wellness"/>
  </r>
  <r>
    <s v="P500055"/>
    <s v="Active Algae Lightweight Moisturizer"/>
    <n v="6207"/>
    <s v="KORA Organics"/>
    <n v="5384"/>
    <x v="5"/>
    <n v="4.6763000000000003"/>
    <s v="Yes"/>
    <s v="High"/>
    <n v="207"/>
    <x v="14"/>
    <s v="Mid"/>
    <n v="0"/>
    <n v="0"/>
    <s v="Moisturizers"/>
  </r>
  <r>
    <s v="P462384"/>
    <s v="Spritz. Mist. Glow. Facial Spray Trio"/>
    <n v="8017"/>
    <s v="Mario Badescu"/>
    <n v="5387"/>
    <x v="5"/>
    <n v="3"/>
    <s v="Yes"/>
    <s v="Medium"/>
    <n v="5"/>
    <x v="128"/>
    <s v="Mid"/>
    <n v="0"/>
    <n v="0"/>
    <s v="Value &amp; Gift Sets"/>
  </r>
  <r>
    <s v="P467123"/>
    <s v="That Big Screen Moisturizer with Broad Spectrum SPF 30"/>
    <n v="6335"/>
    <s v="JLo Beauty"/>
    <n v="5411"/>
    <x v="5"/>
    <n v="4.1435000000000004"/>
    <s v="Yes"/>
    <s v="High"/>
    <n v="467"/>
    <x v="103"/>
    <s v="Premium"/>
    <n v="0"/>
    <n v="0"/>
    <s v="Moisturizers"/>
  </r>
  <r>
    <s v="P430338"/>
    <s v="Extra-Firming &amp; Smoothing Day Moisturizer with SPF 15"/>
    <n v="2082"/>
    <s v="Clarins"/>
    <n v="5420"/>
    <x v="5"/>
    <n v="4.0416999999999996"/>
    <s v="Yes"/>
    <s v="High"/>
    <n v="24"/>
    <x v="89"/>
    <s v="Premium"/>
    <n v="0"/>
    <n v="0"/>
    <s v="Moisturizers"/>
  </r>
  <r>
    <s v="P476683"/>
    <s v="Full Face Sculpt Kit - 14-Day Challenge"/>
    <n v="6329"/>
    <s v="FaceGym"/>
    <n v="5438"/>
    <x v="5"/>
    <n v="4.4733000000000001"/>
    <s v="Yes"/>
    <s v="High"/>
    <n v="131"/>
    <x v="76"/>
    <s v="Premium"/>
    <n v="0"/>
    <n v="0"/>
    <s v="High Tech Tools"/>
  </r>
  <r>
    <s v="P479973"/>
    <s v="Mini Facial Spray with Aloe Adaptogens, and Coconut Water"/>
    <n v="8017"/>
    <s v="Mario Badescu"/>
    <n v="5440"/>
    <x v="5"/>
    <n v="3.6"/>
    <s v="Yes"/>
    <s v="Medium"/>
    <n v="10"/>
    <x v="127"/>
    <s v="Budget"/>
    <n v="0"/>
    <n v="0"/>
    <s v="Moisturizers"/>
  </r>
  <r>
    <s v="P480355"/>
    <s v="The Essence Skincare Boosting Treatment â€“ Lunar New Year Edition"/>
    <n v="6041"/>
    <s v="Tatcha"/>
    <n v="5440"/>
    <x v="5"/>
    <n v="5"/>
    <s v="Yes"/>
    <s v="High"/>
    <n v="2"/>
    <x v="61"/>
    <s v="Premium"/>
    <n v="1"/>
    <n v="0"/>
    <s v="Moisturizers"/>
  </r>
  <r>
    <s v="P502322"/>
    <s v="The Healthy Skin Edit Bestsellers Kit"/>
    <n v="6357"/>
    <s v="iNNBEAUTY PROJECT"/>
    <n v="5447"/>
    <x v="5"/>
    <n v="4.7849000000000004"/>
    <s v="Yes"/>
    <s v="High"/>
    <n v="93"/>
    <x v="8"/>
    <s v="Mid"/>
    <n v="0"/>
    <n v="1"/>
    <s v="Value &amp; Gift Sets"/>
  </r>
  <r>
    <s v="P504595"/>
    <s v="Mini Rice Wash Skin-Softening Cleanser"/>
    <n v="6041"/>
    <s v="Tatcha"/>
    <n v="5450"/>
    <x v="5"/>
    <n v="4.5018000000000002"/>
    <s v="Yes"/>
    <s v="High"/>
    <n v="2449"/>
    <x v="5"/>
    <s v="Budget"/>
    <n v="1"/>
    <n v="0"/>
    <s v="Mini Size"/>
  </r>
  <r>
    <s v="P433469"/>
    <s v="ELEVATE Advanced Retinol Serum"/>
    <n v="6018"/>
    <s v="Algenist"/>
    <n v="5451"/>
    <x v="5"/>
    <n v="4.1025999999999998"/>
    <s v="Yes"/>
    <s v="High"/>
    <n v="39"/>
    <x v="131"/>
    <s v="Premium"/>
    <n v="0"/>
    <n v="0"/>
    <s v="Treatments"/>
  </r>
  <r>
    <s v="P482061"/>
    <s v="Max Clear Invisible Priming Sunscreen Broad Spectrum SPF 45"/>
    <n v="3728"/>
    <s v="Peter Thomas Roth"/>
    <n v="5462"/>
    <x v="5"/>
    <n v="4.4745999999999997"/>
    <s v="Yes"/>
    <s v="High"/>
    <n v="276"/>
    <x v="12"/>
    <s v="Mid"/>
    <n v="0"/>
    <n v="0"/>
    <s v="Sunscreen"/>
  </r>
  <r>
    <s v="P456417"/>
    <s v="Wild Rose Brightening Absolute Oil"/>
    <n v="5715"/>
    <s v="KORRES"/>
    <n v="5462"/>
    <x v="5"/>
    <n v="4.3552999999999997"/>
    <s v="Yes"/>
    <s v="High"/>
    <n v="622"/>
    <x v="30"/>
    <s v="Premium"/>
    <n v="0"/>
    <n v="0"/>
    <s v="Moisturizers"/>
  </r>
  <r>
    <s v="P459129"/>
    <s v="Peptide Eye Cream"/>
    <n v="6318"/>
    <s v="Dr. Lara Devgan Scientific Beauty"/>
    <n v="5462"/>
    <x v="5"/>
    <n v="4.8171999999999997"/>
    <s v="Yes"/>
    <s v="High"/>
    <n v="268"/>
    <x v="165"/>
    <s v="Premium"/>
    <n v="0"/>
    <n v="0"/>
    <s v="Eye Care"/>
  </r>
  <r>
    <s v="P473820"/>
    <s v="Advanced Night Repair Eye Concentrate Matrix Synchronized Multi-Recovery Complex"/>
    <n v="6089"/>
    <s v="EstÃ©e Lauder"/>
    <n v="5480"/>
    <x v="5"/>
    <n v="4.3110999999999997"/>
    <s v="Yes"/>
    <s v="High"/>
    <n v="1096"/>
    <x v="42"/>
    <s v="Premium"/>
    <n v="0"/>
    <n v="0"/>
    <s v="Treatments"/>
  </r>
  <r>
    <s v="P474839"/>
    <s v="Counter Cravings - Helps Reduce Cravings and Boosts Metabolism"/>
    <n v="7050"/>
    <s v="HUM Nutrition"/>
    <n v="5494"/>
    <x v="5"/>
    <n v="4.4000000000000004"/>
    <s v="Yes"/>
    <s v="High"/>
    <n v="90"/>
    <x v="50"/>
    <s v="Premium"/>
    <n v="0"/>
    <n v="0"/>
    <s v="Wellness"/>
  </r>
  <r>
    <s v="P417604"/>
    <s v="Hydra Life Deep Hydration Sorbet Water Essence"/>
    <n v="1073"/>
    <s v="Dior"/>
    <n v="5499"/>
    <x v="5"/>
    <n v="4.3437999999999999"/>
    <s v="Yes"/>
    <s v="High"/>
    <n v="32"/>
    <x v="19"/>
    <s v="Premium"/>
    <n v="0"/>
    <n v="0"/>
    <s v="Treatments"/>
  </r>
  <r>
    <s v="P464238"/>
    <s v="Peptide + Ceramide Repairing Moisturizer"/>
    <n v="6334"/>
    <s v="Dr. Zenovia Skincare"/>
    <n v="5504"/>
    <x v="5"/>
    <n v="4.6744000000000003"/>
    <s v="Yes"/>
    <s v="High"/>
    <n v="519"/>
    <x v="93"/>
    <s v="Premium"/>
    <n v="0"/>
    <n v="0"/>
    <s v="Moisturizers"/>
  </r>
  <r>
    <s v="P447607"/>
    <s v="Rose Milk Re-Hydrating Mist"/>
    <n v="1741"/>
    <s v="LancÃ´me"/>
    <n v="5507"/>
    <x v="5"/>
    <n v="3.5516999999999999"/>
    <s v="Yes"/>
    <s v="Medium"/>
    <n v="29"/>
    <x v="78"/>
    <s v="Mid"/>
    <n v="0"/>
    <n v="1"/>
    <s v="Moisturizers"/>
  </r>
  <r>
    <s v="P122876"/>
    <s v="Clarifying Lotion 4"/>
    <n v="1254"/>
    <s v="CLINIQUE"/>
    <n v="5508"/>
    <x v="5"/>
    <n v="4.3849999999999998"/>
    <s v="Yes"/>
    <s v="High"/>
    <n v="226"/>
    <x v="60"/>
    <s v="Mid"/>
    <n v="0"/>
    <n v="0"/>
    <s v="Cleansers"/>
  </r>
  <r>
    <s v="P474844"/>
    <s v="Absolue Revitalizing Eye Cream"/>
    <n v="1741"/>
    <s v="LancÃ´me"/>
    <n v="5509"/>
    <x v="5"/>
    <n v="4.6093999999999999"/>
    <s v="Yes"/>
    <s v="High"/>
    <n v="128"/>
    <x v="193"/>
    <s v="Premium"/>
    <n v="0"/>
    <n v="0"/>
    <s v="Eye Care"/>
  </r>
  <r>
    <s v="P447409"/>
    <s v="Mini Baba Bomb Moisturizer"/>
    <n v="5648"/>
    <s v="tarte"/>
    <n v="5514"/>
    <x v="5"/>
    <n v="4.1111000000000004"/>
    <s v="Yes"/>
    <s v="High"/>
    <n v="36"/>
    <x v="58"/>
    <s v="Budget"/>
    <n v="0"/>
    <n v="0"/>
    <s v="Mini Size"/>
  </r>
  <r>
    <s v="P429526"/>
    <s v="Multi-Vitamin Infusion Oil"/>
    <n v="4164"/>
    <s v="Murad"/>
    <n v="5518"/>
    <x v="5"/>
    <n v="4.4272"/>
    <s v="Yes"/>
    <s v="High"/>
    <n v="103"/>
    <x v="99"/>
    <s v="Premium"/>
    <n v="0"/>
    <n v="0"/>
    <s v="Moisturizers"/>
  </r>
  <r>
    <s v="P202935"/>
    <s v="Benefiance NutriPerfect Night Cream"/>
    <n v="5337"/>
    <s v="Shiseido"/>
    <n v="5520"/>
    <x v="5"/>
    <n v="4.4722"/>
    <s v="Yes"/>
    <s v="High"/>
    <n v="36"/>
    <x v="204"/>
    <s v="Premium"/>
    <n v="0"/>
    <n v="0"/>
    <s v="Moisturizers"/>
  </r>
  <r>
    <s v="P504421"/>
    <s v="Overnight Hydrating Mask"/>
    <n v="3902"/>
    <s v="SEPHORA COLLECTION"/>
    <n v="5527"/>
    <x v="5"/>
    <n v="4.8268000000000004"/>
    <s v="Yes"/>
    <s v="High"/>
    <n v="231"/>
    <x v="47"/>
    <s v="Budget"/>
    <n v="1"/>
    <n v="0"/>
    <s v="Masks"/>
  </r>
  <r>
    <s v="P504303"/>
    <s v="Strengthening Nighttime Ritual Set"/>
    <n v="6041"/>
    <s v="Tatcha"/>
    <n v="5528"/>
    <x v="5"/>
    <n v="4.875"/>
    <s v="Yes"/>
    <s v="High"/>
    <n v="8"/>
    <x v="73"/>
    <s v="Premium"/>
    <n v="1"/>
    <n v="0"/>
    <s v="Value &amp; Gift Sets"/>
  </r>
  <r>
    <s v="P483699"/>
    <s v="Restorative Niacinamide Night Cream"/>
    <n v="6488"/>
    <s v="The Outset"/>
    <n v="5533"/>
    <x v="5"/>
    <n v="4.6224999999999996"/>
    <s v="Yes"/>
    <s v="High"/>
    <n v="151"/>
    <x v="30"/>
    <s v="Premium"/>
    <n v="0"/>
    <n v="0"/>
    <s v="Moisturizers"/>
  </r>
  <r>
    <s v="P455623"/>
    <s v="The ZenBubble Gel Cream"/>
    <n v="6272"/>
    <s v="BeautyBio"/>
    <n v="5539"/>
    <x v="5"/>
    <n v="4.4062999999999999"/>
    <s v="Yes"/>
    <s v="High"/>
    <n v="192"/>
    <x v="116"/>
    <s v="Premium"/>
    <n v="0"/>
    <n v="0"/>
    <s v="Moisturizers"/>
  </r>
  <r>
    <s v="P440492"/>
    <s v="Buttermilk Moisturizer"/>
    <n v="8017"/>
    <s v="Mario Badescu"/>
    <n v="5546"/>
    <x v="5"/>
    <n v="3.9714"/>
    <s v="Yes"/>
    <s v="Medium"/>
    <n v="35"/>
    <x v="5"/>
    <s v="Budget"/>
    <n v="0"/>
    <n v="0"/>
    <s v="Moisturizers"/>
  </r>
  <r>
    <s v="P380030"/>
    <s v="Perfectly Clean Multi-Action Toning Lotion/Refiner"/>
    <n v="6089"/>
    <s v="EstÃ©e Lauder"/>
    <n v="5546"/>
    <x v="5"/>
    <n v="4.2142999999999997"/>
    <s v="Yes"/>
    <s v="High"/>
    <n v="28"/>
    <x v="78"/>
    <s v="Mid"/>
    <n v="0"/>
    <n v="0"/>
    <s v="Cleansers"/>
  </r>
  <r>
    <s v="P500778"/>
    <s v="NÂ°39 Facial Sunscreen Mist with SPF 39"/>
    <n v="6500"/>
    <s v="HABIT"/>
    <n v="5554"/>
    <x v="5"/>
    <n v="4.7080000000000002"/>
    <s v="Yes"/>
    <s v="High"/>
    <n v="137"/>
    <x v="78"/>
    <s v="Mid"/>
    <n v="0"/>
    <n v="0"/>
    <s v="Sunscreen"/>
  </r>
  <r>
    <s v="P467972"/>
    <s v="The C Drops â€“ 20% Vitamin C Blend Brightening Serum"/>
    <n v="6294"/>
    <s v="Saint Jane Beauty"/>
    <n v="5557"/>
    <x v="5"/>
    <n v="4.75"/>
    <s v="Yes"/>
    <s v="High"/>
    <n v="100"/>
    <x v="17"/>
    <s v="Premium"/>
    <n v="0"/>
    <n v="0"/>
    <s v="Treatments"/>
  </r>
  <r>
    <s v="P479646"/>
    <s v="Mini City Skin Age Defense Broad Spectrum SPF 50 PA++++"/>
    <n v="4164"/>
    <s v="Murad"/>
    <n v="5567"/>
    <x v="5"/>
    <n v="4.3333000000000004"/>
    <s v="Yes"/>
    <s v="High"/>
    <n v="3"/>
    <x v="94"/>
    <s v="Mid"/>
    <n v="0"/>
    <n v="0"/>
    <s v="Sunscreen"/>
  </r>
  <r>
    <s v="P481145"/>
    <s v="Hydration Replenish Microencapsulated Plumping Gel Moisturizer"/>
    <n v="6367"/>
    <s v="ROSE INC"/>
    <n v="5567"/>
    <x v="5"/>
    <n v="4.6561000000000003"/>
    <s v="Yes"/>
    <s v="High"/>
    <n v="189"/>
    <x v="10"/>
    <s v="Premium"/>
    <n v="0"/>
    <n v="0"/>
    <s v="Moisturizers"/>
  </r>
  <r>
    <s v="P482540"/>
    <s v="Correct &amp; Protect Broad Spectrum SPF 45| PA++++"/>
    <n v="4164"/>
    <s v="Murad"/>
    <n v="5581"/>
    <x v="5"/>
    <n v="4.7366000000000001"/>
    <s v="Yes"/>
    <s v="High"/>
    <n v="467"/>
    <x v="116"/>
    <s v="Premium"/>
    <n v="0"/>
    <n v="0"/>
    <s v="Sunscreen"/>
  </r>
  <r>
    <s v="P474090"/>
    <s v="Deluxe Facial Roller Set"/>
    <n v="3902"/>
    <s v="SEPHORA COLLECTION"/>
    <n v="5602"/>
    <x v="5"/>
    <n v="3.5"/>
    <s v="Yes"/>
    <s v="Medium"/>
    <n v="2"/>
    <x v="24"/>
    <s v="Mid"/>
    <n v="0"/>
    <n v="0"/>
    <s v="Wellness"/>
  </r>
  <r>
    <s v="P417323"/>
    <s v="Fresh Pressed Renewing Powder Cleanser with Pure Vitamin C"/>
    <n v="1254"/>
    <s v="CLINIQUE"/>
    <n v="5608"/>
    <x v="5"/>
    <n v="4.3684000000000003"/>
    <s v="Yes"/>
    <s v="High"/>
    <n v="38"/>
    <x v="7"/>
    <s v="Mid"/>
    <n v="0"/>
    <n v="0"/>
    <s v="Cleansers"/>
  </r>
  <r>
    <s v="P456991"/>
    <s v="Superdefense City Block Broad Spectrum SPF 50 Daily Energy + Face Protector Primer"/>
    <n v="1254"/>
    <s v="CLINIQUE"/>
    <n v="5615"/>
    <x v="5"/>
    <n v="3.6932"/>
    <s v="Yes"/>
    <s v="Medium"/>
    <n v="88"/>
    <x v="29"/>
    <s v="Mid"/>
    <n v="0"/>
    <n v="0"/>
    <s v="Sunscreen"/>
  </r>
  <r>
    <s v="P474079"/>
    <s v="Goodbye Acne   Complete Acne Treatment Gel"/>
    <n v="3728"/>
    <s v="Peter Thomas Roth"/>
    <n v="5639"/>
    <x v="5"/>
    <n v="4.2702"/>
    <s v="Yes"/>
    <s v="High"/>
    <n v="459"/>
    <x v="124"/>
    <s v="Mid"/>
    <n v="0"/>
    <n v="0"/>
    <s v="Treatments"/>
  </r>
  <r>
    <s v="P460010"/>
    <s v="Prep &amp; Plane Facial Razors"/>
    <n v="5651"/>
    <s v="TWEEZERMAN"/>
    <n v="5661"/>
    <x v="5"/>
    <n v="2.7105000000000001"/>
    <s v="Yes"/>
    <s v="Low"/>
    <n v="38"/>
    <x v="57"/>
    <s v="Budget"/>
    <n v="0"/>
    <n v="0"/>
    <s v="High Tech Tools"/>
  </r>
  <r>
    <s v="P501031"/>
    <s v="Pore Remedy 5% Multi-Acid Radiance Peel"/>
    <n v="6014"/>
    <s v="Dr. Jart+"/>
    <n v="5678"/>
    <x v="5"/>
    <n v="4.5740999999999996"/>
    <s v="Yes"/>
    <s v="High"/>
    <n v="108"/>
    <x v="24"/>
    <s v="Mid"/>
    <n v="0"/>
    <n v="0"/>
    <s v="Treatments"/>
  </r>
  <r>
    <s v="P481828"/>
    <s v="Nudescreen Daily Mineral Veil SPF 30"/>
    <n v="7055"/>
    <s v="NUDESTIX"/>
    <n v="5697"/>
    <x v="5"/>
    <n v="4.0789"/>
    <s v="Yes"/>
    <s v="High"/>
    <n v="152"/>
    <x v="8"/>
    <s v="Mid"/>
    <n v="0"/>
    <n v="0"/>
    <s v="Moisturizers"/>
  </r>
  <r>
    <s v="P475180"/>
    <s v="On The Go Best Sellers Travel Kit"/>
    <n v="6373"/>
    <s v="TULA Skincare"/>
    <n v="5711"/>
    <x v="5"/>
    <n v="4.2366000000000001"/>
    <s v="Yes"/>
    <s v="High"/>
    <n v="93"/>
    <x v="25"/>
    <s v="Mid"/>
    <n v="0"/>
    <n v="0"/>
    <s v="Value &amp; Gift Sets"/>
  </r>
  <r>
    <s v="P463105"/>
    <s v="Benefiance Wrinkle Smoothing Retinol Serum"/>
    <n v="5337"/>
    <s v="Shiseido"/>
    <n v="5722"/>
    <x v="5"/>
    <n v="4.5805999999999996"/>
    <s v="Yes"/>
    <s v="High"/>
    <n v="937"/>
    <x v="76"/>
    <s v="Premium"/>
    <n v="0"/>
    <n v="0"/>
    <s v="Treatments"/>
  </r>
  <r>
    <s v="P457439"/>
    <s v="Clarifying Lotion"/>
    <n v="3902"/>
    <s v="SEPHORA COLLECTION"/>
    <n v="5748"/>
    <x v="5"/>
    <n v="3.6206999999999998"/>
    <s v="Yes"/>
    <s v="Medium"/>
    <n v="29"/>
    <x v="47"/>
    <s v="Budget"/>
    <n v="0"/>
    <n v="0"/>
    <s v="Treatments"/>
  </r>
  <r>
    <s v="P431419"/>
    <s v="Over It Magic Self-Tan Eraser"/>
    <n v="8008"/>
    <s v="Isle of Paradise"/>
    <n v="5750"/>
    <x v="5"/>
    <n v="3.04"/>
    <s v="Yes"/>
    <s v="Medium"/>
    <n v="25"/>
    <x v="78"/>
    <s v="Mid"/>
    <n v="0"/>
    <n v="0"/>
    <s v="Moisturizers"/>
  </r>
  <r>
    <s v="P433621"/>
    <s v="Treatment Softener Enriched"/>
    <n v="5337"/>
    <s v="Shiseido"/>
    <n v="5752"/>
    <x v="5"/>
    <n v="4.3076999999999996"/>
    <s v="Yes"/>
    <s v="High"/>
    <n v="26"/>
    <x v="50"/>
    <s v="Premium"/>
    <n v="0"/>
    <n v="0"/>
    <s v="Moisturizers"/>
  </r>
  <r>
    <s v="P503197"/>
    <s v="Juneberry &amp; Collagen Hydrating Cold Cream Cleanser"/>
    <n v="6312"/>
    <s v="alpyn beauty"/>
    <n v="5754"/>
    <x v="5"/>
    <n v="4.8949999999999996"/>
    <s v="Yes"/>
    <s v="High"/>
    <n v="238"/>
    <x v="7"/>
    <s v="Mid"/>
    <n v="0"/>
    <n v="0"/>
    <s v="Cleansers"/>
  </r>
  <r>
    <s v="P501790"/>
    <s v="Pillowgasm Vitamin-Rich Cherry Glow Sleep Mask"/>
    <n v="6316"/>
    <s v="Wishful"/>
    <n v="5771"/>
    <x v="5"/>
    <n v="4.4154"/>
    <s v="Yes"/>
    <s v="High"/>
    <n v="65"/>
    <x v="7"/>
    <s v="Mid"/>
    <n v="0"/>
    <n v="0"/>
    <s v="Masks"/>
  </r>
  <r>
    <s v="P448711"/>
    <s v="Face Mask"/>
    <n v="6302"/>
    <s v="Dr. Barbara Sturm"/>
    <n v="5780"/>
    <x v="5"/>
    <n v="4.5185000000000004"/>
    <s v="Yes"/>
    <s v="High"/>
    <n v="54"/>
    <x v="81"/>
    <s v="Premium"/>
    <n v="0"/>
    <n v="0"/>
    <s v="Masks"/>
  </r>
  <r>
    <s v="P471086"/>
    <s v="Targeted Wrinkle Serum"/>
    <n v="3902"/>
    <s v="SEPHORA COLLECTION"/>
    <n v="5783"/>
    <x v="5"/>
    <n v="4.3571"/>
    <s v="Yes"/>
    <s v="High"/>
    <n v="28"/>
    <x v="60"/>
    <s v="Mid"/>
    <n v="0"/>
    <n v="0"/>
    <s v="Treatments"/>
  </r>
  <r>
    <s v="P463792"/>
    <s v="Rejuvenating Scalp + Fuller Hair Therapy Set"/>
    <n v="6272"/>
    <s v="BeautyBio"/>
    <n v="5810"/>
    <x v="5"/>
    <n v="3.5385"/>
    <s v="Yes"/>
    <s v="Medium"/>
    <n v="13"/>
    <x v="164"/>
    <s v="Premium"/>
    <n v="0"/>
    <n v="0"/>
    <s v="Value &amp; Gift Sets"/>
  </r>
  <r>
    <s v="P504810"/>
    <s v="Priming Moisturizer Balance Oil-Control Gel-Cream"/>
    <n v="6751"/>
    <s v="Glossier"/>
    <n v="5826"/>
    <x v="5"/>
    <n v="4.6666999999999996"/>
    <s v="Yes"/>
    <s v="High"/>
    <n v="9"/>
    <x v="94"/>
    <s v="Mid"/>
    <n v="1"/>
    <n v="0"/>
    <s v="Moisturizers"/>
  </r>
  <r>
    <s v="P429504"/>
    <s v="Extra-Firming &amp; Smoothing Night Moisturizer"/>
    <n v="2082"/>
    <s v="Clarins"/>
    <n v="5829"/>
    <x v="5"/>
    <n v="4.25"/>
    <s v="Yes"/>
    <s v="High"/>
    <n v="8"/>
    <x v="131"/>
    <s v="Premium"/>
    <n v="0"/>
    <n v="0"/>
    <s v="Moisturizers"/>
  </r>
  <r>
    <s v="P477961"/>
    <s v="Get That Glow - GloPRO Facial Microneedling Discovery Set"/>
    <n v="6272"/>
    <s v="BeautyBio"/>
    <n v="5836"/>
    <x v="5"/>
    <n v="4.7229000000000001"/>
    <s v="Yes"/>
    <s v="High"/>
    <n v="166"/>
    <x v="141"/>
    <s v="Premium"/>
    <n v="0"/>
    <n v="0"/>
    <s v="Value &amp; Gift Sets"/>
  </r>
  <r>
    <s v="P393600"/>
    <s v="Trinity Facial Toning Device + Wrinkle Reducer Attachment Bundle"/>
    <n v="6001"/>
    <s v="NuFACE"/>
    <n v="5875"/>
    <x v="5"/>
    <n v="3.5385"/>
    <s v="Yes"/>
    <s v="Medium"/>
    <n v="13"/>
    <x v="117"/>
    <s v="Premium"/>
    <n v="0"/>
    <n v="0"/>
    <s v="High Tech Tools"/>
  </r>
  <r>
    <s v="P480612"/>
    <s v="Santorini Grape Poreless Skin Cream"/>
    <n v="5715"/>
    <s v="KORRES"/>
    <n v="5890"/>
    <x v="5"/>
    <n v="4.4025999999999996"/>
    <s v="Yes"/>
    <s v="High"/>
    <n v="3167"/>
    <x v="205"/>
    <s v="Mid"/>
    <n v="0"/>
    <n v="0"/>
    <s v="Moisturizers"/>
  </r>
  <r>
    <s v="P418629"/>
    <s v="C.E.O. Vitamin C Brightening Rich Hydration Moisturizer"/>
    <n v="6073"/>
    <s v="Sunday Riley"/>
    <n v="5905"/>
    <x v="5"/>
    <n v="3.9918"/>
    <s v="Yes"/>
    <s v="Medium"/>
    <n v="1101"/>
    <x v="75"/>
    <s v="Mid"/>
    <n v="0"/>
    <n v="0"/>
    <s v="Moisturizers"/>
  </r>
  <r>
    <s v="P504773"/>
    <s v="Priming Moisturizer Rich Face Cream with Ceramides"/>
    <n v="6751"/>
    <s v="Glossier"/>
    <n v="5907"/>
    <x v="5"/>
    <n v="4.05"/>
    <s v="Yes"/>
    <s v="High"/>
    <n v="20"/>
    <x v="9"/>
    <s v="Mid"/>
    <n v="1"/>
    <n v="0"/>
    <s v="Moisturizers"/>
  </r>
  <r>
    <s v="P408542"/>
    <s v="One Essential Eye Serum"/>
    <n v="1073"/>
    <s v="Dior"/>
    <n v="5908"/>
    <x v="5"/>
    <n v="4.3333000000000004"/>
    <s v="Yes"/>
    <s v="High"/>
    <n v="27"/>
    <x v="55"/>
    <s v="Premium"/>
    <n v="0"/>
    <n v="0"/>
    <s v="Eye Care"/>
  </r>
  <r>
    <s v="P504001"/>
    <s v="Ceramidin Skin Barrier Serum Toner"/>
    <n v="6014"/>
    <s v="Dr. Jart+"/>
    <n v="5912"/>
    <x v="5"/>
    <n v="4.6364000000000001"/>
    <s v="Yes"/>
    <s v="High"/>
    <n v="341"/>
    <x v="7"/>
    <s v="Mid"/>
    <n v="1"/>
    <n v="0"/>
    <s v="Cleansers"/>
  </r>
  <r>
    <s v="P474843"/>
    <s v="Absolue Soft Cream Revitalizing &amp; Brightening Moisturizer"/>
    <n v="1741"/>
    <s v="LancÃ´me"/>
    <n v="5913"/>
    <x v="5"/>
    <n v="4.6763000000000003"/>
    <s v="Yes"/>
    <s v="High"/>
    <n v="139"/>
    <x v="184"/>
    <s v="Premium"/>
    <n v="0"/>
    <n v="0"/>
    <s v="Moisturizers"/>
  </r>
  <r>
    <s v="P457519"/>
    <s v="Water Drench Hyaluronic Cloud Hydrating Eye Gel"/>
    <n v="3728"/>
    <s v="Peter Thomas Roth"/>
    <n v="5917"/>
    <x v="5"/>
    <n v="3.4594999999999998"/>
    <s v="Yes"/>
    <s v="Medium"/>
    <n v="37"/>
    <x v="125"/>
    <s v="Mid"/>
    <n v="0"/>
    <n v="0"/>
    <s v="Eye Care"/>
  </r>
  <r>
    <s v="P468354"/>
    <s v="Hydrating Ultra Repair Cream Duo"/>
    <n v="5972"/>
    <s v="First Aid Beauty"/>
    <n v="5918"/>
    <x v="5"/>
    <n v="4.6154000000000002"/>
    <s v="Yes"/>
    <s v="High"/>
    <n v="13"/>
    <x v="45"/>
    <s v="Mid"/>
    <n v="1"/>
    <n v="0"/>
    <s v="Value &amp; Gift Sets"/>
  </r>
  <r>
    <s v="P406529"/>
    <s v="Advanced Night Micro Cleansing Balm"/>
    <n v="6089"/>
    <s v="EstÃ©e Lauder"/>
    <n v="5931"/>
    <x v="5"/>
    <n v="4.6393000000000004"/>
    <s v="Yes"/>
    <s v="High"/>
    <n v="61"/>
    <x v="14"/>
    <s v="Mid"/>
    <n v="0"/>
    <n v="0"/>
    <s v="Cleansers"/>
  </r>
  <r>
    <s v="P464239"/>
    <s v="Aloe Vera Blemish Soothing Moisturizer"/>
    <n v="6334"/>
    <s v="Dr. Zenovia Skincare"/>
    <n v="5968"/>
    <x v="5"/>
    <n v="4.5808999999999997"/>
    <s v="Yes"/>
    <s v="High"/>
    <n v="377"/>
    <x v="12"/>
    <s v="Mid"/>
    <n v="0"/>
    <n v="0"/>
    <s v="Moisturizers"/>
  </r>
  <r>
    <s v="P456203"/>
    <s v="Self Tan Express Starter Kit"/>
    <n v="5626"/>
    <s v="St. Tropez"/>
    <n v="5979"/>
    <x v="5"/>
    <n v="3.5263"/>
    <s v="Yes"/>
    <s v="Medium"/>
    <n v="19"/>
    <x v="60"/>
    <s v="Mid"/>
    <n v="0"/>
    <n v="0"/>
    <s v="Value &amp; Gift Sets"/>
  </r>
  <r>
    <s v="P503123"/>
    <s v="Smooth Like Butter Kit"/>
    <n v="5922"/>
    <s v="Josie Maran"/>
    <n v="5990"/>
    <x v="5"/>
    <n v="4.5"/>
    <s v="Yes"/>
    <s v="High"/>
    <n v="10"/>
    <x v="78"/>
    <s v="Mid"/>
    <n v="0"/>
    <n v="0"/>
    <s v="Value &amp; Gift Sets"/>
  </r>
  <r>
    <s v="P433617"/>
    <s v="Deep Cleansing Foam"/>
    <n v="5337"/>
    <s v="Shiseido"/>
    <n v="6015"/>
    <x v="5"/>
    <n v="4.1957000000000004"/>
    <s v="Yes"/>
    <s v="High"/>
    <n v="46"/>
    <x v="8"/>
    <s v="Mid"/>
    <n v="0"/>
    <n v="0"/>
    <s v="Cleansers"/>
  </r>
  <r>
    <s v="P502842"/>
    <s v="Wishing You Essentials Skincare Kit"/>
    <n v="3902"/>
    <s v="SEPHORA COLLECTION"/>
    <n v="6017"/>
    <x v="5"/>
    <n v="3.6667000000000001"/>
    <s v="Yes"/>
    <s v="Medium"/>
    <n v="3"/>
    <x v="60"/>
    <s v="Mid"/>
    <n v="0"/>
    <n v="0"/>
    <s v="Value &amp; Gift Sets"/>
  </r>
  <r>
    <s v="P379709"/>
    <s v="Repairative Anti-Aging Moisturizer"/>
    <n v="7020"/>
    <s v="Tata Harper"/>
    <n v="6030"/>
    <x v="5"/>
    <n v="3.4117999999999999"/>
    <s v="Yes"/>
    <s v="Medium"/>
    <n v="136"/>
    <x v="87"/>
    <s v="Premium"/>
    <n v="0"/>
    <n v="0"/>
    <s v="Moisturizers"/>
  </r>
  <r>
    <s v="P454095"/>
    <s v="Perfect Canvas Clean Jelly Oil Cleanser"/>
    <n v="5857"/>
    <s v="REN Clean Skincare"/>
    <n v="6031"/>
    <x v="5"/>
    <n v="4.0263"/>
    <s v="Yes"/>
    <s v="High"/>
    <n v="266"/>
    <x v="96"/>
    <s v="Mid"/>
    <n v="0"/>
    <n v="0"/>
    <s v="Cleansers"/>
  </r>
  <r>
    <s v="P474809"/>
    <s v="Blue Algae Vitamin C Skinclarity Brightening Serum"/>
    <n v="6018"/>
    <s v="Algenist"/>
    <n v="6040"/>
    <x v="5"/>
    <n v="4.6086999999999998"/>
    <s v="Yes"/>
    <s v="High"/>
    <n v="207"/>
    <x v="55"/>
    <s v="Premium"/>
    <n v="0"/>
    <n v="0"/>
    <s v="Treatments"/>
  </r>
  <r>
    <s v="P436378"/>
    <s v="Dermatologist Solutions Centella Sensitive Cica-Cream"/>
    <n v="6218"/>
    <s v="Kiehl's Since 1851"/>
    <n v="6043"/>
    <x v="5"/>
    <n v="4.5152000000000001"/>
    <s v="Yes"/>
    <s v="High"/>
    <n v="33"/>
    <x v="45"/>
    <s v="Mid"/>
    <n v="0"/>
    <n v="1"/>
    <s v="Moisturizers"/>
  </r>
  <r>
    <s v="P440302"/>
    <s v="needles no more Neck Sculpting Cream"/>
    <n v="4372"/>
    <s v="Dr. Brandt Skincare"/>
    <n v="6052"/>
    <x v="5"/>
    <n v="3.7742"/>
    <s v="Yes"/>
    <s v="Medium"/>
    <n v="31"/>
    <x v="73"/>
    <s v="Premium"/>
    <n v="0"/>
    <n v="0"/>
    <s v="Moisturizers"/>
  </r>
  <r>
    <s v="P442542"/>
    <s v="Beauty Sleep Power Peel Age-Defying Night Peel"/>
    <n v="6283"/>
    <s v="Alpha-H"/>
    <n v="6057"/>
    <x v="5"/>
    <n v="4.5999999999999996"/>
    <s v="Yes"/>
    <s v="High"/>
    <n v="15"/>
    <x v="206"/>
    <s v="Premium"/>
    <n v="0"/>
    <n v="0"/>
    <s v="Treatments"/>
  </r>
  <r>
    <s v="P473172"/>
    <s v="Glow Daily Vitamin C Gel Cream"/>
    <n v="5857"/>
    <s v="REN Clean Skincare"/>
    <n v="6074"/>
    <x v="5"/>
    <n v="4.5824999999999996"/>
    <s v="Yes"/>
    <s v="High"/>
    <n v="194"/>
    <x v="30"/>
    <s v="Premium"/>
    <n v="0"/>
    <n v="0"/>
    <s v="Moisturizers"/>
  </r>
  <r>
    <s v="P424984"/>
    <s v="HYDRA MOUSSE Hydrating Self-Tan Mousse"/>
    <n v="6225"/>
    <s v="TAN-LUXE"/>
    <n v="6083"/>
    <x v="5"/>
    <n v="4.0769000000000002"/>
    <s v="Yes"/>
    <s v="High"/>
    <n v="65"/>
    <x v="25"/>
    <s v="Mid"/>
    <n v="0"/>
    <n v="0"/>
    <s v="Self Tanners"/>
  </r>
  <r>
    <s v="P383052"/>
    <s v="Do Not Age with Dr. Brandt Moisturizing Neck Cream"/>
    <n v="4372"/>
    <s v="Dr. Brandt Skincare"/>
    <n v="6096"/>
    <x v="5"/>
    <n v="3.7745000000000002"/>
    <s v="Yes"/>
    <s v="Medium"/>
    <n v="102"/>
    <x v="138"/>
    <s v="Premium"/>
    <n v="0"/>
    <n v="0"/>
    <s v="Moisturizers"/>
  </r>
  <r>
    <s v="P382356"/>
    <s v="Age Arrest Anti-Wrinkle Cream"/>
    <n v="5946"/>
    <s v="Kate Somerville"/>
    <n v="6101"/>
    <x v="5"/>
    <n v="4.0349000000000004"/>
    <s v="Yes"/>
    <s v="High"/>
    <n v="86"/>
    <x v="131"/>
    <s v="Premium"/>
    <n v="0"/>
    <n v="0"/>
    <s v="Moisturizers"/>
  </r>
  <r>
    <s v="P456407"/>
    <s v="PLAY Body Sunscreen Mousse SPF 50"/>
    <n v="5987"/>
    <s v="Supergoop!"/>
    <n v="6119"/>
    <x v="5"/>
    <n v="3.9582999999999999"/>
    <s v="Yes"/>
    <s v="Medium"/>
    <n v="24"/>
    <x v="18"/>
    <s v="Mid"/>
    <n v="0"/>
    <n v="0"/>
    <s v="Sunscreen"/>
  </r>
  <r>
    <s v="P502749"/>
    <s v="SuperSolutions 5% Benzoyl Peroxide Cleanser Acne Solution"/>
    <n v="6285"/>
    <s v="The INKEY List"/>
    <n v="6148"/>
    <x v="5"/>
    <n v="3.7722000000000002"/>
    <s v="Yes"/>
    <s v="Medium"/>
    <n v="79"/>
    <x v="202"/>
    <s v="Budget"/>
    <n v="0"/>
    <n v="0"/>
    <s v="Cleansers"/>
  </r>
  <r>
    <s v="P387511"/>
    <s v="Immortelle Divine Cream"/>
    <n v="2366"/>
    <s v="L'Occitane"/>
    <n v="6151"/>
    <x v="5"/>
    <n v="3.8805000000000001"/>
    <s v="Yes"/>
    <s v="Medium"/>
    <n v="159"/>
    <x v="153"/>
    <s v="Premium"/>
    <n v="0"/>
    <n v="0"/>
    <s v="Moisturizers"/>
  </r>
  <r>
    <s v="P443375"/>
    <s v="White Lucent Brightening Gel Cream"/>
    <n v="5337"/>
    <s v="Shiseido"/>
    <n v="6154"/>
    <x v="5"/>
    <n v="3.4847999999999999"/>
    <s v="Yes"/>
    <s v="Medium"/>
    <n v="33"/>
    <x v="76"/>
    <s v="Premium"/>
    <n v="0"/>
    <n v="0"/>
    <s v="Moisturizers"/>
  </r>
  <r>
    <s v="P481748"/>
    <s v="Bright Start Vitamin C Antioxidant Brightening Moisturizer"/>
    <n v="6373"/>
    <s v="TULA Skincare"/>
    <n v="6166"/>
    <x v="5"/>
    <n v="4.4061000000000003"/>
    <s v="Yes"/>
    <s v="High"/>
    <n v="229"/>
    <x v="70"/>
    <s v="Premium"/>
    <n v="0"/>
    <n v="0"/>
    <s v="Moisturizers"/>
  </r>
  <r>
    <s v="P474116"/>
    <s v="Peptight  360Ëš Tightening Eye Serum"/>
    <n v="6358"/>
    <s v="StriVectin"/>
    <n v="6166"/>
    <x v="5"/>
    <n v="4.4893999999999998"/>
    <s v="Yes"/>
    <s v="High"/>
    <n v="47"/>
    <x v="55"/>
    <s v="Premium"/>
    <n v="0"/>
    <n v="0"/>
    <s v="Eye Care"/>
  </r>
  <r>
    <s v="P474057"/>
    <s v="Lip Service - Lip Balm Duo Mint &amp; Shea"/>
    <n v="3297"/>
    <s v="Jack Black"/>
    <n v="6167"/>
    <x v="5"/>
    <n v="4.8947000000000003"/>
    <s v="Yes"/>
    <s v="High"/>
    <n v="19"/>
    <x v="3"/>
    <s v="Budget"/>
    <n v="0"/>
    <n v="0"/>
    <s v="Lip Balms &amp; Treatments"/>
  </r>
  <r>
    <s v="P500445"/>
    <s v="Prep Set Tan Tanning Mist with Hyaluronic Acid"/>
    <n v="6331"/>
    <s v="Iconic London"/>
    <n v="6187"/>
    <x v="5"/>
    <n v="4.2702999999999998"/>
    <s v="Yes"/>
    <s v="High"/>
    <n v="37"/>
    <x v="31"/>
    <s v="Mid"/>
    <n v="0"/>
    <n v="0"/>
    <s v="Self Tanners"/>
  </r>
  <r>
    <s v="P467617"/>
    <s v="Clear Complexion Acne Solutions System"/>
    <n v="6334"/>
    <s v="Dr. Zenovia Skincare"/>
    <n v="6191"/>
    <x v="5"/>
    <n v="4.5084"/>
    <s v="Yes"/>
    <s v="High"/>
    <n v="297"/>
    <x v="9"/>
    <s v="Mid"/>
    <n v="0"/>
    <n v="0"/>
    <s v="Value &amp; Gift Sets"/>
  </r>
  <r>
    <s v="P448200"/>
    <s v="Benefiance Wrinkle Smoothing Cream"/>
    <n v="5337"/>
    <s v="Shiseido"/>
    <n v="6215"/>
    <x v="5"/>
    <n v="4.6036999999999999"/>
    <s v="Yes"/>
    <s v="High"/>
    <n v="164"/>
    <x v="76"/>
    <s v="Premium"/>
    <n v="0"/>
    <n v="0"/>
    <s v="Moisturizers"/>
  </r>
  <r>
    <s v="P462390"/>
    <s v="PRO Strength 10% PHA Exfoliating Clarifying Liquid"/>
    <n v="3728"/>
    <s v="Peter Thomas Roth"/>
    <n v="6220"/>
    <x v="5"/>
    <n v="4.3836000000000004"/>
    <s v="Yes"/>
    <s v="High"/>
    <n v="438"/>
    <x v="69"/>
    <s v="Premium"/>
    <n v="0"/>
    <n v="0"/>
    <s v="Treatments"/>
  </r>
  <r>
    <s v="P476513"/>
    <s v="Mini Abeille Royale Advanced Youth Watery Oil"/>
    <n v="1132"/>
    <s v="GUERLAIN"/>
    <n v="6222"/>
    <x v="5"/>
    <n v="4.3464999999999998"/>
    <s v="Yes"/>
    <s v="High"/>
    <n v="1215"/>
    <x v="103"/>
    <s v="Premium"/>
    <n v="0"/>
    <n v="0"/>
    <s v="Mini Size"/>
  </r>
  <r>
    <s v="P456193"/>
    <s v="The Afterglow Deep Moisturizing Cream with Hyaluronic Acid &amp; Vegan Collagen"/>
    <n v="6310"/>
    <s v="Prima"/>
    <n v="6228"/>
    <x v="5"/>
    <n v="4.5301999999999998"/>
    <s v="Yes"/>
    <s v="High"/>
    <n v="381"/>
    <x v="6"/>
    <s v="Premium"/>
    <n v="0"/>
    <n v="1"/>
    <s v="Moisturizers"/>
  </r>
  <r>
    <s v="P503683"/>
    <s v="Acne Salicylic Acid Day &amp; Night Duo"/>
    <n v="6209"/>
    <s v="Peace Out"/>
    <n v="6248"/>
    <x v="5"/>
    <n v="4.7073"/>
    <s v="Yes"/>
    <s v="High"/>
    <n v="82"/>
    <x v="13"/>
    <s v="Budget"/>
    <n v="0"/>
    <n v="0"/>
    <s v="Value &amp; Gift Sets"/>
  </r>
  <r>
    <s v="P417115"/>
    <s v="The Intensive Revitalizing Mask"/>
    <n v="6201"/>
    <s v="La Mer"/>
    <n v="6256"/>
    <x v="5"/>
    <n v="4.4570999999999996"/>
    <s v="Yes"/>
    <s v="High"/>
    <n v="35"/>
    <x v="181"/>
    <s v="Premium"/>
    <n v="0"/>
    <n v="0"/>
    <s v="Masks"/>
  </r>
  <r>
    <s v="P467120"/>
    <s v="That Hit Single Gel-Cream Cleanser"/>
    <n v="6335"/>
    <s v="JLo Beauty"/>
    <n v="6260"/>
    <x v="5"/>
    <n v="4.0991999999999997"/>
    <s v="Yes"/>
    <s v="High"/>
    <n v="363"/>
    <x v="7"/>
    <s v="Mid"/>
    <n v="0"/>
    <n v="0"/>
    <s v="Cleansers"/>
  </r>
  <r>
    <s v="P447783"/>
    <s v="Cleanser"/>
    <n v="6302"/>
    <s v="Dr. Barbara Sturm"/>
    <n v="6271"/>
    <x v="5"/>
    <n v="4.2"/>
    <s v="Yes"/>
    <s v="High"/>
    <n v="70"/>
    <x v="76"/>
    <s v="Premium"/>
    <n v="0"/>
    <n v="0"/>
    <s v="Cleansers"/>
  </r>
  <r>
    <s v="P447213"/>
    <s v="4.5% Retinol Serum"/>
    <n v="6303"/>
    <s v="SOBEL SKIN Rx"/>
    <n v="6274"/>
    <x v="5"/>
    <n v="4.4459"/>
    <s v="Yes"/>
    <s v="High"/>
    <n v="148"/>
    <x v="38"/>
    <s v="Premium"/>
    <n v="0"/>
    <n v="0"/>
    <s v="Treatments"/>
  </r>
  <r>
    <s v="P454391"/>
    <s v="PLAY Antioxidant Body Sunscreen Mist SPF 30 PA++++"/>
    <n v="5987"/>
    <s v="Supergoop!"/>
    <n v="6277"/>
    <x v="5"/>
    <n v="3.3683999999999998"/>
    <s v="Yes"/>
    <s v="Medium"/>
    <n v="19"/>
    <x v="128"/>
    <s v="Mid"/>
    <n v="0"/>
    <n v="0"/>
    <s v="Sunscreen"/>
  </r>
  <r>
    <s v="P440485"/>
    <s v="Enzyme Cleansing Gel"/>
    <n v="8017"/>
    <s v="Mario Badescu"/>
    <n v="6291"/>
    <x v="5"/>
    <n v="3.75"/>
    <s v="Yes"/>
    <s v="Medium"/>
    <n v="72"/>
    <x v="58"/>
    <s v="Budget"/>
    <n v="0"/>
    <n v="0"/>
    <s v="Cleansers"/>
  </r>
  <r>
    <s v="P503936"/>
    <s v="Black Tea Anti-Aging Moisturizer with Retinol-Alternative BT Matrix"/>
    <n v="4348"/>
    <s v="fresh"/>
    <n v="6292"/>
    <x v="5"/>
    <n v="4.8433999999999999"/>
    <s v="Yes"/>
    <s v="High"/>
    <n v="1386"/>
    <x v="73"/>
    <s v="Premium"/>
    <n v="0"/>
    <n v="0"/>
    <s v="Moisturizers"/>
  </r>
  <r>
    <s v="P483057"/>
    <s v="COOLA Organic Liplux Classic Sunscreen Lip Oil SPF 30"/>
    <n v="7091"/>
    <s v="COOLA"/>
    <n v="6293"/>
    <x v="5"/>
    <n v="2.4211"/>
    <s v="Yes"/>
    <s v="Low"/>
    <n v="19"/>
    <x v="5"/>
    <s v="Budget"/>
    <n v="0"/>
    <n v="0"/>
    <s v="Lip Balms &amp; Treatments"/>
  </r>
  <r>
    <s v="P405032"/>
    <s v="Micro Essence Infusion Mask"/>
    <n v="6089"/>
    <s v="EstÃ©e Lauder"/>
    <n v="6293"/>
    <x v="5"/>
    <n v="4.25"/>
    <s v="Yes"/>
    <s v="High"/>
    <n v="24"/>
    <x v="76"/>
    <s v="Premium"/>
    <n v="0"/>
    <n v="0"/>
    <s v="Masks"/>
  </r>
  <r>
    <s v="P480358"/>
    <s v="Mini Debloat+ Anti-Bloat Supplement with Digestive Enzymes"/>
    <n v="6375"/>
    <s v="The Nue Co."/>
    <n v="6299"/>
    <x v="5"/>
    <n v="4.5999999999999996"/>
    <s v="Yes"/>
    <s v="High"/>
    <n v="25"/>
    <x v="5"/>
    <s v="Budget"/>
    <n v="0"/>
    <n v="0"/>
    <s v="Wellness"/>
  </r>
  <r>
    <s v="P380000"/>
    <s v="DayWear Advanced Multi-Protection Anti-Oxidant Moisturizer, Normal/Combination"/>
    <n v="6089"/>
    <s v="EstÃ©e Lauder"/>
    <n v="6300"/>
    <x v="5"/>
    <n v="4.3154000000000003"/>
    <s v="Yes"/>
    <s v="High"/>
    <n v="298"/>
    <x v="8"/>
    <s v="Mid"/>
    <n v="0"/>
    <n v="0"/>
    <s v="Moisturizers"/>
  </r>
  <r>
    <s v="P428639"/>
    <s v="Mini The Renewal Oil"/>
    <n v="6201"/>
    <s v="La Mer"/>
    <n v="6304"/>
    <x v="5"/>
    <n v="4.3076999999999996"/>
    <s v="Yes"/>
    <s v="High"/>
    <n v="13"/>
    <x v="109"/>
    <s v="Premium"/>
    <n v="0"/>
    <n v="0"/>
    <s v="Mini Size"/>
  </r>
  <r>
    <s v="P466878"/>
    <s v="Mini Alpha Beta Exfoliating Body Treatment Peel"/>
    <n v="5668"/>
    <s v="Dr. Dennis Gross Skincare"/>
    <n v="6308"/>
    <x v="5"/>
    <n v="2.8824000000000001"/>
    <s v="Yes"/>
    <s v="Low"/>
    <n v="17"/>
    <x v="5"/>
    <s v="Budget"/>
    <n v="0"/>
    <n v="0"/>
    <s v="Mini Size"/>
  </r>
  <r>
    <s v="P482314"/>
    <s v="Mattifying Blotting Papers"/>
    <n v="3902"/>
    <s v="SEPHORA COLLECTION"/>
    <n v="6314"/>
    <x v="5"/>
    <n v="2.8666999999999998"/>
    <s v="Yes"/>
    <s v="Low"/>
    <n v="15"/>
    <x v="207"/>
    <s v="Budget"/>
    <n v="0"/>
    <n v="0"/>
    <s v="Cleansers"/>
  </r>
  <r>
    <s v="P443366"/>
    <s v="Prisma Protect SPF 30 Moisturizer"/>
    <n v="6219"/>
    <s v="Dermalogica"/>
    <n v="6322"/>
    <x v="5"/>
    <n v="4.3571"/>
    <s v="Yes"/>
    <s v="High"/>
    <n v="140"/>
    <x v="116"/>
    <s v="Premium"/>
    <n v="0"/>
    <n v="0"/>
    <s v="Moisturizers"/>
  </r>
  <r>
    <s v="P480445"/>
    <s v="Smooth + FAB Travel Size Duo"/>
    <n v="5972"/>
    <s v="First Aid Beauty"/>
    <n v="6327"/>
    <x v="5"/>
    <n v="5"/>
    <s v="Yes"/>
    <s v="High"/>
    <n v="1"/>
    <x v="60"/>
    <s v="Mid"/>
    <n v="0"/>
    <n v="0"/>
    <s v="Value &amp; Gift Sets"/>
  </r>
  <r>
    <s v="P442539"/>
    <s v="Vitamin B Serum with 5% Niacinamide and Peptides"/>
    <n v="6283"/>
    <s v="Alpha-H"/>
    <n v="6331"/>
    <x v="5"/>
    <n v="4.2618999999999998"/>
    <s v="Yes"/>
    <s v="High"/>
    <n v="84"/>
    <x v="92"/>
    <s v="Premium"/>
    <n v="0"/>
    <n v="0"/>
    <s v="Treatments"/>
  </r>
  <r>
    <s v="P456569"/>
    <s v="Active Clay Prebiotic Cleanser"/>
    <n v="6219"/>
    <s v="Dermalogica"/>
    <n v="6366"/>
    <x v="5"/>
    <n v="4.6086999999999998"/>
    <s v="Yes"/>
    <s v="High"/>
    <n v="23"/>
    <x v="36"/>
    <s v="Mid"/>
    <n v="0"/>
    <n v="0"/>
    <s v="Cleansers"/>
  </r>
  <r>
    <s v="P440499"/>
    <s v="Silver Powder"/>
    <n v="8017"/>
    <s v="Mario Badescu"/>
    <n v="6384"/>
    <x v="5"/>
    <n v="4.3939000000000004"/>
    <s v="Yes"/>
    <s v="High"/>
    <n v="33"/>
    <x v="51"/>
    <s v="Budget"/>
    <n v="0"/>
    <n v="0"/>
    <s v="Treatments"/>
  </r>
  <r>
    <s v="P452002"/>
    <s v="Classic Face Sunscreen SPF 50 White Tea"/>
    <n v="7091"/>
    <s v="COOLA"/>
    <n v="6396"/>
    <x v="5"/>
    <n v="3.9148999999999998"/>
    <s v="Yes"/>
    <s v="Medium"/>
    <n v="47"/>
    <x v="29"/>
    <s v="Mid"/>
    <n v="0"/>
    <n v="0"/>
    <s v="Sunscreen"/>
  </r>
  <r>
    <s v="P423165"/>
    <s v="Future Solution LX Eye and Lip Contour Regenerating Cream"/>
    <n v="5337"/>
    <s v="Shiseido"/>
    <n v="6410"/>
    <x v="5"/>
    <n v="4.0833000000000004"/>
    <s v="Yes"/>
    <s v="High"/>
    <n v="36"/>
    <x v="187"/>
    <s v="Premium"/>
    <n v="0"/>
    <n v="0"/>
    <s v="Eye Care"/>
  </r>
  <r>
    <s v="P481704"/>
    <s v="Umbrian Clay Pore Purifying Face Mask"/>
    <n v="4348"/>
    <s v="fresh"/>
    <n v="6419"/>
    <x v="5"/>
    <n v="4.5"/>
    <s v="Yes"/>
    <s v="High"/>
    <n v="4"/>
    <x v="69"/>
    <s v="Premium"/>
    <n v="0"/>
    <n v="0"/>
    <s v="Masks"/>
  </r>
  <r>
    <s v="P423690"/>
    <s v="Skin Resurfacing Lactic Acid Cleanser"/>
    <n v="6219"/>
    <s v="Dermalogica"/>
    <n v="6435"/>
    <x v="5"/>
    <n v="4.1071"/>
    <s v="Yes"/>
    <s v="High"/>
    <n v="28"/>
    <x v="14"/>
    <s v="Mid"/>
    <n v="0"/>
    <n v="0"/>
    <s v="Cleansers"/>
  </r>
  <r>
    <s v="P461950"/>
    <s v="Mini The Concentrate Serum"/>
    <n v="6201"/>
    <s v="La Mer"/>
    <n v="6441"/>
    <x v="5"/>
    <n v="4.4443999999999999"/>
    <s v="Yes"/>
    <s v="High"/>
    <n v="18"/>
    <x v="189"/>
    <s v="Premium"/>
    <n v="0"/>
    <n v="0"/>
    <s v="Mini Size"/>
  </r>
  <r>
    <s v="P503927"/>
    <s v="Vitamin C Lactic Biocellulose Brightening Treatment Mask"/>
    <n v="5668"/>
    <s v="Dr. Dennis Gross Skincare"/>
    <n v="6445"/>
    <x v="5"/>
    <n v="4.5896999999999997"/>
    <s v="Yes"/>
    <s v="High"/>
    <n v="117"/>
    <x v="51"/>
    <s v="Budget"/>
    <n v="1"/>
    <n v="0"/>
    <s v="Masks"/>
  </r>
  <r>
    <s v="P451728"/>
    <s v="Mini Goddess Clay Mask 15ml Travel Size"/>
    <n v="6236"/>
    <s v="Charlotte Tilbury"/>
    <n v="6446"/>
    <x v="5"/>
    <n v="3.0832999999999999"/>
    <s v="Yes"/>
    <s v="Medium"/>
    <n v="12"/>
    <x v="47"/>
    <s v="Budget"/>
    <n v="0"/>
    <n v="0"/>
    <s v="Masks"/>
  </r>
  <r>
    <s v="P454939"/>
    <s v="Perfectionist Pro Rapid Brightening Serum with FermentÂ² + Vitamin C"/>
    <n v="6089"/>
    <s v="EstÃ©e Lauder"/>
    <n v="6458"/>
    <x v="5"/>
    <n v="4.1303999999999998"/>
    <s v="Yes"/>
    <s v="High"/>
    <n v="23"/>
    <x v="105"/>
    <s v="Premium"/>
    <n v="0"/>
    <n v="0"/>
    <s v="Treatments"/>
  </r>
  <r>
    <s v="P503262"/>
    <s v="Peel and Plump Skin-Smoothing Duo"/>
    <n v="6312"/>
    <s v="alpyn beauty"/>
    <n v="6469"/>
    <x v="5"/>
    <n v="4.8888999999999996"/>
    <s v="Yes"/>
    <s v="High"/>
    <n v="18"/>
    <x v="25"/>
    <s v="Mid"/>
    <n v="0"/>
    <n v="1"/>
    <s v="Value &amp; Gift Sets"/>
  </r>
  <r>
    <s v="P463613"/>
    <s v="Moisture Surge Intense 72H Lipid-Replenishing Hydrator Moisturizer"/>
    <n v="1254"/>
    <s v="CLINIQUE"/>
    <n v="6473"/>
    <x v="5"/>
    <n v="3.4687999999999999"/>
    <s v="Yes"/>
    <s v="Medium"/>
    <n v="96"/>
    <x v="124"/>
    <s v="Mid"/>
    <n v="0"/>
    <n v="0"/>
    <s v="Moisturizers"/>
  </r>
  <r>
    <s v="P442867"/>
    <s v="Kx Active Concentrates Bio-Mimicking Peptides Serum"/>
    <n v="5946"/>
    <s v="Kate Somerville"/>
    <n v="6479"/>
    <x v="5"/>
    <n v="4.4297000000000004"/>
    <s v="Yes"/>
    <s v="High"/>
    <n v="384"/>
    <x v="131"/>
    <s v="Premium"/>
    <n v="0"/>
    <n v="0"/>
    <s v="Treatments"/>
  </r>
  <r>
    <s v="P461451"/>
    <s v="Abeille Royale Anti-Aging Fortifying Lotion Toner"/>
    <n v="1132"/>
    <s v="GUERLAIN"/>
    <n v="6480"/>
    <x v="5"/>
    <n v="4.2565999999999997"/>
    <s v="Yes"/>
    <s v="High"/>
    <n v="834"/>
    <x v="99"/>
    <s v="Premium"/>
    <n v="0"/>
    <n v="0"/>
    <s v="Cleansers"/>
  </r>
  <r>
    <s v="P500471"/>
    <s v="Brume de BeautÃ© Beauty Mist"/>
    <n v="1063"/>
    <s v="Gucci"/>
    <n v="6498"/>
    <x v="5"/>
    <n v="4.6651999999999996"/>
    <s v="Yes"/>
    <s v="High"/>
    <n v="451"/>
    <x v="15"/>
    <s v="Premium"/>
    <n v="0"/>
    <n v="0"/>
    <s v="Moisturizers"/>
  </r>
  <r>
    <s v="P503872"/>
    <s v="Mini Mandelic Acid + Superfood Unity Exfoliant"/>
    <n v="6169"/>
    <s v="Youth To The People"/>
    <n v="6510"/>
    <x v="5"/>
    <n v="4.8"/>
    <s v="Yes"/>
    <s v="High"/>
    <n v="5"/>
    <x v="47"/>
    <s v="Budget"/>
    <n v="0"/>
    <n v="0"/>
    <s v="Cleansers"/>
  </r>
  <r>
    <s v="P474972"/>
    <s v="Symbright Brightening Moisturizer"/>
    <n v="6285"/>
    <s v="The INKEY List"/>
    <n v="6523"/>
    <x v="5"/>
    <n v="3.3466999999999998"/>
    <s v="Yes"/>
    <s v="Medium"/>
    <n v="75"/>
    <x v="208"/>
    <s v="Budget"/>
    <n v="0"/>
    <n v="0"/>
    <s v="Moisturizers"/>
  </r>
  <r>
    <s v="P454807"/>
    <s v="Capture Totale Firming &amp; Wrinkle-Correcting Eye Cream"/>
    <n v="1073"/>
    <s v="Dior"/>
    <n v="6539"/>
    <x v="5"/>
    <n v="4.3888999999999996"/>
    <s v="Yes"/>
    <s v="High"/>
    <n v="18"/>
    <x v="19"/>
    <s v="Premium"/>
    <n v="0"/>
    <n v="0"/>
    <s v="Eye Care"/>
  </r>
  <r>
    <s v="P392892"/>
    <s v="Nutritious Super-Pomegranate Radiant Energy Moisturizer Creme"/>
    <n v="6089"/>
    <s v="EstÃ©e Lauder"/>
    <n v="6546"/>
    <x v="5"/>
    <n v="3.8780000000000001"/>
    <s v="Yes"/>
    <s v="Medium"/>
    <n v="41"/>
    <x v="10"/>
    <s v="Premium"/>
    <n v="0"/>
    <n v="1"/>
    <s v="Moisturizers"/>
  </r>
  <r>
    <s v="P412407"/>
    <s v="Clarifying Moisturizer"/>
    <n v="7020"/>
    <s v="Tata Harper"/>
    <n v="6554"/>
    <x v="5"/>
    <n v="3.8519000000000001"/>
    <s v="Yes"/>
    <s v="Medium"/>
    <n v="81"/>
    <x v="87"/>
    <s v="Premium"/>
    <n v="0"/>
    <n v="0"/>
    <s v="Moisturizers"/>
  </r>
  <r>
    <s v="P503110"/>
    <s v="Mini Cleansing Bar Duo + Case"/>
    <n v="6352"/>
    <s v="Fenty Skin"/>
    <n v="6562"/>
    <x v="5"/>
    <m/>
    <s v="No"/>
    <s v="Not Rated"/>
    <n v="0"/>
    <x v="13"/>
    <s v="Budget"/>
    <n v="0"/>
    <n v="0"/>
    <s v="Value &amp; Gift Sets"/>
  </r>
  <r>
    <s v="P472025"/>
    <s v="Silk Rice Makeup-Removing Cleansing Oil"/>
    <n v="6349"/>
    <s v="DAMDAM"/>
    <n v="6564"/>
    <x v="5"/>
    <n v="4.7602000000000002"/>
    <s v="Yes"/>
    <s v="High"/>
    <n v="196"/>
    <x v="45"/>
    <s v="Mid"/>
    <n v="0"/>
    <n v="0"/>
    <s v="Cleansers"/>
  </r>
  <r>
    <s v="P504134"/>
    <s v="Sea Silk Lip Balm"/>
    <n v="6749"/>
    <s v="MARA"/>
    <n v="6580"/>
    <x v="5"/>
    <n v="4.4443999999999999"/>
    <s v="Yes"/>
    <s v="High"/>
    <n v="36"/>
    <x v="95"/>
    <s v="Mid"/>
    <n v="1"/>
    <n v="0"/>
    <s v="Lip Balms &amp; Treatments"/>
  </r>
  <r>
    <s v="P122767"/>
    <s v="All About Lips"/>
    <n v="1254"/>
    <s v="CLINIQUE"/>
    <n v="6581"/>
    <x v="5"/>
    <n v="4.0178000000000003"/>
    <s v="Yes"/>
    <s v="High"/>
    <n v="169"/>
    <x v="52"/>
    <s v="Mid"/>
    <n v="0"/>
    <n v="1"/>
    <s v="Lip Balms &amp; Treatments"/>
  </r>
  <r>
    <s v="P468640"/>
    <s v="Full Spectrum 360Âº Refreshing Water Cream Organic Face Sunscreen SPF 50"/>
    <n v="7091"/>
    <s v="COOLA"/>
    <n v="6587"/>
    <x v="5"/>
    <n v="4.5804999999999998"/>
    <s v="Yes"/>
    <s v="High"/>
    <n v="267"/>
    <x v="14"/>
    <s v="Mid"/>
    <n v="0"/>
    <n v="0"/>
    <s v="Sunscreen"/>
  </r>
  <r>
    <s v="P217931"/>
    <s v="Tonique Radiance Clarifying Refining Toner"/>
    <n v="1741"/>
    <s v="LancÃ´me"/>
    <n v="6619"/>
    <x v="5"/>
    <n v="4.1029999999999998"/>
    <s v="Yes"/>
    <s v="High"/>
    <n v="165"/>
    <x v="209"/>
    <s v="Mid"/>
    <n v="0"/>
    <n v="1"/>
    <s v="Cleansers"/>
  </r>
  <r>
    <s v="P503942"/>
    <s v="Green Tea Hydrating Cleansing Oil"/>
    <n v="6295"/>
    <s v="innisfree"/>
    <n v="6627"/>
    <x v="5"/>
    <n v="4.3076999999999996"/>
    <s v="Yes"/>
    <s v="High"/>
    <n v="13"/>
    <x v="0"/>
    <s v="Mid"/>
    <n v="0"/>
    <n v="0"/>
    <s v="Cleansers"/>
  </r>
  <r>
    <s v="P429676"/>
    <s v="Hydra Life Cooling Hydration Sorbet Eye Gel"/>
    <n v="1073"/>
    <s v="Dior"/>
    <n v="6630"/>
    <x v="5"/>
    <n v="3.3226"/>
    <s v="Yes"/>
    <s v="Medium"/>
    <n v="31"/>
    <x v="37"/>
    <s v="Premium"/>
    <n v="0"/>
    <n v="0"/>
    <s v="Eye Care"/>
  </r>
  <r>
    <s v="P409816"/>
    <s v="Plantscription SPF 25 Power Anti-Aging Oil-Free Cream"/>
    <n v="3733"/>
    <s v="Origins"/>
    <n v="6634"/>
    <x v="5"/>
    <n v="4.4000000000000004"/>
    <s v="Yes"/>
    <s v="High"/>
    <n v="45"/>
    <x v="91"/>
    <s v="Premium"/>
    <n v="0"/>
    <n v="0"/>
    <s v="Moisturizers"/>
  </r>
  <r>
    <s v="P440491"/>
    <s v="Botanical Exfoliating Scrub"/>
    <n v="8017"/>
    <s v="Mario Badescu"/>
    <n v="6646"/>
    <x v="5"/>
    <n v="4.5404999999999998"/>
    <s v="Yes"/>
    <s v="High"/>
    <n v="37"/>
    <x v="95"/>
    <s v="Mid"/>
    <n v="0"/>
    <n v="0"/>
    <s v="Cleansers"/>
  </r>
  <r>
    <s v="P456399"/>
    <s v="Ultimate Sun Protector Cream SPF 50+ Face Sunscreen"/>
    <n v="5337"/>
    <s v="Shiseido"/>
    <n v="6649"/>
    <x v="5"/>
    <n v="4.2759999999999998"/>
    <s v="Yes"/>
    <s v="High"/>
    <n v="605"/>
    <x v="24"/>
    <s v="Mid"/>
    <n v="0"/>
    <n v="0"/>
    <s v="Sunscreen"/>
  </r>
  <r>
    <s v="P501166"/>
    <s v="Vitamin C Lactic Oil-Free Radiant Moisturizer"/>
    <n v="5668"/>
    <s v="Dr. Dennis Gross Skincare"/>
    <n v="6654"/>
    <x v="5"/>
    <n v="4.6577000000000002"/>
    <s v="Yes"/>
    <s v="High"/>
    <n v="111"/>
    <x v="55"/>
    <s v="Premium"/>
    <n v="0"/>
    <n v="0"/>
    <s v="Moisturizers"/>
  </r>
  <r>
    <s v="P500775"/>
    <s v="Back to Basics: Hydration Heroes Skincare Set"/>
    <n v="6285"/>
    <s v="The INKEY List"/>
    <n v="6671"/>
    <x v="5"/>
    <n v="3.75"/>
    <s v="Yes"/>
    <s v="Medium"/>
    <n v="4"/>
    <x v="129"/>
    <s v="Mid"/>
    <n v="0"/>
    <n v="0"/>
    <s v="Value &amp; Gift Sets"/>
  </r>
  <r>
    <s v="P482740"/>
    <s v="Mini Urban Environment Oil-Free Sunscreen Broad-Spectrum SPF 42"/>
    <n v="5337"/>
    <s v="Shiseido"/>
    <n v="6680"/>
    <x v="5"/>
    <n v="4.4348000000000001"/>
    <s v="Yes"/>
    <s v="High"/>
    <n v="46"/>
    <x v="9"/>
    <s v="Mid"/>
    <n v="0"/>
    <n v="0"/>
    <s v="Sunscreen"/>
  </r>
  <r>
    <s v="P477812"/>
    <s v="Refillable Jumbo Magic Cream Moisturizer with Hyaluronic Acid"/>
    <n v="6236"/>
    <s v="Charlotte Tilbury"/>
    <n v="6696"/>
    <x v="5"/>
    <n v="3.75"/>
    <s v="Yes"/>
    <s v="Medium"/>
    <n v="4"/>
    <x v="72"/>
    <s v="Premium"/>
    <n v="0"/>
    <n v="0"/>
    <s v="Moisturizers"/>
  </r>
  <r>
    <s v="P462344"/>
    <s v="Hydro Masque Exfoliant"/>
    <n v="6219"/>
    <s v="Dermalogica"/>
    <n v="6698"/>
    <x v="5"/>
    <n v="4.4405999999999999"/>
    <s v="Yes"/>
    <s v="High"/>
    <n v="320"/>
    <x v="56"/>
    <s v="Premium"/>
    <n v="0"/>
    <n v="0"/>
    <s v="Cleansers"/>
  </r>
  <r>
    <s v="P417114"/>
    <s v="The Cleansing Micellar Water"/>
    <n v="6201"/>
    <s v="La Mer"/>
    <n v="6735"/>
    <x v="5"/>
    <n v="4.2"/>
    <s v="Yes"/>
    <s v="High"/>
    <n v="45"/>
    <x v="73"/>
    <s v="Premium"/>
    <n v="0"/>
    <n v="0"/>
    <s v="Cleansers"/>
  </r>
  <r>
    <s v="P503930"/>
    <s v="Green Tea Hyaluronic Acid Hydrating Eye Serum"/>
    <n v="6295"/>
    <s v="innisfree"/>
    <n v="6741"/>
    <x v="5"/>
    <n v="3.8"/>
    <s v="Yes"/>
    <s v="Medium"/>
    <n v="10"/>
    <x v="75"/>
    <s v="Mid"/>
    <n v="0"/>
    <n v="0"/>
    <s v="Eye Care"/>
  </r>
  <r>
    <s v="P482298"/>
    <s v="Dr. Andrew Weil for Origins Mega-Mushroom Relief &amp; Resilience Soothing Treatment Lotion"/>
    <n v="3733"/>
    <s v="Origins"/>
    <n v="6749"/>
    <x v="5"/>
    <n v="4.4028"/>
    <s v="Yes"/>
    <s v="High"/>
    <n v="571"/>
    <x v="24"/>
    <s v="Mid"/>
    <n v="0"/>
    <n v="0"/>
    <s v="Moisturizers"/>
  </r>
  <r>
    <s v="P471085"/>
    <s v="Targeted Dark Spots Serum"/>
    <n v="3902"/>
    <s v="SEPHORA COLLECTION"/>
    <n v="6752"/>
    <x v="5"/>
    <n v="3.6111"/>
    <s v="Yes"/>
    <s v="Medium"/>
    <n v="36"/>
    <x v="60"/>
    <s v="Mid"/>
    <n v="0"/>
    <n v="0"/>
    <s v="Treatments"/>
  </r>
  <r>
    <s v="P464288"/>
    <s v="Sephora City Reusable Water Bottle"/>
    <n v="3902"/>
    <s v="SEPHORA COLLECTION"/>
    <n v="6754"/>
    <x v="5"/>
    <n v="2.9411999999999998"/>
    <s v="Yes"/>
    <s v="Low"/>
    <n v="17"/>
    <x v="110"/>
    <s v="Budget"/>
    <n v="0"/>
    <n v="0"/>
    <s v="Wellness"/>
  </r>
  <r>
    <s v="P503934"/>
    <s v="Besties Set"/>
    <n v="6125"/>
    <s v="LANEIGE"/>
    <n v="6757"/>
    <x v="5"/>
    <n v="3.6667000000000001"/>
    <s v="Yes"/>
    <s v="Medium"/>
    <n v="3"/>
    <x v="9"/>
    <s v="Mid"/>
    <n v="1"/>
    <n v="0"/>
    <s v="Value &amp; Gift Sets"/>
  </r>
  <r>
    <s v="P455215"/>
    <s v="Illuminating Hydrator - Radiance + Smoothing"/>
    <n v="3902"/>
    <s v="SEPHORA COLLECTION"/>
    <n v="6763"/>
    <x v="5"/>
    <n v="3.3260999999999998"/>
    <s v="Yes"/>
    <s v="Medium"/>
    <n v="46"/>
    <x v="34"/>
    <s v="Budget"/>
    <n v="0"/>
    <n v="0"/>
    <s v="Moisturizers"/>
  </r>
  <r>
    <s v="P482269"/>
    <s v="Get Even Sun Milk SPF 33"/>
    <n v="5922"/>
    <s v="Josie Maran"/>
    <n v="6781"/>
    <x v="5"/>
    <n v="4.6917"/>
    <s v="Yes"/>
    <s v="High"/>
    <n v="266"/>
    <x v="45"/>
    <s v="Mid"/>
    <n v="0"/>
    <n v="0"/>
    <s v="Sunscreen"/>
  </r>
  <r>
    <s v="P455909"/>
    <s v="Facial Spray with Aloe Sage &amp; Orange Blossom"/>
    <n v="8017"/>
    <s v="Mario Badescu"/>
    <n v="6786"/>
    <x v="5"/>
    <n v="4.4375"/>
    <s v="Yes"/>
    <s v="High"/>
    <n v="32"/>
    <x v="127"/>
    <s v="Budget"/>
    <n v="0"/>
    <n v="0"/>
    <s v="Moisturizers"/>
  </r>
  <r>
    <s v="P459133"/>
    <s v="Mini Truth Juice Daily Cleanser"/>
    <n v="5674"/>
    <s v="OLEHENRIKSEN"/>
    <n v="6786"/>
    <x v="5"/>
    <n v="4.2371999999999996"/>
    <s v="Yes"/>
    <s v="High"/>
    <n v="527"/>
    <x v="47"/>
    <s v="Budget"/>
    <n v="0"/>
    <n v="0"/>
    <s v="Mini Size"/>
  </r>
  <r>
    <s v="P455191"/>
    <s v="Mini Aglow Cleansing Butter"/>
    <n v="6216"/>
    <s v="lilah b."/>
    <n v="6802"/>
    <x v="5"/>
    <n v="3.5882000000000001"/>
    <s v="Yes"/>
    <s v="Medium"/>
    <n v="17"/>
    <x v="58"/>
    <s v="Budget"/>
    <n v="0"/>
    <n v="1"/>
    <s v="Mini Size"/>
  </r>
  <r>
    <s v="P457002"/>
    <s v="SuperBeauty Daily Antioxidant SkinSupplement"/>
    <n v="6226"/>
    <s v="Moon Juice"/>
    <n v="6806"/>
    <x v="5"/>
    <n v="4.8696000000000002"/>
    <s v="Yes"/>
    <s v="High"/>
    <n v="69"/>
    <x v="37"/>
    <s v="Premium"/>
    <n v="0"/>
    <n v="1"/>
    <s v="Wellness"/>
  </r>
  <r>
    <s v="P282935"/>
    <s v="Regenerative Anti-Aging Moisturizer"/>
    <n v="6018"/>
    <s v="Algenist"/>
    <n v="6807"/>
    <x v="5"/>
    <n v="4.2714999999999996"/>
    <s v="Yes"/>
    <s v="High"/>
    <n v="221"/>
    <x v="90"/>
    <s v="Premium"/>
    <n v="0"/>
    <n v="1"/>
    <s v="Moisturizers"/>
  </r>
  <r>
    <s v="P472180"/>
    <s v="Balance It All Oil Control &amp; Pore-Refining Set"/>
    <n v="5674"/>
    <s v="OLEHENRIKSEN"/>
    <n v="6808"/>
    <x v="5"/>
    <n v="3.6364000000000001"/>
    <s v="Yes"/>
    <s v="Medium"/>
    <n v="22"/>
    <x v="24"/>
    <s v="Mid"/>
    <n v="0"/>
    <n v="0"/>
    <s v="Value &amp; Gift Sets"/>
  </r>
  <r>
    <s v="P481060"/>
    <s v="The Eyelighter Concentrate"/>
    <n v="6272"/>
    <s v="BeautyBio"/>
    <n v="6812"/>
    <x v="5"/>
    <n v="4.6909000000000001"/>
    <s v="Yes"/>
    <s v="High"/>
    <n v="55"/>
    <x v="69"/>
    <s v="Premium"/>
    <n v="0"/>
    <n v="0"/>
    <s v="Eye Care"/>
  </r>
  <r>
    <s v="P503913"/>
    <s v="Ultra Facial Advanced Repair Barrier Cream"/>
    <n v="6218"/>
    <s v="Kiehl's Since 1851"/>
    <n v="6823"/>
    <x v="5"/>
    <n v="4.7556000000000003"/>
    <s v="Yes"/>
    <s v="High"/>
    <n v="311"/>
    <x v="14"/>
    <s v="Mid"/>
    <n v="1"/>
    <n v="0"/>
    <s v="Moisturizers"/>
  </r>
  <r>
    <s v="P475086"/>
    <s v="BioLumin-C Vitamin-C Gel Moisturizer"/>
    <n v="6219"/>
    <s v="Dermalogica"/>
    <n v="6836"/>
    <x v="5"/>
    <n v="4.6383999999999999"/>
    <s v="Yes"/>
    <s v="High"/>
    <n v="271"/>
    <x v="116"/>
    <s v="Premium"/>
    <n v="0"/>
    <n v="0"/>
    <s v="Moisturizers"/>
  </r>
  <r>
    <s v="P471545"/>
    <s v="DRx SpectraLite BodyWare Pro"/>
    <n v="5668"/>
    <s v="Dr. Dennis Gross Skincare"/>
    <n v="6836"/>
    <x v="5"/>
    <n v="4.25"/>
    <s v="Yes"/>
    <s v="High"/>
    <n v="4"/>
    <x v="210"/>
    <s v="Premium"/>
    <n v="0"/>
    <n v="0"/>
    <s v="High Tech Tools"/>
  </r>
  <r>
    <s v="P504272"/>
    <s v="Hydrating Skincare Gift Set"/>
    <n v="4348"/>
    <s v="fresh"/>
    <n v="6842"/>
    <x v="5"/>
    <n v="3.2856999999999998"/>
    <s v="Yes"/>
    <s v="Medium"/>
    <n v="7"/>
    <x v="83"/>
    <s v="Premium"/>
    <n v="1"/>
    <n v="0"/>
    <s v="Value &amp; Gift Sets"/>
  </r>
  <r>
    <s v="P500287"/>
    <s v="Isle Body Oil SPF 30 with Sea Moss and Squalane"/>
    <n v="6742"/>
    <s v="CAY SKIN"/>
    <n v="6848"/>
    <x v="5"/>
    <n v="4.5999999999999996"/>
    <s v="Yes"/>
    <s v="High"/>
    <n v="10"/>
    <x v="29"/>
    <s v="Mid"/>
    <n v="0"/>
    <n v="0"/>
    <s v="Sunscreen"/>
  </r>
  <r>
    <s v="P428005"/>
    <s v="NuBODY Skin Toning Device"/>
    <n v="6001"/>
    <s v="NuFACE"/>
    <n v="6851"/>
    <x v="5"/>
    <n v="4.25"/>
    <s v="Yes"/>
    <s v="High"/>
    <n v="20"/>
    <x v="163"/>
    <s v="Premium"/>
    <n v="0"/>
    <n v="0"/>
    <s v="High Tech Tools"/>
  </r>
  <r>
    <s v="P475203"/>
    <s v="Mini 24-7 Moisture Hydrating Day &amp; Night Cream"/>
    <n v="6373"/>
    <s v="TULA Skincare"/>
    <n v="6853"/>
    <x v="5"/>
    <n v="4.1883999999999997"/>
    <s v="Yes"/>
    <s v="High"/>
    <n v="398"/>
    <x v="95"/>
    <s v="Mid"/>
    <n v="0"/>
    <n v="0"/>
    <s v="Moisturizers"/>
  </r>
  <r>
    <s v="P502771"/>
    <s v="Hydrate &amp; Glow Trio"/>
    <n v="6316"/>
    <s v="Wishful"/>
    <n v="6854"/>
    <x v="5"/>
    <n v="2.8332999999999999"/>
    <s v="Yes"/>
    <s v="Low"/>
    <n v="6"/>
    <x v="31"/>
    <s v="Mid"/>
    <n v="0"/>
    <n v="0"/>
    <s v="Value &amp; Gift Sets"/>
  </r>
  <r>
    <s v="P481710"/>
    <s v="Fade and Glow AHA Mask"/>
    <n v="6368"/>
    <s v="Hyper Skin"/>
    <n v="6857"/>
    <x v="5"/>
    <n v="4.4762000000000004"/>
    <s v="Yes"/>
    <s v="High"/>
    <n v="63"/>
    <x v="14"/>
    <s v="Mid"/>
    <n v="0"/>
    <n v="0"/>
    <s v="Masks"/>
  </r>
  <r>
    <s v="P470508"/>
    <s v="Mini The Cream with TFC8 Face Moisturizer"/>
    <n v="6356"/>
    <s v="Augustinus Bader"/>
    <n v="6863"/>
    <x v="5"/>
    <n v="3.7646999999999999"/>
    <s v="Yes"/>
    <s v="Medium"/>
    <n v="17"/>
    <x v="27"/>
    <s v="Premium"/>
    <n v="0"/>
    <n v="0"/>
    <s v="Mini Size"/>
  </r>
  <r>
    <s v="P388262"/>
    <s v="GENIUS Ultimate Anti-Aging Eye Cream"/>
    <n v="6018"/>
    <s v="Algenist"/>
    <n v="6866"/>
    <x v="5"/>
    <n v="3.7759"/>
    <s v="Yes"/>
    <s v="Medium"/>
    <n v="116"/>
    <x v="28"/>
    <s v="Premium"/>
    <n v="0"/>
    <n v="0"/>
    <s v="Eye Care"/>
  </r>
  <r>
    <s v="P482757"/>
    <s v="Mini The Cult Classic Purifying Face Cleanser"/>
    <n v="6373"/>
    <s v="TULA Skincare"/>
    <n v="6904"/>
    <x v="5"/>
    <n v="3.9064000000000001"/>
    <s v="Yes"/>
    <s v="Medium"/>
    <n v="406"/>
    <x v="51"/>
    <s v="Budget"/>
    <n v="0"/>
    <n v="0"/>
    <s v="Cleansers"/>
  </r>
  <r>
    <s v="P302900"/>
    <s v="Turnaround Revitalizing Serum"/>
    <n v="1254"/>
    <s v="CLINIQUE"/>
    <n v="6909"/>
    <x v="5"/>
    <n v="4.3261000000000003"/>
    <s v="Yes"/>
    <s v="High"/>
    <n v="138"/>
    <x v="77"/>
    <s v="Premium"/>
    <n v="0"/>
    <n v="0"/>
    <s v="Treatments"/>
  </r>
  <r>
    <s v="P423159"/>
    <s v="Brain Dust"/>
    <n v="6226"/>
    <s v="Moon Juice"/>
    <n v="6912"/>
    <x v="5"/>
    <n v="3.9607999999999999"/>
    <s v="Yes"/>
    <s v="Medium"/>
    <n v="51"/>
    <x v="12"/>
    <s v="Mid"/>
    <n v="0"/>
    <n v="0"/>
    <s v="Wellness"/>
  </r>
  <r>
    <s v="P467635"/>
    <s v="Jade Tension Melting Massager for Face &amp; Neck"/>
    <n v="6256"/>
    <s v="Mount Lai"/>
    <n v="6912"/>
    <x v="5"/>
    <n v="4.0909000000000004"/>
    <s v="Yes"/>
    <s v="High"/>
    <n v="22"/>
    <x v="55"/>
    <s v="Premium"/>
    <n v="0"/>
    <n v="0"/>
    <s v="Wellness"/>
  </r>
  <r>
    <s v="P456192"/>
    <s v="Night Magic Restorative Face Oil with Firming Botanicals"/>
    <n v="6310"/>
    <s v="Prima"/>
    <n v="6914"/>
    <x v="5"/>
    <n v="4.3487999999999998"/>
    <s v="Yes"/>
    <s v="High"/>
    <n v="410"/>
    <x v="6"/>
    <s v="Premium"/>
    <n v="0"/>
    <n v="0"/>
    <s v="Moisturizers"/>
  </r>
  <r>
    <s v="P456989"/>
    <s v="Super Glow Body Hyaluronic Self-Tan Serum"/>
    <n v="6225"/>
    <s v="TAN-LUXE"/>
    <n v="6917"/>
    <x v="5"/>
    <n v="3.6808999999999998"/>
    <s v="Yes"/>
    <s v="Medium"/>
    <n v="47"/>
    <x v="25"/>
    <s v="Mid"/>
    <n v="0"/>
    <n v="0"/>
    <s v="Self Tanners"/>
  </r>
  <r>
    <s v="P429661"/>
    <s v="pores no more Mattifying Hydrator Pore Minimizing Gel"/>
    <n v="4372"/>
    <s v="Dr. Brandt Skincare"/>
    <n v="6925"/>
    <x v="5"/>
    <n v="4.2039"/>
    <s v="Yes"/>
    <s v="High"/>
    <n v="103"/>
    <x v="50"/>
    <s v="Premium"/>
    <n v="0"/>
    <n v="0"/>
    <s v="Treatments"/>
  </r>
  <r>
    <s v="P408271"/>
    <s v="Turn Back Time Turmeric Supplement for UV Damage"/>
    <n v="7050"/>
    <s v="HUM Nutrition"/>
    <n v="6956"/>
    <x v="5"/>
    <n v="4.0434999999999999"/>
    <s v="Yes"/>
    <s v="High"/>
    <n v="23"/>
    <x v="24"/>
    <s v="Mid"/>
    <n v="0"/>
    <n v="0"/>
    <s v="Wellness"/>
  </r>
  <r>
    <s v="P470535"/>
    <s v="KateCeuticals Resurfacing Overnight Peel with Glycolic Acid, Retinol &amp; Niacinamide"/>
    <n v="5946"/>
    <s v="Kate Somerville"/>
    <n v="6963"/>
    <x v="5"/>
    <n v="4.7377000000000002"/>
    <s v="Yes"/>
    <s v="High"/>
    <n v="122"/>
    <x v="131"/>
    <s v="Premium"/>
    <n v="0"/>
    <n v="0"/>
    <s v="Treatments"/>
  </r>
  <r>
    <s v="P468369"/>
    <s v="Hello Results Wrinkle-Reducing Daily Retinol Serum-in-Cream"/>
    <n v="6175"/>
    <s v="IT Cosmetics"/>
    <n v="6989"/>
    <x v="5"/>
    <n v="4.4419000000000004"/>
    <s v="Yes"/>
    <s v="High"/>
    <n v="172"/>
    <x v="116"/>
    <s v="Premium"/>
    <n v="0"/>
    <n v="0"/>
    <s v="Moisturizers"/>
  </r>
  <r>
    <s v="P433975"/>
    <s v="Zero Baggage Anti-Dark Circle Eye Cream"/>
    <n v="8012"/>
    <s v="Naturally Serious"/>
    <n v="6994"/>
    <x v="5"/>
    <n v="4.2154999999999996"/>
    <s v="Yes"/>
    <s v="High"/>
    <n v="116"/>
    <x v="95"/>
    <s v="Mid"/>
    <n v="0"/>
    <n v="0"/>
    <s v="Eye Care"/>
  </r>
  <r>
    <s v="P444216"/>
    <s v="After-Dark Natural Peptide Sleeping Cream"/>
    <n v="8012"/>
    <s v="Naturally Serious"/>
    <n v="6996"/>
    <x v="5"/>
    <n v="4.4406999999999996"/>
    <s v="Yes"/>
    <s v="High"/>
    <n v="177"/>
    <x v="96"/>
    <s v="Mid"/>
    <n v="0"/>
    <n v="0"/>
    <s v="Moisturizers"/>
  </r>
  <r>
    <s v="P503901"/>
    <s v="Hydration Heroes Green Tea Skincare Routine Set"/>
    <n v="6295"/>
    <s v="innisfree"/>
    <n v="7004"/>
    <x v="5"/>
    <n v="3.7059000000000002"/>
    <s v="Yes"/>
    <s v="Medium"/>
    <n v="17"/>
    <x v="7"/>
    <s v="Mid"/>
    <n v="0"/>
    <n v="0"/>
    <s v="Value &amp; Gift Sets"/>
  </r>
  <r>
    <s v="P416312"/>
    <s v="Gentle Foaming Face Wash"/>
    <n v="6187"/>
    <s v="Skin Laundry"/>
    <n v="7009"/>
    <x v="5"/>
    <n v="4.2526000000000002"/>
    <s v="Yes"/>
    <s v="High"/>
    <n v="194"/>
    <x v="60"/>
    <s v="Mid"/>
    <n v="0"/>
    <n v="1"/>
    <s v="Cleansers"/>
  </r>
  <r>
    <s v="P481058"/>
    <s v="Mini Melt Moisturizer with Bakuchiol and Squalane"/>
    <n v="6312"/>
    <s v="alpyn beauty"/>
    <n v="7054"/>
    <x v="5"/>
    <n v="4.5805999999999996"/>
    <s v="Yes"/>
    <s v="High"/>
    <n v="31"/>
    <x v="94"/>
    <s v="Mid"/>
    <n v="0"/>
    <n v="0"/>
    <s v="Moisturizers"/>
  </r>
  <r>
    <s v="P423135"/>
    <s v="Super Rich Repair Moisturizer"/>
    <n v="6219"/>
    <s v="Dermalogica"/>
    <n v="7054"/>
    <x v="5"/>
    <n v="4.6593"/>
    <s v="Yes"/>
    <s v="High"/>
    <n v="226"/>
    <x v="90"/>
    <s v="Premium"/>
    <n v="0"/>
    <n v="0"/>
    <s v="Moisturizers"/>
  </r>
  <r>
    <s v="P481376"/>
    <s v="Mini Alpha Beta AHA/BHA Daily Cleansing Gel"/>
    <n v="5668"/>
    <s v="Dr. Dennis Gross Skincare"/>
    <n v="7057"/>
    <x v="5"/>
    <n v="3.7143000000000002"/>
    <s v="Yes"/>
    <s v="Medium"/>
    <n v="14"/>
    <x v="64"/>
    <s v="Budget"/>
    <n v="0"/>
    <n v="0"/>
    <s v="Cleansers"/>
  </r>
  <r>
    <s v="P471040"/>
    <s v="Foam Around Clarifying Daily Cleanser Infused with Glycolic Acid"/>
    <n v="6357"/>
    <s v="iNNBEAUTY PROJECT"/>
    <n v="7064"/>
    <x v="5"/>
    <n v="4.3907999999999996"/>
    <s v="Yes"/>
    <s v="High"/>
    <n v="87"/>
    <x v="75"/>
    <s v="Mid"/>
    <n v="0"/>
    <n v="0"/>
    <s v="Cleansers"/>
  </r>
  <r>
    <s v="P454806"/>
    <s v="Capture Totale Firming &amp; Wrinkle-Correcting Cream"/>
    <n v="1073"/>
    <s v="Dior"/>
    <n v="7071"/>
    <x v="5"/>
    <n v="4.5167999999999999"/>
    <s v="Yes"/>
    <s v="High"/>
    <n v="654"/>
    <x v="87"/>
    <s v="Premium"/>
    <n v="0"/>
    <n v="0"/>
    <s v="Moisturizers"/>
  </r>
  <r>
    <s v="P442540"/>
    <s v="Vitamin A Serum with 0.5% Retinol"/>
    <n v="6283"/>
    <s v="Alpha-H"/>
    <n v="7074"/>
    <x v="5"/>
    <n v="4.3578999999999999"/>
    <s v="Yes"/>
    <s v="High"/>
    <n v="95"/>
    <x v="92"/>
    <s v="Premium"/>
    <n v="0"/>
    <n v="0"/>
    <s v="Treatments"/>
  </r>
  <r>
    <s v="P503920"/>
    <s v="Triple Acid Signature Peel"/>
    <n v="6314"/>
    <s v="Shani Darden Skin Care"/>
    <n v="7097"/>
    <x v="5"/>
    <n v="4.8760000000000003"/>
    <s v="Yes"/>
    <s v="High"/>
    <n v="129"/>
    <x v="81"/>
    <s v="Premium"/>
    <n v="1"/>
    <n v="0"/>
    <s v="Treatments"/>
  </r>
  <r>
    <s v="P474109"/>
    <s v="Daily Reveal  Exfoliating Face Pads with AHA + BHA + PHA + TXA"/>
    <n v="6358"/>
    <s v="StriVectin"/>
    <n v="7120"/>
    <x v="5"/>
    <n v="4.75"/>
    <s v="Yes"/>
    <s v="High"/>
    <n v="64"/>
    <x v="44"/>
    <s v="Mid"/>
    <n v="0"/>
    <n v="0"/>
    <s v="Treatments"/>
  </r>
  <r>
    <s v="P482311"/>
    <s v="Large Supplement Case"/>
    <n v="3902"/>
    <s v="SEPHORA COLLECTION"/>
    <n v="7125"/>
    <x v="5"/>
    <n v="4"/>
    <s v="Yes"/>
    <s v="High"/>
    <n v="11"/>
    <x v="64"/>
    <s v="Budget"/>
    <n v="0"/>
    <n v="0"/>
    <s v="Wellness"/>
  </r>
  <r>
    <s v="P474075"/>
    <s v="AHA/BHA/Retinoid Daily Clarifying Peel"/>
    <n v="4164"/>
    <s v="Murad"/>
    <n v="7135"/>
    <x v="5"/>
    <n v="4.7389999999999999"/>
    <s v="Yes"/>
    <s v="High"/>
    <n v="341"/>
    <x v="124"/>
    <s v="Mid"/>
    <n v="0"/>
    <n v="0"/>
    <s v="Treatments"/>
  </r>
  <r>
    <s v="P464241"/>
    <s v="5% Benzoyl Peroxide Acne Spot Treatment"/>
    <n v="6334"/>
    <s v="Dr. Zenovia Skincare"/>
    <n v="7160"/>
    <x v="5"/>
    <n v="4.4020999999999999"/>
    <s v="Yes"/>
    <s v="High"/>
    <n v="286"/>
    <x v="94"/>
    <s v="Mid"/>
    <n v="0"/>
    <n v="0"/>
    <s v="Treatments"/>
  </r>
  <r>
    <s v="P448554"/>
    <s v="Enzyme Cleanser"/>
    <n v="6302"/>
    <s v="Dr. Barbara Sturm"/>
    <n v="7182"/>
    <x v="5"/>
    <n v="3.8275999999999999"/>
    <s v="Yes"/>
    <s v="Medium"/>
    <n v="58"/>
    <x v="76"/>
    <s v="Premium"/>
    <n v="0"/>
    <n v="0"/>
    <s v="Cleansers"/>
  </r>
  <r>
    <s v="P454085"/>
    <s v="Teatreement Toner"/>
    <n v="6014"/>
    <s v="Dr. Jart+"/>
    <n v="7201"/>
    <x v="5"/>
    <n v="4.2553000000000001"/>
    <s v="Yes"/>
    <s v="High"/>
    <n v="470"/>
    <x v="78"/>
    <s v="Mid"/>
    <n v="0"/>
    <n v="0"/>
    <s v="Cleansers"/>
  </r>
  <r>
    <s v="P474943"/>
    <s v="Mini Alpha Beta Ultra Gentle Daily Peel Pads for Sensitive Skin"/>
    <n v="5668"/>
    <s v="Dr. Dennis Gross Skincare"/>
    <n v="7204"/>
    <x v="5"/>
    <n v="3.6364000000000001"/>
    <s v="Yes"/>
    <s v="Medium"/>
    <n v="11"/>
    <x v="60"/>
    <s v="Mid"/>
    <n v="0"/>
    <n v="0"/>
    <s v="Mini Size"/>
  </r>
  <r>
    <s v="P449836"/>
    <s v="Mini SEA Deep Dive Cleansing Gel"/>
    <n v="5648"/>
    <s v="tarte"/>
    <n v="7205"/>
    <x v="5"/>
    <n v="4.2888999999999999"/>
    <s v="Yes"/>
    <s v="High"/>
    <n v="45"/>
    <x v="51"/>
    <s v="Budget"/>
    <n v="0"/>
    <n v="1"/>
    <s v="Mini Size"/>
  </r>
  <r>
    <s v="P503809"/>
    <s v="Bounce-Boosting Serum with Collagen + Peptides"/>
    <n v="5972"/>
    <s v="First Aid Beauty"/>
    <n v="7214"/>
    <x v="5"/>
    <n v="4.7272999999999996"/>
    <s v="Yes"/>
    <s v="High"/>
    <n v="88"/>
    <x v="124"/>
    <s v="Mid"/>
    <n v="1"/>
    <n v="0"/>
    <s v="Treatments"/>
  </r>
  <r>
    <s v="P393501"/>
    <s v="Acne Solutions Cleansing Gel"/>
    <n v="1254"/>
    <s v="CLINIQUE"/>
    <n v="7215"/>
    <x v="5"/>
    <n v="3.8725000000000001"/>
    <s v="Yes"/>
    <s v="Medium"/>
    <n v="102"/>
    <x v="86"/>
    <s v="Mid"/>
    <n v="0"/>
    <n v="0"/>
    <s v="Treatments"/>
  </r>
  <r>
    <s v="P481339"/>
    <s v="Alpha Beta Daily Essentials - Extra Strength"/>
    <n v="5668"/>
    <s v="Dr. Dennis Gross Skincare"/>
    <n v="7215"/>
    <x v="5"/>
    <n v="4.4615"/>
    <s v="Yes"/>
    <s v="High"/>
    <n v="26"/>
    <x v="27"/>
    <s v="Premium"/>
    <n v="0"/>
    <n v="0"/>
    <s v="Treatments"/>
  </r>
  <r>
    <s v="P500687"/>
    <s v="Keep It Clean Hydrating Gel Cleanser with Ceramides &amp; 10 Amino Acids"/>
    <n v="6357"/>
    <s v="iNNBEAUTY PROJECT"/>
    <n v="7237"/>
    <x v="5"/>
    <n v="4.5225999999999997"/>
    <s v="Yes"/>
    <s v="High"/>
    <n v="155"/>
    <x v="95"/>
    <s v="Mid"/>
    <n v="0"/>
    <n v="0"/>
    <s v="Cleansers"/>
  </r>
  <r>
    <s v="P469508"/>
    <s v="Hyaluronic Acid Booster"/>
    <n v="6341"/>
    <s v="Paula's Choice"/>
    <n v="7239"/>
    <x v="5"/>
    <n v="4.4130000000000003"/>
    <s v="Yes"/>
    <s v="High"/>
    <n v="46"/>
    <x v="7"/>
    <s v="Mid"/>
    <n v="0"/>
    <n v="0"/>
    <s v="Treatments"/>
  </r>
  <r>
    <s v="P461199"/>
    <s v="Clean Peeling Mask"/>
    <n v="3902"/>
    <s v="SEPHORA COLLECTION"/>
    <n v="7245"/>
    <x v="5"/>
    <n v="4.4545000000000003"/>
    <s v="Yes"/>
    <s v="High"/>
    <n v="22"/>
    <x v="79"/>
    <s v="Budget"/>
    <n v="0"/>
    <n v="1"/>
    <s v="Masks"/>
  </r>
  <r>
    <s v="P484076"/>
    <s v="Ultimate Sun Protector SPF 50+ Sunscreen Duo"/>
    <n v="5337"/>
    <s v="Shiseido"/>
    <n v="7247"/>
    <x v="5"/>
    <n v="4.4000000000000004"/>
    <s v="Yes"/>
    <s v="High"/>
    <n v="10"/>
    <x v="40"/>
    <s v="Premium"/>
    <n v="1"/>
    <n v="0"/>
    <s v="Value &amp; Gift Sets"/>
  </r>
  <r>
    <s v="P504784"/>
    <s v="Priming Moisturizer Lightweight Buildable Face Cream"/>
    <n v="6751"/>
    <s v="Glossier"/>
    <n v="7249"/>
    <x v="5"/>
    <n v="4.2142999999999997"/>
    <s v="Yes"/>
    <s v="High"/>
    <n v="14"/>
    <x v="0"/>
    <s v="Mid"/>
    <n v="1"/>
    <n v="0"/>
    <s v="Moisturizers"/>
  </r>
  <r>
    <s v="P447212"/>
    <s v="Hyaluronic Serum"/>
    <n v="6302"/>
    <s v="Dr. Barbara Sturm"/>
    <n v="7257"/>
    <x v="5"/>
    <n v="3.9386000000000001"/>
    <s v="Yes"/>
    <s v="Medium"/>
    <n v="879"/>
    <x v="197"/>
    <s v="Premium"/>
    <n v="0"/>
    <n v="0"/>
    <s v="Treatments"/>
  </r>
  <r>
    <s v="P475192"/>
    <s v="So Poreless Deep Exfoliating Blackhead Scrub"/>
    <n v="6373"/>
    <s v="TULA Skincare"/>
    <n v="7262"/>
    <x v="5"/>
    <n v="3.9037999999999999"/>
    <s v="Yes"/>
    <s v="Medium"/>
    <n v="52"/>
    <x v="18"/>
    <s v="Mid"/>
    <n v="0"/>
    <n v="0"/>
    <s v="Cleansers"/>
  </r>
  <r>
    <s v="P481335"/>
    <s v="Brightening Saffron Serum - Radiant Rani"/>
    <n v="6475"/>
    <s v="RANAVAT"/>
    <n v="7269"/>
    <x v="5"/>
    <n v="4.7824"/>
    <s v="Yes"/>
    <s v="High"/>
    <n v="216"/>
    <x v="193"/>
    <s v="Premium"/>
    <n v="0"/>
    <n v="0"/>
    <s v="Treatments"/>
  </r>
  <r>
    <s v="P471567"/>
    <s v="Checks and Balances Polishing Exfoliator"/>
    <n v="3733"/>
    <s v="Origins"/>
    <n v="7274"/>
    <x v="5"/>
    <n v="4.4623999999999997"/>
    <s v="Yes"/>
    <s v="High"/>
    <n v="93"/>
    <x v="129"/>
    <s v="Mid"/>
    <n v="0"/>
    <n v="0"/>
    <s v="Cleansers"/>
  </r>
  <r>
    <s v="P502725"/>
    <s v="Multi-Masker 4-Piece Mask Kit"/>
    <n v="3728"/>
    <s v="Peter Thomas Roth"/>
    <n v="7286"/>
    <x v="5"/>
    <n v="4"/>
    <s v="Yes"/>
    <s v="High"/>
    <n v="5"/>
    <x v="69"/>
    <s v="Premium"/>
    <n v="0"/>
    <n v="0"/>
    <s v="Value &amp; Gift Sets"/>
  </r>
  <r>
    <s v="P454822"/>
    <s v="Mini SEA Mermaid Skin Hyaluronic H2O Serum"/>
    <n v="5648"/>
    <s v="tarte"/>
    <n v="7287"/>
    <x v="5"/>
    <n v="3.6667000000000001"/>
    <s v="Yes"/>
    <s v="Medium"/>
    <n v="21"/>
    <x v="64"/>
    <s v="Budget"/>
    <n v="0"/>
    <n v="1"/>
    <s v="Mini Size"/>
  </r>
  <r>
    <s v="P475201"/>
    <s v="24-7 Power Swipe Hydrating Day &amp; Night Treatment Eye Balm"/>
    <n v="6373"/>
    <s v="TULA Skincare"/>
    <n v="7302"/>
    <x v="5"/>
    <n v="4.2595000000000001"/>
    <s v="Yes"/>
    <s v="High"/>
    <n v="185"/>
    <x v="12"/>
    <s v="Mid"/>
    <n v="0"/>
    <n v="0"/>
    <s v="Eye Care"/>
  </r>
  <r>
    <s v="P461491"/>
    <s v="Bright Repair Eye Cream â€“ 10% Vitamin C"/>
    <n v="6294"/>
    <s v="Saint Jane Beauty"/>
    <n v="7304"/>
    <x v="5"/>
    <n v="4.2948000000000004"/>
    <s v="Yes"/>
    <s v="High"/>
    <n v="173"/>
    <x v="92"/>
    <s v="Premium"/>
    <n v="0"/>
    <n v="0"/>
    <s v="Eye Care"/>
  </r>
  <r>
    <s v="P500982"/>
    <s v="Water Bank Cleansing Foam"/>
    <n v="6125"/>
    <s v="LANEIGE"/>
    <n v="7317"/>
    <x v="5"/>
    <n v="3.9285999999999999"/>
    <s v="Yes"/>
    <s v="Medium"/>
    <n v="28"/>
    <x v="94"/>
    <s v="Mid"/>
    <n v="0"/>
    <n v="0"/>
    <s v="Cleansers"/>
  </r>
  <r>
    <s v="P196542"/>
    <s v="City Block Sheer Oil-Free Daily Face Protector Broad Spectrum SPF 25 Primer"/>
    <n v="1254"/>
    <s v="CLINIQUE"/>
    <n v="7325"/>
    <x v="5"/>
    <n v="4.1146000000000003"/>
    <s v="Yes"/>
    <s v="High"/>
    <n v="480"/>
    <x v="78"/>
    <s v="Mid"/>
    <n v="0"/>
    <n v="0"/>
    <s v="Sunscreen"/>
  </r>
  <r>
    <s v="P423125"/>
    <s v="Ultracalming Serum Concentrate"/>
    <n v="6219"/>
    <s v="Dermalogica"/>
    <n v="7347"/>
    <x v="5"/>
    <n v="4.3076999999999996"/>
    <s v="Yes"/>
    <s v="High"/>
    <n v="156"/>
    <x v="40"/>
    <s v="Premium"/>
    <n v="0"/>
    <n v="0"/>
    <s v="Treatments"/>
  </r>
  <r>
    <s v="P467137"/>
    <s v="Water Drench Hyaluronic Glow Serum"/>
    <n v="3728"/>
    <s v="Peter Thomas Roth"/>
    <n v="7390"/>
    <x v="5"/>
    <n v="4.444"/>
    <s v="Yes"/>
    <s v="High"/>
    <n v="482"/>
    <x v="55"/>
    <s v="Premium"/>
    <n v="0"/>
    <n v="0"/>
    <s v="Treatments"/>
  </r>
  <r>
    <s v="P461936"/>
    <s v="BEAR mini Facial Toning Device"/>
    <n v="7037"/>
    <s v="FOREO"/>
    <n v="7401"/>
    <x v="5"/>
    <n v="4.1227999999999998"/>
    <s v="Yes"/>
    <s v="High"/>
    <n v="114"/>
    <x v="211"/>
    <s v="Premium"/>
    <n v="0"/>
    <n v="0"/>
    <s v="High Tech Tools"/>
  </r>
  <r>
    <s v="P477413"/>
    <s v="GREEN MACHINE insta-glo resurfacing acid mask"/>
    <n v="6357"/>
    <s v="iNNBEAUTY PROJECT"/>
    <n v="7419"/>
    <x v="5"/>
    <n v="4.6531000000000002"/>
    <s v="Yes"/>
    <s v="High"/>
    <n v="49"/>
    <x v="78"/>
    <s v="Mid"/>
    <n v="0"/>
    <n v="0"/>
    <s v="Masks"/>
  </r>
  <r>
    <s v="P504778"/>
    <s v="Invisible Shield Water-Gel Transparent Sunscreen SPF 35"/>
    <n v="6751"/>
    <s v="Glossier"/>
    <n v="7420"/>
    <x v="5"/>
    <n v="4.1818"/>
    <s v="Yes"/>
    <s v="High"/>
    <n v="11"/>
    <x v="94"/>
    <s v="Mid"/>
    <n v="1"/>
    <n v="0"/>
    <s v="Sunscreen"/>
  </r>
  <r>
    <s v="P467122"/>
    <s v="That Fresh Take Eye Cream with Peptides"/>
    <n v="6335"/>
    <s v="JLo Beauty"/>
    <n v="7449"/>
    <x v="5"/>
    <n v="4.1558999999999999"/>
    <s v="Yes"/>
    <s v="High"/>
    <n v="449"/>
    <x v="25"/>
    <s v="Mid"/>
    <n v="0"/>
    <n v="0"/>
    <s v="Eye Care"/>
  </r>
  <r>
    <s v="P470227"/>
    <s v="Vitamin C Triple Exfoliating Facial"/>
    <n v="4164"/>
    <s v="Murad"/>
    <n v="7452"/>
    <x v="5"/>
    <n v="4.7305999999999999"/>
    <s v="Yes"/>
    <s v="High"/>
    <n v="360"/>
    <x v="99"/>
    <s v="Premium"/>
    <n v="0"/>
    <n v="0"/>
    <s v="Treatments"/>
  </r>
  <r>
    <s v="P232902"/>
    <s v="Gentle Daily Wash"/>
    <n v="5946"/>
    <s v="Kate Somerville"/>
    <n v="7501"/>
    <x v="5"/>
    <n v="4.1909000000000001"/>
    <s v="Yes"/>
    <s v="High"/>
    <n v="220"/>
    <x v="124"/>
    <s v="Mid"/>
    <n v="0"/>
    <n v="0"/>
    <s v="Cleansers"/>
  </r>
  <r>
    <s v="P501587"/>
    <s v="Deepwater Nourishing Lip Mask with Sea Moss and Aloe Stem Cells"/>
    <n v="6742"/>
    <s v="CAY SKIN"/>
    <n v="7510"/>
    <x v="5"/>
    <n v="4.5818000000000003"/>
    <s v="Yes"/>
    <s v="High"/>
    <n v="55"/>
    <x v="75"/>
    <s v="Mid"/>
    <n v="0"/>
    <n v="0"/>
    <s v="Lip Balms &amp; Treatments"/>
  </r>
  <r>
    <s v="P461949"/>
    <s v="The Concentrate Serum"/>
    <n v="6201"/>
    <s v="La Mer"/>
    <n v="7514"/>
    <x v="5"/>
    <n v="4.5186999999999999"/>
    <s v="Yes"/>
    <s v="High"/>
    <n v="563"/>
    <x v="212"/>
    <s v="Premium"/>
    <n v="0"/>
    <n v="0"/>
    <s v="Treatments"/>
  </r>
  <r>
    <s v="P501886"/>
    <s v="The Glow Around 4-Piece Travel Skincare Essentials Set"/>
    <n v="6352"/>
    <s v="Fenty Skin"/>
    <n v="7523"/>
    <x v="5"/>
    <n v="5"/>
    <s v="Yes"/>
    <s v="High"/>
    <n v="1"/>
    <x v="83"/>
    <s v="Premium"/>
    <n v="0"/>
    <n v="1"/>
    <s v="Value &amp; Gift Sets"/>
  </r>
  <r>
    <s v="P474117"/>
    <s v="Mini TL Advanced  Tightening Neck Cream PLUS for Firming &amp; Brightening"/>
    <n v="6358"/>
    <s v="StriVectin"/>
    <n v="7539"/>
    <x v="5"/>
    <n v="4.0392000000000001"/>
    <s v="Yes"/>
    <s v="High"/>
    <n v="153"/>
    <x v="64"/>
    <s v="Budget"/>
    <n v="0"/>
    <n v="0"/>
    <s v="Moisturizers"/>
  </r>
  <r>
    <s v="P434550"/>
    <s v="Revitalixir Recovery Serum"/>
    <n v="4164"/>
    <s v="Murad"/>
    <n v="7556"/>
    <x v="5"/>
    <n v="4.3693"/>
    <s v="Yes"/>
    <s v="High"/>
    <n v="306"/>
    <x v="204"/>
    <s v="Premium"/>
    <n v="0"/>
    <n v="0"/>
    <s v="Treatments"/>
  </r>
  <r>
    <s v="P481830"/>
    <s v="Self-Tan Luxe Whipped CrÃ¨me Mousse"/>
    <n v="5626"/>
    <s v="St. Tropez"/>
    <n v="7559"/>
    <x v="5"/>
    <n v="4.6334999999999997"/>
    <s v="Yes"/>
    <s v="High"/>
    <n v="502"/>
    <x v="14"/>
    <s v="Mid"/>
    <n v="0"/>
    <n v="0"/>
    <s v="Self Tanners"/>
  </r>
  <r>
    <s v="P481408"/>
    <s v="The Canopy Humidifier Starter Set"/>
    <n v="6482"/>
    <s v="CANOPY"/>
    <n v="7559"/>
    <x v="5"/>
    <n v="4.4412000000000003"/>
    <s v="Yes"/>
    <s v="High"/>
    <n v="68"/>
    <x v="184"/>
    <s v="Premium"/>
    <n v="0"/>
    <n v="0"/>
    <s v="High Tech Tools"/>
  </r>
  <r>
    <s v="P481732"/>
    <s v="Radiance Vitamin C Glow Serum"/>
    <n v="5857"/>
    <s v="REN Clean Skincare"/>
    <n v="7564"/>
    <x v="5"/>
    <n v="4.6820000000000004"/>
    <s v="Yes"/>
    <s v="High"/>
    <n v="412"/>
    <x v="116"/>
    <s v="Premium"/>
    <n v="0"/>
    <n v="0"/>
    <s v="Treatments"/>
  </r>
  <r>
    <s v="P500399"/>
    <s v="Isle Glow Body Lotion SPF 45 with Sea Moss and Cocoa Seed Butter"/>
    <n v="6742"/>
    <s v="CAY SKIN"/>
    <n v="7565"/>
    <x v="5"/>
    <n v="4.617"/>
    <s v="Yes"/>
    <s v="High"/>
    <n v="47"/>
    <x v="12"/>
    <s v="Mid"/>
    <n v="0"/>
    <n v="0"/>
    <s v="Sunscreen"/>
  </r>
  <r>
    <s v="P122651"/>
    <s v="Clarifying Lotion 1"/>
    <n v="1254"/>
    <s v="CLINIQUE"/>
    <n v="7569"/>
    <x v="5"/>
    <n v="4.5149999999999997"/>
    <s v="Yes"/>
    <s v="High"/>
    <n v="200"/>
    <x v="60"/>
    <s v="Mid"/>
    <n v="0"/>
    <n v="0"/>
    <s v="Cleansers"/>
  </r>
  <r>
    <s v="P428637"/>
    <s v="Mini The Lifting and Firming Mask"/>
    <n v="6201"/>
    <s v="La Mer"/>
    <n v="7589"/>
    <x v="5"/>
    <n v="4.3635999999999999"/>
    <s v="Yes"/>
    <s v="High"/>
    <n v="22"/>
    <x v="73"/>
    <s v="Premium"/>
    <n v="0"/>
    <n v="0"/>
    <s v="Mini Size"/>
  </r>
  <r>
    <s v="P417110"/>
    <s v="The Lifting Eye Serum"/>
    <n v="6201"/>
    <s v="La Mer"/>
    <n v="7599"/>
    <x v="5"/>
    <n v="3.3332999999999999"/>
    <s v="Yes"/>
    <s v="Medium"/>
    <n v="15"/>
    <x v="121"/>
    <s v="Premium"/>
    <n v="0"/>
    <n v="0"/>
    <s v="Eye Care"/>
  </r>
  <r>
    <s v="P433524"/>
    <s v="Multi-Miracle Glow Cleansing Balm"/>
    <n v="6236"/>
    <s v="Charlotte Tilbury"/>
    <n v="7612"/>
    <x v="5"/>
    <n v="4.1429"/>
    <s v="Yes"/>
    <s v="High"/>
    <n v="35"/>
    <x v="37"/>
    <s v="Premium"/>
    <n v="0"/>
    <n v="0"/>
    <s v="Cleansers"/>
  </r>
  <r>
    <s v="P460779"/>
    <s v="Skinlongevity Long Life Herb Anti-Aging Face Serum"/>
    <n v="5737"/>
    <s v="bareMinerals"/>
    <n v="7614"/>
    <x v="5"/>
    <n v="4.4339000000000004"/>
    <s v="Yes"/>
    <s v="High"/>
    <n v="3727"/>
    <x v="92"/>
    <s v="Premium"/>
    <n v="0"/>
    <n v="0"/>
    <s v="Treatments"/>
  </r>
  <r>
    <s v="P443369"/>
    <s v="Sound Sleep Cocoon Night Gel-Cream"/>
    <n v="6219"/>
    <s v="Dermalogica"/>
    <n v="7619"/>
    <x v="5"/>
    <n v="4.1822999999999997"/>
    <s v="Yes"/>
    <s v="High"/>
    <n v="181"/>
    <x v="53"/>
    <s v="Premium"/>
    <n v="0"/>
    <n v="0"/>
    <s v="Treatments"/>
  </r>
  <r>
    <s v="P479705"/>
    <s v="Even Smoother Glycolic Retinol Resurfacing Peel Pads"/>
    <n v="3728"/>
    <s v="Peter Thomas Roth"/>
    <n v="7622"/>
    <x v="5"/>
    <n v="4.6009000000000002"/>
    <s v="Yes"/>
    <s v="High"/>
    <n v="441"/>
    <x v="23"/>
    <s v="Premium"/>
    <n v="0"/>
    <n v="0"/>
    <s v="Treatments"/>
  </r>
  <r>
    <s v="P455610"/>
    <s v="Confidence in a Neck Cream"/>
    <n v="6175"/>
    <s v="IT Cosmetics"/>
    <n v="7661"/>
    <x v="5"/>
    <n v="3.5417000000000001"/>
    <s v="Yes"/>
    <s v="Medium"/>
    <n v="48"/>
    <x v="30"/>
    <s v="Premium"/>
    <n v="0"/>
    <n v="0"/>
    <s v="Moisturizers"/>
  </r>
  <r>
    <s v="P476515"/>
    <s v="Mini Brightening Dark Spot Vitamin C Serum"/>
    <n v="6368"/>
    <s v="Hyper Skin"/>
    <n v="7676"/>
    <x v="5"/>
    <n v="3.1429"/>
    <s v="Yes"/>
    <s v="Medium"/>
    <n v="14"/>
    <x v="8"/>
    <s v="Mid"/>
    <n v="0"/>
    <n v="0"/>
    <s v="Mini Size"/>
  </r>
  <r>
    <s v="P296413"/>
    <s v="Gentle Rejuvenating Cleanser"/>
    <n v="6018"/>
    <s v="Algenist"/>
    <n v="7681"/>
    <x v="5"/>
    <n v="4.2689000000000004"/>
    <s v="Yes"/>
    <s v="High"/>
    <n v="264"/>
    <x v="52"/>
    <s v="Mid"/>
    <n v="0"/>
    <n v="0"/>
    <s v="Cleansers"/>
  </r>
  <r>
    <s v="P38217"/>
    <s v="Renewing Cleansing Cream"/>
    <n v="4164"/>
    <s v="Murad"/>
    <n v="7682"/>
    <x v="5"/>
    <n v="4.4645999999999999"/>
    <s v="Yes"/>
    <s v="High"/>
    <n v="254"/>
    <x v="44"/>
    <s v="Mid"/>
    <n v="0"/>
    <n v="0"/>
    <s v="Cleansers"/>
  </r>
  <r>
    <s v="P502996"/>
    <s v="Rose Quartz Gua Sha"/>
    <n v="3902"/>
    <s v="SEPHORA COLLECTION"/>
    <n v="7684"/>
    <x v="5"/>
    <n v="3.2856999999999998"/>
    <s v="Yes"/>
    <s v="Medium"/>
    <n v="7"/>
    <x v="58"/>
    <s v="Budget"/>
    <n v="1"/>
    <n v="0"/>
    <s v="Wellness"/>
  </r>
  <r>
    <s v="P502741"/>
    <s v="SuperSolutions 10% Azelaic Serum Redness Relief Solution"/>
    <n v="6285"/>
    <s v="The INKEY List"/>
    <n v="7690"/>
    <x v="5"/>
    <n v="3.863"/>
    <s v="Yes"/>
    <s v="Medium"/>
    <n v="73"/>
    <x v="202"/>
    <s v="Budget"/>
    <n v="0"/>
    <n v="0"/>
    <s v="Treatments"/>
  </r>
  <r>
    <s v="P483697"/>
    <s v="Firming Vegan Collagen Prep Serum"/>
    <n v="6488"/>
    <s v="The Outset"/>
    <n v="7728"/>
    <x v="5"/>
    <n v="4.6898"/>
    <s v="Yes"/>
    <s v="High"/>
    <n v="187"/>
    <x v="45"/>
    <s v="Mid"/>
    <n v="0"/>
    <n v="0"/>
    <s v="Treatments"/>
  </r>
  <r>
    <s v="P477492"/>
    <s v="Triple Vitamin C Brightening Bounce Cream Moisturizer"/>
    <n v="6312"/>
    <s v="alpyn beauty"/>
    <n v="7730"/>
    <x v="5"/>
    <n v="4.5422000000000002"/>
    <s v="Yes"/>
    <s v="High"/>
    <n v="225"/>
    <x v="25"/>
    <s v="Mid"/>
    <n v="0"/>
    <n v="0"/>
    <s v="Moisturizers"/>
  </r>
  <r>
    <s v="P375864"/>
    <s v="Brightening Derm Revival Mask"/>
    <n v="6084"/>
    <s v="SK-II"/>
    <n v="7740"/>
    <x v="5"/>
    <n v="4.4194000000000004"/>
    <s v="Yes"/>
    <s v="High"/>
    <n v="62"/>
    <x v="179"/>
    <s v="Premium"/>
    <n v="0"/>
    <n v="0"/>
    <s v="Masks"/>
  </r>
  <r>
    <s v="P440505"/>
    <s v="Goddess Cleansing Ritual Duo"/>
    <n v="6236"/>
    <s v="Charlotte Tilbury"/>
    <n v="7741"/>
    <x v="5"/>
    <n v="4.4545000000000003"/>
    <s v="Yes"/>
    <s v="High"/>
    <n v="22"/>
    <x v="45"/>
    <s v="Mid"/>
    <n v="0"/>
    <n v="0"/>
    <s v="Value &amp; Gift Sets"/>
  </r>
  <r>
    <s v="P427729"/>
    <s v="Capture Youth Age-Delay Advanced CrÃ¨me"/>
    <n v="1073"/>
    <s v="Dior"/>
    <n v="7745"/>
    <x v="5"/>
    <n v="3.9218999999999999"/>
    <s v="Yes"/>
    <s v="Medium"/>
    <n v="64"/>
    <x v="61"/>
    <s v="Premium"/>
    <n v="0"/>
    <n v="0"/>
    <s v="Moisturizers"/>
  </r>
  <r>
    <s v="P471097"/>
    <s v="Facial Sculpting Wand"/>
    <n v="6314"/>
    <s v="Shani Darden Skin Care"/>
    <n v="7753"/>
    <x v="5"/>
    <n v="4.5461999999999998"/>
    <s v="Yes"/>
    <s v="High"/>
    <n v="130"/>
    <x v="163"/>
    <s v="Premium"/>
    <n v="0"/>
    <n v="0"/>
    <s v="High Tech Tools"/>
  </r>
  <r>
    <s v="P455930"/>
    <s v="Weightless Oil-Free Moisturizer"/>
    <n v="6314"/>
    <s v="Shani Darden Skin Care"/>
    <n v="7756"/>
    <x v="5"/>
    <n v="4.2571000000000003"/>
    <s v="Yes"/>
    <s v="High"/>
    <n v="140"/>
    <x v="14"/>
    <s v="Mid"/>
    <n v="0"/>
    <n v="0"/>
    <s v="Moisturizers"/>
  </r>
  <r>
    <s v="P471541"/>
    <s v="Vinosource-Hydra Grape Water Gel Moisturizer"/>
    <n v="4171"/>
    <s v="Caudalie"/>
    <n v="7757"/>
    <x v="5"/>
    <n v="4.2431999999999999"/>
    <s v="Yes"/>
    <s v="High"/>
    <n v="185"/>
    <x v="44"/>
    <s v="Mid"/>
    <n v="0"/>
    <n v="0"/>
    <s v="Moisturizers"/>
  </r>
  <r>
    <s v="P433461"/>
    <s v="Rose Sugar Scrub"/>
    <n v="1741"/>
    <s v="LancÃ´me"/>
    <n v="7764"/>
    <x v="5"/>
    <n v="3.8048999999999999"/>
    <s v="Yes"/>
    <s v="Medium"/>
    <n v="41"/>
    <x v="18"/>
    <s v="Mid"/>
    <n v="0"/>
    <n v="1"/>
    <s v="Cleansers"/>
  </r>
  <r>
    <s v="P483075"/>
    <s v="Brightening Dual Facial Enzyme Exfoliator"/>
    <n v="3902"/>
    <s v="SEPHORA COLLECTION"/>
    <n v="7792"/>
    <x v="5"/>
    <n v="4.125"/>
    <s v="Yes"/>
    <s v="High"/>
    <n v="24"/>
    <x v="58"/>
    <s v="Budget"/>
    <n v="0"/>
    <n v="0"/>
    <s v="Cleansers"/>
  </r>
  <r>
    <s v="P4039"/>
    <s v="Perfecting Day Cream Broad Spectrum SPF 30 PA+++"/>
    <n v="4164"/>
    <s v="Murad"/>
    <n v="7792"/>
    <x v="5"/>
    <n v="4.1723999999999997"/>
    <s v="Yes"/>
    <s v="High"/>
    <n v="174"/>
    <x v="92"/>
    <s v="Premium"/>
    <n v="0"/>
    <n v="0"/>
    <s v="Moisturizers"/>
  </r>
  <r>
    <s v="P503562"/>
    <s v="GLOfacial Hydro-Infusion Pore Cleansing + Blue LED Clarifying Tool"/>
    <n v="6272"/>
    <s v="BeautyBio"/>
    <n v="7799"/>
    <x v="5"/>
    <n v="4.1212"/>
    <s v="Yes"/>
    <s v="High"/>
    <n v="33"/>
    <x v="141"/>
    <s v="Premium"/>
    <n v="0"/>
    <n v="0"/>
    <s v="Value &amp; Gift Sets"/>
  </r>
  <r>
    <s v="P500696"/>
    <s v="Eye Revival Brightening Eye Cream"/>
    <n v="6367"/>
    <s v="ROSE INC"/>
    <n v="7827"/>
    <x v="5"/>
    <n v="4.6914999999999996"/>
    <s v="Yes"/>
    <s v="High"/>
    <n v="188"/>
    <x v="103"/>
    <s v="Premium"/>
    <n v="0"/>
    <n v="0"/>
    <s v="Eye Care"/>
  </r>
  <r>
    <s v="P440501"/>
    <s v="Seaweed Night Cream"/>
    <n v="8017"/>
    <s v="Mario Badescu"/>
    <n v="7833"/>
    <x v="5"/>
    <n v="3.8386999999999998"/>
    <s v="Yes"/>
    <s v="Medium"/>
    <n v="62"/>
    <x v="75"/>
    <s v="Mid"/>
    <n v="0"/>
    <n v="0"/>
    <s v="Moisturizers"/>
  </r>
  <r>
    <s v="P471011"/>
    <s v="Take The Day Off Cleansing Balm Makeup Remover Duo"/>
    <n v="1254"/>
    <s v="CLINIQUE"/>
    <n v="7837"/>
    <x v="5"/>
    <n v="4.7778"/>
    <s v="Yes"/>
    <s v="High"/>
    <n v="18"/>
    <x v="14"/>
    <s v="Mid"/>
    <n v="0"/>
    <n v="0"/>
    <s v="Value &amp; Gift Sets"/>
  </r>
  <r>
    <s v="P374115"/>
    <s v="Pore Refining Solutions Stay-Matte Hydrator"/>
    <n v="1254"/>
    <s v="CLINIQUE"/>
    <n v="7842"/>
    <x v="5"/>
    <n v="4.0761000000000003"/>
    <s v="Yes"/>
    <s v="High"/>
    <n v="92"/>
    <x v="124"/>
    <s v="Mid"/>
    <n v="0"/>
    <n v="0"/>
    <s v="Moisturizers"/>
  </r>
  <r>
    <s v="P379711"/>
    <s v="Rejuvenating Anti-Aging Serum"/>
    <n v="7020"/>
    <s v="Tata Harper"/>
    <n v="7907"/>
    <x v="5"/>
    <n v="3.4232"/>
    <s v="Yes"/>
    <s v="Medium"/>
    <n v="241"/>
    <x v="176"/>
    <s v="Premium"/>
    <n v="0"/>
    <n v="0"/>
    <s v="Treatments"/>
  </r>
  <r>
    <s v="P500753"/>
    <s v="Daily Glow Toner with Niacinamide"/>
    <n v="6236"/>
    <s v="Charlotte Tilbury"/>
    <n v="7914"/>
    <x v="5"/>
    <n v="4.3810000000000002"/>
    <s v="Yes"/>
    <s v="High"/>
    <n v="84"/>
    <x v="103"/>
    <s v="Premium"/>
    <n v="0"/>
    <n v="0"/>
    <s v="Cleansers"/>
  </r>
  <r>
    <s v="P481142"/>
    <s v="PRO Strength Vitamin A/C/E Retinoid Treatment"/>
    <n v="3728"/>
    <s v="Peter Thomas Roth"/>
    <n v="7915"/>
    <x v="5"/>
    <n v="4.7416"/>
    <s v="Yes"/>
    <s v="High"/>
    <n v="178"/>
    <x v="92"/>
    <s v="Premium"/>
    <n v="0"/>
    <n v="0"/>
    <s v="Treatments"/>
  </r>
  <r>
    <s v="P438634"/>
    <s v="GloPRO FACE MicroTip Attachment Head"/>
    <n v="6272"/>
    <s v="BeautyBio"/>
    <n v="7926"/>
    <x v="5"/>
    <n v="3.6667000000000001"/>
    <s v="Yes"/>
    <s v="Medium"/>
    <n v="9"/>
    <x v="7"/>
    <s v="Mid"/>
    <n v="0"/>
    <n v="0"/>
    <s v="High Tech Tools"/>
  </r>
  <r>
    <s v="P480629"/>
    <s v="Dark Spots Serum"/>
    <n v="6209"/>
    <s v="Peace Out"/>
    <n v="7931"/>
    <x v="5"/>
    <n v="4.2262000000000004"/>
    <s v="Yes"/>
    <s v="High"/>
    <n v="252"/>
    <x v="31"/>
    <s v="Mid"/>
    <n v="0"/>
    <n v="0"/>
    <s v="Treatments"/>
  </r>
  <r>
    <s v="P399934"/>
    <s v="NightWear Plus Anti-Oxidant Night Detox Moisturizer Creme"/>
    <n v="6089"/>
    <s v="EstÃ©e Lauder"/>
    <n v="7948"/>
    <x v="5"/>
    <n v="4.2390999999999996"/>
    <s v="Yes"/>
    <s v="High"/>
    <n v="46"/>
    <x v="80"/>
    <s v="Premium"/>
    <n v="0"/>
    <n v="0"/>
    <s v="Moisturizers"/>
  </r>
  <r>
    <s v="P503928"/>
    <s v="Green Tea Hyaluronic Acid Face Cleanser"/>
    <n v="6295"/>
    <s v="innisfree"/>
    <n v="7953"/>
    <x v="5"/>
    <n v="4.0385"/>
    <s v="Yes"/>
    <s v="High"/>
    <n v="26"/>
    <x v="51"/>
    <s v="Budget"/>
    <n v="0"/>
    <n v="0"/>
    <s v="Cleansers"/>
  </r>
  <r>
    <s v="P392891"/>
    <s v="Nutritious Super-Pomegranate Radiant Energy Night Moisturizer Creme/Mask"/>
    <n v="6089"/>
    <s v="EstÃ©e Lauder"/>
    <n v="7994"/>
    <x v="5"/>
    <n v="4.5999999999999996"/>
    <s v="Yes"/>
    <s v="High"/>
    <n v="20"/>
    <x v="28"/>
    <s v="Premium"/>
    <n v="0"/>
    <n v="1"/>
    <s v="Masks"/>
  </r>
  <r>
    <s v="P455341"/>
    <s v="Classic Body Organic Sunscreen Spray SPF 70 Peach Blossom"/>
    <n v="7091"/>
    <s v="COOLA"/>
    <n v="8003"/>
    <x v="5"/>
    <n v="4.2691999999999997"/>
    <s v="Yes"/>
    <s v="High"/>
    <n v="52"/>
    <x v="52"/>
    <s v="Mid"/>
    <n v="0"/>
    <n v="0"/>
    <s v="Sunscreen"/>
  </r>
  <r>
    <s v="P482697"/>
    <s v="Water Bank Blue Hyaluronic Revitalizing Toner"/>
    <n v="6125"/>
    <s v="LANEIGE"/>
    <n v="8013"/>
    <x v="5"/>
    <n v="4"/>
    <s v="Yes"/>
    <s v="High"/>
    <n v="17"/>
    <x v="209"/>
    <s v="Mid"/>
    <n v="0"/>
    <n v="0"/>
    <s v="Cleansers"/>
  </r>
  <r>
    <s v="P430809"/>
    <s v="THE ESSENTIALS Sonic Dermaplaning Refill Kit"/>
    <n v="6136"/>
    <s v="DERMAFLASH"/>
    <n v="8018"/>
    <x v="5"/>
    <n v="4.3125"/>
    <s v="Yes"/>
    <s v="High"/>
    <n v="16"/>
    <x v="122"/>
    <s v="Premium"/>
    <n v="0"/>
    <n v="0"/>
    <s v="Value &amp; Gift Sets"/>
  </r>
  <r>
    <s v="P473268"/>
    <s v="MINI Precision Peach Fuzz Removal Device"/>
    <n v="6136"/>
    <s v="DERMAFLASH"/>
    <n v="8046"/>
    <x v="5"/>
    <n v="4.0769000000000002"/>
    <s v="Yes"/>
    <s v="High"/>
    <n v="26"/>
    <x v="116"/>
    <s v="Premium"/>
    <n v="0"/>
    <n v="0"/>
    <s v="Mini Size"/>
  </r>
  <r>
    <s v="P472467"/>
    <s v="GLO to Go Teeth Whitening Pen"/>
    <n v="5996"/>
    <s v="GLO Science"/>
    <n v="8059"/>
    <x v="5"/>
    <n v="4.4889000000000001"/>
    <s v="Yes"/>
    <s v="High"/>
    <n v="90"/>
    <x v="94"/>
    <s v="Mid"/>
    <n v="0"/>
    <n v="0"/>
    <s v="High Tech Tools"/>
  </r>
  <r>
    <s v="P428636"/>
    <s v="Mini The Cleansing Foam"/>
    <n v="6201"/>
    <s v="La Mer"/>
    <n v="8063"/>
    <x v="5"/>
    <n v="3.6086999999999998"/>
    <s v="Yes"/>
    <s v="Medium"/>
    <n v="23"/>
    <x v="94"/>
    <s v="Mid"/>
    <n v="0"/>
    <n v="0"/>
    <s v="Cleansers"/>
  </r>
  <r>
    <s v="P482698"/>
    <s v="Water Bank Blue Hyaluronic Exfoliating Toner"/>
    <n v="6125"/>
    <s v="LANEIGE"/>
    <n v="8064"/>
    <x v="5"/>
    <n v="4.4118000000000004"/>
    <s v="Yes"/>
    <s v="High"/>
    <n v="17"/>
    <x v="209"/>
    <s v="Mid"/>
    <n v="0"/>
    <n v="0"/>
    <s v="Cleansers"/>
  </r>
  <r>
    <s v="P455931"/>
    <s v="Sake Toning Essence"/>
    <n v="6314"/>
    <s v="Shani Darden Skin Care"/>
    <n v="8073"/>
    <x v="5"/>
    <n v="4.4443999999999999"/>
    <s v="Yes"/>
    <s v="High"/>
    <n v="99"/>
    <x v="23"/>
    <s v="Premium"/>
    <n v="0"/>
    <n v="0"/>
    <s v="Moisturizers"/>
  </r>
  <r>
    <s v="P480613"/>
    <s v="The Treatment Lotion"/>
    <n v="6201"/>
    <s v="La Mer"/>
    <n v="8097"/>
    <x v="5"/>
    <n v="4.6439000000000004"/>
    <s v="Yes"/>
    <s v="High"/>
    <n v="424"/>
    <x v="98"/>
    <s v="Premium"/>
    <n v="0"/>
    <n v="0"/>
    <s v="Moisturizers"/>
  </r>
  <r>
    <s v="P469512"/>
    <s v="CLINICAL Ceramide-Enriched Firming Eye Cream"/>
    <n v="6341"/>
    <s v="Paula's Choice"/>
    <n v="8104"/>
    <x v="5"/>
    <n v="4.1162999999999998"/>
    <s v="Yes"/>
    <s v="High"/>
    <n v="43"/>
    <x v="25"/>
    <s v="Mid"/>
    <n v="0"/>
    <n v="0"/>
    <s v="Eye Care"/>
  </r>
  <r>
    <s v="P433973"/>
    <s v="Get Even Cold-Pressed Peel Pads"/>
    <n v="8012"/>
    <s v="Naturally Serious"/>
    <n v="8129"/>
    <x v="5"/>
    <n v="4.7217000000000002"/>
    <s v="Yes"/>
    <s v="High"/>
    <n v="230"/>
    <x v="29"/>
    <s v="Mid"/>
    <n v="0"/>
    <n v="0"/>
    <s v="Treatments"/>
  </r>
  <r>
    <s v="P503867"/>
    <s v="Retinol Firming Cream Treatment with Peptides + Hyaluronic Acid"/>
    <n v="6125"/>
    <s v="LANEIGE"/>
    <n v="8178"/>
    <x v="5"/>
    <n v="4.5728"/>
    <s v="Yes"/>
    <s v="High"/>
    <n v="213"/>
    <x v="7"/>
    <s v="Mid"/>
    <n v="0"/>
    <n v="0"/>
    <s v="Treatments"/>
  </r>
  <r>
    <s v="P433962"/>
    <s v="Treatment Lotion Hydrating Mask"/>
    <n v="6201"/>
    <s v="La Mer"/>
    <n v="8179"/>
    <x v="5"/>
    <n v="4.2609000000000004"/>
    <s v="Yes"/>
    <s v="High"/>
    <n v="23"/>
    <x v="213"/>
    <s v="Premium"/>
    <n v="0"/>
    <n v="0"/>
    <s v="Masks"/>
  </r>
  <r>
    <s v="P502978"/>
    <s v="Youth Stacks: Brighter Tomorrow Duo for Dullness"/>
    <n v="6169"/>
    <s v="Youth To The People"/>
    <n v="8189"/>
    <x v="5"/>
    <n v="3"/>
    <s v="Yes"/>
    <s v="Medium"/>
    <n v="3"/>
    <x v="52"/>
    <s v="Mid"/>
    <n v="0"/>
    <n v="0"/>
    <s v="Value &amp; Gift Sets"/>
  </r>
  <r>
    <s v="P460758"/>
    <s v="Cool Biotic Prebiotic Redness Relief Cream"/>
    <n v="4372"/>
    <s v="Dr. Brandt Skincare"/>
    <n v="8201"/>
    <x v="5"/>
    <n v="4.1467999999999998"/>
    <s v="Yes"/>
    <s v="High"/>
    <n v="109"/>
    <x v="70"/>
    <s v="Premium"/>
    <n v="0"/>
    <n v="0"/>
    <s v="Moisturizers"/>
  </r>
  <r>
    <s v="P504880"/>
    <s v="Melt Awf Jelly Oil Makeup-Melting Cleanser"/>
    <n v="6352"/>
    <s v="Fenty Skin"/>
    <n v="8214"/>
    <x v="5"/>
    <n v="4.0909000000000004"/>
    <s v="Yes"/>
    <s v="High"/>
    <n v="11"/>
    <x v="18"/>
    <s v="Mid"/>
    <n v="1"/>
    <n v="0"/>
    <s v="Cleansers"/>
  </r>
  <r>
    <s v="P433468"/>
    <s v="EradiKate Salicylic Acid Acne Treatment"/>
    <n v="5946"/>
    <s v="Kate Somerville"/>
    <n v="8230"/>
    <x v="5"/>
    <n v="4.1143000000000001"/>
    <s v="Yes"/>
    <s v="High"/>
    <n v="105"/>
    <x v="6"/>
    <s v="Premium"/>
    <n v="0"/>
    <n v="0"/>
    <s v="Treatments"/>
  </r>
  <r>
    <s v="P428414"/>
    <s v="Skin Saviors"/>
    <n v="3297"/>
    <s v="Jack Black"/>
    <n v="8231"/>
    <x v="5"/>
    <n v="4.5"/>
    <s v="Yes"/>
    <s v="High"/>
    <n v="14"/>
    <x v="96"/>
    <s v="Mid"/>
    <n v="0"/>
    <n v="0"/>
    <s v="Value &amp; Gift Sets"/>
  </r>
  <r>
    <s v="P456194"/>
    <s v="Extra-Firming + Smoothing Neck &amp; DÃ©colletÃ© Moisturizer"/>
    <n v="2082"/>
    <s v="Clarins"/>
    <n v="8236"/>
    <x v="5"/>
    <n v="4.6528"/>
    <s v="Yes"/>
    <s v="High"/>
    <n v="193"/>
    <x v="155"/>
    <s v="Premium"/>
    <n v="0"/>
    <n v="0"/>
    <s v="Moisturizers"/>
  </r>
  <r>
    <s v="P433457"/>
    <s v="Potent-C Vitamin C Targeted Spot Brightener"/>
    <n v="3728"/>
    <s v="Peter Thomas Roth"/>
    <n v="8238"/>
    <x v="5"/>
    <n v="4.3428000000000004"/>
    <s v="Yes"/>
    <s v="High"/>
    <n v="318"/>
    <x v="48"/>
    <s v="Premium"/>
    <n v="0"/>
    <n v="1"/>
    <s v="Treatments"/>
  </r>
  <r>
    <s v="P468684"/>
    <s v="Milky Mushroom Gentle Cleansing Oil Makeup Remover"/>
    <n v="6207"/>
    <s v="KORA Organics"/>
    <n v="8251"/>
    <x v="5"/>
    <n v="4.4596999999999998"/>
    <s v="Yes"/>
    <s v="High"/>
    <n v="459"/>
    <x v="124"/>
    <s v="Mid"/>
    <n v="0"/>
    <n v="0"/>
    <s v="Cleansers"/>
  </r>
  <r>
    <s v="P474971"/>
    <s v="Daily Blemish Repairing Moisturizer"/>
    <n v="6209"/>
    <s v="Peace Out"/>
    <n v="8255"/>
    <x v="5"/>
    <n v="4.2624000000000004"/>
    <s v="Yes"/>
    <s v="High"/>
    <n v="221"/>
    <x v="52"/>
    <s v="Mid"/>
    <n v="0"/>
    <n v="0"/>
    <s v="Moisturizers"/>
  </r>
  <r>
    <s v="P476496"/>
    <s v="Instant Reset Brightening Overnight Recovery Gel-Cream with Niacinamide Refill"/>
    <n v="6352"/>
    <s v="Fenty Skin"/>
    <n v="8257"/>
    <x v="5"/>
    <n v="5"/>
    <s v="Yes"/>
    <s v="High"/>
    <n v="8"/>
    <x v="24"/>
    <s v="Mid"/>
    <n v="0"/>
    <n v="0"/>
    <s v="Moisturizers"/>
  </r>
  <r>
    <s v="P504780"/>
    <s v="Super Glow Vitamin C Brightening Face Serum"/>
    <n v="6751"/>
    <s v="Glossier"/>
    <n v="8275"/>
    <x v="5"/>
    <n v="2.7778"/>
    <s v="Yes"/>
    <s v="Low"/>
    <n v="9"/>
    <x v="31"/>
    <s v="Mid"/>
    <n v="1"/>
    <n v="0"/>
    <s v="Treatments"/>
  </r>
  <r>
    <s v="P457274"/>
    <s v="Hand Cream Trio"/>
    <n v="2366"/>
    <s v="L'Occitane"/>
    <n v="8278"/>
    <x v="5"/>
    <n v="4.1429"/>
    <s v="Yes"/>
    <s v="High"/>
    <n v="7"/>
    <x v="31"/>
    <s v="Mid"/>
    <n v="0"/>
    <n v="0"/>
    <s v="Value &amp; Gift Sets"/>
  </r>
  <r>
    <s v="P484067"/>
    <s v="Evercalm Barrier Support Face Oil"/>
    <n v="5857"/>
    <s v="REN Clean Skincare"/>
    <n v="8281"/>
    <x v="5"/>
    <n v="4.8391000000000002"/>
    <s v="Yes"/>
    <s v="High"/>
    <n v="261"/>
    <x v="37"/>
    <s v="Premium"/>
    <n v="0"/>
    <n v="0"/>
    <s v="Moisturizers"/>
  </r>
  <r>
    <s v="P377919"/>
    <s v="Plantscription Anti-Aging Cleanser"/>
    <n v="3733"/>
    <s v="Origins"/>
    <n v="8293"/>
    <x v="5"/>
    <n v="4.2870999999999997"/>
    <s v="Yes"/>
    <s v="High"/>
    <n v="101"/>
    <x v="8"/>
    <s v="Mid"/>
    <n v="0"/>
    <n v="0"/>
    <s v="Cleansers"/>
  </r>
  <r>
    <s v="P376135"/>
    <s v="RÃ©nergie Lift Multi-Action Night Cream"/>
    <n v="1741"/>
    <s v="LancÃ´me"/>
    <n v="8299"/>
    <x v="5"/>
    <n v="4.3571"/>
    <s v="Yes"/>
    <s v="High"/>
    <n v="56"/>
    <x v="214"/>
    <s v="Premium"/>
    <n v="0"/>
    <n v="0"/>
    <s v="Moisturizers"/>
  </r>
  <r>
    <s v="P416725"/>
    <s v="The Revitalizing Hydrating Serum"/>
    <n v="6201"/>
    <s v="La Mer"/>
    <n v="8300"/>
    <x v="5"/>
    <n v="4"/>
    <s v="Yes"/>
    <s v="High"/>
    <n v="29"/>
    <x v="185"/>
    <s v="Premium"/>
    <n v="0"/>
    <n v="0"/>
    <s v="Treatments"/>
  </r>
  <r>
    <s v="P481697"/>
    <s v="Circular Hydration Serum with Hyaluronic Acid"/>
    <n v="6219"/>
    <s v="Dermalogica"/>
    <n v="8306"/>
    <x v="5"/>
    <n v="4.7687999999999997"/>
    <s v="Yes"/>
    <s v="High"/>
    <n v="372"/>
    <x v="56"/>
    <s v="Premium"/>
    <n v="0"/>
    <n v="0"/>
    <s v="Treatments"/>
  </r>
  <r>
    <s v="P467112"/>
    <s v="Daily Microfoliant Exfoliator Refill Pack"/>
    <n v="6219"/>
    <s v="Dermalogica"/>
    <n v="8312"/>
    <x v="5"/>
    <n v="4.8823999999999996"/>
    <s v="Yes"/>
    <s v="High"/>
    <n v="17"/>
    <x v="70"/>
    <s v="Premium"/>
    <n v="0"/>
    <n v="0"/>
    <s v="Cleansers"/>
  </r>
  <r>
    <s v="P471111"/>
    <s v="Yo Detox Charcoal Face &amp; Body Enzyme Scrub"/>
    <n v="6316"/>
    <s v="Wishful"/>
    <n v="8346"/>
    <x v="5"/>
    <n v="4.7553999999999998"/>
    <s v="Yes"/>
    <s v="High"/>
    <n v="462"/>
    <x v="7"/>
    <s v="Mid"/>
    <n v="0"/>
    <n v="0"/>
    <s v="Cleansers"/>
  </r>
  <r>
    <s v="P464243"/>
    <s v="10% Benzoyl Peroxide Acne Cleanser"/>
    <n v="6334"/>
    <s v="Dr. Zenovia Skincare"/>
    <n v="8366"/>
    <x v="5"/>
    <n v="4.4931000000000001"/>
    <s v="Yes"/>
    <s v="High"/>
    <n v="434"/>
    <x v="78"/>
    <s v="Mid"/>
    <n v="0"/>
    <n v="0"/>
    <s v="Cleansers"/>
  </r>
  <r>
    <s v="P423134"/>
    <s v="MultiVitamin Power Firm Eye Cream"/>
    <n v="6219"/>
    <s v="Dermalogica"/>
    <n v="8383"/>
    <x v="5"/>
    <n v="4.1723999999999997"/>
    <s v="Yes"/>
    <s v="High"/>
    <n v="203"/>
    <x v="116"/>
    <s v="Premium"/>
    <n v="0"/>
    <n v="0"/>
    <s v="Eye Care"/>
  </r>
  <r>
    <s v="P501029"/>
    <s v="Retinol Fast-Release Wrinkle Reducing Night Serum"/>
    <n v="6218"/>
    <s v="Kiehl's Since 1851"/>
    <n v="8391"/>
    <x v="5"/>
    <n v="4.5163000000000002"/>
    <s v="Yes"/>
    <s v="High"/>
    <n v="614"/>
    <x v="99"/>
    <s v="Premium"/>
    <n v="0"/>
    <n v="0"/>
    <s v="Treatments"/>
  </r>
  <r>
    <s v="P442741"/>
    <s v="Peptide 21 Wrinkle Resist Serum"/>
    <n v="3728"/>
    <s v="Peter Thomas Roth"/>
    <n v="8393"/>
    <x v="5"/>
    <n v="4.4471999999999996"/>
    <s v="Yes"/>
    <s v="High"/>
    <n v="559"/>
    <x v="81"/>
    <s v="Premium"/>
    <n v="0"/>
    <n v="0"/>
    <s v="Treatments"/>
  </r>
  <r>
    <s v="P469526"/>
    <s v="Water-Infusing Electrolyte Moisturizer"/>
    <n v="6341"/>
    <s v="Paula's Choice"/>
    <n v="8396"/>
    <x v="5"/>
    <n v="3.7273000000000001"/>
    <s v="Yes"/>
    <s v="Medium"/>
    <n v="44"/>
    <x v="96"/>
    <s v="Mid"/>
    <n v="0"/>
    <n v="0"/>
    <s v="Moisturizers"/>
  </r>
  <r>
    <s v="P404232"/>
    <s v="DermalQuench +Retinol Advanced Resurfacing Treatment"/>
    <n v="5946"/>
    <s v="Kate Somerville"/>
    <n v="8412"/>
    <x v="5"/>
    <n v="4.0541"/>
    <s v="Yes"/>
    <s v="High"/>
    <n v="74"/>
    <x v="61"/>
    <s v="Premium"/>
    <n v="0"/>
    <n v="0"/>
    <s v="Treatments"/>
  </r>
  <r>
    <s v="P436347"/>
    <s v="Glow Addict Activated Mask"/>
    <n v="7037"/>
    <s v="FOREO"/>
    <n v="8426"/>
    <x v="5"/>
    <n v="4.5"/>
    <s v="Yes"/>
    <s v="High"/>
    <n v="10"/>
    <x v="215"/>
    <s v="Mid"/>
    <n v="0"/>
    <n v="0"/>
    <s v="Masks"/>
  </r>
  <r>
    <s v="P481161"/>
    <s v="Ultimune Power Infusing Anti-Aging Serum"/>
    <n v="5337"/>
    <s v="Shiseido"/>
    <n v="8461"/>
    <x v="5"/>
    <n v="4.5483000000000002"/>
    <s v="Yes"/>
    <s v="High"/>
    <n v="870"/>
    <x v="76"/>
    <s v="Premium"/>
    <n v="0"/>
    <n v="0"/>
    <s v="Treatments"/>
  </r>
  <r>
    <s v="P417625"/>
    <s v="24/7 Retinol Eye Cream"/>
    <n v="4372"/>
    <s v="Dr. Brandt Skincare"/>
    <n v="8505"/>
    <x v="5"/>
    <n v="3.9159000000000002"/>
    <s v="Yes"/>
    <s v="Medium"/>
    <n v="107"/>
    <x v="69"/>
    <s v="Premium"/>
    <n v="0"/>
    <n v="0"/>
    <s v="Eye Care"/>
  </r>
  <r>
    <s v="P482309"/>
    <s v="Facial Cooling Wands"/>
    <n v="3902"/>
    <s v="SEPHORA COLLECTION"/>
    <n v="8525"/>
    <x v="5"/>
    <n v="4"/>
    <s v="Yes"/>
    <s v="High"/>
    <n v="4"/>
    <x v="52"/>
    <s v="Mid"/>
    <n v="0"/>
    <n v="0"/>
    <s v="High Tech Tools"/>
  </r>
  <r>
    <s v="P472028"/>
    <s v="Capture Totale Super Potent Eye Serum"/>
    <n v="1073"/>
    <s v="Dior"/>
    <n v="8533"/>
    <x v="5"/>
    <n v="4.3830999999999998"/>
    <s v="Yes"/>
    <s v="High"/>
    <n v="1091"/>
    <x v="99"/>
    <s v="Premium"/>
    <n v="0"/>
    <n v="0"/>
    <s v="Eye Care"/>
  </r>
  <r>
    <s v="P398717"/>
    <s v="Dramatically Different Moisturizing Cream"/>
    <n v="1254"/>
    <s v="CLINIQUE"/>
    <n v="8553"/>
    <x v="5"/>
    <n v="4.4085000000000001"/>
    <s v="Yes"/>
    <s v="High"/>
    <n v="164"/>
    <x v="146"/>
    <s v="Mid"/>
    <n v="0"/>
    <n v="0"/>
    <s v="Moisturizers"/>
  </r>
  <r>
    <s v="P392522"/>
    <s v="Santal Soothing &amp; Hydrating Natural Face Treatment Oil"/>
    <n v="2082"/>
    <s v="Clarins"/>
    <n v="8559"/>
    <x v="5"/>
    <n v="4.76"/>
    <s v="Yes"/>
    <s v="High"/>
    <n v="25"/>
    <x v="92"/>
    <s v="Premium"/>
    <n v="0"/>
    <n v="0"/>
    <s v="Moisturizers"/>
  </r>
  <r>
    <s v="P458573"/>
    <s v="Lip Balm Trio"/>
    <n v="3297"/>
    <s v="Jack Black"/>
    <n v="8564"/>
    <x v="5"/>
    <n v="4.7222"/>
    <s v="Yes"/>
    <s v="High"/>
    <n v="18"/>
    <x v="75"/>
    <s v="Mid"/>
    <n v="0"/>
    <n v="0"/>
    <s v="Value &amp; Gift Sets"/>
  </r>
  <r>
    <s v="P504273"/>
    <s v="Treat &amp; Tint Mini Lip Care Gift Set"/>
    <n v="4348"/>
    <s v="fresh"/>
    <n v="8577"/>
    <x v="5"/>
    <n v="4"/>
    <s v="Yes"/>
    <s v="High"/>
    <n v="5"/>
    <x v="9"/>
    <s v="Mid"/>
    <n v="1"/>
    <n v="0"/>
    <s v="Value &amp; Gift Sets"/>
  </r>
  <r>
    <s v="P380027"/>
    <s v="Perfectly Clean Multi-Action Foam Cleanser/Purifying Mask"/>
    <n v="6089"/>
    <s v="EstÃ©e Lauder"/>
    <n v="8588"/>
    <x v="5"/>
    <n v="4.4397000000000002"/>
    <s v="Yes"/>
    <s v="High"/>
    <n v="116"/>
    <x v="78"/>
    <s v="Mid"/>
    <n v="0"/>
    <n v="0"/>
    <s v="Cleansers"/>
  </r>
  <r>
    <s v="P422648"/>
    <s v="DayWear Matte Oil-Control Anti-Oxidant Moisturizer Gel Creme"/>
    <n v="6089"/>
    <s v="EstÃ©e Lauder"/>
    <n v="8588"/>
    <x v="5"/>
    <n v="4.4808000000000003"/>
    <s v="Yes"/>
    <s v="High"/>
    <n v="52"/>
    <x v="83"/>
    <s v="Premium"/>
    <n v="0"/>
    <n v="0"/>
    <s v="Moisturizers"/>
  </r>
  <r>
    <s v="P460511"/>
    <s v="Mini Liquid ExfoliKate Triple Acid Resurfacing Treatment"/>
    <n v="5946"/>
    <s v="Kate Somerville"/>
    <n v="8596"/>
    <x v="5"/>
    <n v="4.1176000000000004"/>
    <s v="Yes"/>
    <s v="High"/>
    <n v="17"/>
    <x v="0"/>
    <s v="Mid"/>
    <n v="0"/>
    <n v="0"/>
    <s v="Mini Size"/>
  </r>
  <r>
    <s v="P444970"/>
    <s v="Replenishing Multi-Acid Peel"/>
    <n v="4164"/>
    <s v="Murad"/>
    <n v="8621"/>
    <x v="5"/>
    <n v="4.6105999999999998"/>
    <s v="Yes"/>
    <s v="High"/>
    <n v="357"/>
    <x v="93"/>
    <s v="Premium"/>
    <n v="0"/>
    <n v="0"/>
    <s v="Treatments"/>
  </r>
  <r>
    <s v="P482742"/>
    <s v="Urban Environment Fresh-Moisture Sunscreen Broad-Spectrum SPF 42"/>
    <n v="5337"/>
    <s v="Shiseido"/>
    <n v="8629"/>
    <x v="5"/>
    <n v="4.6311"/>
    <s v="Yes"/>
    <s v="High"/>
    <n v="1190"/>
    <x v="12"/>
    <s v="Mid"/>
    <n v="0"/>
    <n v="0"/>
    <s v="Sunscreen"/>
  </r>
  <r>
    <s v="P440489"/>
    <s v="Glycolic Foaming Cleanser"/>
    <n v="8017"/>
    <s v="Mario Badescu"/>
    <n v="8640"/>
    <x v="5"/>
    <n v="4.1289999999999996"/>
    <s v="Yes"/>
    <s v="High"/>
    <n v="62"/>
    <x v="47"/>
    <s v="Budget"/>
    <n v="0"/>
    <n v="0"/>
    <s v="Cleansers"/>
  </r>
  <r>
    <s v="P454935"/>
    <s v="Mini Glow Drops"/>
    <n v="6302"/>
    <s v="Dr. Barbara Sturm"/>
    <n v="8640"/>
    <x v="5"/>
    <n v="4.0601000000000003"/>
    <s v="Yes"/>
    <s v="High"/>
    <n v="815"/>
    <x v="37"/>
    <s v="Premium"/>
    <n v="0"/>
    <n v="0"/>
    <s v="Mini Size"/>
  </r>
  <r>
    <s v="P406942"/>
    <s v="Multi-Active Anti-Aging Night Moisturizer for Glowing Skin"/>
    <n v="2082"/>
    <s v="Clarins"/>
    <n v="8646"/>
    <x v="5"/>
    <n v="4.2537000000000003"/>
    <s v="Yes"/>
    <s v="High"/>
    <n v="67"/>
    <x v="48"/>
    <s v="Premium"/>
    <n v="0"/>
    <n v="0"/>
    <s v="Moisturizers"/>
  </r>
  <r>
    <s v="P431416"/>
    <s v="The Replenishing Oil Exfoliator"/>
    <n v="6201"/>
    <s v="La Mer"/>
    <n v="8653"/>
    <x v="5"/>
    <n v="4.6596000000000002"/>
    <s v="Yes"/>
    <s v="High"/>
    <n v="47"/>
    <x v="193"/>
    <s v="Premium"/>
    <n v="0"/>
    <n v="0"/>
    <s v="Cleansers"/>
  </r>
  <r>
    <s v="P461439"/>
    <s v="Hyaluronic Marine Makeup Removing Meltaway Cleanser"/>
    <n v="5668"/>
    <s v="Dr. Dennis Gross Skincare"/>
    <n v="8658"/>
    <x v="5"/>
    <n v="4.4554999999999998"/>
    <s v="Yes"/>
    <s v="High"/>
    <n v="595"/>
    <x v="29"/>
    <s v="Mid"/>
    <n v="0"/>
    <n v="0"/>
    <s v="Cleansers"/>
  </r>
  <r>
    <s v="P460627"/>
    <s v="Saturn Sulfur + Niacinamide Spot Treatment Mask"/>
    <n v="6073"/>
    <s v="Sunday Riley"/>
    <n v="8678"/>
    <x v="5"/>
    <n v="3.1515"/>
    <s v="Yes"/>
    <s v="Medium"/>
    <n v="99"/>
    <x v="60"/>
    <s v="Mid"/>
    <n v="0"/>
    <n v="0"/>
    <s v="Masks"/>
  </r>
  <r>
    <s v="P476010"/>
    <s v="Skin Resolution Clean Exfoliating Acid Toner"/>
    <n v="6367"/>
    <s v="ROSE INC"/>
    <n v="8679"/>
    <x v="5"/>
    <n v="4.6848000000000001"/>
    <s v="Yes"/>
    <s v="High"/>
    <n v="184"/>
    <x v="29"/>
    <s v="Mid"/>
    <n v="0"/>
    <n v="0"/>
    <s v="Cleansers"/>
  </r>
  <r>
    <s v="P479692"/>
    <s v="Awaken Peptide Depuffing Eye Gel"/>
    <n v="6219"/>
    <s v="Dermalogica"/>
    <n v="8685"/>
    <x v="5"/>
    <n v="4.7032999999999996"/>
    <s v="Yes"/>
    <s v="High"/>
    <n v="273"/>
    <x v="83"/>
    <s v="Premium"/>
    <n v="0"/>
    <n v="0"/>
    <s v="Eye Care"/>
  </r>
  <r>
    <s v="P428240"/>
    <s v="Calm Water Gel Moisturizer"/>
    <n v="6219"/>
    <s v="Dermalogica"/>
    <n v="8686"/>
    <x v="5"/>
    <n v="4.3562000000000003"/>
    <s v="Yes"/>
    <s v="High"/>
    <n v="219"/>
    <x v="103"/>
    <s v="Premium"/>
    <n v="0"/>
    <n v="0"/>
    <s v="Moisturizers"/>
  </r>
  <r>
    <s v="P455241"/>
    <s v="Noni Night AHA Pore &amp; Resurfacing Serum"/>
    <n v="6207"/>
    <s v="KORA Organics"/>
    <n v="8710"/>
    <x v="5"/>
    <n v="4.3945999999999996"/>
    <s v="Yes"/>
    <s v="High"/>
    <n v="555"/>
    <x v="28"/>
    <s v="Premium"/>
    <n v="0"/>
    <n v="0"/>
    <s v="Treatments"/>
  </r>
  <r>
    <s v="P474332"/>
    <s v="Bye Bye Lines 1.5% Hyaluronic Acid Serum"/>
    <n v="6175"/>
    <s v="IT Cosmetics"/>
    <n v="8711"/>
    <x v="5"/>
    <n v="4.4615"/>
    <s v="Yes"/>
    <s v="High"/>
    <n v="273"/>
    <x v="31"/>
    <s v="Mid"/>
    <n v="0"/>
    <n v="0"/>
    <s v="Treatments"/>
  </r>
  <r>
    <s v="P468818"/>
    <s v="Mini Moisture Surge 100H Auto-Replenishing Hydrator Moisturizer"/>
    <n v="1254"/>
    <s v="CLINIQUE"/>
    <n v="8723"/>
    <x v="5"/>
    <n v="4.2182000000000004"/>
    <s v="Yes"/>
    <s v="High"/>
    <n v="55"/>
    <x v="47"/>
    <s v="Budget"/>
    <n v="0"/>
    <n v="0"/>
    <s v="Mini Size"/>
  </r>
  <r>
    <s v="P379064"/>
    <s v="Lotus Balancing &amp; Hydrating Natural Face Treatment Oil"/>
    <n v="2082"/>
    <s v="Clarins"/>
    <n v="8723"/>
    <x v="5"/>
    <n v="4.4028999999999998"/>
    <s v="Yes"/>
    <s v="High"/>
    <n v="139"/>
    <x v="92"/>
    <s v="Premium"/>
    <n v="0"/>
    <n v="0"/>
    <s v="Moisturizers"/>
  </r>
  <r>
    <s v="P429637"/>
    <s v="The Moisturizing Cool Gel Cream"/>
    <n v="6201"/>
    <s v="La Mer"/>
    <n v="8727"/>
    <x v="5"/>
    <n v="3.6787999999999998"/>
    <s v="Yes"/>
    <s v="Medium"/>
    <n v="137"/>
    <x v="181"/>
    <s v="Premium"/>
    <n v="0"/>
    <n v="0"/>
    <s v="Moisturizers"/>
  </r>
  <r>
    <s v="P457697"/>
    <s v="DeliKate Recovery Serum"/>
    <n v="5946"/>
    <s v="Kate Somerville"/>
    <n v="8729"/>
    <x v="5"/>
    <n v="4.641"/>
    <s v="Yes"/>
    <s v="High"/>
    <n v="156"/>
    <x v="131"/>
    <s v="Premium"/>
    <n v="0"/>
    <n v="0"/>
    <s v="Treatments"/>
  </r>
  <r>
    <s v="P456204"/>
    <s v="Purity Tanning Waters Mini Kit"/>
    <n v="5626"/>
    <s v="St. Tropez"/>
    <n v="8774"/>
    <x v="5"/>
    <n v="3.2"/>
    <s v="Yes"/>
    <s v="Medium"/>
    <n v="30"/>
    <x v="94"/>
    <s v="Mid"/>
    <n v="0"/>
    <n v="0"/>
    <s v="Value &amp; Gift Sets"/>
  </r>
  <r>
    <s v="P471042"/>
    <s v="Next Level Moisturizer"/>
    <n v="6357"/>
    <s v="iNNBEAUTY PROJECT"/>
    <n v="8788"/>
    <x v="5"/>
    <n v="4.4946000000000002"/>
    <s v="Yes"/>
    <s v="High"/>
    <n v="93"/>
    <x v="0"/>
    <s v="Mid"/>
    <n v="0"/>
    <n v="0"/>
    <s v="Moisturizers"/>
  </r>
  <r>
    <s v="P6028"/>
    <s v="Gentle Buffing Cream"/>
    <n v="4171"/>
    <s v="Caudalie"/>
    <n v="8817"/>
    <x v="5"/>
    <n v="4.3051000000000004"/>
    <s v="Yes"/>
    <s v="High"/>
    <n v="236"/>
    <x v="9"/>
    <s v="Mid"/>
    <n v="0"/>
    <n v="1"/>
    <s v="Cleansers"/>
  </r>
  <r>
    <s v="P447604"/>
    <s v="De-Puffing Jade Eye Treatment Tool"/>
    <n v="6256"/>
    <s v="Mount Lai"/>
    <n v="8818"/>
    <x v="5"/>
    <n v="4.7367999999999997"/>
    <s v="Yes"/>
    <s v="High"/>
    <n v="19"/>
    <x v="78"/>
    <s v="Mid"/>
    <n v="0"/>
    <n v="0"/>
    <s v="Wellness"/>
  </r>
  <r>
    <s v="P504919"/>
    <s v="Milky Oil Dual-Phase Waterproof Makeup Remover"/>
    <n v="6751"/>
    <s v="Glossier"/>
    <n v="8821"/>
    <x v="5"/>
    <n v="4.2667000000000002"/>
    <s v="Yes"/>
    <s v="High"/>
    <n v="15"/>
    <x v="58"/>
    <s v="Budget"/>
    <n v="1"/>
    <n v="0"/>
    <s v="Cleansers"/>
  </r>
  <r>
    <s v="P410101"/>
    <s v="Broad Spectrum SPF 50 Mineral Sunscreen Fluid for Face"/>
    <n v="1254"/>
    <s v="CLINIQUE"/>
    <n v="8842"/>
    <x v="5"/>
    <n v="3.4405000000000001"/>
    <s v="Yes"/>
    <s v="Medium"/>
    <n v="84"/>
    <x v="209"/>
    <s v="Mid"/>
    <n v="0"/>
    <n v="0"/>
    <s v="Sunscreen"/>
  </r>
  <r>
    <s v="P460704"/>
    <s v="The Hydrating Kit"/>
    <n v="3902"/>
    <s v="SEPHORA COLLECTION"/>
    <n v="8847"/>
    <x v="5"/>
    <n v="4.3333000000000004"/>
    <s v="Yes"/>
    <s v="High"/>
    <n v="18"/>
    <x v="60"/>
    <s v="Mid"/>
    <n v="0"/>
    <n v="0"/>
    <s v="Value &amp; Gift Sets"/>
  </r>
  <r>
    <s v="P423264"/>
    <s v="One Essential Skin Boosting Super Serum"/>
    <n v="1073"/>
    <s v="Dior"/>
    <n v="8855"/>
    <x v="5"/>
    <n v="4.3888999999999996"/>
    <s v="Yes"/>
    <s v="High"/>
    <n v="54"/>
    <x v="61"/>
    <s v="Premium"/>
    <n v="0"/>
    <n v="0"/>
    <s v="Treatments"/>
  </r>
  <r>
    <s v="P500746"/>
    <s v="Hydrating Serum with Hyaluronic Acid"/>
    <n v="5972"/>
    <s v="First Aid Beauty"/>
    <n v="8865"/>
    <x v="5"/>
    <n v="4.5727000000000002"/>
    <s v="Yes"/>
    <s v="High"/>
    <n v="110"/>
    <x v="24"/>
    <s v="Mid"/>
    <n v="0"/>
    <n v="0"/>
    <s v="Treatments"/>
  </r>
  <r>
    <s v="P436365"/>
    <s v="+Retinol Vita C Power Serum"/>
    <n v="5946"/>
    <s v="Kate Somerville"/>
    <n v="8879"/>
    <x v="5"/>
    <n v="3.5041000000000002"/>
    <s v="Yes"/>
    <s v="Medium"/>
    <n v="121"/>
    <x v="61"/>
    <s v="Premium"/>
    <n v="0"/>
    <n v="0"/>
    <s v="Treatments"/>
  </r>
  <r>
    <s v="P453826"/>
    <s v="RÃ©nergie Lift Multi-Action Ultra Dark Spot Correcting Cream SPF 30"/>
    <n v="1741"/>
    <s v="LancÃ´me"/>
    <n v="8888"/>
    <x v="5"/>
    <n v="4.6909000000000001"/>
    <s v="Yes"/>
    <s v="High"/>
    <n v="317"/>
    <x v="193"/>
    <s v="Premium"/>
    <n v="0"/>
    <n v="0"/>
    <s v="Moisturizers"/>
  </r>
  <r>
    <s v="P441645"/>
    <s v="Sunless Tan Firming Lotion"/>
    <n v="7091"/>
    <s v="COOLA"/>
    <n v="8889"/>
    <x v="5"/>
    <n v="4.25"/>
    <s v="Yes"/>
    <s v="High"/>
    <n v="40"/>
    <x v="45"/>
    <s v="Mid"/>
    <n v="0"/>
    <n v="0"/>
    <s v="Self Tanners"/>
  </r>
  <r>
    <s v="P456990"/>
    <s v="Mini GENIUS Liquid Collagen"/>
    <n v="6018"/>
    <s v="Algenist"/>
    <n v="8900"/>
    <x v="5"/>
    <n v="3.4411999999999998"/>
    <s v="Yes"/>
    <s v="Medium"/>
    <n v="34"/>
    <x v="94"/>
    <s v="Mid"/>
    <n v="0"/>
    <n v="0"/>
    <s v="Mini Size"/>
  </r>
  <r>
    <s v="P447782"/>
    <s v="Glow Drops"/>
    <n v="6302"/>
    <s v="Dr. Barbara Sturm"/>
    <n v="8905"/>
    <x v="5"/>
    <n v="4.0601000000000003"/>
    <s v="Yes"/>
    <s v="High"/>
    <n v="815"/>
    <x v="184"/>
    <s v="Premium"/>
    <n v="0"/>
    <n v="0"/>
    <s v="Treatments"/>
  </r>
  <r>
    <s v="P500117"/>
    <s v="NÂ°38 Facial Sunscreen Mist with SPF 38"/>
    <n v="6500"/>
    <s v="HABIT"/>
    <n v="8924"/>
    <x v="5"/>
    <n v="4.3578000000000001"/>
    <s v="Yes"/>
    <s v="High"/>
    <n v="109"/>
    <x v="78"/>
    <s v="Mid"/>
    <n v="0"/>
    <n v="0"/>
    <s v="Sunscreen"/>
  </r>
  <r>
    <s v="P475124"/>
    <s v="The Hydrating Infused Emulsion"/>
    <n v="6201"/>
    <s v="La Mer"/>
    <n v="8930"/>
    <x v="5"/>
    <n v="4.6222000000000003"/>
    <s v="Yes"/>
    <s v="High"/>
    <n v="360"/>
    <x v="81"/>
    <s v="Premium"/>
    <n v="0"/>
    <n v="0"/>
    <s v="Moisturizers"/>
  </r>
  <r>
    <s v="P423143"/>
    <s v="Stress Positive Eye Lift Mask"/>
    <n v="6219"/>
    <s v="Dermalogica"/>
    <n v="8944"/>
    <x v="5"/>
    <n v="4.1666999999999996"/>
    <s v="Yes"/>
    <s v="High"/>
    <n v="36"/>
    <x v="28"/>
    <s v="Premium"/>
    <n v="0"/>
    <n v="0"/>
    <s v="Eye Care"/>
  </r>
  <r>
    <s v="P467124"/>
    <s v="That Blockbuster Cream with Hyaluronic Acid"/>
    <n v="6335"/>
    <s v="JLo Beauty"/>
    <n v="8948"/>
    <x v="5"/>
    <n v="4.1612"/>
    <s v="Yes"/>
    <s v="High"/>
    <n v="552"/>
    <x v="83"/>
    <s v="Premium"/>
    <n v="0"/>
    <n v="0"/>
    <s v="Moisturizers"/>
  </r>
  <r>
    <s v="P383053"/>
    <s v="Do Not Age with Dr. Brandt Triple Peptide Eye Cream"/>
    <n v="4372"/>
    <s v="Dr. Brandt Skincare"/>
    <n v="8950"/>
    <x v="5"/>
    <n v="4.0822000000000003"/>
    <s v="Yes"/>
    <s v="High"/>
    <n v="146"/>
    <x v="42"/>
    <s v="Premium"/>
    <n v="0"/>
    <n v="0"/>
    <s v="Eye Care"/>
  </r>
  <r>
    <s v="P503890"/>
    <s v="Green Tea Hyaluronic Acid Hydrating Toner"/>
    <n v="6295"/>
    <s v="innisfree"/>
    <n v="8957"/>
    <x v="5"/>
    <n v="4.5713999999999997"/>
    <s v="Yes"/>
    <s v="High"/>
    <n v="14"/>
    <x v="75"/>
    <s v="Mid"/>
    <n v="0"/>
    <n v="0"/>
    <s v="Cleansers"/>
  </r>
  <r>
    <s v="P466122"/>
    <s v="Kombucha 2-in-1 No-Rinse Cleanser &amp; Prebiotic Treatment"/>
    <n v="4348"/>
    <s v="fresh"/>
    <n v="8957"/>
    <x v="5"/>
    <n v="4.4260000000000002"/>
    <s v="Yes"/>
    <s v="High"/>
    <n v="716"/>
    <x v="124"/>
    <s v="Mid"/>
    <n v="0"/>
    <n v="0"/>
    <s v="Cleansers"/>
  </r>
  <r>
    <s v="P457695"/>
    <s v="DeliKate Recovery Cream"/>
    <n v="5946"/>
    <s v="Kate Somerville"/>
    <n v="8961"/>
    <x v="5"/>
    <n v="4.4970999999999997"/>
    <s v="Yes"/>
    <s v="High"/>
    <n v="350"/>
    <x v="113"/>
    <s v="Premium"/>
    <n v="0"/>
    <n v="0"/>
    <s v="Moisturizers"/>
  </r>
  <r>
    <s v="P468412"/>
    <s v="Pitera Power Kit"/>
    <n v="6084"/>
    <s v="SK-II"/>
    <n v="8972"/>
    <x v="5"/>
    <n v="4.0587999999999997"/>
    <s v="Yes"/>
    <s v="High"/>
    <n v="17"/>
    <x v="61"/>
    <s v="Premium"/>
    <n v="0"/>
    <n v="0"/>
    <s v="Value &amp; Gift Sets"/>
  </r>
  <r>
    <s v="P482753"/>
    <s v="Protect + Glow Daily Sunscreen Gel Broad Spectrum SPF 30"/>
    <n v="6373"/>
    <s v="TULA Skincare"/>
    <n v="8977"/>
    <x v="5"/>
    <n v="4.4256000000000002"/>
    <s v="Yes"/>
    <s v="High"/>
    <n v="195"/>
    <x v="12"/>
    <s v="Mid"/>
    <n v="0"/>
    <n v="0"/>
    <s v="Sunscreen"/>
  </r>
  <r>
    <s v="P501474"/>
    <s v="The Youth Vault: 13-Piece Vegan Skincare + Apparel Set"/>
    <n v="6169"/>
    <s v="Youth To The People"/>
    <n v="8989"/>
    <x v="5"/>
    <n v="4.875"/>
    <s v="Yes"/>
    <s v="High"/>
    <n v="8"/>
    <x v="216"/>
    <s v="Premium"/>
    <n v="0"/>
    <n v="0"/>
    <s v="Value &amp; Gift Sets"/>
  </r>
  <r>
    <s v="P446630"/>
    <s v="Clean Pro Rose Quartz"/>
    <n v="6114"/>
    <s v="PMD"/>
    <n v="8990"/>
    <x v="5"/>
    <n v="4.4558999999999997"/>
    <s v="Yes"/>
    <s v="High"/>
    <n v="136"/>
    <x v="130"/>
    <s v="Premium"/>
    <n v="0"/>
    <n v="0"/>
    <s v="High Tech Tools"/>
  </r>
  <r>
    <s v="P461200"/>
    <s v="Clean Watermelon After Sun Mask"/>
    <n v="3902"/>
    <s v="SEPHORA COLLECTION"/>
    <n v="9000"/>
    <x v="5"/>
    <n v="4.6666999999999996"/>
    <s v="Yes"/>
    <s v="High"/>
    <n v="27"/>
    <x v="100"/>
    <s v="Budget"/>
    <n v="0"/>
    <n v="0"/>
    <s v="Masks"/>
  </r>
  <r>
    <s v="P442743"/>
    <s v="Peptide 21 Wrinkle Resist Moisturizer"/>
    <n v="3728"/>
    <s v="Peter Thomas Roth"/>
    <n v="9001"/>
    <x v="5"/>
    <n v="4.5530999999999997"/>
    <s v="Yes"/>
    <s v="High"/>
    <n v="508"/>
    <x v="73"/>
    <s v="Premium"/>
    <n v="0"/>
    <n v="0"/>
    <s v="Moisturizers"/>
  </r>
  <r>
    <s v="P454086"/>
    <s v="Teatreement Cleansing Foam"/>
    <n v="6014"/>
    <s v="Dr. Jart+"/>
    <n v="9022"/>
    <x v="5"/>
    <n v="4.1409000000000002"/>
    <s v="Yes"/>
    <s v="High"/>
    <n v="504"/>
    <x v="31"/>
    <s v="Mid"/>
    <n v="0"/>
    <n v="0"/>
    <s v="Cleansers"/>
  </r>
  <r>
    <s v="P454385"/>
    <s v="Mini PLAY Everyday Sunscreen Lotion SPF 30 PA++++"/>
    <n v="5987"/>
    <s v="Supergoop!"/>
    <n v="9058"/>
    <x v="5"/>
    <n v="4.3333000000000004"/>
    <s v="Yes"/>
    <s v="High"/>
    <n v="57"/>
    <x v="18"/>
    <s v="Mid"/>
    <n v="0"/>
    <n v="0"/>
    <s v="Sunscreen"/>
  </r>
  <r>
    <s v="P479971"/>
    <s v="RÃ©nergie H.C.F. Triple Serum: For Plumping &amp; Anti-Aging"/>
    <n v="1741"/>
    <s v="LancÃ´me"/>
    <n v="9070"/>
    <x v="5"/>
    <n v="4.4419000000000004"/>
    <s v="Yes"/>
    <s v="High"/>
    <n v="602"/>
    <x v="180"/>
    <s v="Premium"/>
    <n v="0"/>
    <n v="0"/>
    <s v="Treatments"/>
  </r>
  <r>
    <s v="P404169"/>
    <s v="POWER Advanced Wrinkle Fighter 360Â° Eye Serum"/>
    <n v="6018"/>
    <s v="Algenist"/>
    <n v="9082"/>
    <x v="5"/>
    <n v="4.0229999999999997"/>
    <s v="Yes"/>
    <s v="High"/>
    <n v="87"/>
    <x v="10"/>
    <s v="Premium"/>
    <n v="0"/>
    <n v="0"/>
    <s v="Eye Care"/>
  </r>
  <r>
    <s v="P397627"/>
    <s v="Dermask Intra Jet Firming Solution"/>
    <n v="6014"/>
    <s v="Dr. Jart+"/>
    <n v="9087"/>
    <x v="5"/>
    <n v="3.3060999999999998"/>
    <s v="Yes"/>
    <s v="Medium"/>
    <n v="49"/>
    <x v="59"/>
    <s v="Budget"/>
    <n v="0"/>
    <n v="0"/>
    <s v="Masks"/>
  </r>
  <r>
    <s v="P482007"/>
    <s v="Dewy Glow Jam Cleanser with Jeju Cherry Blossom"/>
    <n v="6295"/>
    <s v="innisfree"/>
    <n v="9095"/>
    <x v="5"/>
    <n v="4.3094999999999999"/>
    <s v="Yes"/>
    <s v="High"/>
    <n v="42"/>
    <x v="3"/>
    <s v="Budget"/>
    <n v="0"/>
    <n v="0"/>
    <s v="Cleansers"/>
  </r>
  <r>
    <s v="P474956"/>
    <s v="Day Dew Self-Tan Face Mist"/>
    <n v="8008"/>
    <s v="Isle of Paradise"/>
    <n v="9157"/>
    <x v="5"/>
    <n v="4.1886999999999999"/>
    <s v="Yes"/>
    <s v="High"/>
    <n v="53"/>
    <x v="0"/>
    <s v="Mid"/>
    <n v="0"/>
    <n v="0"/>
    <s v="Self Tanners"/>
  </r>
  <r>
    <s v="P456207"/>
    <s v="Greek Yoghurt Nourishing Probiotic Gel-Cream"/>
    <n v="5715"/>
    <s v="KORRES"/>
    <n v="9157"/>
    <x v="5"/>
    <n v="4.3479999999999999"/>
    <s v="Yes"/>
    <s v="High"/>
    <n v="3112"/>
    <x v="205"/>
    <s v="Mid"/>
    <n v="0"/>
    <n v="0"/>
    <s v="Moisturizers"/>
  </r>
  <r>
    <s v="P470217"/>
    <s v="Liquid Sun Shield Daily Brightening Mineral Sunscreen SPF 50"/>
    <n v="4372"/>
    <s v="Dr. Brandt Skincare"/>
    <n v="9171"/>
    <x v="5"/>
    <n v="4.2804000000000002"/>
    <s v="Yes"/>
    <s v="High"/>
    <n v="189"/>
    <x v="138"/>
    <s v="Premium"/>
    <n v="0"/>
    <n v="0"/>
    <s v="Sunscreen"/>
  </r>
  <r>
    <s v="P500016"/>
    <s v="Deep Exfoliating Cleanser"/>
    <n v="4171"/>
    <s v="Caudalie"/>
    <n v="9182"/>
    <x v="5"/>
    <n v="4.6923000000000004"/>
    <s v="Yes"/>
    <s v="High"/>
    <n v="13"/>
    <x v="12"/>
    <s v="Mid"/>
    <n v="0"/>
    <n v="0"/>
    <s v="Cleansers"/>
  </r>
  <r>
    <s v="P472454"/>
    <s v="Vinosource-Hydra Moisturizing Sorbet"/>
    <n v="4171"/>
    <s v="Caudalie"/>
    <n v="9188"/>
    <x v="5"/>
    <n v="4.2202000000000002"/>
    <s v="Yes"/>
    <s v="High"/>
    <n v="1962"/>
    <x v="12"/>
    <s v="Mid"/>
    <n v="0"/>
    <n v="0"/>
    <s v="Moisturizers"/>
  </r>
  <r>
    <s v="P429683"/>
    <s v="Self Tan Purity Bronzing Water Mousse"/>
    <n v="5626"/>
    <s v="St. Tropez"/>
    <n v="9236"/>
    <x v="5"/>
    <n v="3.8311999999999999"/>
    <s v="Yes"/>
    <s v="Medium"/>
    <n v="160"/>
    <x v="124"/>
    <s v="Mid"/>
    <n v="0"/>
    <n v="0"/>
    <s v="Self Tanners"/>
  </r>
  <r>
    <s v="P459128"/>
    <s v="Vitamin C+B+E Ferulic Serum"/>
    <n v="6318"/>
    <s v="Dr. Lara Devgan Scientific Beauty"/>
    <n v="9243"/>
    <x v="5"/>
    <n v="4.8235000000000001"/>
    <s v="Yes"/>
    <s v="High"/>
    <n v="306"/>
    <x v="109"/>
    <s v="Premium"/>
    <n v="0"/>
    <n v="0"/>
    <s v="Treatments"/>
  </r>
  <r>
    <s v="P448562"/>
    <s v="Barrier+ Foaming Clay Cleanser"/>
    <n v="6289"/>
    <s v="Skinfix"/>
    <n v="9256"/>
    <x v="5"/>
    <n v="4.4493"/>
    <s v="Yes"/>
    <s v="High"/>
    <n v="69"/>
    <x v="29"/>
    <s v="Mid"/>
    <n v="0"/>
    <n v="0"/>
    <s v="Cleansers"/>
  </r>
  <r>
    <s v="P481743"/>
    <s v="Peptight Tightening Neck Serum Roller"/>
    <n v="6358"/>
    <s v="StriVectin"/>
    <n v="9271"/>
    <x v="5"/>
    <n v="4.7954999999999997"/>
    <s v="Yes"/>
    <s v="High"/>
    <n v="44"/>
    <x v="93"/>
    <s v="Premium"/>
    <n v="0"/>
    <n v="0"/>
    <s v="High Tech Tools"/>
  </r>
  <r>
    <s v="P503655"/>
    <s v="Mini Grape Water Moisturizing Face Mist"/>
    <n v="4171"/>
    <s v="Caudalie"/>
    <n v="9290"/>
    <x v="5"/>
    <n v="4.125"/>
    <s v="Yes"/>
    <s v="High"/>
    <n v="8"/>
    <x v="51"/>
    <s v="Budget"/>
    <n v="0"/>
    <n v="0"/>
    <s v="Moisturizers"/>
  </r>
  <r>
    <s v="P480603"/>
    <s v="2-in-1 Cleansing Oil + Makeup Remover"/>
    <n v="5972"/>
    <s v="First Aid Beauty"/>
    <n v="9294"/>
    <x v="5"/>
    <n v="3.6080999999999999"/>
    <s v="Yes"/>
    <s v="Medium"/>
    <n v="74"/>
    <x v="95"/>
    <s v="Mid"/>
    <n v="0"/>
    <n v="0"/>
    <s v="Cleansers"/>
  </r>
  <r>
    <s v="P445833"/>
    <s v="AGE Bright Clearing Serum"/>
    <n v="6219"/>
    <s v="Dermalogica"/>
    <n v="9307"/>
    <x v="5"/>
    <n v="4.3528000000000002"/>
    <s v="Yes"/>
    <s v="High"/>
    <n v="343"/>
    <x v="76"/>
    <s v="Premium"/>
    <n v="0"/>
    <n v="0"/>
    <s v="Treatments"/>
  </r>
  <r>
    <s v="P388200"/>
    <s v="GENIUS Ultimate Anti-Aging Melting Cleanser"/>
    <n v="6018"/>
    <s v="Algenist"/>
    <n v="9314"/>
    <x v="5"/>
    <n v="4.0568999999999997"/>
    <s v="Yes"/>
    <s v="High"/>
    <n v="334"/>
    <x v="12"/>
    <s v="Mid"/>
    <n v="0"/>
    <n v="1"/>
    <s v="Cleansers"/>
  </r>
  <r>
    <s v="P504320"/>
    <s v="SPF Bestsellers Kit"/>
    <n v="5987"/>
    <s v="Supergoop!"/>
    <n v="9331"/>
    <x v="5"/>
    <n v="3.75"/>
    <s v="Yes"/>
    <s v="Medium"/>
    <n v="8"/>
    <x v="78"/>
    <s v="Mid"/>
    <n v="0"/>
    <n v="0"/>
    <s v="Value &amp; Gift Sets"/>
  </r>
  <r>
    <s v="P461667"/>
    <s v="Mini GO OFF Makeup Dissolving Mist"/>
    <n v="6326"/>
    <s v="ONE/SIZE by Patrick Starrr"/>
    <n v="9362"/>
    <x v="5"/>
    <n v="4.1680000000000001"/>
    <s v="Yes"/>
    <s v="High"/>
    <n v="256"/>
    <x v="5"/>
    <s v="Budget"/>
    <n v="0"/>
    <n v="0"/>
    <s v="Mini Size"/>
  </r>
  <r>
    <s v="P453825"/>
    <s v="Hydra Zen Glow Liquid Lightweight Moisturizer with Hyaluronic Acid"/>
    <n v="1741"/>
    <s v="LancÃ´me"/>
    <n v="9381"/>
    <x v="5"/>
    <n v="4.4130000000000003"/>
    <s v="Yes"/>
    <s v="High"/>
    <n v="1511"/>
    <x v="30"/>
    <s v="Premium"/>
    <n v="0"/>
    <n v="1"/>
    <s v="Moisturizers"/>
  </r>
  <r>
    <s v="P386759"/>
    <s v="Moody Bird PMS Support Supplement"/>
    <n v="7050"/>
    <s v="HUM Nutrition"/>
    <n v="9393"/>
    <x v="5"/>
    <n v="4.2222"/>
    <s v="Yes"/>
    <s v="High"/>
    <n v="81"/>
    <x v="95"/>
    <s v="Mid"/>
    <n v="0"/>
    <n v="0"/>
    <s v="Wellness"/>
  </r>
  <r>
    <s v="P392142"/>
    <s v="Nourishing Makeup Removing Oil Cleanser"/>
    <n v="7020"/>
    <s v="Tata Harper"/>
    <n v="9393"/>
    <x v="5"/>
    <n v="4.0210999999999997"/>
    <s v="Yes"/>
    <s v="High"/>
    <n v="95"/>
    <x v="118"/>
    <s v="Premium"/>
    <n v="0"/>
    <n v="0"/>
    <s v="Cleansers"/>
  </r>
  <r>
    <s v="P449835"/>
    <s v="Mini Maracuja Oil"/>
    <n v="5648"/>
    <s v="tarte"/>
    <n v="9396"/>
    <x v="5"/>
    <n v="3.8980000000000001"/>
    <s v="Yes"/>
    <s v="Medium"/>
    <n v="49"/>
    <x v="47"/>
    <s v="Budget"/>
    <n v="0"/>
    <n v="0"/>
    <s v="Mini Size"/>
  </r>
  <r>
    <s v="P481972"/>
    <s v="La Mousse OFF/ON Foaming Face Cleanser"/>
    <n v="1073"/>
    <s v="Dior"/>
    <n v="9400"/>
    <x v="5"/>
    <n v="4.4231999999999996"/>
    <s v="Yes"/>
    <s v="High"/>
    <n v="560"/>
    <x v="50"/>
    <s v="Premium"/>
    <n v="0"/>
    <n v="0"/>
    <s v="Cleansers"/>
  </r>
  <r>
    <s v="P504794"/>
    <s v="After Baume Moisture Barrier Recovery Cream"/>
    <n v="6751"/>
    <s v="Glossier"/>
    <n v="9402"/>
    <x v="5"/>
    <n v="4.1429"/>
    <s v="Yes"/>
    <s v="High"/>
    <n v="42"/>
    <x v="52"/>
    <s v="Mid"/>
    <n v="1"/>
    <n v="0"/>
    <s v="Moisturizers"/>
  </r>
  <r>
    <s v="P475921"/>
    <s v="Double Serum Eye Firming &amp; Hydrating Anti-Aging Concentrate"/>
    <n v="2082"/>
    <s v="Clarins"/>
    <n v="9415"/>
    <x v="5"/>
    <n v="4.2278000000000002"/>
    <s v="Yes"/>
    <s v="High"/>
    <n v="922"/>
    <x v="42"/>
    <s v="Premium"/>
    <n v="0"/>
    <n v="0"/>
    <s v="Eye Care"/>
  </r>
  <r>
    <s v="P411360"/>
    <s v="Hyaluronic Marine Hydrating Modeling Mask"/>
    <n v="5668"/>
    <s v="Dr. Dennis Gross Skincare"/>
    <n v="9464"/>
    <x v="5"/>
    <n v="4.0921000000000003"/>
    <s v="Yes"/>
    <s v="High"/>
    <n v="76"/>
    <x v="23"/>
    <s v="Premium"/>
    <n v="0"/>
    <n v="1"/>
    <s v="Masks"/>
  </r>
  <r>
    <s v="P500112"/>
    <s v="NÂ°41 Facial Sunscreen Mist with SPF 41"/>
    <n v="6500"/>
    <s v="HABIT"/>
    <n v="9474"/>
    <x v="5"/>
    <n v="4.4904000000000002"/>
    <s v="Yes"/>
    <s v="High"/>
    <n v="208"/>
    <x v="78"/>
    <s v="Mid"/>
    <n v="0"/>
    <n v="0"/>
    <s v="Sunscreen"/>
  </r>
  <r>
    <s v="P457441"/>
    <s v="The Clarifying Kit"/>
    <n v="3902"/>
    <s v="SEPHORA COLLECTION"/>
    <n v="9475"/>
    <x v="5"/>
    <n v="4.6666999999999996"/>
    <s v="Yes"/>
    <s v="High"/>
    <n v="33"/>
    <x v="60"/>
    <s v="Mid"/>
    <n v="0"/>
    <n v="0"/>
    <s v="Value &amp; Gift Sets"/>
  </r>
  <r>
    <s v="P471041"/>
    <s v="Down to Tone Resurfacing Acid Toner"/>
    <n v="6357"/>
    <s v="iNNBEAUTY PROJECT"/>
    <n v="9487"/>
    <x v="5"/>
    <n v="4.3606999999999996"/>
    <s v="Yes"/>
    <s v="High"/>
    <n v="122"/>
    <x v="52"/>
    <s v="Mid"/>
    <n v="0"/>
    <n v="0"/>
    <s v="Cleansers"/>
  </r>
  <r>
    <s v="P416728"/>
    <s v="Dreamskin Skin Perfector Refill"/>
    <n v="1073"/>
    <s v="Dior"/>
    <n v="9535"/>
    <x v="5"/>
    <n v="4.5713999999999997"/>
    <s v="Yes"/>
    <s v="High"/>
    <n v="35"/>
    <x v="162"/>
    <s v="Premium"/>
    <n v="0"/>
    <n v="0"/>
    <s v="Treatments"/>
  </r>
  <r>
    <s v="P417243"/>
    <s v="The Tonic"/>
    <n v="6201"/>
    <s v="La Mer"/>
    <n v="9567"/>
    <x v="5"/>
    <n v="4.1333000000000002"/>
    <s v="Yes"/>
    <s v="High"/>
    <n v="45"/>
    <x v="73"/>
    <s v="Premium"/>
    <n v="0"/>
    <n v="0"/>
    <s v="Cleansers"/>
  </r>
  <r>
    <s v="P481390"/>
    <s v="Omega+ Complex Moisturizer"/>
    <n v="6341"/>
    <s v="Paula's Choice"/>
    <n v="9568"/>
    <x v="5"/>
    <n v="4.3281000000000001"/>
    <s v="Yes"/>
    <s v="High"/>
    <n v="64"/>
    <x v="96"/>
    <s v="Mid"/>
    <n v="0"/>
    <n v="0"/>
    <s v="Moisturizers"/>
  </r>
  <r>
    <s v="P377576"/>
    <s v="Repairwear Laser Focus Wrinkle Correcting Eye Cream"/>
    <n v="1254"/>
    <s v="CLINIQUE"/>
    <n v="9568"/>
    <x v="5"/>
    <n v="3.9066999999999998"/>
    <s v="Yes"/>
    <s v="Medium"/>
    <n v="150"/>
    <x v="30"/>
    <s v="Premium"/>
    <n v="0"/>
    <n v="0"/>
    <s v="Eye Care"/>
  </r>
  <r>
    <s v="P446916"/>
    <s v="Eczema+ Care Kit"/>
    <n v="6289"/>
    <s v="Skinfix"/>
    <n v="9573"/>
    <x v="5"/>
    <n v="4.2"/>
    <s v="Yes"/>
    <s v="High"/>
    <n v="115"/>
    <x v="9"/>
    <s v="Mid"/>
    <n v="0"/>
    <n v="0"/>
    <s v="Value &amp; Gift Sets"/>
  </r>
  <r>
    <s v="P480628"/>
    <s v="10% Niacinamide Booster"/>
    <n v="6341"/>
    <s v="Paula's Choice"/>
    <n v="9601"/>
    <x v="5"/>
    <n v="4.7526000000000002"/>
    <s v="Yes"/>
    <s v="High"/>
    <n v="194"/>
    <x v="25"/>
    <s v="Mid"/>
    <n v="0"/>
    <n v="0"/>
    <s v="Treatments"/>
  </r>
  <r>
    <s v="P436346"/>
    <s v="Youth Junkie Activated Mask"/>
    <n v="7037"/>
    <s v="FOREO"/>
    <n v="9611"/>
    <x v="5"/>
    <n v="4.6315999999999997"/>
    <s v="Yes"/>
    <s v="High"/>
    <n v="19"/>
    <x v="215"/>
    <s v="Mid"/>
    <n v="0"/>
    <n v="0"/>
    <s v="Masks"/>
  </r>
  <r>
    <s v="P500774"/>
    <s v="Clarifying Toner with Niacinamide and Zinc"/>
    <n v="3902"/>
    <s v="SEPHORA COLLECTION"/>
    <n v="9632"/>
    <x v="5"/>
    <n v="4.4443999999999999"/>
    <s v="Yes"/>
    <s v="High"/>
    <n v="18"/>
    <x v="58"/>
    <s v="Budget"/>
    <n v="0"/>
    <n v="0"/>
    <s v="Cleansers"/>
  </r>
  <r>
    <s v="P483658"/>
    <s v="Mineral Sunscreen Zinc Oxide Broad Spectrum SPF 30"/>
    <n v="5972"/>
    <s v="First Aid Beauty"/>
    <n v="9664"/>
    <x v="5"/>
    <n v="4.4878"/>
    <s v="Yes"/>
    <s v="High"/>
    <n v="246"/>
    <x v="52"/>
    <s v="Mid"/>
    <n v="0"/>
    <n v="0"/>
    <s v="Sunscreen"/>
  </r>
  <r>
    <s v="P472311"/>
    <s v="Mini Total Cleans'r Makeup Removing Cleanser"/>
    <n v="6352"/>
    <s v="Fenty Skin"/>
    <n v="9677"/>
    <x v="5"/>
    <n v="3.7726999999999999"/>
    <s v="Yes"/>
    <s v="Medium"/>
    <n v="22"/>
    <x v="64"/>
    <s v="Budget"/>
    <n v="0"/>
    <n v="0"/>
    <s v="Mini Size"/>
  </r>
  <r>
    <s v="P500240"/>
    <s v="Daily Milkfoliant Exfoliator"/>
    <n v="6219"/>
    <s v="Dermalogica"/>
    <n v="9681"/>
    <x v="5"/>
    <n v="4.7942999999999998"/>
    <s v="Yes"/>
    <s v="High"/>
    <n v="559"/>
    <x v="92"/>
    <s v="Premium"/>
    <n v="0"/>
    <n v="0"/>
    <s v="Cleansers"/>
  </r>
  <r>
    <s v="P433884"/>
    <s v="Dermask Ultra Jet Peeling Solution"/>
    <n v="6014"/>
    <s v="Dr. Jart+"/>
    <n v="9689"/>
    <x v="5"/>
    <n v="4.2462"/>
    <s v="Yes"/>
    <s v="High"/>
    <n v="65"/>
    <x v="59"/>
    <s v="Budget"/>
    <n v="0"/>
    <n v="1"/>
    <s v="Treatments"/>
  </r>
  <r>
    <s v="P306941"/>
    <s v="DermalQuench Hyaluronic Acid Hydration Treatment"/>
    <n v="5946"/>
    <s v="Kate Somerville"/>
    <n v="9711"/>
    <x v="5"/>
    <n v="4.1824000000000003"/>
    <s v="Yes"/>
    <s v="High"/>
    <n v="603"/>
    <x v="61"/>
    <s v="Premium"/>
    <n v="0"/>
    <n v="0"/>
    <s v="Treatments"/>
  </r>
  <r>
    <s v="P432256"/>
    <s v="Mini Black Tea Instant Perfecting Mask"/>
    <n v="4348"/>
    <s v="fresh"/>
    <n v="9725"/>
    <x v="5"/>
    <n v="4.3571"/>
    <s v="Yes"/>
    <s v="High"/>
    <n v="28"/>
    <x v="24"/>
    <s v="Mid"/>
    <n v="0"/>
    <n v="0"/>
    <s v="Mini Size"/>
  </r>
  <r>
    <s v="P461948"/>
    <s v="Super Multi-Corrective Anti-Aging Face and Neck Cream"/>
    <n v="6218"/>
    <s v="Kiehl's Since 1851"/>
    <n v="9733"/>
    <x v="5"/>
    <n v="4.2824"/>
    <s v="Yes"/>
    <s v="High"/>
    <n v="170"/>
    <x v="113"/>
    <s v="Premium"/>
    <n v="0"/>
    <n v="0"/>
    <s v="Moisturizers"/>
  </r>
  <r>
    <s v="P455217"/>
    <s v="Gradual Self-Tanning Face Gel"/>
    <n v="3902"/>
    <s v="SEPHORA COLLECTION"/>
    <n v="9757"/>
    <x v="5"/>
    <n v="3.8308"/>
    <s v="Yes"/>
    <s v="Medium"/>
    <n v="65"/>
    <x v="34"/>
    <s v="Budget"/>
    <n v="0"/>
    <n v="1"/>
    <s v="Sunscreen"/>
  </r>
  <r>
    <s v="P478731"/>
    <s v="Lactic Acid AHA Exfoliating Serum"/>
    <n v="6314"/>
    <s v="Shani Darden Skin Care"/>
    <n v="9772"/>
    <x v="5"/>
    <n v="4.6299000000000001"/>
    <s v="Yes"/>
    <s v="High"/>
    <n v="254"/>
    <x v="118"/>
    <s v="Premium"/>
    <n v="0"/>
    <n v="0"/>
    <s v="Treatments"/>
  </r>
  <r>
    <s v="P407040"/>
    <s v="Acne Solutions Acne + Line Correcting Serum"/>
    <n v="1254"/>
    <s v="CLINIQUE"/>
    <n v="9778"/>
    <x v="5"/>
    <n v="4.1303999999999998"/>
    <s v="Yes"/>
    <s v="High"/>
    <n v="115"/>
    <x v="23"/>
    <s v="Premium"/>
    <n v="0"/>
    <n v="0"/>
    <s v="Treatments"/>
  </r>
  <r>
    <s v="P282920"/>
    <s v="Pore Refining Solutions Correcting Serum"/>
    <n v="1254"/>
    <s v="CLINIQUE"/>
    <n v="9788"/>
    <x v="5"/>
    <n v="3.8603000000000001"/>
    <s v="Yes"/>
    <s v="Medium"/>
    <n v="408"/>
    <x v="103"/>
    <s v="Premium"/>
    <n v="0"/>
    <n v="0"/>
    <s v="Treatments"/>
  </r>
  <r>
    <s v="P464799"/>
    <s v="Potent-C Power Brightening Hydra-Gels"/>
    <n v="3728"/>
    <s v="Peter Thomas Roth"/>
    <n v="9815"/>
    <x v="5"/>
    <n v="2.6429"/>
    <s v="Yes"/>
    <s v="Low"/>
    <n v="28"/>
    <x v="92"/>
    <s v="Premium"/>
    <n v="0"/>
    <n v="0"/>
    <s v="Eye Care"/>
  </r>
  <r>
    <s v="P433453"/>
    <s v="LUNA fofo"/>
    <n v="7037"/>
    <s v="FOREO"/>
    <n v="9822"/>
    <x v="5"/>
    <n v="2.8879999999999999"/>
    <s v="Yes"/>
    <s v="Low"/>
    <n v="241"/>
    <x v="53"/>
    <s v="Premium"/>
    <n v="0"/>
    <n v="0"/>
    <s v="High Tech Tools"/>
  </r>
  <r>
    <s v="P501165"/>
    <s v="SHIKULIME Mega Hydrating Moisturizer"/>
    <n v="6371"/>
    <s v="WASO"/>
    <n v="9824"/>
    <x v="5"/>
    <n v="4.6604999999999999"/>
    <s v="Yes"/>
    <s v="High"/>
    <n v="539"/>
    <x v="8"/>
    <s v="Mid"/>
    <n v="0"/>
    <n v="1"/>
    <s v="Moisturizers"/>
  </r>
  <r>
    <s v="P461535"/>
    <s v="All About Acne Breakout + Blackhead Set"/>
    <n v="6073"/>
    <s v="Sunday Riley"/>
    <n v="9837"/>
    <x v="5"/>
    <n v="4.2"/>
    <s v="Yes"/>
    <s v="High"/>
    <n v="25"/>
    <x v="73"/>
    <s v="Premium"/>
    <n v="0"/>
    <n v="0"/>
    <s v="Value &amp; Gift Sets"/>
  </r>
  <r>
    <s v="P453822"/>
    <s v="Dark Spots No More Triple Acid Spot Minimizing Concentrate"/>
    <n v="4372"/>
    <s v="Dr. Brandt Skincare"/>
    <n v="9838"/>
    <x v="5"/>
    <n v="3.9634"/>
    <s v="Yes"/>
    <s v="Medium"/>
    <n v="82"/>
    <x v="136"/>
    <s v="Premium"/>
    <n v="0"/>
    <n v="0"/>
    <s v="Treatments"/>
  </r>
  <r>
    <s v="P449599"/>
    <s v="Mini Anti-Aging Cleansing Gel"/>
    <n v="3728"/>
    <s v="Peter Thomas Roth"/>
    <n v="9844"/>
    <x v="5"/>
    <n v="4.3699000000000003"/>
    <s v="Yes"/>
    <s v="High"/>
    <n v="1603"/>
    <x v="51"/>
    <s v="Budget"/>
    <n v="0"/>
    <n v="0"/>
    <s v="Mini Size"/>
  </r>
  <r>
    <s v="P467630"/>
    <s v="RÃ©nergie Lift Multi-Action Ultra Dark Circle Correcting Eye Cream"/>
    <n v="1741"/>
    <s v="LancÃ´me"/>
    <n v="9874"/>
    <x v="5"/>
    <n v="4.6375999999999999"/>
    <s v="Yes"/>
    <s v="High"/>
    <n v="298"/>
    <x v="42"/>
    <s v="Premium"/>
    <n v="0"/>
    <n v="0"/>
    <s v="Eye Care"/>
  </r>
  <r>
    <s v="P201439"/>
    <s v="Redness Solutions Soothing Cleanser"/>
    <n v="1254"/>
    <s v="CLINIQUE"/>
    <n v="9881"/>
    <x v="5"/>
    <n v="4.1672000000000002"/>
    <s v="Yes"/>
    <s v="High"/>
    <n v="287"/>
    <x v="139"/>
    <s v="Mid"/>
    <n v="0"/>
    <n v="0"/>
    <s v="Cleansers"/>
  </r>
  <r>
    <s v="P433465"/>
    <s v="Make My Day Activated Mask"/>
    <n v="7037"/>
    <s v="FOREO"/>
    <n v="9889"/>
    <x v="5"/>
    <n v="4.1666999999999996"/>
    <s v="Yes"/>
    <s v="High"/>
    <n v="18"/>
    <x v="39"/>
    <s v="Budget"/>
    <n v="0"/>
    <n v="0"/>
    <s v="Masks"/>
  </r>
  <r>
    <s v="P471065"/>
    <s v="Mini Water Drench  Hyaluronic Hydrating Moisturizer SPF 45"/>
    <n v="3728"/>
    <s v="Peter Thomas Roth"/>
    <n v="9899"/>
    <x v="5"/>
    <n v="4.3148999999999997"/>
    <s v="Yes"/>
    <s v="High"/>
    <n v="794"/>
    <x v="112"/>
    <s v="Mid"/>
    <n v="0"/>
    <n v="0"/>
    <s v="Mini Size"/>
  </r>
  <r>
    <s v="P504203"/>
    <s v="Clarifying Cleanse + Hydrate Duo"/>
    <n v="6041"/>
    <s v="Tatcha"/>
    <n v="9900"/>
    <x v="5"/>
    <n v="3.25"/>
    <s v="Yes"/>
    <s v="Medium"/>
    <n v="12"/>
    <x v="129"/>
    <s v="Mid"/>
    <n v="1"/>
    <n v="0"/>
    <s v="Value &amp; Gift Sets"/>
  </r>
  <r>
    <s v="P444614"/>
    <s v="Express Ultra Dark Mousse"/>
    <n v="8008"/>
    <s v="Isle of Paradise"/>
    <n v="9912"/>
    <x v="5"/>
    <n v="3.7833000000000001"/>
    <s v="Yes"/>
    <s v="Medium"/>
    <n v="120"/>
    <x v="29"/>
    <s v="Mid"/>
    <n v="0"/>
    <n v="1"/>
    <s v="Self Tanners"/>
  </r>
  <r>
    <s v="P455929"/>
    <s v="Cleansing Serum"/>
    <n v="6314"/>
    <s v="Shani Darden Skin Care"/>
    <n v="9931"/>
    <x v="5"/>
    <n v="4.5937999999999999"/>
    <s v="Yes"/>
    <s v="High"/>
    <n v="325"/>
    <x v="12"/>
    <s v="Mid"/>
    <n v="0"/>
    <n v="0"/>
    <s v="Cleansers"/>
  </r>
  <r>
    <s v="P444470"/>
    <s v="De-Puffing Rose Quartz Eye Treatment Tool"/>
    <n v="6256"/>
    <s v="Mount Lai"/>
    <n v="9940"/>
    <x v="5"/>
    <n v="4.7241"/>
    <s v="Yes"/>
    <s v="High"/>
    <n v="29"/>
    <x v="78"/>
    <s v="Mid"/>
    <n v="0"/>
    <n v="0"/>
    <s v="Wellness"/>
  </r>
  <r>
    <s v="P503726"/>
    <s v="B3 Nice 10% Niacinamide Serum"/>
    <n v="6073"/>
    <s v="Sunday Riley"/>
    <n v="9940"/>
    <x v="5"/>
    <n v="4.726"/>
    <s v="Yes"/>
    <s v="High"/>
    <n v="624"/>
    <x v="92"/>
    <s v="Premium"/>
    <n v="0"/>
    <n v="0"/>
    <s v="Treatments"/>
  </r>
  <r>
    <s v="P408241"/>
    <s v="Plantscription Youth-Renewing Power Night Cream"/>
    <n v="3733"/>
    <s v="Origins"/>
    <n v="9952"/>
    <x v="5"/>
    <n v="4.5896999999999997"/>
    <s v="Yes"/>
    <s v="High"/>
    <n v="78"/>
    <x v="91"/>
    <s v="Premium"/>
    <n v="0"/>
    <n v="0"/>
    <s v="Moisturizers"/>
  </r>
  <r>
    <s v="P474970"/>
    <s v="Hyaluronic Acid + Peptide Lip Treatment Booster"/>
    <n v="6341"/>
    <s v="Paula's Choice"/>
    <n v="9969"/>
    <x v="5"/>
    <n v="4.1538000000000004"/>
    <s v="Yes"/>
    <s v="High"/>
    <n v="52"/>
    <x v="29"/>
    <s v="Mid"/>
    <n v="0"/>
    <n v="0"/>
    <s v="Lip Balms &amp; Treatments"/>
  </r>
  <r>
    <s v="P440500"/>
    <s v="Super Collagen Mask"/>
    <n v="8017"/>
    <s v="Mario Badescu"/>
    <n v="9986"/>
    <x v="5"/>
    <n v="4"/>
    <s v="Yes"/>
    <s v="High"/>
    <n v="21"/>
    <x v="5"/>
    <s v="Budget"/>
    <n v="0"/>
    <n v="0"/>
    <s v="Masks"/>
  </r>
  <r>
    <s v="P500618"/>
    <s v="Turmeric Glow Foaming Cleanser"/>
    <n v="6207"/>
    <s v="KORA Organics"/>
    <n v="9992"/>
    <x v="5"/>
    <n v="4.6111000000000004"/>
    <s v="Yes"/>
    <s v="High"/>
    <n v="288"/>
    <x v="124"/>
    <s v="Mid"/>
    <n v="0"/>
    <n v="0"/>
    <s v="Cleansers"/>
  </r>
  <r>
    <s v="P469444"/>
    <s v="Vinoclean Gentle Cleansing Almond Milk"/>
    <n v="4171"/>
    <s v="Caudalie"/>
    <n v="10000"/>
    <x v="5"/>
    <n v="4.3522999999999996"/>
    <s v="Yes"/>
    <s v="High"/>
    <n v="176"/>
    <x v="78"/>
    <s v="Mid"/>
    <n v="0"/>
    <n v="0"/>
    <s v="Cleansers"/>
  </r>
  <r>
    <s v="P446820"/>
    <s v="Grapefruit Peeling Mask - Skin Perfection"/>
    <n v="3902"/>
    <s v="SEPHORA COLLECTION"/>
    <n v="0"/>
    <x v="6"/>
    <n v="3.4443999999999999"/>
    <s v="Yes"/>
    <s v="Medium"/>
    <n v="36"/>
    <x v="110"/>
    <s v="Budget"/>
    <n v="0"/>
    <n v="0"/>
    <s v="Masks"/>
  </r>
  <r>
    <s v="P446822"/>
    <s v="Hemp Mousse Mask - Anti-Blemish"/>
    <n v="3902"/>
    <s v="SEPHORA COLLECTION"/>
    <n v="0"/>
    <x v="6"/>
    <n v="3.5769000000000002"/>
    <s v="Yes"/>
    <s v="Medium"/>
    <n v="26"/>
    <x v="110"/>
    <s v="Budget"/>
    <n v="0"/>
    <n v="0"/>
    <s v="Masks"/>
  </r>
  <r>
    <s v="P435387"/>
    <s v="Mini Rose Floral Toner"/>
    <n v="4348"/>
    <s v="fresh"/>
    <n v="0"/>
    <x v="6"/>
    <n v="3.7"/>
    <s v="Yes"/>
    <s v="Medium"/>
    <n v="10"/>
    <x v="64"/>
    <s v="Budget"/>
    <n v="0"/>
    <n v="0"/>
    <s v="Mini Size"/>
  </r>
  <r>
    <s v="P457012"/>
    <s v="Cryo Rubber Mask with Brightening Vitamin C"/>
    <n v="6014"/>
    <s v="Dr. Jart+"/>
    <n v="0"/>
    <x v="6"/>
    <n v="3.8332999999999999"/>
    <s v="Yes"/>
    <s v="Medium"/>
    <n v="12"/>
    <x v="64"/>
    <s v="Budget"/>
    <n v="0"/>
    <n v="0"/>
    <s v="Masks"/>
  </r>
  <r>
    <s v="P457009"/>
    <s v="Cryo Rubber Mask with Moisturizing Hyaluronic Acid"/>
    <n v="6014"/>
    <s v="Dr. Jart+"/>
    <n v="0"/>
    <x v="6"/>
    <n v="4"/>
    <s v="Yes"/>
    <s v="High"/>
    <n v="6"/>
    <x v="64"/>
    <s v="Budget"/>
    <n v="0"/>
    <n v="0"/>
    <s v="Masks"/>
  </r>
  <r>
    <s v="P457010"/>
    <s v="Cryo Rubber Mask with Soothing Allantoin"/>
    <n v="6014"/>
    <s v="Dr. Jart+"/>
    <n v="0"/>
    <x v="6"/>
    <n v="4.5556000000000001"/>
    <s v="Yes"/>
    <s v="High"/>
    <n v="9"/>
    <x v="64"/>
    <s v="Budget"/>
    <n v="0"/>
    <n v="0"/>
    <s v="Masks"/>
  </r>
  <r>
    <s v="P457011"/>
    <s v="Cryo Rubber Mask with Firming Collagen"/>
    <n v="6014"/>
    <s v="Dr. Jart+"/>
    <n v="0"/>
    <x v="6"/>
    <n v="4.8461999999999996"/>
    <s v="Yes"/>
    <s v="High"/>
    <n v="13"/>
    <x v="64"/>
    <s v="Budget"/>
    <n v="0"/>
    <n v="0"/>
    <s v="Masks"/>
  </r>
  <r>
    <s v="P455915"/>
    <s v="Mini MultiVitamin Power Recovery Mask"/>
    <n v="6219"/>
    <s v="Dermalogica"/>
    <n v="0"/>
    <x v="6"/>
    <n v="5"/>
    <s v="Yes"/>
    <s v="High"/>
    <n v="2"/>
    <x v="217"/>
    <s v="Budget"/>
    <n v="0"/>
    <n v="0"/>
    <s v="Mini Size"/>
  </r>
  <r>
    <s v="P454800"/>
    <s v="Mini Glow2OH Dark Spot Toner"/>
    <n v="5674"/>
    <s v="OLEHENRIKSEN"/>
    <n v="0"/>
    <x v="6"/>
    <n v="4.5"/>
    <s v="Yes"/>
    <s v="High"/>
    <n v="8"/>
    <x v="13"/>
    <s v="Budget"/>
    <n v="0"/>
    <n v="0"/>
    <s v="Mini Size"/>
  </r>
  <r>
    <s v="P442854"/>
    <s v="Focuspot Dark Spot Micro Tip Patch"/>
    <n v="6014"/>
    <s v="Dr. Jart+"/>
    <n v="0"/>
    <x v="6"/>
    <n v="3.6311"/>
    <s v="Yes"/>
    <s v="Medium"/>
    <n v="122"/>
    <x v="60"/>
    <s v="Mid"/>
    <n v="0"/>
    <n v="0"/>
    <s v="Treatments"/>
  </r>
  <r>
    <s v="P442853"/>
    <s v="Focuspot Blemish Micro Tip Patch"/>
    <n v="6014"/>
    <s v="Dr. Jart+"/>
    <n v="0"/>
    <x v="6"/>
    <n v="3.9683999999999999"/>
    <s v="Yes"/>
    <s v="Medium"/>
    <n v="95"/>
    <x v="60"/>
    <s v="Mid"/>
    <n v="0"/>
    <n v="0"/>
    <s v="Treatments"/>
  </r>
  <r>
    <s v="P454795"/>
    <s v="Mini The Dewy Skin Cream"/>
    <n v="6041"/>
    <s v="Tatcha"/>
    <n v="0"/>
    <x v="6"/>
    <n v="4"/>
    <s v="Yes"/>
    <s v="High"/>
    <n v="6"/>
    <x v="75"/>
    <s v="Mid"/>
    <n v="0"/>
    <n v="0"/>
    <s v="Mini Size"/>
  </r>
  <r>
    <s v="P481168"/>
    <s v="Mini The Dewy Skin Cream Plumping &amp; Hydrating Moisturizer"/>
    <n v="6041"/>
    <s v="Tatcha"/>
    <n v="0"/>
    <x v="6"/>
    <m/>
    <s v="No"/>
    <s v="Not Rated"/>
    <n v="0"/>
    <x v="75"/>
    <s v="Mid"/>
    <n v="0"/>
    <n v="0"/>
    <s v="Moisturizers"/>
  </r>
  <r>
    <s v="P429538"/>
    <s v="Lotus Youth Preseve Rescue Mask Mini"/>
    <n v="4348"/>
    <s v="fresh"/>
    <n v="0"/>
    <x v="6"/>
    <n v="4.2667000000000002"/>
    <s v="Yes"/>
    <s v="High"/>
    <n v="15"/>
    <x v="52"/>
    <s v="Mid"/>
    <n v="0"/>
    <n v="0"/>
    <s v="Shop by Concern"/>
  </r>
  <r>
    <s v="P504286"/>
    <s v="Nudestix Lemon-Aid Detox &amp; Glow Micro-Peel"/>
    <n v="7055"/>
    <s v="NUDESTIX"/>
    <n v="0"/>
    <x v="6"/>
    <m/>
    <s v="No"/>
    <s v="Not Rated"/>
    <n v="0"/>
    <x v="9"/>
    <s v="Mid"/>
    <n v="0"/>
    <n v="0"/>
    <s v="Treatments"/>
  </r>
  <r>
    <s v="P477785"/>
    <s v="Mini Luxury Beauty Serum Calming Treatment"/>
    <n v="6294"/>
    <s v="Saint Jane Beauty"/>
    <n v="0"/>
    <x v="6"/>
    <m/>
    <s v="No"/>
    <s v="Not Rated"/>
    <n v="0"/>
    <x v="12"/>
    <s v="Mid"/>
    <n v="0"/>
    <n v="0"/>
    <s v="Mini Size"/>
  </r>
  <r>
    <s v="P477160"/>
    <s v="Mini Age Adapting CBD Serum"/>
    <n v="6274"/>
    <s v="Flora + Bast"/>
    <n v="0"/>
    <x v="6"/>
    <m/>
    <s v="No"/>
    <s v="Not Rated"/>
    <n v="0"/>
    <x v="205"/>
    <s v="Mid"/>
    <n v="0"/>
    <n v="0"/>
    <s v="Mini Size"/>
  </r>
  <r>
    <s v="P432255"/>
    <s v="Mini Black Tea Firming Overnight Mask"/>
    <n v="4348"/>
    <s v="fresh"/>
    <n v="0"/>
    <x v="6"/>
    <n v="4"/>
    <s v="Yes"/>
    <s v="High"/>
    <n v="3"/>
    <x v="24"/>
    <s v="Mid"/>
    <n v="0"/>
    <n v="0"/>
    <s v="Mini Size"/>
  </r>
  <r>
    <s v="P450271"/>
    <s v="Green Clean Makeup Meltaway Cleansing Balm Limited Edition Jumbo"/>
    <n v="8001"/>
    <s v="Farmacy"/>
    <n v="0"/>
    <x v="6"/>
    <n v="4.4958"/>
    <s v="Yes"/>
    <s v="High"/>
    <n v="6158"/>
    <x v="37"/>
    <s v="Premium"/>
    <n v="0"/>
    <n v="0"/>
    <s v="Cleansers"/>
  </r>
  <r>
    <s v="P503345"/>
    <s v="Evercalm Skin Zen Trio"/>
    <n v="5857"/>
    <s v="REN Clean Skincare"/>
    <n v="0"/>
    <x v="6"/>
    <m/>
    <s v="No"/>
    <s v="Not Rated"/>
    <n v="0"/>
    <x v="40"/>
    <s v="Premium"/>
    <n v="0"/>
    <n v="0"/>
    <s v="Value &amp; Gift Sets"/>
  </r>
  <r>
    <s v="P440922"/>
    <s v="Capture Youth Intense Rescue Age-Delay Revitalizing Oil-Serum"/>
    <n v="1073"/>
    <s v="Dior"/>
    <n v="0"/>
    <x v="6"/>
    <n v="3.4"/>
    <s v="Yes"/>
    <s v="Medium"/>
    <n v="5"/>
    <x v="61"/>
    <s v="Premium"/>
    <n v="0"/>
    <n v="0"/>
    <s v="Treatments"/>
  </r>
  <r>
    <s v="P427732"/>
    <s v="Capture Youth Plump Filler Age-Delay Plumping Serum"/>
    <n v="1073"/>
    <s v="Dior"/>
    <n v="0"/>
    <x v="6"/>
    <n v="4"/>
    <s v="Yes"/>
    <s v="High"/>
    <n v="13"/>
    <x v="61"/>
    <s v="Premium"/>
    <n v="0"/>
    <n v="0"/>
    <s v="Treatments"/>
  </r>
  <r>
    <s v="P427731"/>
    <s v="Capture Youth Glow Booster Age-Delay Illuminating Serum"/>
    <n v="1073"/>
    <s v="Dior"/>
    <n v="0"/>
    <x v="6"/>
    <n v="4.6666999999999996"/>
    <s v="Yes"/>
    <s v="High"/>
    <n v="15"/>
    <x v="61"/>
    <s v="Premium"/>
    <n v="0"/>
    <n v="0"/>
    <s v="Treatments"/>
  </r>
  <r>
    <s v="P503716"/>
    <s v="The Essence Skincare Boosting Treatment â€“ Lunar New Year Edition"/>
    <n v="6041"/>
    <s v="Tatcha"/>
    <n v="0"/>
    <x v="6"/>
    <m/>
    <s v="No"/>
    <s v="Not Rated"/>
    <n v="0"/>
    <x v="61"/>
    <s v="Premium"/>
    <n v="1"/>
    <n v="0"/>
    <s v="Moisturizers"/>
  </r>
  <r>
    <s v="P468407"/>
    <s v="Vital Perfection Uplifting and Firming Day Cream SPF 30"/>
    <n v="5337"/>
    <s v="Shiseido"/>
    <n v="0"/>
    <x v="6"/>
    <m/>
    <s v="No"/>
    <s v="Not Rated"/>
    <n v="0"/>
    <x v="180"/>
    <s v="Premium"/>
    <n v="0"/>
    <n v="0"/>
    <s v="Moisturizers"/>
  </r>
  <r>
    <s v="P505385"/>
    <s v="Anti-Aging Skincare Essentials Set"/>
    <n v="2082"/>
    <s v="Clarins"/>
    <n v="2"/>
    <x v="6"/>
    <m/>
    <s v="No"/>
    <s v="Not Rated"/>
    <n v="0"/>
    <x v="63"/>
    <s v="Premium"/>
    <n v="1"/>
    <n v="1"/>
    <s v="Value &amp; Gift Sets"/>
  </r>
  <r>
    <s v="P504698"/>
    <s v="Bio Hyaluronic Moisturizer Cream"/>
    <n v="6303"/>
    <s v="SOBEL SKIN Rx"/>
    <n v="5"/>
    <x v="6"/>
    <m/>
    <s v="No"/>
    <s v="Not Rated"/>
    <n v="0"/>
    <x v="73"/>
    <s v="Premium"/>
    <n v="1"/>
    <n v="0"/>
    <s v="Moisturizers"/>
  </r>
  <r>
    <s v="P505172"/>
    <s v="Acne Light Shot Strips"/>
    <n v="6329"/>
    <s v="FaceGym"/>
    <n v="7"/>
    <x v="6"/>
    <m/>
    <s v="No"/>
    <s v="Not Rated"/>
    <n v="0"/>
    <x v="34"/>
    <s v="Budget"/>
    <n v="1"/>
    <n v="0"/>
    <s v="Treatments"/>
  </r>
  <r>
    <s v="P505615"/>
    <s v="Ultra Facial Cleanser Home &amp; Away Bundle"/>
    <n v="6218"/>
    <s v="Kiehl's Since 1851"/>
    <n v="9"/>
    <x v="6"/>
    <m/>
    <s v="No"/>
    <s v="Not Rated"/>
    <n v="0"/>
    <x v="95"/>
    <s v="Mid"/>
    <n v="1"/>
    <n v="0"/>
    <s v="Value &amp; Gift Sets"/>
  </r>
  <r>
    <s v="P505408"/>
    <s v="GOOPGLOW Vita-C Brightening Eye Cream"/>
    <n v="6309"/>
    <s v="goop"/>
    <n v="10"/>
    <x v="6"/>
    <n v="4.2308000000000003"/>
    <s v="Yes"/>
    <s v="High"/>
    <n v="26"/>
    <x v="69"/>
    <s v="Premium"/>
    <n v="1"/>
    <n v="1"/>
    <s v="Eye Care"/>
  </r>
  <r>
    <s v="P505409"/>
    <s v="24-7 Ultra Hydration Triple-Hydra Complex Day &amp; Night Serum with Hyaluronic Acid, Squalane &amp; Collagen"/>
    <n v="6373"/>
    <s v="TULA Skincare"/>
    <n v="11"/>
    <x v="6"/>
    <m/>
    <s v="No"/>
    <s v="Not Rated"/>
    <n v="0"/>
    <x v="14"/>
    <s v="Mid"/>
    <n v="1"/>
    <n v="1"/>
    <s v="Treatments"/>
  </r>
  <r>
    <s v="P505392"/>
    <s v="Multi Action Clear Acne Clearing Treatment Lotion for Breakouts"/>
    <n v="6358"/>
    <s v="StriVectin"/>
    <n v="13"/>
    <x v="6"/>
    <n v="5"/>
    <s v="Yes"/>
    <s v="High"/>
    <n v="1"/>
    <x v="25"/>
    <s v="Mid"/>
    <n v="1"/>
    <n v="0"/>
    <s v="Treatments"/>
  </r>
  <r>
    <s v="P505499"/>
    <s v="Deep Pore Cleansing Kit"/>
    <n v="6218"/>
    <s v="Kiehl's Since 1851"/>
    <n v="13"/>
    <x v="6"/>
    <m/>
    <s v="No"/>
    <s v="Not Rated"/>
    <n v="0"/>
    <x v="80"/>
    <s v="Premium"/>
    <n v="1"/>
    <n v="0"/>
    <s v="Value &amp; Gift Sets"/>
  </r>
  <r>
    <s v="P504324"/>
    <s v="Ultimune Eye Power Infusing Eye Concentrate"/>
    <n v="5337"/>
    <s v="Shiseido"/>
    <n v="13"/>
    <x v="6"/>
    <m/>
    <s v="No"/>
    <s v="Not Rated"/>
    <n v="0"/>
    <x v="10"/>
    <s v="Premium"/>
    <n v="1"/>
    <n v="0"/>
    <s v="Eye Care"/>
  </r>
  <r>
    <s v="P505343"/>
    <s v="Retinol Youth Renewal Value Duo"/>
    <n v="4164"/>
    <s v="Murad"/>
    <n v="18"/>
    <x v="6"/>
    <m/>
    <s v="No"/>
    <s v="Not Rated"/>
    <n v="0"/>
    <x v="218"/>
    <s v="Premium"/>
    <n v="1"/>
    <n v="0"/>
    <s v="Value &amp; Gift Sets"/>
  </r>
  <r>
    <s v="P504635"/>
    <s v="Ultra Pure Hyaluronic Acid 1.5% Serum"/>
    <n v="6218"/>
    <s v="Kiehl's Since 1851"/>
    <n v="22"/>
    <x v="6"/>
    <m/>
    <s v="No"/>
    <s v="Not Rated"/>
    <n v="0"/>
    <x v="9"/>
    <s v="Mid"/>
    <n v="1"/>
    <n v="0"/>
    <s v="Treatments"/>
  </r>
  <r>
    <s v="P505509"/>
    <s v="Kombucha Antioxidant Facial Treatment Essence"/>
    <n v="4348"/>
    <s v="fresh"/>
    <n v="22"/>
    <x v="6"/>
    <m/>
    <s v="No"/>
    <s v="Not Rated"/>
    <n v="0"/>
    <x v="42"/>
    <s v="Premium"/>
    <n v="1"/>
    <n v="0"/>
    <s v="Moisturizers"/>
  </r>
  <r>
    <s v="P505379"/>
    <s v="Multi Action Clear Gentle Daily Clarifying Cleanser for Acne and Breakouts"/>
    <n v="6358"/>
    <s v="StriVectin"/>
    <n v="23"/>
    <x v="6"/>
    <m/>
    <s v="No"/>
    <s v="Not Rated"/>
    <n v="0"/>
    <x v="31"/>
    <s v="Mid"/>
    <n v="1"/>
    <n v="0"/>
    <s v="Cleansers"/>
  </r>
  <r>
    <s v="P505381"/>
    <s v="Multi Action Clear Gentle Daily Brightening &amp; Retexturizing Toner for Acne and Breakouts"/>
    <n v="6358"/>
    <s v="StriVectin"/>
    <n v="23"/>
    <x v="6"/>
    <n v="5"/>
    <s v="Yes"/>
    <s v="High"/>
    <n v="3"/>
    <x v="7"/>
    <s v="Mid"/>
    <n v="1"/>
    <n v="0"/>
    <s v="Cleansers"/>
  </r>
  <r>
    <s v="P505452"/>
    <s v="Clarifique Pro-Solution Brightening &amp; Dark Spot Reducing Serum"/>
    <n v="1741"/>
    <s v="LancÃ´me"/>
    <n v="23"/>
    <x v="6"/>
    <n v="4.4000000000000004"/>
    <s v="Yes"/>
    <s v="High"/>
    <n v="5"/>
    <x v="99"/>
    <s v="Premium"/>
    <n v="1"/>
    <n v="0"/>
    <s v="Treatments"/>
  </r>
  <r>
    <s v="P505614"/>
    <s v="Ultra Facial Cream Refill Bundle"/>
    <n v="6218"/>
    <s v="Kiehl's Since 1851"/>
    <n v="25"/>
    <x v="6"/>
    <m/>
    <s v="No"/>
    <s v="Not Rated"/>
    <n v="0"/>
    <x v="15"/>
    <s v="Premium"/>
    <n v="1"/>
    <n v="0"/>
    <s v="Value &amp; Gift Sets"/>
  </r>
  <r>
    <s v="P505493"/>
    <s v="Mini Kombucha Antioxidant Facial Treatment Essence"/>
    <n v="4348"/>
    <s v="fresh"/>
    <n v="26"/>
    <x v="6"/>
    <m/>
    <s v="No"/>
    <s v="Not Rated"/>
    <n v="0"/>
    <x v="7"/>
    <s v="Mid"/>
    <n v="1"/>
    <n v="0"/>
    <s v="Moisturizers"/>
  </r>
  <r>
    <s v="P505210"/>
    <s v="Barrier Culture Cleanser Pre-, Pro- &amp; Postbiotic Face Wash"/>
    <n v="6375"/>
    <s v="The Nue Co."/>
    <n v="27"/>
    <x v="6"/>
    <n v="5"/>
    <s v="Yes"/>
    <s v="High"/>
    <n v="6"/>
    <x v="36"/>
    <s v="Mid"/>
    <n v="1"/>
    <n v="0"/>
    <s v="Cleansers"/>
  </r>
  <r>
    <s v="P505378"/>
    <s v="Multi Action Clear Acne Control 30-Day Trial Kit"/>
    <n v="6358"/>
    <s v="StriVectin"/>
    <n v="43"/>
    <x v="6"/>
    <n v="4.875"/>
    <s v="Yes"/>
    <s v="High"/>
    <n v="8"/>
    <x v="7"/>
    <s v="Mid"/>
    <n v="1"/>
    <n v="0"/>
    <s v="Value &amp; Gift Sets"/>
  </r>
  <r>
    <s v="P505209"/>
    <s v="Barrier Culture Moisturizer with Niacinamide &amp; Squalane"/>
    <n v="6375"/>
    <s v="The Nue Co."/>
    <n v="48"/>
    <x v="6"/>
    <n v="5"/>
    <s v="Yes"/>
    <s v="High"/>
    <n v="7"/>
    <x v="92"/>
    <s v="Premium"/>
    <n v="1"/>
    <n v="0"/>
    <s v="Moisturizers"/>
  </r>
  <r>
    <s v="P505376"/>
    <s v="Ultra Pure High-Potency 9.8% Glycolic Acid Serum"/>
    <n v="6218"/>
    <s v="Kiehl's Since 1851"/>
    <n v="55"/>
    <x v="6"/>
    <m/>
    <s v="No"/>
    <s v="Not Rated"/>
    <n v="0"/>
    <x v="9"/>
    <s v="Mid"/>
    <n v="1"/>
    <n v="0"/>
    <s v="Treatments"/>
  </r>
  <r>
    <s v="P504032"/>
    <s v="Glow Strong Mini Moisturizer + Eye Cream Duo"/>
    <n v="5674"/>
    <s v="OLEHENRIKSEN"/>
    <n v="64"/>
    <x v="6"/>
    <m/>
    <s v="No"/>
    <s v="Not Rated"/>
    <n v="0"/>
    <x v="94"/>
    <s v="Mid"/>
    <n v="1"/>
    <n v="0"/>
    <s v="Value &amp; Gift Sets"/>
  </r>
  <r>
    <s v="P504438"/>
    <s v="Retinal Rescuplt Overnight Treatment"/>
    <n v="4164"/>
    <s v="Murad"/>
    <n v="71"/>
    <x v="6"/>
    <m/>
    <s v="No"/>
    <s v="Not Rated"/>
    <n v="0"/>
    <x v="38"/>
    <s v="Premium"/>
    <n v="1"/>
    <n v="0"/>
    <s v="Treatments"/>
  </r>
  <r>
    <s v="P505358"/>
    <s v="Concentrated Ginseng Renewing Cream Set"/>
    <n v="6307"/>
    <s v="Sulwhasoo"/>
    <n v="74"/>
    <x v="6"/>
    <m/>
    <s v="No"/>
    <s v="Not Rated"/>
    <n v="0"/>
    <x v="72"/>
    <s v="Premium"/>
    <n v="1"/>
    <n v="0"/>
    <s v="Value &amp; Gift Sets"/>
  </r>
  <r>
    <s v="P505339"/>
    <s v="Ultra Pure High-Potency 5.0% Niacinamide Serum"/>
    <n v="6218"/>
    <s v="Kiehl's Since 1851"/>
    <n v="80"/>
    <x v="6"/>
    <m/>
    <s v="No"/>
    <s v="Not Rated"/>
    <n v="0"/>
    <x v="9"/>
    <s v="Mid"/>
    <n v="1"/>
    <n v="0"/>
    <s v="Treatments"/>
  </r>
  <r>
    <s v="P505383"/>
    <s v="Full-Size FIRMx Face &amp; Eye Firmers 2-Piece Kit"/>
    <n v="3728"/>
    <s v="Peter Thomas Roth"/>
    <n v="152"/>
    <x v="6"/>
    <m/>
    <s v="No"/>
    <s v="Not Rated"/>
    <n v="0"/>
    <x v="92"/>
    <s v="Premium"/>
    <n v="1"/>
    <n v="0"/>
    <s v="Value &amp; Gift Sets"/>
  </r>
  <r>
    <s v="P505380"/>
    <s v="Patch &amp; Protect Summer Essentials 2-Piece Kit"/>
    <n v="3728"/>
    <s v="Peter Thomas Roth"/>
    <n v="155"/>
    <x v="6"/>
    <m/>
    <s v="No"/>
    <s v="Not Rated"/>
    <n v="0"/>
    <x v="103"/>
    <s v="Premium"/>
    <n v="1"/>
    <n v="0"/>
    <s v="Value &amp; Gift Sets"/>
  </r>
  <r>
    <s v="P505711"/>
    <s v="Polyglutamic Acid Dewy Sunscreen SPF 30"/>
    <n v="6285"/>
    <s v="The INKEY List"/>
    <n v="164"/>
    <x v="6"/>
    <n v="4.8654000000000002"/>
    <s v="Yes"/>
    <s v="High"/>
    <n v="52"/>
    <x v="149"/>
    <s v="Budget"/>
    <n v="1"/>
    <n v="1"/>
    <s v="Sunscreen"/>
  </r>
  <r>
    <s v="P504322"/>
    <s v="Gentle Hydra-Gel Face Cleanser"/>
    <n v="7055"/>
    <s v="NUDESTIX"/>
    <n v="177"/>
    <x v="6"/>
    <n v="5"/>
    <s v="Yes"/>
    <s v="High"/>
    <n v="1"/>
    <x v="13"/>
    <s v="Budget"/>
    <n v="0"/>
    <n v="0"/>
    <s v="Cleansers"/>
  </r>
  <r>
    <s v="P503906"/>
    <s v="DRx SpectraLite LED EyeCare Max Pro"/>
    <n v="5668"/>
    <s v="Dr. Dennis Gross Skincare"/>
    <n v="191"/>
    <x v="6"/>
    <n v="5"/>
    <s v="Yes"/>
    <s v="High"/>
    <n v="5"/>
    <x v="141"/>
    <s v="Premium"/>
    <n v="1"/>
    <n v="0"/>
    <s v="High Tech Tools"/>
  </r>
  <r>
    <s v="P505133"/>
    <s v="High Performance Face Cleanser for Clear Skin with Niacinamide"/>
    <n v="6753"/>
    <s v="MACRENE actives"/>
    <n v="204"/>
    <x v="6"/>
    <n v="4.9230999999999998"/>
    <s v="Yes"/>
    <s v="High"/>
    <n v="13"/>
    <x v="99"/>
    <s v="Premium"/>
    <n v="1"/>
    <n v="0"/>
    <s v="Cleansers"/>
  </r>
  <r>
    <s v="P504706"/>
    <s v="NuFACE Effective Lip &amp; Eye Attachment"/>
    <n v="6001"/>
    <s v="NuFACE"/>
    <n v="205"/>
    <x v="6"/>
    <m/>
    <s v="No"/>
    <s v="Not Rated"/>
    <n v="0"/>
    <x v="214"/>
    <s v="Premium"/>
    <n v="1"/>
    <n v="0"/>
    <s v="High Tech Tools"/>
  </r>
  <r>
    <s v="P504985"/>
    <s v="Abeille Royale Bestsellers Travel Set"/>
    <n v="1132"/>
    <s v="GUERLAIN"/>
    <n v="214"/>
    <x v="6"/>
    <n v="2"/>
    <s v="Yes"/>
    <s v="Low"/>
    <n v="2"/>
    <x v="88"/>
    <s v="Premium"/>
    <n v="1"/>
    <n v="0"/>
    <s v="Value &amp; Gift Sets"/>
  </r>
  <r>
    <s v="P480440"/>
    <s v="Advanced Revitalizing Cleanser"/>
    <n v="6318"/>
    <s v="Dr. Lara Devgan Scientific Beauty"/>
    <n v="217"/>
    <x v="6"/>
    <m/>
    <s v="No"/>
    <s v="Not Rated"/>
    <n v="0"/>
    <x v="92"/>
    <s v="Premium"/>
    <n v="0"/>
    <n v="0"/>
    <s v="Cleansers"/>
  </r>
  <r>
    <s v="P504011"/>
    <s v="Super Anti-Aging Night Cream"/>
    <n v="6302"/>
    <s v="Dr. Barbara Sturm"/>
    <n v="218"/>
    <x v="6"/>
    <m/>
    <s v="No"/>
    <s v="Not Rated"/>
    <n v="0"/>
    <x v="161"/>
    <s v="Premium"/>
    <n v="1"/>
    <n v="0"/>
    <s v="Moisturizers"/>
  </r>
  <r>
    <s v="P505047"/>
    <s v="High Performance Face Serum with Vitamin C and Hyaluronic Acid"/>
    <n v="6753"/>
    <s v="MACRENE actives"/>
    <n v="254"/>
    <x v="6"/>
    <n v="4.9268000000000001"/>
    <s v="Yes"/>
    <s v="High"/>
    <n v="41"/>
    <x v="88"/>
    <s v="Premium"/>
    <n v="1"/>
    <n v="0"/>
    <s v="Treatments"/>
  </r>
  <r>
    <s v="P463109"/>
    <s v="Overnight Vitalizing Sleeping Mask"/>
    <n v="6307"/>
    <s v="Sulwhasoo"/>
    <n v="259"/>
    <x v="6"/>
    <n v="3.25"/>
    <s v="Yes"/>
    <s v="Medium"/>
    <n v="4"/>
    <x v="30"/>
    <s v="Premium"/>
    <n v="0"/>
    <n v="0"/>
    <s v="Masks"/>
  </r>
  <r>
    <s v="P444237"/>
    <s v="Mini Cleansing Wipes - Coconut Water"/>
    <n v="3902"/>
    <s v="SEPHORA COLLECTION"/>
    <n v="265"/>
    <x v="6"/>
    <n v="4.3"/>
    <s v="Yes"/>
    <s v="High"/>
    <n v="10"/>
    <x v="20"/>
    <s v="Budget"/>
    <n v="0"/>
    <n v="1"/>
    <s v="Cleansers"/>
  </r>
  <r>
    <s v="P505139"/>
    <s v="Phyto Nature Oxygen Cream"/>
    <n v="6219"/>
    <s v="Dermalogica"/>
    <n v="274"/>
    <x v="6"/>
    <n v="4.8646000000000003"/>
    <s v="Yes"/>
    <s v="High"/>
    <n v="192"/>
    <x v="81"/>
    <s v="Premium"/>
    <n v="1"/>
    <n v="0"/>
    <s v="Moisturizers"/>
  </r>
  <r>
    <s v="P460622"/>
    <s v="25 Years of Dr. Brandt Kit"/>
    <n v="4372"/>
    <s v="Dr. Brandt Skincare"/>
    <n v="274"/>
    <x v="6"/>
    <n v="1"/>
    <s v="Yes"/>
    <s v="Low"/>
    <n v="1"/>
    <x v="97"/>
    <s v="Premium"/>
    <n v="0"/>
    <n v="1"/>
    <s v="Value &amp; Gift Sets"/>
  </r>
  <r>
    <s v="P504637"/>
    <s v="Equilibrium Resurfacing Retinoid Treatment"/>
    <n v="5879"/>
    <s v="Hourglass"/>
    <n v="278"/>
    <x v="6"/>
    <n v="4.8898000000000001"/>
    <s v="Yes"/>
    <s v="High"/>
    <n v="118"/>
    <x v="61"/>
    <s v="Premium"/>
    <n v="1"/>
    <n v="0"/>
    <s v="Treatments"/>
  </r>
  <r>
    <s v="P505335"/>
    <s v="Hydra-Essentiel Silky Moisturizer with Double Dose Hyaluronic Acid"/>
    <n v="2082"/>
    <s v="Clarins"/>
    <n v="282"/>
    <x v="6"/>
    <m/>
    <s v="No"/>
    <s v="Not Rated"/>
    <n v="0"/>
    <x v="25"/>
    <s v="Mid"/>
    <n v="1"/>
    <n v="0"/>
    <s v="Moisturizers"/>
  </r>
  <r>
    <s v="P504851"/>
    <s v="Double Serum Light Texture Firming &amp; Smoothing Anti-Aging Concentrate"/>
    <n v="2082"/>
    <s v="Clarins"/>
    <n v="294"/>
    <x v="6"/>
    <m/>
    <s v="No"/>
    <s v="Not Rated"/>
    <n v="0"/>
    <x v="157"/>
    <s v="Premium"/>
    <n v="1"/>
    <n v="0"/>
    <s v="Treatments"/>
  </r>
  <r>
    <s v="P505160"/>
    <s v="The Moisturizing Soft Cream Moisturizer"/>
    <n v="6201"/>
    <s v="La Mer"/>
    <n v="295"/>
    <x v="6"/>
    <n v="4.5145999999999997"/>
    <s v="Yes"/>
    <s v="High"/>
    <n v="103"/>
    <x v="115"/>
    <s v="Premium"/>
    <n v="1"/>
    <n v="0"/>
    <s v="Moisturizers"/>
  </r>
  <r>
    <s v="P505131"/>
    <s v="Moisturizing High Performance Face Cream with Peptides"/>
    <n v="6753"/>
    <s v="MACRENE actives"/>
    <n v="297"/>
    <x v="6"/>
    <n v="4.9333"/>
    <s v="Yes"/>
    <s v="High"/>
    <n v="15"/>
    <x v="172"/>
    <s v="Premium"/>
    <n v="1"/>
    <n v="0"/>
    <s v="Moisturizers"/>
  </r>
  <r>
    <s v="P504674"/>
    <s v="Even Better Brightening Moisturizer SPF 20"/>
    <n v="1254"/>
    <s v="CLINIQUE"/>
    <n v="313"/>
    <x v="6"/>
    <m/>
    <s v="No"/>
    <s v="Not Rated"/>
    <n v="0"/>
    <x v="83"/>
    <s v="Premium"/>
    <n v="1"/>
    <n v="0"/>
    <s v="Moisturizers"/>
  </r>
  <r>
    <s v="P476571"/>
    <s v="Turbo Body Lotion Energizing Gel Moisturizer with Eucalyptus &amp; Aloe"/>
    <n v="3297"/>
    <s v="Jack Black"/>
    <n v="326"/>
    <x v="6"/>
    <n v="5"/>
    <s v="Yes"/>
    <s v="High"/>
    <n v="1"/>
    <x v="12"/>
    <s v="Mid"/>
    <n v="0"/>
    <n v="0"/>
    <s v="Moisturizers"/>
  </r>
  <r>
    <s v="P505142"/>
    <s v="High Performance Eye Cream for Dark Circles with Hyaluronic Acid"/>
    <n v="6753"/>
    <s v="MACRENE actives"/>
    <n v="328"/>
    <x v="6"/>
    <n v="4.8947000000000003"/>
    <s v="Yes"/>
    <s v="High"/>
    <n v="19"/>
    <x v="193"/>
    <s v="Premium"/>
    <n v="1"/>
    <n v="0"/>
    <s v="Eye Care"/>
  </r>
  <r>
    <s v="P472470"/>
    <s v="Acne Remedy Balancing Foam Cleanser"/>
    <n v="3297"/>
    <s v="Jack Black"/>
    <n v="338"/>
    <x v="6"/>
    <m/>
    <s v="No"/>
    <s v="Not Rated"/>
    <n v="0"/>
    <x v="94"/>
    <s v="Mid"/>
    <n v="0"/>
    <n v="0"/>
    <s v="Cleansers"/>
  </r>
  <r>
    <s v="P505158"/>
    <s v="Max Vitamin D-Fense Sunscreen Serum Broad Spectrum SPF 50"/>
    <n v="3728"/>
    <s v="Peter Thomas Roth"/>
    <n v="340"/>
    <x v="6"/>
    <n v="4.8513999999999999"/>
    <s v="Yes"/>
    <s v="High"/>
    <n v="148"/>
    <x v="36"/>
    <s v="Mid"/>
    <n v="1"/>
    <n v="0"/>
    <s v="Sunscreen"/>
  </r>
  <r>
    <s v="P505270"/>
    <s v="First Care Radiance Set"/>
    <n v="6307"/>
    <s v="Sulwhasoo"/>
    <n v="352"/>
    <x v="6"/>
    <m/>
    <s v="No"/>
    <s v="Not Rated"/>
    <n v="0"/>
    <x v="73"/>
    <s v="Premium"/>
    <n v="1"/>
    <n v="0"/>
    <s v="Value &amp; Gift Sets"/>
  </r>
  <r>
    <s v="P502823"/>
    <s v="Absolue The Serum"/>
    <n v="1741"/>
    <s v="LancÃ´me"/>
    <n v="353"/>
    <x v="6"/>
    <n v="3.5"/>
    <s v="Yes"/>
    <s v="Medium"/>
    <n v="2"/>
    <x v="120"/>
    <s v="Premium"/>
    <n v="0"/>
    <n v="0"/>
    <s v="Treatments"/>
  </r>
  <r>
    <s v="P505145"/>
    <s v="ZenBubble Bi-Phase Toner Serum"/>
    <n v="6272"/>
    <s v="BeautyBio"/>
    <n v="372"/>
    <x v="6"/>
    <n v="4.6666999999999996"/>
    <s v="Yes"/>
    <s v="High"/>
    <n v="24"/>
    <x v="25"/>
    <s v="Mid"/>
    <n v="1"/>
    <n v="0"/>
    <s v="Cleansers"/>
  </r>
  <r>
    <s v="P505265"/>
    <s v="Eudermine Activating Essence"/>
    <n v="5337"/>
    <s v="Shiseido"/>
    <n v="386"/>
    <x v="6"/>
    <m/>
    <s v="No"/>
    <s v="Not Rated"/>
    <n v="0"/>
    <x v="17"/>
    <s v="Premium"/>
    <n v="1"/>
    <n v="0"/>
    <s v="Moisturizers"/>
  </r>
  <r>
    <s v="P505346"/>
    <s v="First Care Activating Serum 25th Anniversary Limited Edition"/>
    <n v="6307"/>
    <s v="Sulwhasoo"/>
    <n v="399"/>
    <x v="6"/>
    <n v="4.5824999999999996"/>
    <s v="Yes"/>
    <s v="High"/>
    <n v="958"/>
    <x v="61"/>
    <s v="Premium"/>
    <n v="1"/>
    <n v="0"/>
    <s v="Treatments"/>
  </r>
  <r>
    <s v="P504049"/>
    <s v="Skin Filter Daily Brightening Phyto-Retinol + AHA Serum"/>
    <n v="6375"/>
    <s v="The Nue Co."/>
    <n v="400"/>
    <x v="6"/>
    <n v="5"/>
    <s v="Yes"/>
    <s v="High"/>
    <n v="12"/>
    <x v="92"/>
    <s v="Premium"/>
    <n v="1"/>
    <n v="0"/>
    <s v="Treatments"/>
  </r>
  <r>
    <s v="P501024"/>
    <s v="Hydrating Active Roller with Hyaluronic Acid"/>
    <n v="6329"/>
    <s v="FaceGym"/>
    <n v="407"/>
    <x v="6"/>
    <n v="4.3"/>
    <s v="Yes"/>
    <s v="High"/>
    <n v="30"/>
    <x v="10"/>
    <s v="Premium"/>
    <n v="0"/>
    <n v="0"/>
    <s v="High Tech Tools"/>
  </r>
  <r>
    <s v="P502434"/>
    <s v="Deep Clean Kit"/>
    <n v="7020"/>
    <s v="Tata Harper"/>
    <n v="410"/>
    <x v="6"/>
    <m/>
    <s v="No"/>
    <s v="Not Rated"/>
    <n v="0"/>
    <x v="99"/>
    <s v="Premium"/>
    <n v="0"/>
    <n v="0"/>
    <s v="Value &amp; Gift Sets"/>
  </r>
  <r>
    <s v="P505140"/>
    <s v="Plumping High Performance Lip Filler with Hyaluronic Acid"/>
    <n v="6753"/>
    <s v="MACRENE actives"/>
    <n v="422"/>
    <x v="6"/>
    <n v="4.7691999999999997"/>
    <s v="Yes"/>
    <s v="High"/>
    <n v="26"/>
    <x v="73"/>
    <s v="Premium"/>
    <n v="1"/>
    <n v="0"/>
    <s v="Lip Balms &amp; Treatments"/>
  </r>
  <r>
    <s v="P505020"/>
    <s v="The POREfessional Good Cleanup Foaming Cleanser"/>
    <n v="5333"/>
    <s v="Benefit Cosmetics"/>
    <n v="429"/>
    <x v="6"/>
    <n v="4.6212"/>
    <s v="Yes"/>
    <s v="High"/>
    <n v="462"/>
    <x v="31"/>
    <s v="Mid"/>
    <n v="1"/>
    <n v="0"/>
    <s v="Cleansers"/>
  </r>
  <r>
    <s v="P504614"/>
    <s v="Brighten Up 3% TXA Dark Spot Toner with Azelaic Acid"/>
    <n v="8001"/>
    <s v="Farmacy"/>
    <n v="432"/>
    <x v="6"/>
    <m/>
    <s v="No"/>
    <s v="Not Rated"/>
    <n v="0"/>
    <x v="18"/>
    <s v="Mid"/>
    <n v="1"/>
    <n v="1"/>
    <s v="Cleansers"/>
  </r>
  <r>
    <s v="P505174"/>
    <s v="Soft Clean Moisture Rich Foaming Cleanser"/>
    <n v="6089"/>
    <s v="EstÃ©e Lauder"/>
    <n v="435"/>
    <x v="6"/>
    <n v="5"/>
    <s v="Yes"/>
    <s v="High"/>
    <n v="1"/>
    <x v="95"/>
    <s v="Mid"/>
    <n v="1"/>
    <n v="0"/>
    <s v="Cleansers"/>
  </r>
  <r>
    <s v="P469850"/>
    <s v="Mini Equilibrium Biomimetic Skin Active Serum"/>
    <n v="5879"/>
    <s v="Hourglass"/>
    <n v="438"/>
    <x v="6"/>
    <m/>
    <s v="No"/>
    <s v="Not Rated"/>
    <n v="0"/>
    <x v="219"/>
    <s v="Premium"/>
    <n v="0"/>
    <n v="0"/>
    <s v="Treatments"/>
  </r>
  <r>
    <s v="P503998"/>
    <s v="Algae Peptide Regenerative Moisturizer"/>
    <n v="6018"/>
    <s v="Algenist"/>
    <n v="442"/>
    <x v="6"/>
    <m/>
    <s v="No"/>
    <s v="Not Rated"/>
    <n v="0"/>
    <x v="131"/>
    <s v="Premium"/>
    <n v="1"/>
    <n v="0"/>
    <s v="Moisturizers"/>
  </r>
  <r>
    <s v="P505280"/>
    <s v="Wrinkle Smoothing Starter Set"/>
    <n v="5337"/>
    <s v="Shiseido"/>
    <n v="446"/>
    <x v="6"/>
    <m/>
    <s v="No"/>
    <s v="Not Rated"/>
    <n v="0"/>
    <x v="7"/>
    <s v="Mid"/>
    <n v="1"/>
    <n v="0"/>
    <s v="Value &amp; Gift Sets"/>
  </r>
  <r>
    <s v="P432240"/>
    <s v="Oil-Control Toner"/>
    <n v="3297"/>
    <s v="Jack Black"/>
    <n v="473"/>
    <x v="6"/>
    <n v="2"/>
    <s v="Yes"/>
    <s v="Low"/>
    <n v="4"/>
    <x v="94"/>
    <s v="Mid"/>
    <n v="0"/>
    <n v="0"/>
    <s v="Cleansers"/>
  </r>
  <r>
    <s v="P469829"/>
    <s v="Equilibrium Biomimetic Skin Active Serum"/>
    <n v="5879"/>
    <s v="Hourglass"/>
    <n v="482"/>
    <x v="6"/>
    <n v="5"/>
    <s v="Yes"/>
    <s v="High"/>
    <n v="1"/>
    <x v="220"/>
    <s v="Premium"/>
    <n v="0"/>
    <n v="0"/>
    <s v="Treatments"/>
  </r>
  <r>
    <s v="P476737"/>
    <s v="Bio-Barrier Eye CrÃ¨me"/>
    <n v="7020"/>
    <s v="Tata Harper"/>
    <n v="484"/>
    <x v="6"/>
    <m/>
    <s v="No"/>
    <s v="Not Rated"/>
    <n v="0"/>
    <x v="87"/>
    <s v="Premium"/>
    <n v="1"/>
    <n v="0"/>
    <s v="Eye Care"/>
  </r>
  <r>
    <s v="P505316"/>
    <s v="Aquarius BHA + Blue Tansy Clarity Cleanser"/>
    <n v="6117"/>
    <s v="Herbivore"/>
    <n v="518"/>
    <x v="6"/>
    <n v="5"/>
    <s v="Yes"/>
    <s v="High"/>
    <n v="15"/>
    <x v="95"/>
    <s v="Mid"/>
    <n v="1"/>
    <n v="0"/>
    <s v="Cleansers"/>
  </r>
  <r>
    <s v="P504443"/>
    <s v="Plump Pout Duo"/>
    <n v="6018"/>
    <s v="Algenist"/>
    <n v="522"/>
    <x v="6"/>
    <n v="3"/>
    <s v="Yes"/>
    <s v="Medium"/>
    <n v="1"/>
    <x v="124"/>
    <s v="Mid"/>
    <n v="1"/>
    <n v="0"/>
    <s v="Value &amp; Gift Sets"/>
  </r>
  <r>
    <s v="P481137"/>
    <s v="FIX Line Smoothing Serum"/>
    <n v="6001"/>
    <s v="NuFACE"/>
    <n v="540"/>
    <x v="6"/>
    <m/>
    <s v="No"/>
    <s v="Not Rated"/>
    <n v="0"/>
    <x v="25"/>
    <s v="Mid"/>
    <n v="0"/>
    <n v="0"/>
    <s v="Treatments"/>
  </r>
  <r>
    <s v="P439099"/>
    <s v="Clarifying Lotion 2"/>
    <n v="1254"/>
    <s v="CLINIQUE"/>
    <n v="545"/>
    <x v="6"/>
    <n v="4.4286000000000003"/>
    <s v="Yes"/>
    <s v="High"/>
    <n v="7"/>
    <x v="8"/>
    <s v="Mid"/>
    <n v="0"/>
    <n v="0"/>
    <s v="Cleansers"/>
  </r>
  <r>
    <s v="P505233"/>
    <s v="Honey Infused Lip Oil"/>
    <n v="6328"/>
    <s v="Gisou"/>
    <n v="547"/>
    <x v="6"/>
    <n v="4.9474"/>
    <s v="Yes"/>
    <s v="High"/>
    <n v="19"/>
    <x v="29"/>
    <s v="Mid"/>
    <n v="1"/>
    <n v="1"/>
    <s v="Lip Balms &amp; Treatments"/>
  </r>
  <r>
    <s v="P501566"/>
    <s v="Super Restorative Anti-Aging Day Moisturizer"/>
    <n v="2082"/>
    <s v="Clarins"/>
    <n v="566"/>
    <x v="6"/>
    <n v="4.6666999999999996"/>
    <s v="Yes"/>
    <s v="High"/>
    <n v="3"/>
    <x v="157"/>
    <s v="Premium"/>
    <n v="0"/>
    <n v="0"/>
    <s v="Moisturizers"/>
  </r>
  <r>
    <s v="P500771"/>
    <s v="Smart Clinical Repair Wrinkle Correcting Rich Cream"/>
    <n v="1254"/>
    <s v="CLINIQUE"/>
    <n v="574"/>
    <x v="6"/>
    <n v="4.4118000000000004"/>
    <s v="Yes"/>
    <s v="High"/>
    <n v="17"/>
    <x v="6"/>
    <s v="Premium"/>
    <n v="0"/>
    <n v="0"/>
    <s v="Moisturizers"/>
  </r>
  <r>
    <s v="P439098"/>
    <s v="Clarifying Lotion 3"/>
    <n v="1254"/>
    <s v="CLINIQUE"/>
    <n v="577"/>
    <x v="6"/>
    <n v="4.1666999999999996"/>
    <s v="Yes"/>
    <s v="High"/>
    <n v="6"/>
    <x v="8"/>
    <s v="Mid"/>
    <n v="0"/>
    <n v="0"/>
    <s v="Cleansers"/>
  </r>
  <r>
    <s v="P480441"/>
    <s v="Retinol + Bakuchiol Serum 2.5x"/>
    <n v="6318"/>
    <s v="Dr. Lara Devgan Scientific Beauty"/>
    <n v="581"/>
    <x v="6"/>
    <n v="3"/>
    <s v="Yes"/>
    <s v="Medium"/>
    <n v="1"/>
    <x v="121"/>
    <s v="Premium"/>
    <n v="0"/>
    <n v="0"/>
    <s v="Treatments"/>
  </r>
  <r>
    <s v="P501585"/>
    <s v="Super Restorative Anti-Aging Night Moisturizer"/>
    <n v="2082"/>
    <s v="Clarins"/>
    <n v="595"/>
    <x v="6"/>
    <n v="5"/>
    <s v="Yes"/>
    <s v="High"/>
    <n v="2"/>
    <x v="180"/>
    <s v="Premium"/>
    <n v="0"/>
    <n v="0"/>
    <s v="Moisturizers"/>
  </r>
  <r>
    <s v="P435790"/>
    <s v="Radiance Revitalizing Foam"/>
    <n v="4372"/>
    <s v="Dr. Brandt Skincare"/>
    <n v="597"/>
    <x v="6"/>
    <n v="5"/>
    <s v="Yes"/>
    <s v="High"/>
    <n v="4"/>
    <x v="92"/>
    <s v="Premium"/>
    <n v="0"/>
    <n v="1"/>
    <s v="Treatments"/>
  </r>
  <r>
    <s v="P477811"/>
    <s v="Rare Earth Pore Minimizing Lotion"/>
    <n v="6218"/>
    <s v="Kiehl's Since 1851"/>
    <n v="606"/>
    <x v="6"/>
    <m/>
    <s v="No"/>
    <s v="Not Rated"/>
    <n v="0"/>
    <x v="49"/>
    <s v="Mid"/>
    <n v="0"/>
    <n v="1"/>
    <s v="Moisturizers"/>
  </r>
  <r>
    <s v="P504988"/>
    <s v="Snow Mushroom Pore Cleanser with Exfoliating Glove"/>
    <n v="6349"/>
    <s v="DAMDAM"/>
    <n v="606"/>
    <x v="6"/>
    <n v="4.7037000000000004"/>
    <s v="Yes"/>
    <s v="High"/>
    <n v="108"/>
    <x v="84"/>
    <s v="Mid"/>
    <n v="1"/>
    <n v="0"/>
    <s v="Cleansers"/>
  </r>
  <r>
    <s v="P505171"/>
    <s v="Acne Light Shot"/>
    <n v="6329"/>
    <s v="FaceGym"/>
    <n v="627"/>
    <x v="6"/>
    <m/>
    <s v="No"/>
    <s v="Not Rated"/>
    <n v="0"/>
    <x v="17"/>
    <s v="Premium"/>
    <n v="1"/>
    <n v="0"/>
    <s v="Treatments"/>
  </r>
  <r>
    <s v="P502186"/>
    <s v="Retinol Try Me Kit"/>
    <n v="5946"/>
    <s v="Kate Somerville"/>
    <n v="628"/>
    <x v="6"/>
    <n v="3"/>
    <s v="Yes"/>
    <s v="Medium"/>
    <n v="2"/>
    <x v="83"/>
    <s v="Premium"/>
    <n v="0"/>
    <n v="0"/>
    <s v="Value &amp; Gift Sets"/>
  </r>
  <r>
    <s v="P505009"/>
    <s v="The POREfessional Tight â€™n Toned Pore-Refining AHA+PHA Toner"/>
    <n v="5333"/>
    <s v="Benefit Cosmetics"/>
    <n v="629"/>
    <x v="6"/>
    <n v="4.6463999999999999"/>
    <s v="Yes"/>
    <s v="High"/>
    <n v="676"/>
    <x v="18"/>
    <s v="Mid"/>
    <n v="1"/>
    <n v="0"/>
    <s v="Cleansers"/>
  </r>
  <r>
    <s v="P423168"/>
    <s v="Future Solution LX Total Protective Emulsion Broad Spectrum SPF 20 Sunscreen"/>
    <n v="5337"/>
    <s v="Shiseido"/>
    <n v="636"/>
    <x v="6"/>
    <n v="4"/>
    <s v="Yes"/>
    <s v="High"/>
    <n v="2"/>
    <x v="120"/>
    <s v="Premium"/>
    <n v="0"/>
    <n v="0"/>
    <s v="Sunscreen"/>
  </r>
  <r>
    <s v="P500160"/>
    <s v="Mineral Sun Defense Moisturizer Broad Spectrum SPF 30"/>
    <n v="8012"/>
    <s v="Naturally Serious"/>
    <n v="647"/>
    <x v="6"/>
    <n v="4.3765999999999998"/>
    <s v="Yes"/>
    <s v="High"/>
    <n v="77"/>
    <x v="8"/>
    <s v="Mid"/>
    <n v="0"/>
    <n v="0"/>
    <s v="Sunscreen"/>
  </r>
  <r>
    <s v="P476893"/>
    <s v="NUDESKIN Citrus-C Mask &amp; Daily Moisturizer"/>
    <n v="7055"/>
    <s v="NUDESTIX"/>
    <n v="653"/>
    <x v="6"/>
    <n v="4.2603"/>
    <s v="Yes"/>
    <s v="High"/>
    <n v="73"/>
    <x v="7"/>
    <s v="Mid"/>
    <n v="0"/>
    <n v="0"/>
    <s v="Moisturizers"/>
  </r>
  <r>
    <s v="P505338"/>
    <s v="Pore Perfecting Liquid Exfoliator with 2% BHA + Borage"/>
    <n v="6312"/>
    <s v="alpyn beauty"/>
    <n v="654"/>
    <x v="6"/>
    <n v="4.9230999999999998"/>
    <s v="Yes"/>
    <s v="High"/>
    <n v="91"/>
    <x v="7"/>
    <s v="Mid"/>
    <n v="1"/>
    <n v="0"/>
    <s v="Cleansers"/>
  </r>
  <r>
    <s v="P478270"/>
    <s v="Big Break Soap Set"/>
    <n v="7081"/>
    <s v="Erno Laszlo"/>
    <n v="655"/>
    <x v="6"/>
    <n v="5"/>
    <s v="Yes"/>
    <s v="High"/>
    <n v="1"/>
    <x v="50"/>
    <s v="Premium"/>
    <n v="0"/>
    <n v="1"/>
    <s v="Value &amp; Gift Sets"/>
  </r>
  <r>
    <s v="P481993"/>
    <s v="Abeille Royale Intense Repair Youth Oil in Balm"/>
    <n v="1132"/>
    <s v="GUERLAIN"/>
    <n v="655"/>
    <x v="6"/>
    <n v="3"/>
    <s v="Yes"/>
    <s v="Medium"/>
    <n v="1"/>
    <x v="221"/>
    <s v="Premium"/>
    <n v="0"/>
    <n v="0"/>
    <s v="Masks"/>
  </r>
  <r>
    <s v="P500151"/>
    <s v="Drop of Strength All Day Strengthening Serum"/>
    <n v="4372"/>
    <s v="Dr. Brandt Skincare"/>
    <n v="665"/>
    <x v="6"/>
    <n v="4.5"/>
    <s v="Yes"/>
    <s v="High"/>
    <n v="2"/>
    <x v="99"/>
    <s v="Premium"/>
    <n v="0"/>
    <n v="0"/>
    <s v="Treatments"/>
  </r>
  <r>
    <s v="P478260"/>
    <s v="Break from the Burnout Skin Wellness Set"/>
    <n v="7081"/>
    <s v="Erno Laszlo"/>
    <n v="673"/>
    <x v="6"/>
    <n v="5"/>
    <s v="Yes"/>
    <s v="High"/>
    <n v="1"/>
    <x v="76"/>
    <s v="Premium"/>
    <n v="0"/>
    <n v="1"/>
    <s v="Value &amp; Gift Sets"/>
  </r>
  <r>
    <s v="P503926"/>
    <s v="The Face Cream Mask"/>
    <n v="6356"/>
    <s v="Augustinus Bader"/>
    <n v="684"/>
    <x v="6"/>
    <n v="4.375"/>
    <s v="Yes"/>
    <s v="High"/>
    <n v="48"/>
    <x v="165"/>
    <s v="Premium"/>
    <n v="0"/>
    <n v="0"/>
    <s v="Masks"/>
  </r>
  <r>
    <s v="P503877"/>
    <s v="Superkind Refining Cleanser"/>
    <n v="7020"/>
    <s v="Tata Harper"/>
    <n v="689"/>
    <x v="6"/>
    <n v="5"/>
    <s v="Yes"/>
    <s v="High"/>
    <n v="1"/>
    <x v="118"/>
    <s v="Premium"/>
    <n v="0"/>
    <n v="0"/>
    <s v="Cleansers"/>
  </r>
  <r>
    <s v="P406656"/>
    <s v="Repairwear Laser Focus Line Smoothing Cream Broad Spectrum SPF 15 for Combination Oily to Oily Skin"/>
    <n v="1254"/>
    <s v="CLINIQUE"/>
    <n v="690"/>
    <x v="6"/>
    <n v="3.6667000000000001"/>
    <s v="Yes"/>
    <s v="Medium"/>
    <n v="3"/>
    <x v="77"/>
    <s v="Premium"/>
    <n v="0"/>
    <n v="1"/>
    <s v="Moisturizers"/>
  </r>
  <r>
    <s v="P482005"/>
    <s v="Fan Club - multi-symptom menopause support"/>
    <n v="7050"/>
    <s v="HUM Nutrition"/>
    <n v="728"/>
    <x v="6"/>
    <n v="4.8170999999999999"/>
    <s v="Yes"/>
    <s v="High"/>
    <n v="82"/>
    <x v="24"/>
    <s v="Mid"/>
    <n v="0"/>
    <n v="0"/>
    <s v="Wellness"/>
  </r>
  <r>
    <s v="P479947"/>
    <s v="Self Tanning Face &amp; Body Milky Lotion"/>
    <n v="2082"/>
    <s v="Clarins"/>
    <n v="732"/>
    <x v="6"/>
    <n v="3.6667000000000001"/>
    <s v="Yes"/>
    <s v="Medium"/>
    <n v="3"/>
    <x v="36"/>
    <s v="Mid"/>
    <n v="0"/>
    <n v="0"/>
    <s v="Self Tanners"/>
  </r>
  <r>
    <s v="P505031"/>
    <s v="The POREfessional Smooth Sip Lightweight Gel-Cream Moisturizer"/>
    <n v="5333"/>
    <s v="Benefit Cosmetics"/>
    <n v="736"/>
    <x v="6"/>
    <n v="4.5975000000000001"/>
    <s v="Yes"/>
    <s v="High"/>
    <n v="718"/>
    <x v="124"/>
    <s v="Mid"/>
    <n v="1"/>
    <n v="0"/>
    <s v="Moisturizers"/>
  </r>
  <r>
    <s v="P504676"/>
    <s v="NuFACE Trinity+ &amp; Effective Lip and Eye Attachment"/>
    <n v="6001"/>
    <s v="NuFACE"/>
    <n v="760"/>
    <x v="6"/>
    <m/>
    <s v="No"/>
    <s v="Not Rated"/>
    <n v="0"/>
    <x v="222"/>
    <s v="Premium"/>
    <n v="1"/>
    <n v="1"/>
    <s v="High Tech Tools"/>
  </r>
  <r>
    <s v="P505024"/>
    <s v="The POREfessional Get Unblocked Makeup-Removing Cleansing Oil"/>
    <n v="5333"/>
    <s v="Benefit Cosmetics"/>
    <n v="770"/>
    <x v="6"/>
    <n v="4.6722999999999999"/>
    <s v="Yes"/>
    <s v="High"/>
    <n v="476"/>
    <x v="7"/>
    <s v="Mid"/>
    <n v="1"/>
    <n v="0"/>
    <s v="Cleansers"/>
  </r>
  <r>
    <s v="P505120"/>
    <s v="Early Bird Hydrate + Brighten Set"/>
    <n v="7083"/>
    <s v="Drunk Elephant"/>
    <n v="782"/>
    <x v="6"/>
    <n v="5"/>
    <s v="Yes"/>
    <s v="High"/>
    <n v="1"/>
    <x v="30"/>
    <s v="Premium"/>
    <n v="1"/>
    <n v="0"/>
    <s v="Value &amp; Gift Sets"/>
  </r>
  <r>
    <s v="P480330"/>
    <s v="Grab and Go Set"/>
    <n v="8017"/>
    <s v="Mario Badescu"/>
    <n v="787"/>
    <x v="6"/>
    <m/>
    <s v="No"/>
    <s v="Not Rated"/>
    <n v="0"/>
    <x v="75"/>
    <s v="Mid"/>
    <n v="0"/>
    <n v="1"/>
    <s v="Value &amp; Gift Sets"/>
  </r>
  <r>
    <s v="P504288"/>
    <s v="Get Lit Skin and Mood Boosting Supplement"/>
    <n v="6474"/>
    <s v="caliray"/>
    <n v="789"/>
    <x v="6"/>
    <n v="4.5"/>
    <s v="Yes"/>
    <s v="High"/>
    <n v="24"/>
    <x v="14"/>
    <s v="Mid"/>
    <n v="0"/>
    <n v="0"/>
    <s v="Wellness"/>
  </r>
  <r>
    <s v="P504892"/>
    <s v="Refine AHA + BHA Texture &amp; Pore Serum"/>
    <n v="6357"/>
    <s v="iNNBEAUTY PROJECT"/>
    <n v="790"/>
    <x v="6"/>
    <n v="4.7895000000000003"/>
    <s v="Yes"/>
    <s v="High"/>
    <n v="57"/>
    <x v="12"/>
    <s v="Mid"/>
    <n v="1"/>
    <n v="0"/>
    <s v="Treatments"/>
  </r>
  <r>
    <s v="P504330"/>
    <s v="5% Citrus Fruit &amp; Glycolic Glow Toner"/>
    <n v="7055"/>
    <s v="NUDESTIX"/>
    <n v="793"/>
    <x v="6"/>
    <m/>
    <s v="No"/>
    <s v="Not Rated"/>
    <n v="0"/>
    <x v="31"/>
    <s v="Mid"/>
    <n v="0"/>
    <n v="0"/>
    <s v="Cleansers"/>
  </r>
  <r>
    <s v="P504575"/>
    <s v="PRO ACV Healthy Gut Vegan Gummies with 100% Organic Apple Cider Vinegar and Probiotics"/>
    <n v="7050"/>
    <s v="HUM Nutrition"/>
    <n v="797"/>
    <x v="6"/>
    <n v="4.6607000000000003"/>
    <s v="Yes"/>
    <s v="High"/>
    <n v="168"/>
    <x v="95"/>
    <s v="Mid"/>
    <n v="1"/>
    <n v="0"/>
    <s v="Wellness"/>
  </r>
  <r>
    <s v="P469830"/>
    <s v="Equilibrium Day Fluid Sunscreen Broad Spectrum SPF 30"/>
    <n v="5879"/>
    <s v="Hourglass"/>
    <n v="799"/>
    <x v="6"/>
    <n v="4.0625"/>
    <s v="Yes"/>
    <s v="High"/>
    <n v="16"/>
    <x v="105"/>
    <s v="Premium"/>
    <n v="0"/>
    <n v="0"/>
    <s v="Sunscreen"/>
  </r>
  <r>
    <s v="P470538"/>
    <s v="SuperPower Immune Support Supplement"/>
    <n v="6226"/>
    <s v="Moon Juice"/>
    <n v="820"/>
    <x v="6"/>
    <n v="5"/>
    <s v="Yes"/>
    <s v="High"/>
    <n v="1"/>
    <x v="12"/>
    <s v="Mid"/>
    <n v="0"/>
    <n v="0"/>
    <s v="Wellness"/>
  </r>
  <r>
    <s v="P482256"/>
    <s v="Classic Face Organic Sunscreen Lotion SPF 30"/>
    <n v="7091"/>
    <s v="COOLA"/>
    <n v="826"/>
    <x v="6"/>
    <n v="3.6667000000000001"/>
    <s v="Yes"/>
    <s v="Medium"/>
    <n v="6"/>
    <x v="29"/>
    <s v="Mid"/>
    <n v="0"/>
    <n v="1"/>
    <s v="Sunscreen"/>
  </r>
  <r>
    <s v="P504050"/>
    <s v="Advanced Retinol Nightly Multi Correct Serum"/>
    <n v="6358"/>
    <s v="StriVectin"/>
    <n v="855"/>
    <x v="6"/>
    <n v="4.7857000000000003"/>
    <s v="Yes"/>
    <s v="High"/>
    <n v="42"/>
    <x v="102"/>
    <s v="Premium"/>
    <n v="1"/>
    <n v="0"/>
    <s v="Treatments"/>
  </r>
  <r>
    <s v="P500111"/>
    <s v="Womb Service - OBGYN Formulated Prenatal Support Supplement"/>
    <n v="7050"/>
    <s v="HUM Nutrition"/>
    <n v="864"/>
    <x v="6"/>
    <n v="4.8148"/>
    <s v="Yes"/>
    <s v="High"/>
    <n v="81"/>
    <x v="44"/>
    <s v="Mid"/>
    <n v="0"/>
    <n v="0"/>
    <s v="Wellness"/>
  </r>
  <r>
    <s v="P474941"/>
    <s v="3 Step Intro Kit Type II"/>
    <n v="1254"/>
    <s v="CLINIQUE"/>
    <n v="865"/>
    <x v="6"/>
    <n v="2"/>
    <s v="Yes"/>
    <s v="Low"/>
    <n v="2"/>
    <x v="128"/>
    <s v="Mid"/>
    <n v="0"/>
    <n v="0"/>
    <s v="Value &amp; Gift Sets"/>
  </r>
  <r>
    <s v="P504911"/>
    <s v="Everyday SPF Faves"/>
    <n v="5987"/>
    <s v="Supergoop!"/>
    <n v="865"/>
    <x v="6"/>
    <m/>
    <s v="No"/>
    <s v="Not Rated"/>
    <n v="0"/>
    <x v="37"/>
    <s v="Premium"/>
    <n v="0"/>
    <n v="0"/>
    <s v="Value &amp; Gift Sets"/>
  </r>
  <r>
    <s v="P500120"/>
    <s v="Nourishing Rich Moisturizer with Hyaluronic Acid"/>
    <n v="6743"/>
    <s v="Community Sixty-Six"/>
    <n v="867"/>
    <x v="6"/>
    <n v="3.5"/>
    <s v="Yes"/>
    <s v="Medium"/>
    <n v="10"/>
    <x v="94"/>
    <s v="Mid"/>
    <n v="0"/>
    <n v="0"/>
    <s v="Moisturizers"/>
  </r>
  <r>
    <s v="P448547"/>
    <s v="Darker Skin Tones Face Cream Rich"/>
    <n v="6302"/>
    <s v="Dr. Barbara Sturm"/>
    <n v="873"/>
    <x v="6"/>
    <n v="4.6666999999999996"/>
    <s v="Yes"/>
    <s v="High"/>
    <n v="3"/>
    <x v="175"/>
    <s v="Premium"/>
    <n v="0"/>
    <n v="0"/>
    <s v="Moisturizers"/>
  </r>
  <r>
    <s v="P476686"/>
    <s v="Equilibrium Restorative Hydrating Cream"/>
    <n v="5879"/>
    <s v="Hourglass"/>
    <n v="876"/>
    <x v="6"/>
    <n v="5"/>
    <s v="Yes"/>
    <s v="High"/>
    <n v="3"/>
    <x v="90"/>
    <s v="Premium"/>
    <n v="0"/>
    <n v="0"/>
    <s v="Moisturizers"/>
  </r>
  <r>
    <s v="P500755"/>
    <s v="Cryo Skin Icing Roller + Bright Eyes Gels Set"/>
    <n v="6272"/>
    <s v="BeautyBio"/>
    <n v="876"/>
    <x v="6"/>
    <m/>
    <s v="No"/>
    <s v="Not Rated"/>
    <n v="0"/>
    <x v="63"/>
    <s v="Premium"/>
    <n v="0"/>
    <n v="0"/>
    <s v="High Tech Tools"/>
  </r>
  <r>
    <s v="P458963"/>
    <s v="G.Tox Detoxifying Superpowder"/>
    <n v="6309"/>
    <s v="goop"/>
    <n v="894"/>
    <x v="6"/>
    <n v="1.8"/>
    <s v="Yes"/>
    <s v="Low"/>
    <n v="5"/>
    <x v="51"/>
    <s v="Budget"/>
    <n v="0"/>
    <n v="0"/>
    <s v="Wellness"/>
  </r>
  <r>
    <s v="P439648"/>
    <s v="Clinique iD:  Moisturizer + Concentrate for Pores &amp; Uneven Texture"/>
    <n v="1254"/>
    <s v="CLINIQUE"/>
    <n v="904"/>
    <x v="6"/>
    <n v="3.1537999999999999"/>
    <s v="Yes"/>
    <s v="Medium"/>
    <n v="26"/>
    <x v="71"/>
    <s v="Mid"/>
    <n v="0"/>
    <n v="1"/>
    <s v="Moisturizers"/>
  </r>
  <r>
    <s v="P477706"/>
    <s v="35% Vitamin C Fusion Serum"/>
    <n v="6303"/>
    <s v="SOBEL SKIN Rx"/>
    <n v="906"/>
    <x v="6"/>
    <n v="5"/>
    <s v="Yes"/>
    <s v="High"/>
    <n v="3"/>
    <x v="38"/>
    <s v="Premium"/>
    <n v="0"/>
    <n v="0"/>
    <s v="Treatments"/>
  </r>
  <r>
    <s v="P502818"/>
    <s v="LUNA 4 Facial Cleansing &amp; Firming Massage for Balanced Skin"/>
    <n v="7037"/>
    <s v="FOREO"/>
    <n v="918"/>
    <x v="6"/>
    <n v="5"/>
    <s v="Yes"/>
    <s v="High"/>
    <n v="16"/>
    <x v="168"/>
    <s v="Premium"/>
    <n v="0"/>
    <n v="0"/>
    <s v="High Tech Tools"/>
  </r>
  <r>
    <s v="P501176"/>
    <s v="Soft Clean Infusion Hydrating Treatment Lotion"/>
    <n v="6089"/>
    <s v="EstÃ©e Lauder"/>
    <n v="920"/>
    <x v="6"/>
    <n v="3.8332999999999999"/>
    <s v="Yes"/>
    <s v="Medium"/>
    <n v="456"/>
    <x v="36"/>
    <s v="Mid"/>
    <n v="0"/>
    <n v="0"/>
    <s v="Moisturizers"/>
  </r>
  <r>
    <s v="P504882"/>
    <s v="Bye Bye Bumps - Best of Body Kit"/>
    <n v="5972"/>
    <s v="First Aid Beauty"/>
    <n v="921"/>
    <x v="6"/>
    <n v="5"/>
    <s v="Yes"/>
    <s v="High"/>
    <n v="1"/>
    <x v="78"/>
    <s v="Mid"/>
    <n v="1"/>
    <n v="0"/>
    <s v="Value &amp; Gift Sets"/>
  </r>
  <r>
    <s v="P483086"/>
    <s v="Essential Comfort Balancing Emulsion"/>
    <n v="6307"/>
    <s v="Sulwhasoo"/>
    <n v="923"/>
    <x v="6"/>
    <n v="4"/>
    <s v="Yes"/>
    <s v="High"/>
    <n v="1"/>
    <x v="55"/>
    <s v="Premium"/>
    <n v="0"/>
    <n v="0"/>
    <s v="Moisturizers"/>
  </r>
  <r>
    <s v="P471017"/>
    <s v="Super Anti-Aging Face Cream"/>
    <n v="6302"/>
    <s v="Dr. Barbara Sturm"/>
    <n v="928"/>
    <x v="6"/>
    <n v="3.2222"/>
    <s v="Yes"/>
    <s v="Medium"/>
    <n v="9"/>
    <x v="223"/>
    <s v="Premium"/>
    <n v="0"/>
    <n v="0"/>
    <s v="Moisturizers"/>
  </r>
  <r>
    <s v="P504076"/>
    <s v="Exfoliating Revitalizing &amp; Energizing Caffeine Micro Polish"/>
    <n v="6488"/>
    <s v="The Outset"/>
    <n v="933"/>
    <x v="6"/>
    <n v="4.7705000000000002"/>
    <s v="Yes"/>
    <s v="High"/>
    <n v="183"/>
    <x v="18"/>
    <s v="Mid"/>
    <n v="0"/>
    <n v="0"/>
    <s v="Cleansers"/>
  </r>
  <r>
    <s v="P481086"/>
    <s v="Liftwear Brightening Vitamin C Gel-Cream"/>
    <n v="6329"/>
    <s v="FaceGym"/>
    <n v="936"/>
    <x v="6"/>
    <n v="4.6753"/>
    <s v="Yes"/>
    <s v="High"/>
    <n v="77"/>
    <x v="37"/>
    <s v="Premium"/>
    <n v="0"/>
    <n v="0"/>
    <s v="Moisturizers"/>
  </r>
  <r>
    <s v="P504031"/>
    <s v="Evening Primrose + Green Tea Algae Retinol Face Oil"/>
    <n v="6749"/>
    <s v="MARA"/>
    <n v="940"/>
    <x v="6"/>
    <n v="4.9486999999999997"/>
    <s v="Yes"/>
    <s v="High"/>
    <n v="78"/>
    <x v="119"/>
    <s v="Premium"/>
    <n v="1"/>
    <n v="0"/>
    <s v="Moisturizers"/>
  </r>
  <r>
    <s v="P501017"/>
    <s v="Brightening Active Roller with Vitamin C"/>
    <n v="6329"/>
    <s v="FaceGym"/>
    <n v="961"/>
    <x v="6"/>
    <n v="4.7611999999999997"/>
    <s v="Yes"/>
    <s v="High"/>
    <n v="67"/>
    <x v="10"/>
    <s v="Premium"/>
    <n v="0"/>
    <n v="0"/>
    <s v="High Tech Tools"/>
  </r>
  <r>
    <s v="P472471"/>
    <s v="Acne Remedy Overnight Repair Moisturizer"/>
    <n v="3297"/>
    <s v="Jack Black"/>
    <n v="972"/>
    <x v="6"/>
    <n v="4.1429"/>
    <s v="Yes"/>
    <s v="High"/>
    <n v="7"/>
    <x v="24"/>
    <s v="Mid"/>
    <n v="0"/>
    <n v="0"/>
    <s v="Moisturizers"/>
  </r>
  <r>
    <s v="P473148"/>
    <s v="Mask-imum Revival Hydra-Plumping Mask"/>
    <n v="8012"/>
    <s v="Naturally Serious"/>
    <n v="978"/>
    <x v="6"/>
    <n v="4.3810000000000002"/>
    <s v="Yes"/>
    <s v="High"/>
    <n v="126"/>
    <x v="129"/>
    <s v="Mid"/>
    <n v="0"/>
    <n v="0"/>
    <s v="Masks"/>
  </r>
  <r>
    <s v="P500256"/>
    <s v="Mineral Sunscreen SPF 30"/>
    <n v="8017"/>
    <s v="Mario Badescu"/>
    <n v="983"/>
    <x v="6"/>
    <n v="5"/>
    <s v="Yes"/>
    <s v="High"/>
    <n v="2"/>
    <x v="52"/>
    <s v="Mid"/>
    <n v="0"/>
    <n v="0"/>
    <s v="Sunscreen"/>
  </r>
  <r>
    <s v="P500998"/>
    <s v="Soothe + Hydrate Barrier Building Hydrosol Mist"/>
    <n v="6274"/>
    <s v="Flora + Bast"/>
    <n v="986"/>
    <x v="6"/>
    <n v="5"/>
    <s v="Yes"/>
    <s v="High"/>
    <n v="3"/>
    <x v="124"/>
    <s v="Mid"/>
    <n v="0"/>
    <n v="0"/>
    <s v="Moisturizers"/>
  </r>
  <r>
    <s v="P504053"/>
    <s v="Capture Dreamskin 1-Minute Mask"/>
    <n v="1073"/>
    <s v="Dior"/>
    <n v="993"/>
    <x v="6"/>
    <n v="5"/>
    <s v="Yes"/>
    <s v="High"/>
    <n v="2"/>
    <x v="19"/>
    <s v="Premium"/>
    <n v="1"/>
    <n v="0"/>
    <s v="Mask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s v="P420652"/>
    <x v="0"/>
    <n v="6125"/>
    <x v="0"/>
    <x v="0"/>
    <n v="1081315"/>
    <s v="5L+"/>
    <x v="0"/>
    <n v="4.3507999999999996"/>
    <s v="Yes"/>
    <x v="0"/>
    <n v="16118"/>
    <n v="24"/>
    <x v="0"/>
    <n v="0"/>
    <n v="0"/>
  </r>
  <r>
    <s v="P427417"/>
    <x v="1"/>
    <n v="6234"/>
    <x v="1"/>
    <x v="1"/>
    <n v="763168"/>
    <s v="5L+"/>
    <x v="0"/>
    <n v="4.2439"/>
    <s v="Yes"/>
    <x v="0"/>
    <n v="5778"/>
    <n v="6"/>
    <x v="1"/>
    <n v="0"/>
    <n v="0"/>
  </r>
  <r>
    <s v="P427419"/>
    <x v="2"/>
    <n v="6234"/>
    <x v="1"/>
    <x v="1"/>
    <n v="720504"/>
    <s v="5L+"/>
    <x v="0"/>
    <n v="4.2133000000000003"/>
    <s v="Yes"/>
    <x v="0"/>
    <n v="3788"/>
    <n v="15.7"/>
    <x v="1"/>
    <n v="0"/>
    <n v="0"/>
  </r>
  <r>
    <s v="P427406"/>
    <x v="3"/>
    <n v="6234"/>
    <x v="1"/>
    <x v="2"/>
    <n v="542743"/>
    <s v="5L+"/>
    <x v="0"/>
    <n v="4.3456000000000001"/>
    <s v="Yes"/>
    <x v="0"/>
    <n v="2891"/>
    <n v="13"/>
    <x v="1"/>
    <n v="0"/>
    <n v="0"/>
  </r>
  <r>
    <s v="P442563"/>
    <x v="4"/>
    <n v="6234"/>
    <x v="1"/>
    <x v="1"/>
    <n v="533877"/>
    <s v="5L+"/>
    <x v="0"/>
    <n v="4.5734000000000004"/>
    <s v="Yes"/>
    <x v="0"/>
    <n v="3242"/>
    <n v="9.5"/>
    <x v="1"/>
    <n v="0"/>
    <n v="0"/>
  </r>
  <r>
    <s v="P443563"/>
    <x v="5"/>
    <n v="6125"/>
    <x v="0"/>
    <x v="0"/>
    <n v="471406"/>
    <s v="1L–5L"/>
    <x v="1"/>
    <n v="4.3922999999999996"/>
    <s v="Yes"/>
    <x v="0"/>
    <n v="3722"/>
    <n v="18"/>
    <x v="1"/>
    <n v="0"/>
    <n v="0"/>
  </r>
  <r>
    <s v="P427421"/>
    <x v="6"/>
    <n v="7083"/>
    <x v="2"/>
    <x v="3"/>
    <n v="411372"/>
    <s v="1L–5L"/>
    <x v="1"/>
    <n v="3.9620000000000002"/>
    <s v="Yes"/>
    <x v="1"/>
    <n v="6048"/>
    <n v="68"/>
    <x v="2"/>
    <n v="0"/>
    <n v="0"/>
  </r>
  <r>
    <s v="P411387"/>
    <x v="7"/>
    <n v="6169"/>
    <x v="3"/>
    <x v="2"/>
    <n v="404142"/>
    <s v="1L–5L"/>
    <x v="1"/>
    <n v="4.2111999999999998"/>
    <s v="Yes"/>
    <x v="0"/>
    <n v="5851"/>
    <n v="39"/>
    <x v="0"/>
    <n v="0"/>
    <n v="0"/>
  </r>
  <r>
    <s v="P417238"/>
    <x v="8"/>
    <n v="8001"/>
    <x v="4"/>
    <x v="2"/>
    <n v="403801"/>
    <s v="1L–5L"/>
    <x v="1"/>
    <n v="4.4958"/>
    <s v="Yes"/>
    <x v="0"/>
    <n v="6158"/>
    <n v="36"/>
    <x v="0"/>
    <n v="0"/>
    <n v="0"/>
  </r>
  <r>
    <s v="P466123"/>
    <x v="9"/>
    <n v="6189"/>
    <x v="5"/>
    <x v="1"/>
    <n v="389213"/>
    <s v="1L–5L"/>
    <x v="1"/>
    <n v="4.3975"/>
    <s v="Yes"/>
    <x v="0"/>
    <n v="2136"/>
    <n v="35"/>
    <x v="0"/>
    <n v="0"/>
    <n v="0"/>
  </r>
  <r>
    <s v="P441101"/>
    <x v="10"/>
    <n v="6041"/>
    <x v="6"/>
    <x v="3"/>
    <n v="388775"/>
    <s v="1L–5L"/>
    <x v="1"/>
    <n v="4.1022999999999996"/>
    <s v="Yes"/>
    <x v="0"/>
    <n v="3148"/>
    <n v="70"/>
    <x v="2"/>
    <n v="0"/>
    <n v="0"/>
  </r>
  <r>
    <s v="P418218"/>
    <x v="11"/>
    <n v="6041"/>
    <x v="6"/>
    <x v="3"/>
    <n v="373877"/>
    <s v="1L–5L"/>
    <x v="1"/>
    <n v="4.0244999999999997"/>
    <s v="Yes"/>
    <x v="0"/>
    <n v="4168"/>
    <n v="70"/>
    <x v="2"/>
    <n v="0"/>
    <n v="0"/>
  </r>
  <r>
    <s v="P455936"/>
    <x v="12"/>
    <n v="6247"/>
    <x v="7"/>
    <x v="0"/>
    <n v="359649"/>
    <s v="1L–5L"/>
    <x v="1"/>
    <n v="4.2662000000000004"/>
    <s v="Yes"/>
    <x v="0"/>
    <n v="1157"/>
    <n v="24"/>
    <x v="0"/>
    <n v="0"/>
    <n v="0"/>
  </r>
  <r>
    <s v="P427420"/>
    <x v="13"/>
    <n v="6234"/>
    <x v="1"/>
    <x v="1"/>
    <n v="338410"/>
    <s v="1L–5L"/>
    <x v="1"/>
    <n v="4.1429"/>
    <s v="Yes"/>
    <x v="0"/>
    <n v="1609"/>
    <n v="30.8"/>
    <x v="0"/>
    <n v="0"/>
    <n v="0"/>
  </r>
  <r>
    <s v="P432668"/>
    <x v="14"/>
    <n v="7083"/>
    <x v="2"/>
    <x v="1"/>
    <n v="328059"/>
    <s v="1L–5L"/>
    <x v="1"/>
    <n v="4.4329999999999998"/>
    <s v="Yes"/>
    <x v="0"/>
    <n v="2037"/>
    <n v="38"/>
    <x v="0"/>
    <n v="0"/>
    <n v="1"/>
  </r>
  <r>
    <s v="P421275"/>
    <x v="15"/>
    <n v="6209"/>
    <x v="8"/>
    <x v="1"/>
    <n v="316297"/>
    <s v="1L–5L"/>
    <x v="1"/>
    <n v="4.1779000000000002"/>
    <s v="Yes"/>
    <x v="0"/>
    <n v="4560"/>
    <n v="19"/>
    <x v="1"/>
    <n v="0"/>
    <n v="0"/>
  </r>
  <r>
    <s v="P454380"/>
    <x v="16"/>
    <n v="5987"/>
    <x v="9"/>
    <x v="4"/>
    <n v="302951"/>
    <s v="1L–5L"/>
    <x v="1"/>
    <n v="4.26"/>
    <s v="Yes"/>
    <x v="0"/>
    <n v="3262"/>
    <n v="48"/>
    <x v="0"/>
    <n v="0"/>
    <n v="0"/>
  </r>
  <r>
    <s v="P400259"/>
    <x v="17"/>
    <n v="7083"/>
    <x v="2"/>
    <x v="1"/>
    <n v="300467"/>
    <s v="1L–5L"/>
    <x v="1"/>
    <n v="4.1561000000000003"/>
    <s v="Yes"/>
    <x v="0"/>
    <n v="1602"/>
    <n v="78"/>
    <x v="2"/>
    <n v="0"/>
    <n v="0"/>
  </r>
  <r>
    <s v="P248407"/>
    <x v="18"/>
    <n v="5972"/>
    <x v="10"/>
    <x v="3"/>
    <n v="300432"/>
    <s v="1L–5L"/>
    <x v="1"/>
    <n v="4.5199999999999996"/>
    <s v="Yes"/>
    <x v="0"/>
    <n v="7539"/>
    <n v="38"/>
    <x v="0"/>
    <n v="0"/>
    <n v="0"/>
  </r>
  <r>
    <s v="P427413"/>
    <x v="19"/>
    <n v="6234"/>
    <x v="1"/>
    <x v="1"/>
    <n v="295071"/>
    <s v="1L–5L"/>
    <x v="1"/>
    <n v="4.5034999999999998"/>
    <s v="Yes"/>
    <x v="0"/>
    <n v="1289"/>
    <n v="8.9"/>
    <x v="1"/>
    <n v="0"/>
    <n v="0"/>
  </r>
  <r>
    <s v="P392246"/>
    <x v="20"/>
    <n v="7083"/>
    <x v="2"/>
    <x v="1"/>
    <n v="290028"/>
    <s v="1L–5L"/>
    <x v="1"/>
    <n v="4.3491999999999997"/>
    <s v="Yes"/>
    <x v="0"/>
    <n v="3439"/>
    <n v="90"/>
    <x v="2"/>
    <n v="0"/>
    <n v="0"/>
  </r>
  <r>
    <s v="P7880"/>
    <x v="21"/>
    <n v="4348"/>
    <x v="11"/>
    <x v="2"/>
    <n v="282865"/>
    <s v="1L–5L"/>
    <x v="1"/>
    <n v="4.3628"/>
    <s v="Yes"/>
    <x v="0"/>
    <n v="8733"/>
    <n v="39"/>
    <x v="0"/>
    <n v="0"/>
    <n v="0"/>
  </r>
  <r>
    <s v="P427416"/>
    <x v="22"/>
    <n v="6234"/>
    <x v="1"/>
    <x v="1"/>
    <n v="281928"/>
    <s v="1L–5L"/>
    <x v="1"/>
    <n v="3.7715000000000001"/>
    <s v="Yes"/>
    <x v="1"/>
    <n v="2118"/>
    <n v="8.9"/>
    <x v="1"/>
    <n v="0"/>
    <n v="0"/>
  </r>
  <r>
    <s v="P469502"/>
    <x v="23"/>
    <n v="6341"/>
    <x v="12"/>
    <x v="2"/>
    <n v="275846"/>
    <s v="1L–5L"/>
    <x v="1"/>
    <n v="4.4398999999999997"/>
    <s v="Yes"/>
    <x v="0"/>
    <n v="1182"/>
    <n v="34"/>
    <x v="0"/>
    <n v="0"/>
    <n v="0"/>
  </r>
  <r>
    <s v="P415777"/>
    <x v="24"/>
    <n v="7083"/>
    <x v="2"/>
    <x v="5"/>
    <n v="274915"/>
    <s v="1L–5L"/>
    <x v="1"/>
    <n v="4.2908999999999997"/>
    <s v="Yes"/>
    <x v="0"/>
    <n v="2554"/>
    <n v="80"/>
    <x v="2"/>
    <n v="0"/>
    <n v="0"/>
  </r>
  <r>
    <s v="P409800"/>
    <x v="25"/>
    <n v="3902"/>
    <x v="13"/>
    <x v="2"/>
    <n v="266116"/>
    <s v="1L–5L"/>
    <x v="1"/>
    <n v="4.3383000000000003"/>
    <s v="Yes"/>
    <x v="0"/>
    <n v="3837"/>
    <n v="3"/>
    <x v="1"/>
    <n v="0"/>
    <n v="1"/>
  </r>
  <r>
    <s v="P394639"/>
    <x v="26"/>
    <n v="7075"/>
    <x v="14"/>
    <x v="3"/>
    <n v="265050"/>
    <s v="1L–5L"/>
    <x v="1"/>
    <n v="4.4840999999999998"/>
    <s v="Yes"/>
    <x v="0"/>
    <n v="7292"/>
    <n v="38"/>
    <x v="0"/>
    <n v="0"/>
    <n v="0"/>
  </r>
  <r>
    <s v="P309308"/>
    <x v="27"/>
    <n v="6073"/>
    <x v="15"/>
    <x v="1"/>
    <n v="262434"/>
    <s v="1L–5L"/>
    <x v="1"/>
    <n v="4.3375000000000004"/>
    <s v="Yes"/>
    <x v="0"/>
    <n v="5393"/>
    <n v="122"/>
    <x v="2"/>
    <n v="0"/>
    <n v="0"/>
  </r>
  <r>
    <s v="P427414"/>
    <x v="28"/>
    <n v="6234"/>
    <x v="1"/>
    <x v="1"/>
    <n v="258456"/>
    <s v="1L–5L"/>
    <x v="1"/>
    <n v="4.1471999999999998"/>
    <s v="Yes"/>
    <x v="0"/>
    <n v="2052"/>
    <n v="6.5"/>
    <x v="1"/>
    <n v="0"/>
    <n v="0"/>
  </r>
  <r>
    <s v="P458219"/>
    <x v="29"/>
    <n v="6189"/>
    <x v="5"/>
    <x v="2"/>
    <n v="252846"/>
    <s v="1L–5L"/>
    <x v="1"/>
    <n v="4.3727999999999998"/>
    <s v="Yes"/>
    <x v="0"/>
    <n v="3305"/>
    <n v="34"/>
    <x v="0"/>
    <n v="0"/>
    <n v="0"/>
  </r>
  <r>
    <s v="P440307"/>
    <x v="30"/>
    <n v="6169"/>
    <x v="3"/>
    <x v="5"/>
    <n v="248887"/>
    <s v="1L–5L"/>
    <x v="1"/>
    <n v="4.3236999999999997"/>
    <s v="Yes"/>
    <x v="0"/>
    <n v="2354"/>
    <n v="52"/>
    <x v="2"/>
    <n v="0"/>
    <n v="0"/>
  </r>
  <r>
    <s v="P427536"/>
    <x v="31"/>
    <n v="6041"/>
    <x v="6"/>
    <x v="2"/>
    <n v="245976"/>
    <s v="1L–5L"/>
    <x v="1"/>
    <n v="4.1478000000000002"/>
    <s v="Yes"/>
    <x v="0"/>
    <n v="2361"/>
    <n v="40"/>
    <x v="0"/>
    <n v="0"/>
    <n v="0"/>
  </r>
  <r>
    <s v="P429952"/>
    <x v="32"/>
    <n v="6247"/>
    <x v="7"/>
    <x v="5"/>
    <n v="245435"/>
    <s v="1L–5L"/>
    <x v="1"/>
    <n v="4.0262000000000002"/>
    <s v="Yes"/>
    <x v="0"/>
    <n v="4427"/>
    <n v="49"/>
    <x v="0"/>
    <n v="0"/>
    <n v="0"/>
  </r>
  <r>
    <s v="P427415"/>
    <x v="33"/>
    <n v="6234"/>
    <x v="1"/>
    <x v="3"/>
    <n v="240783"/>
    <s v="1L–5L"/>
    <x v="1"/>
    <n v="4.3987999999999996"/>
    <s v="Yes"/>
    <x v="0"/>
    <n v="1620"/>
    <n v="10.9"/>
    <x v="1"/>
    <n v="0"/>
    <n v="0"/>
  </r>
  <r>
    <s v="P269122"/>
    <x v="34"/>
    <n v="5668"/>
    <x v="16"/>
    <x v="1"/>
    <n v="234295"/>
    <s v="1L–5L"/>
    <x v="1"/>
    <n v="4.5454999999999997"/>
    <s v="Yes"/>
    <x v="0"/>
    <n v="7412"/>
    <n v="92"/>
    <x v="2"/>
    <n v="0"/>
    <n v="0"/>
  </r>
  <r>
    <s v="P456218"/>
    <x v="35"/>
    <n v="5987"/>
    <x v="9"/>
    <x v="4"/>
    <n v="231004"/>
    <s v="1L–5L"/>
    <x v="1"/>
    <n v="4.1513"/>
    <s v="Yes"/>
    <x v="0"/>
    <n v="2049"/>
    <n v="38"/>
    <x v="0"/>
    <n v="0"/>
    <n v="0"/>
  </r>
  <r>
    <s v="P406712"/>
    <x v="36"/>
    <n v="7083"/>
    <x v="2"/>
    <x v="1"/>
    <n v="216418"/>
    <s v="1L–5L"/>
    <x v="1"/>
    <n v="4.1863000000000001"/>
    <s v="Yes"/>
    <x v="0"/>
    <n v="2561"/>
    <n v="49"/>
    <x v="0"/>
    <n v="0"/>
    <n v="0"/>
  </r>
  <r>
    <s v="P439926"/>
    <x v="37"/>
    <n v="7083"/>
    <x v="2"/>
    <x v="1"/>
    <n v="214435"/>
    <s v="1L–5L"/>
    <x v="1"/>
    <n v="4.2008000000000001"/>
    <s v="Yes"/>
    <x v="0"/>
    <n v="1265"/>
    <n v="74"/>
    <x v="2"/>
    <n v="0"/>
    <n v="0"/>
  </r>
  <r>
    <s v="P411540"/>
    <x v="38"/>
    <n v="6014"/>
    <x v="17"/>
    <x v="3"/>
    <n v="210786"/>
    <s v="1L–5L"/>
    <x v="1"/>
    <n v="3.9904000000000002"/>
    <s v="Yes"/>
    <x v="1"/>
    <n v="5309"/>
    <n v="52"/>
    <x v="2"/>
    <n v="0"/>
    <n v="0"/>
  </r>
  <r>
    <s v="P431180"/>
    <x v="39"/>
    <n v="8008"/>
    <x v="18"/>
    <x v="6"/>
    <n v="209716"/>
    <s v="1L–5L"/>
    <x v="1"/>
    <n v="3.9546999999999999"/>
    <s v="Yes"/>
    <x v="1"/>
    <n v="2849"/>
    <n v="32"/>
    <x v="0"/>
    <n v="0"/>
    <n v="0"/>
  </r>
  <r>
    <s v="P399623"/>
    <x v="40"/>
    <n v="6041"/>
    <x v="6"/>
    <x v="3"/>
    <n v="209577"/>
    <s v="1L–5L"/>
    <x v="1"/>
    <n v="3.9510000000000001"/>
    <s v="Yes"/>
    <x v="1"/>
    <n v="2041"/>
    <n v="49"/>
    <x v="0"/>
    <n v="0"/>
    <n v="0"/>
  </r>
  <r>
    <s v="P442840"/>
    <x v="41"/>
    <n v="6289"/>
    <x v="19"/>
    <x v="3"/>
    <n v="206494"/>
    <s v="1L–5L"/>
    <x v="1"/>
    <n v="4.2923999999999998"/>
    <s v="Yes"/>
    <x v="0"/>
    <n v="2449"/>
    <n v="54"/>
    <x v="2"/>
    <n v="0"/>
    <n v="0"/>
  </r>
  <r>
    <s v="P453225"/>
    <x v="42"/>
    <n v="6041"/>
    <x v="6"/>
    <x v="0"/>
    <n v="202204"/>
    <s v="1L–5L"/>
    <x v="1"/>
    <n v="3.7724000000000002"/>
    <s v="Yes"/>
    <x v="1"/>
    <n v="1226"/>
    <n v="29"/>
    <x v="0"/>
    <n v="0"/>
    <n v="0"/>
  </r>
  <r>
    <s v="P421996"/>
    <x v="43"/>
    <n v="6218"/>
    <x v="20"/>
    <x v="3"/>
    <n v="201776"/>
    <s v="1L–5L"/>
    <x v="1"/>
    <n v="4.4469000000000003"/>
    <s v="Yes"/>
    <x v="0"/>
    <n v="2515"/>
    <n v="78"/>
    <x v="2"/>
    <n v="1"/>
    <n v="0"/>
  </r>
  <r>
    <s v="P443842"/>
    <x v="44"/>
    <n v="6285"/>
    <x v="21"/>
    <x v="1"/>
    <n v="200087"/>
    <s v="1L–5L"/>
    <x v="1"/>
    <n v="4.3826000000000001"/>
    <s v="Yes"/>
    <x v="0"/>
    <n v="1137"/>
    <n v="12.99"/>
    <x v="1"/>
    <n v="0"/>
    <n v="0"/>
  </r>
  <r>
    <s v="P427418"/>
    <x v="45"/>
    <n v="6234"/>
    <x v="1"/>
    <x v="1"/>
    <n v="195325"/>
    <s v="1L–5L"/>
    <x v="1"/>
    <n v="4.4547999999999996"/>
    <s v="Yes"/>
    <x v="0"/>
    <n v="708"/>
    <n v="11.7"/>
    <x v="1"/>
    <n v="0"/>
    <n v="0"/>
  </r>
  <r>
    <s v="P297524"/>
    <x v="46"/>
    <n v="3733"/>
    <x v="22"/>
    <x v="5"/>
    <n v="194892"/>
    <s v="1L–5L"/>
    <x v="1"/>
    <n v="4.3292000000000002"/>
    <s v="Yes"/>
    <x v="0"/>
    <n v="4526"/>
    <n v="17"/>
    <x v="1"/>
    <n v="0"/>
    <n v="0"/>
  </r>
  <r>
    <s v="P461537"/>
    <x v="47"/>
    <n v="6041"/>
    <x v="6"/>
    <x v="2"/>
    <n v="190401"/>
    <s v="1L–5L"/>
    <x v="1"/>
    <n v="4.5018000000000002"/>
    <s v="Yes"/>
    <x v="0"/>
    <n v="2449"/>
    <n v="40"/>
    <x v="0"/>
    <n v="0"/>
    <n v="0"/>
  </r>
  <r>
    <s v="P427411"/>
    <x v="48"/>
    <n v="6234"/>
    <x v="1"/>
    <x v="1"/>
    <n v="190367"/>
    <s v="1L–5L"/>
    <x v="1"/>
    <n v="4.1577999999999999"/>
    <s v="Yes"/>
    <x v="0"/>
    <n v="957"/>
    <n v="11.1"/>
    <x v="1"/>
    <n v="0"/>
    <n v="0"/>
  </r>
  <r>
    <s v="P427412"/>
    <x v="49"/>
    <n v="6234"/>
    <x v="1"/>
    <x v="1"/>
    <n v="190345"/>
    <s v="1L–5L"/>
    <x v="1"/>
    <n v="4.0411000000000001"/>
    <s v="Yes"/>
    <x v="0"/>
    <n v="755"/>
    <n v="11.1"/>
    <x v="1"/>
    <n v="0"/>
    <n v="0"/>
  </r>
  <r>
    <s v="P395615"/>
    <x v="50"/>
    <n v="4171"/>
    <x v="23"/>
    <x v="5"/>
    <n v="185939"/>
    <s v="1L–5L"/>
    <x v="1"/>
    <n v="4.5015000000000001"/>
    <s v="Yes"/>
    <x v="0"/>
    <n v="1029"/>
    <n v="42"/>
    <x v="0"/>
    <n v="0"/>
    <n v="0"/>
  </r>
  <r>
    <s v="P126301"/>
    <x v="51"/>
    <n v="1254"/>
    <x v="24"/>
    <x v="2"/>
    <n v="185324"/>
    <s v="1L–5L"/>
    <x v="1"/>
    <n v="4.5293999999999999"/>
    <s v="Yes"/>
    <x v="0"/>
    <n v="4375"/>
    <n v="38"/>
    <x v="0"/>
    <n v="0"/>
    <n v="0"/>
  </r>
  <r>
    <s v="P426340"/>
    <x v="52"/>
    <n v="6041"/>
    <x v="6"/>
    <x v="2"/>
    <n v="184011"/>
    <s v="1L–5L"/>
    <x v="1"/>
    <n v="4.4278000000000004"/>
    <s v="Yes"/>
    <x v="0"/>
    <n v="1725"/>
    <n v="68"/>
    <x v="2"/>
    <n v="0"/>
    <n v="0"/>
  </r>
  <r>
    <s v="P439061"/>
    <x v="53"/>
    <n v="5674"/>
    <x v="25"/>
    <x v="2"/>
    <n v="182201"/>
    <s v="1L–5L"/>
    <x v="1"/>
    <n v="4.1921999999999997"/>
    <s v="Yes"/>
    <x v="0"/>
    <n v="2955"/>
    <n v="35"/>
    <x v="0"/>
    <n v="0"/>
    <n v="0"/>
  </r>
  <r>
    <s v="P469503"/>
    <x v="54"/>
    <n v="6341"/>
    <x v="12"/>
    <x v="7"/>
    <n v="179137"/>
    <s v="1L–5L"/>
    <x v="1"/>
    <n v="4.2217000000000002"/>
    <s v="Yes"/>
    <x v="0"/>
    <n v="406"/>
    <n v="13"/>
    <x v="1"/>
    <n v="0"/>
    <n v="0"/>
  </r>
  <r>
    <s v="P434548"/>
    <x v="55"/>
    <n v="8001"/>
    <x v="4"/>
    <x v="3"/>
    <n v="177152"/>
    <s v="1L–5L"/>
    <x v="1"/>
    <n v="4.3154000000000003"/>
    <s v="Yes"/>
    <x v="0"/>
    <n v="1931"/>
    <n v="60"/>
    <x v="2"/>
    <n v="0"/>
    <n v="0"/>
  </r>
  <r>
    <s v="P447791"/>
    <x v="56"/>
    <n v="6189"/>
    <x v="5"/>
    <x v="8"/>
    <n v="176653"/>
    <s v="1L–5L"/>
    <x v="1"/>
    <n v="4.1086999999999998"/>
    <s v="Yes"/>
    <x v="0"/>
    <n v="1886"/>
    <n v="42"/>
    <x v="0"/>
    <n v="0"/>
    <n v="0"/>
  </r>
  <r>
    <s v="P392245"/>
    <x v="57"/>
    <n v="7083"/>
    <x v="2"/>
    <x v="3"/>
    <n v="174857"/>
    <s v="1L–5L"/>
    <x v="1"/>
    <n v="4.3106999999999998"/>
    <s v="Yes"/>
    <x v="0"/>
    <n v="1651"/>
    <n v="68"/>
    <x v="2"/>
    <n v="0"/>
    <n v="0"/>
  </r>
  <r>
    <s v="P393718"/>
    <x v="58"/>
    <n v="6073"/>
    <x v="15"/>
    <x v="3"/>
    <n v="174483"/>
    <s v="1L–5L"/>
    <x v="1"/>
    <n v="4.0827"/>
    <s v="Yes"/>
    <x v="0"/>
    <n v="2442"/>
    <n v="105"/>
    <x v="2"/>
    <n v="0"/>
    <n v="0"/>
  </r>
  <r>
    <s v="P443840"/>
    <x v="59"/>
    <n v="6285"/>
    <x v="21"/>
    <x v="8"/>
    <n v="174319"/>
    <s v="1L–5L"/>
    <x v="1"/>
    <n v="3.8980000000000001"/>
    <s v="Yes"/>
    <x v="1"/>
    <n v="1598"/>
    <n v="10.99"/>
    <x v="1"/>
    <n v="0"/>
    <n v="0"/>
  </r>
  <r>
    <s v="P270594"/>
    <x v="60"/>
    <n v="5644"/>
    <x v="26"/>
    <x v="3"/>
    <n v="171118"/>
    <s v="1L–5L"/>
    <x v="1"/>
    <n v="4.6058000000000003"/>
    <s v="Yes"/>
    <x v="0"/>
    <n v="3440"/>
    <n v="66"/>
    <x v="2"/>
    <n v="0"/>
    <n v="0"/>
  </r>
  <r>
    <s v="P443845"/>
    <x v="61"/>
    <n v="6285"/>
    <x v="21"/>
    <x v="1"/>
    <n v="169217"/>
    <s v="1L–5L"/>
    <x v="1"/>
    <n v="4.4073000000000002"/>
    <s v="Yes"/>
    <x v="0"/>
    <n v="1964"/>
    <n v="9.99"/>
    <x v="1"/>
    <n v="0"/>
    <n v="0"/>
  </r>
  <r>
    <s v="P416563"/>
    <x v="62"/>
    <n v="6195"/>
    <x v="27"/>
    <x v="3"/>
    <n v="167407"/>
    <s v="1L–5L"/>
    <x v="1"/>
    <n v="4.3483000000000001"/>
    <s v="Yes"/>
    <x v="0"/>
    <n v="1470"/>
    <n v="74"/>
    <x v="2"/>
    <n v="0"/>
    <n v="0"/>
  </r>
  <r>
    <s v="P94421"/>
    <x v="63"/>
    <n v="4171"/>
    <x v="23"/>
    <x v="1"/>
    <n v="166423"/>
    <s v="1L–5L"/>
    <x v="1"/>
    <n v="4.2442000000000002"/>
    <s v="Yes"/>
    <x v="0"/>
    <n v="2911"/>
    <n v="82"/>
    <x v="2"/>
    <n v="0"/>
    <n v="0"/>
  </r>
  <r>
    <s v="P448530"/>
    <x v="64"/>
    <n v="6234"/>
    <x v="1"/>
    <x v="5"/>
    <n v="164697"/>
    <s v="1L–5L"/>
    <x v="1"/>
    <n v="4.3735999999999997"/>
    <s v="Yes"/>
    <x v="0"/>
    <n v="637"/>
    <n v="13.3"/>
    <x v="1"/>
    <n v="0"/>
    <n v="0"/>
  </r>
  <r>
    <s v="P428819"/>
    <x v="65"/>
    <n v="6189"/>
    <x v="5"/>
    <x v="3"/>
    <n v="162336"/>
    <s v="1L–5L"/>
    <x v="1"/>
    <n v="3.9994999999999998"/>
    <s v="Yes"/>
    <x v="1"/>
    <n v="1927"/>
    <n v="39"/>
    <x v="0"/>
    <n v="0"/>
    <n v="0"/>
  </r>
  <r>
    <s v="P462699"/>
    <x v="66"/>
    <n v="6189"/>
    <x v="5"/>
    <x v="1"/>
    <n v="159339"/>
    <s v="1L–5L"/>
    <x v="1"/>
    <n v="4.4249000000000001"/>
    <s v="Yes"/>
    <x v="0"/>
    <n v="1918"/>
    <n v="45"/>
    <x v="0"/>
    <n v="0"/>
    <n v="0"/>
  </r>
  <r>
    <s v="P417936"/>
    <x v="67"/>
    <n v="4348"/>
    <x v="11"/>
    <x v="2"/>
    <n v="159149"/>
    <s v="1L–5L"/>
    <x v="1"/>
    <n v="4.1635999999999997"/>
    <s v="Yes"/>
    <x v="0"/>
    <n v="1351"/>
    <n v="46"/>
    <x v="0"/>
    <n v="0"/>
    <n v="0"/>
  </r>
  <r>
    <s v="P394624"/>
    <x v="68"/>
    <n v="7075"/>
    <x v="14"/>
    <x v="3"/>
    <n v="151868"/>
    <s v="1L–5L"/>
    <x v="1"/>
    <n v="4.5631000000000004"/>
    <s v="Yes"/>
    <x v="0"/>
    <n v="4523"/>
    <n v="38"/>
    <x v="0"/>
    <n v="0"/>
    <n v="0"/>
  </r>
  <r>
    <s v="P443833"/>
    <x v="69"/>
    <n v="6285"/>
    <x v="21"/>
    <x v="2"/>
    <n v="150051"/>
    <s v="1L–5L"/>
    <x v="1"/>
    <n v="4.3775000000000004"/>
    <s v="Yes"/>
    <x v="0"/>
    <n v="1547"/>
    <n v="11.99"/>
    <x v="1"/>
    <n v="0"/>
    <n v="0"/>
  </r>
  <r>
    <s v="P248404"/>
    <x v="70"/>
    <n v="5972"/>
    <x v="10"/>
    <x v="2"/>
    <n v="146805"/>
    <s v="1L–5L"/>
    <x v="1"/>
    <n v="4.3738000000000001"/>
    <s v="Yes"/>
    <x v="0"/>
    <n v="4727"/>
    <n v="24"/>
    <x v="0"/>
    <n v="0"/>
    <n v="0"/>
  </r>
  <r>
    <s v="P479327"/>
    <x v="71"/>
    <n v="6189"/>
    <x v="5"/>
    <x v="3"/>
    <n v="146036"/>
    <s v="1L–5L"/>
    <x v="1"/>
    <n v="4.4623999999999997"/>
    <s v="Yes"/>
    <x v="0"/>
    <n v="1449"/>
    <n v="39"/>
    <x v="0"/>
    <n v="0"/>
    <n v="0"/>
  </r>
  <r>
    <s v="P456392"/>
    <x v="72"/>
    <n v="6295"/>
    <x v="28"/>
    <x v="4"/>
    <n v="145749"/>
    <s v="1L–5L"/>
    <x v="1"/>
    <n v="4.5392999999999999"/>
    <s v="Yes"/>
    <x v="0"/>
    <n v="1452"/>
    <n v="16"/>
    <x v="1"/>
    <n v="0"/>
    <n v="0"/>
  </r>
  <r>
    <s v="P446938"/>
    <x v="73"/>
    <n v="7083"/>
    <x v="2"/>
    <x v="3"/>
    <n v="145717"/>
    <s v="1L–5L"/>
    <x v="1"/>
    <n v="4.1535000000000002"/>
    <s v="Yes"/>
    <x v="0"/>
    <n v="1993"/>
    <n v="62"/>
    <x v="2"/>
    <n v="0"/>
    <n v="0"/>
  </r>
  <r>
    <s v="P446930"/>
    <x v="74"/>
    <n v="6125"/>
    <x v="0"/>
    <x v="3"/>
    <n v="143173"/>
    <s v="1L–5L"/>
    <x v="1"/>
    <n v="4.4481000000000002"/>
    <s v="Yes"/>
    <x v="0"/>
    <n v="1859"/>
    <n v="33"/>
    <x v="0"/>
    <n v="0"/>
    <n v="0"/>
  </r>
  <r>
    <s v="P392235"/>
    <x v="75"/>
    <n v="6041"/>
    <x v="6"/>
    <x v="2"/>
    <n v="142010"/>
    <s v="1L–5L"/>
    <x v="1"/>
    <n v="4.4814999999999996"/>
    <s v="Yes"/>
    <x v="0"/>
    <n v="1836"/>
    <n v="50"/>
    <x v="0"/>
    <n v="0"/>
    <n v="0"/>
  </r>
  <r>
    <s v="P12045"/>
    <x v="76"/>
    <n v="4171"/>
    <x v="23"/>
    <x v="3"/>
    <n v="140024"/>
    <s v="1L–5L"/>
    <x v="1"/>
    <n v="4.4431000000000003"/>
    <s v="Yes"/>
    <x v="0"/>
    <n v="1686"/>
    <n v="12"/>
    <x v="1"/>
    <n v="0"/>
    <n v="0"/>
  </r>
  <r>
    <s v="P470259"/>
    <x v="77"/>
    <n v="6355"/>
    <x v="29"/>
    <x v="1"/>
    <n v="139007"/>
    <s v="1L–5L"/>
    <x v="1"/>
    <n v="3.6634000000000002"/>
    <s v="Yes"/>
    <x v="1"/>
    <n v="906"/>
    <n v="38"/>
    <x v="0"/>
    <n v="0"/>
    <n v="0"/>
  </r>
  <r>
    <s v="P467038"/>
    <x v="78"/>
    <n v="6209"/>
    <x v="8"/>
    <x v="8"/>
    <n v="136726"/>
    <s v="1L–5L"/>
    <x v="1"/>
    <n v="4.2061999999999999"/>
    <s v="Yes"/>
    <x v="0"/>
    <n v="1329"/>
    <n v="28"/>
    <x v="0"/>
    <n v="0"/>
    <n v="0"/>
  </r>
  <r>
    <s v="P402944"/>
    <x v="79"/>
    <n v="6130"/>
    <x v="30"/>
    <x v="9"/>
    <n v="136640"/>
    <s v="1L–5L"/>
    <x v="1"/>
    <n v="4.0094000000000003"/>
    <s v="Yes"/>
    <x v="0"/>
    <n v="427"/>
    <n v="89"/>
    <x v="2"/>
    <n v="0"/>
    <n v="0"/>
  </r>
  <r>
    <s v="P218700"/>
    <x v="80"/>
    <n v="5922"/>
    <x v="31"/>
    <x v="3"/>
    <n v="134089"/>
    <s v="1L–5L"/>
    <x v="1"/>
    <n v="4.4997999999999996"/>
    <s v="Yes"/>
    <x v="0"/>
    <n v="7763"/>
    <n v="49"/>
    <x v="0"/>
    <n v="0"/>
    <n v="0"/>
  </r>
  <r>
    <s v="P411388"/>
    <x v="81"/>
    <n v="6169"/>
    <x v="3"/>
    <x v="3"/>
    <n v="133769"/>
    <s v="1L–5L"/>
    <x v="1"/>
    <n v="4.0491000000000001"/>
    <s v="Yes"/>
    <x v="0"/>
    <n v="1670"/>
    <n v="48"/>
    <x v="0"/>
    <n v="0"/>
    <n v="0"/>
  </r>
  <r>
    <s v="P173726"/>
    <x v="82"/>
    <n v="5337"/>
    <x v="32"/>
    <x v="2"/>
    <n v="133163"/>
    <s v="1L–5L"/>
    <x v="1"/>
    <n v="4.8284000000000002"/>
    <s v="Yes"/>
    <x v="0"/>
    <n v="2827"/>
    <n v="13"/>
    <x v="1"/>
    <n v="0"/>
    <n v="0"/>
  </r>
  <r>
    <s v="P421243"/>
    <x v="83"/>
    <n v="4348"/>
    <x v="11"/>
    <x v="0"/>
    <n v="132861"/>
    <s v="1L–5L"/>
    <x v="1"/>
    <n v="4.1990999999999996"/>
    <s v="Yes"/>
    <x v="0"/>
    <n v="2200"/>
    <n v="19"/>
    <x v="1"/>
    <n v="0"/>
    <n v="0"/>
  </r>
  <r>
    <s v="P427410"/>
    <x v="84"/>
    <n v="6234"/>
    <x v="1"/>
    <x v="1"/>
    <n v="132601"/>
    <s v="1L–5L"/>
    <x v="1"/>
    <n v="3.4453999999999998"/>
    <s v="Yes"/>
    <x v="1"/>
    <n v="1109"/>
    <n v="7.8"/>
    <x v="1"/>
    <n v="0"/>
    <n v="0"/>
  </r>
  <r>
    <s v="P463036"/>
    <x v="85"/>
    <n v="8001"/>
    <x v="4"/>
    <x v="3"/>
    <n v="131912"/>
    <s v="1L–5L"/>
    <x v="1"/>
    <n v="4.4484000000000004"/>
    <s v="Yes"/>
    <x v="0"/>
    <n v="1327"/>
    <n v="48"/>
    <x v="0"/>
    <n v="0"/>
    <n v="0"/>
  </r>
  <r>
    <s v="P439058"/>
    <x v="86"/>
    <n v="6041"/>
    <x v="6"/>
    <x v="1"/>
    <n v="129875"/>
    <s v="1L–5L"/>
    <x v="1"/>
    <n v="4.2123999999999997"/>
    <s v="Yes"/>
    <x v="0"/>
    <n v="1610"/>
    <n v="89"/>
    <x v="2"/>
    <n v="0"/>
    <n v="0"/>
  </r>
  <r>
    <s v="P402718"/>
    <x v="87"/>
    <n v="6073"/>
    <x v="15"/>
    <x v="10"/>
    <n v="127982"/>
    <s v="1L–5L"/>
    <x v="1"/>
    <n v="4.3017000000000003"/>
    <s v="Yes"/>
    <x v="0"/>
    <n v="1495"/>
    <n v="72"/>
    <x v="2"/>
    <n v="0"/>
    <n v="0"/>
  </r>
  <r>
    <s v="P455364"/>
    <x v="88"/>
    <n v="6285"/>
    <x v="21"/>
    <x v="2"/>
    <n v="127819"/>
    <s v="1L–5L"/>
    <x v="1"/>
    <n v="3.6097999999999999"/>
    <s v="Yes"/>
    <x v="1"/>
    <n v="2968"/>
    <n v="11.99"/>
    <x v="1"/>
    <n v="0"/>
    <n v="0"/>
  </r>
  <r>
    <s v="P278317"/>
    <x v="89"/>
    <n v="5972"/>
    <x v="10"/>
    <x v="1"/>
    <n v="127405"/>
    <s v="1L–5L"/>
    <x v="1"/>
    <n v="4.2781000000000002"/>
    <s v="Yes"/>
    <x v="0"/>
    <n v="2571"/>
    <n v="36"/>
    <x v="0"/>
    <n v="0"/>
    <n v="0"/>
  </r>
  <r>
    <s v="P438619"/>
    <x v="90"/>
    <n v="3902"/>
    <x v="13"/>
    <x v="8"/>
    <n v="126673"/>
    <s v="1L–5L"/>
    <x v="1"/>
    <n v="4.375"/>
    <s v="Yes"/>
    <x v="0"/>
    <n v="528"/>
    <n v="18"/>
    <x v="1"/>
    <n v="0"/>
    <n v="0"/>
  </r>
  <r>
    <s v="P400207"/>
    <x v="91"/>
    <n v="6117"/>
    <x v="33"/>
    <x v="5"/>
    <n v="126177"/>
    <s v="1L–5L"/>
    <x v="1"/>
    <n v="4.2447999999999997"/>
    <s v="Yes"/>
    <x v="0"/>
    <n v="1928"/>
    <n v="50"/>
    <x v="0"/>
    <n v="0"/>
    <n v="0"/>
  </r>
  <r>
    <s v="P12336"/>
    <x v="92"/>
    <n v="4348"/>
    <x v="11"/>
    <x v="5"/>
    <n v="125801"/>
    <s v="1L–5L"/>
    <x v="1"/>
    <n v="4.1886999999999999"/>
    <s v="Yes"/>
    <x v="0"/>
    <n v="2411"/>
    <n v="64"/>
    <x v="2"/>
    <n v="0"/>
    <n v="0"/>
  </r>
  <r>
    <s v="P302103"/>
    <x v="93"/>
    <n v="4348"/>
    <x v="11"/>
    <x v="0"/>
    <n v="125611"/>
    <s v="1L–5L"/>
    <x v="1"/>
    <n v="4.2836999999999996"/>
    <s v="Yes"/>
    <x v="0"/>
    <n v="2957"/>
    <n v="28"/>
    <x v="0"/>
    <n v="0"/>
    <n v="0"/>
  </r>
  <r>
    <s v="P429515"/>
    <x v="94"/>
    <n v="7083"/>
    <x v="2"/>
    <x v="8"/>
    <n v="124160"/>
    <s v="1L–5L"/>
    <x v="1"/>
    <n v="3.7473000000000001"/>
    <s v="Yes"/>
    <x v="1"/>
    <n v="1484"/>
    <n v="64"/>
    <x v="2"/>
    <n v="0"/>
    <n v="0"/>
  </r>
  <r>
    <s v="P12573"/>
    <x v="95"/>
    <n v="3297"/>
    <x v="34"/>
    <x v="0"/>
    <n v="123439"/>
    <s v="1L–5L"/>
    <x v="1"/>
    <n v="4.6818"/>
    <s v="Yes"/>
    <x v="0"/>
    <n v="3595"/>
    <n v="10"/>
    <x v="1"/>
    <n v="0"/>
    <n v="0"/>
  </r>
  <r>
    <s v="P410400"/>
    <x v="96"/>
    <n v="6073"/>
    <x v="15"/>
    <x v="3"/>
    <n v="123202"/>
    <s v="1L–5L"/>
    <x v="1"/>
    <n v="4.1349999999999998"/>
    <s v="Yes"/>
    <x v="0"/>
    <n v="2281"/>
    <n v="80"/>
    <x v="2"/>
    <n v="0"/>
    <n v="0"/>
  </r>
  <r>
    <s v="P441644"/>
    <x v="97"/>
    <n v="6169"/>
    <x v="3"/>
    <x v="7"/>
    <n v="121678"/>
    <s v="1L–5L"/>
    <x v="1"/>
    <n v="4.2121000000000004"/>
    <s v="Yes"/>
    <x v="0"/>
    <n v="5841"/>
    <n v="14"/>
    <x v="1"/>
    <n v="0"/>
    <n v="0"/>
  </r>
  <r>
    <s v="P444718"/>
    <x v="98"/>
    <n v="6234"/>
    <x v="1"/>
    <x v="2"/>
    <n v="121486"/>
    <s v="1L–5L"/>
    <x v="1"/>
    <n v="4.0068000000000001"/>
    <s v="Yes"/>
    <x v="0"/>
    <n v="888"/>
    <n v="9"/>
    <x v="1"/>
    <n v="0"/>
    <n v="0"/>
  </r>
  <r>
    <s v="P377533"/>
    <x v="99"/>
    <n v="5668"/>
    <x v="16"/>
    <x v="1"/>
    <n v="121149"/>
    <s v="1L–5L"/>
    <x v="1"/>
    <n v="4.4898999999999996"/>
    <s v="Yes"/>
    <x v="0"/>
    <n v="1382"/>
    <n v="92"/>
    <x v="2"/>
    <n v="0"/>
    <n v="0"/>
  </r>
  <r>
    <s v="P442744"/>
    <x v="100"/>
    <n v="6189"/>
    <x v="5"/>
    <x v="3"/>
    <n v="120381"/>
    <s v="1L–5L"/>
    <x v="1"/>
    <n v="4.1551999999999998"/>
    <s v="Yes"/>
    <x v="0"/>
    <n v="992"/>
    <n v="29"/>
    <x v="0"/>
    <n v="0"/>
    <n v="0"/>
  </r>
  <r>
    <s v="P500307"/>
    <x v="101"/>
    <n v="6352"/>
    <x v="35"/>
    <x v="0"/>
    <n v="119797"/>
    <s v="1L–5L"/>
    <x v="1"/>
    <n v="4.4484000000000004"/>
    <s v="Yes"/>
    <x v="0"/>
    <n v="533"/>
    <n v="24"/>
    <x v="0"/>
    <n v="0"/>
    <n v="0"/>
  </r>
  <r>
    <s v="P415747"/>
    <x v="102"/>
    <n v="6145"/>
    <x v="36"/>
    <x v="0"/>
    <n v="118586"/>
    <s v="1L–5L"/>
    <x v="1"/>
    <n v="4.1303999999999998"/>
    <s v="Yes"/>
    <x v="0"/>
    <n v="1350"/>
    <n v="18"/>
    <x v="1"/>
    <n v="0"/>
    <n v="0"/>
  </r>
  <r>
    <s v="P482535"/>
    <x v="103"/>
    <n v="6189"/>
    <x v="5"/>
    <x v="1"/>
    <n v="118258"/>
    <s v="1L–5L"/>
    <x v="1"/>
    <n v="4.5438999999999998"/>
    <s v="Yes"/>
    <x v="0"/>
    <n v="1024"/>
    <n v="42"/>
    <x v="0"/>
    <n v="0"/>
    <n v="0"/>
  </r>
  <r>
    <s v="P442594"/>
    <x v="104"/>
    <n v="3902"/>
    <x v="13"/>
    <x v="1"/>
    <n v="113866"/>
    <s v="1L–5L"/>
    <x v="1"/>
    <n v="4.125"/>
    <s v="Yes"/>
    <x v="0"/>
    <n v="1488"/>
    <n v="20"/>
    <x v="0"/>
    <n v="0"/>
    <n v="0"/>
  </r>
  <r>
    <s v="P415771"/>
    <x v="105"/>
    <n v="6041"/>
    <x v="6"/>
    <x v="3"/>
    <n v="113656"/>
    <s v="1L–5L"/>
    <x v="1"/>
    <n v="4.4442000000000004"/>
    <s v="Yes"/>
    <x v="0"/>
    <n v="2483"/>
    <n v="110"/>
    <x v="2"/>
    <n v="0"/>
    <n v="0"/>
  </r>
  <r>
    <s v="P426836"/>
    <x v="106"/>
    <n v="7083"/>
    <x v="2"/>
    <x v="2"/>
    <n v="113466"/>
    <s v="1L–5L"/>
    <x v="1"/>
    <n v="3.9426000000000001"/>
    <s v="Yes"/>
    <x v="1"/>
    <n v="2702"/>
    <n v="34"/>
    <x v="0"/>
    <n v="0"/>
    <n v="0"/>
  </r>
  <r>
    <s v="P470529"/>
    <x v="107"/>
    <n v="6189"/>
    <x v="5"/>
    <x v="1"/>
    <n v="112842"/>
    <s v="1L–5L"/>
    <x v="1"/>
    <n v="4.4710000000000001"/>
    <s v="Yes"/>
    <x v="0"/>
    <n v="1412"/>
    <n v="45"/>
    <x v="0"/>
    <n v="0"/>
    <n v="0"/>
  </r>
  <r>
    <s v="P422002"/>
    <x v="108"/>
    <n v="6218"/>
    <x v="20"/>
    <x v="5"/>
    <n v="112588"/>
    <s v="1L–5L"/>
    <x v="1"/>
    <n v="4.5419999999999998"/>
    <s v="Yes"/>
    <x v="0"/>
    <n v="524"/>
    <n v="45"/>
    <x v="0"/>
    <n v="0"/>
    <n v="0"/>
  </r>
  <r>
    <s v="P375849"/>
    <x v="109"/>
    <n v="6084"/>
    <x v="37"/>
    <x v="3"/>
    <n v="112101"/>
    <s v="1L–5L"/>
    <x v="1"/>
    <n v="4.0810000000000004"/>
    <s v="Yes"/>
    <x v="0"/>
    <n v="2951"/>
    <n v="245"/>
    <x v="2"/>
    <n v="0"/>
    <n v="0"/>
  </r>
  <r>
    <s v="P433520"/>
    <x v="110"/>
    <n v="6236"/>
    <x v="38"/>
    <x v="3"/>
    <n v="111513"/>
    <s v="1L–5L"/>
    <x v="1"/>
    <n v="4.4044999999999996"/>
    <s v="Yes"/>
    <x v="0"/>
    <n v="3434"/>
    <n v="100"/>
    <x v="2"/>
    <n v="0"/>
    <n v="0"/>
  </r>
  <r>
    <s v="P467762"/>
    <x v="111"/>
    <n v="6189"/>
    <x v="5"/>
    <x v="7"/>
    <n v="111141"/>
    <s v="1L–5L"/>
    <x v="1"/>
    <n v="4.3727999999999998"/>
    <s v="Yes"/>
    <x v="0"/>
    <n v="3305"/>
    <n v="15"/>
    <x v="1"/>
    <n v="0"/>
    <n v="0"/>
  </r>
  <r>
    <s v="P443352"/>
    <x v="112"/>
    <n v="6219"/>
    <x v="39"/>
    <x v="7"/>
    <n v="110141"/>
    <s v="1L–5L"/>
    <x v="1"/>
    <n v="4.6959999999999997"/>
    <s v="Yes"/>
    <x v="0"/>
    <n v="4598"/>
    <n v="18"/>
    <x v="1"/>
    <n v="0"/>
    <n v="0"/>
  </r>
  <r>
    <s v="P479732"/>
    <x v="113"/>
    <n v="6234"/>
    <x v="1"/>
    <x v="1"/>
    <n v="109679"/>
    <s v="1L–5L"/>
    <x v="1"/>
    <n v="3.8389000000000002"/>
    <s v="Yes"/>
    <x v="1"/>
    <n v="329"/>
    <n v="7.2"/>
    <x v="1"/>
    <n v="0"/>
    <n v="0"/>
  </r>
  <r>
    <s v="P430146"/>
    <x v="114"/>
    <n v="6169"/>
    <x v="3"/>
    <x v="3"/>
    <n v="109521"/>
    <s v="1L–5L"/>
    <x v="1"/>
    <n v="4.5094000000000003"/>
    <s v="Yes"/>
    <x v="0"/>
    <n v="1062"/>
    <n v="48"/>
    <x v="0"/>
    <n v="0"/>
    <n v="0"/>
  </r>
  <r>
    <s v="P442830"/>
    <x v="115"/>
    <n v="6234"/>
    <x v="1"/>
    <x v="1"/>
    <n v="108468"/>
    <s v="1L–5L"/>
    <x v="1"/>
    <n v="4.5373999999999999"/>
    <s v="Yes"/>
    <x v="0"/>
    <n v="655"/>
    <n v="10"/>
    <x v="1"/>
    <n v="0"/>
    <n v="0"/>
  </r>
  <r>
    <s v="P404795"/>
    <x v="116"/>
    <n v="6134"/>
    <x v="40"/>
    <x v="3"/>
    <n v="107607"/>
    <s v="1L–5L"/>
    <x v="1"/>
    <n v="3.6775000000000002"/>
    <s v="Yes"/>
    <x v="1"/>
    <n v="1327"/>
    <n v="28"/>
    <x v="0"/>
    <n v="0"/>
    <n v="0"/>
  </r>
  <r>
    <s v="P475543"/>
    <x v="117"/>
    <n v="6189"/>
    <x v="5"/>
    <x v="1"/>
    <n v="106447"/>
    <s v="1L–5L"/>
    <x v="1"/>
    <n v="4.2613000000000003"/>
    <s v="Yes"/>
    <x v="0"/>
    <n v="750"/>
    <n v="45"/>
    <x v="0"/>
    <n v="0"/>
    <n v="0"/>
  </r>
  <r>
    <s v="P442754"/>
    <x v="118"/>
    <n v="6234"/>
    <x v="1"/>
    <x v="1"/>
    <n v="106253"/>
    <s v="1L–5L"/>
    <x v="1"/>
    <n v="3.7505000000000002"/>
    <s v="Yes"/>
    <x v="1"/>
    <n v="501"/>
    <n v="12.2"/>
    <x v="1"/>
    <n v="0"/>
    <n v="0"/>
  </r>
  <r>
    <s v="P442758"/>
    <x v="119"/>
    <n v="6234"/>
    <x v="1"/>
    <x v="1"/>
    <n v="106124"/>
    <s v="1L–5L"/>
    <x v="1"/>
    <n v="4.4640000000000004"/>
    <s v="Yes"/>
    <x v="0"/>
    <n v="431"/>
    <n v="7.5"/>
    <x v="1"/>
    <n v="0"/>
    <n v="0"/>
  </r>
  <r>
    <s v="P430337"/>
    <x v="120"/>
    <n v="5674"/>
    <x v="25"/>
    <x v="3"/>
    <n v="105730"/>
    <s v="1L–5L"/>
    <x v="1"/>
    <n v="4.3403999999999998"/>
    <s v="Yes"/>
    <x v="0"/>
    <n v="2961"/>
    <n v="51"/>
    <x v="2"/>
    <n v="0"/>
    <n v="0"/>
  </r>
  <r>
    <s v="P468658"/>
    <x v="121"/>
    <n v="6295"/>
    <x v="28"/>
    <x v="5"/>
    <n v="104838"/>
    <s v="1L–5L"/>
    <x v="1"/>
    <n v="4.6148999999999996"/>
    <s v="Yes"/>
    <x v="0"/>
    <n v="1197"/>
    <n v="16"/>
    <x v="1"/>
    <n v="0"/>
    <n v="0"/>
  </r>
  <r>
    <s v="P432829"/>
    <x v="122"/>
    <n v="6169"/>
    <x v="3"/>
    <x v="3"/>
    <n v="104812"/>
    <s v="1L–5L"/>
    <x v="1"/>
    <n v="4.3654999999999999"/>
    <s v="Yes"/>
    <x v="0"/>
    <n v="2071"/>
    <n v="58"/>
    <x v="2"/>
    <n v="0"/>
    <n v="0"/>
  </r>
  <r>
    <s v="P474377"/>
    <x v="123"/>
    <n v="6041"/>
    <x v="6"/>
    <x v="3"/>
    <n v="104455"/>
    <s v="1L–5L"/>
    <x v="1"/>
    <n v="4.5473999999999997"/>
    <s v="Yes"/>
    <x v="0"/>
    <n v="1098"/>
    <n v="92"/>
    <x v="2"/>
    <n v="0"/>
    <n v="0"/>
  </r>
  <r>
    <s v="P440312"/>
    <x v="124"/>
    <n v="4348"/>
    <x v="11"/>
    <x v="3"/>
    <n v="103629"/>
    <s v="1L–5L"/>
    <x v="1"/>
    <n v="4.4843000000000002"/>
    <s v="Yes"/>
    <x v="0"/>
    <n v="1687"/>
    <n v="56"/>
    <x v="2"/>
    <n v="0"/>
    <n v="0"/>
  </r>
  <r>
    <s v="P397890"/>
    <x v="125"/>
    <n v="3733"/>
    <x v="22"/>
    <x v="5"/>
    <n v="103131"/>
    <s v="1L–5L"/>
    <x v="1"/>
    <n v="4.6207000000000003"/>
    <s v="Yes"/>
    <x v="0"/>
    <n v="1769"/>
    <n v="32"/>
    <x v="0"/>
    <n v="0"/>
    <n v="0"/>
  </r>
  <r>
    <s v="P431848"/>
    <x v="126"/>
    <n v="5674"/>
    <x v="25"/>
    <x v="5"/>
    <n v="102859"/>
    <s v="1L–5L"/>
    <x v="1"/>
    <n v="4.5335000000000001"/>
    <s v="Yes"/>
    <x v="0"/>
    <n v="1522"/>
    <n v="41"/>
    <x v="0"/>
    <n v="0"/>
    <n v="0"/>
  </r>
  <r>
    <s v="P428250"/>
    <x v="127"/>
    <n v="6209"/>
    <x v="8"/>
    <x v="1"/>
    <n v="102327"/>
    <s v="1L–5L"/>
    <x v="1"/>
    <n v="3.9750000000000001"/>
    <s v="Yes"/>
    <x v="1"/>
    <n v="1562"/>
    <n v="19"/>
    <x v="1"/>
    <n v="0"/>
    <n v="0"/>
  </r>
  <r>
    <s v="P421998"/>
    <x v="128"/>
    <n v="6218"/>
    <x v="20"/>
    <x v="1"/>
    <n v="101394"/>
    <s v="1L–5L"/>
    <x v="1"/>
    <n v="4.2173999999999996"/>
    <s v="Yes"/>
    <x v="0"/>
    <n v="1173"/>
    <n v="56"/>
    <x v="2"/>
    <n v="0"/>
    <n v="0"/>
  </r>
  <r>
    <s v="P422905"/>
    <x v="129"/>
    <n v="7075"/>
    <x v="14"/>
    <x v="8"/>
    <n v="101158"/>
    <s v="1L–5L"/>
    <x v="1"/>
    <n v="4.4641000000000002"/>
    <s v="Yes"/>
    <x v="0"/>
    <n v="2965"/>
    <n v="48"/>
    <x v="0"/>
    <n v="0"/>
    <n v="0"/>
  </r>
  <r>
    <s v="P502977"/>
    <x v="130"/>
    <n v="6169"/>
    <x v="3"/>
    <x v="10"/>
    <n v="13592"/>
    <s v="10K–50K"/>
    <x v="2"/>
    <n v="4.25"/>
    <s v="Yes"/>
    <x v="0"/>
    <n v="4"/>
    <n v="20"/>
    <x v="0"/>
    <n v="0"/>
    <n v="0"/>
  </r>
  <r>
    <s v="P502998"/>
    <x v="131"/>
    <n v="6169"/>
    <x v="3"/>
    <x v="10"/>
    <n v="10406"/>
    <s v="10K–50K"/>
    <x v="2"/>
    <n v="4.1666999999999996"/>
    <s v="Yes"/>
    <x v="0"/>
    <n v="6"/>
    <n v="28"/>
    <x v="0"/>
    <n v="0"/>
    <n v="0"/>
  </r>
  <r>
    <s v="P502365"/>
    <x v="132"/>
    <n v="6041"/>
    <x v="6"/>
    <x v="10"/>
    <n v="16760"/>
    <s v="10K–50K"/>
    <x v="2"/>
    <n v="3.5"/>
    <s v="Yes"/>
    <x v="1"/>
    <n v="6"/>
    <n v="27"/>
    <x v="0"/>
    <n v="0"/>
    <n v="1"/>
  </r>
  <r>
    <s v="P500983"/>
    <x v="133"/>
    <n v="7083"/>
    <x v="2"/>
    <x v="10"/>
    <n v="12280"/>
    <s v="10K–50K"/>
    <x v="2"/>
    <n v="5"/>
    <s v="Yes"/>
    <x v="0"/>
    <n v="7"/>
    <n v="28"/>
    <x v="0"/>
    <n v="0"/>
    <n v="1"/>
  </r>
  <r>
    <s v="P500238"/>
    <x v="134"/>
    <n v="6236"/>
    <x v="38"/>
    <x v="7"/>
    <n v="13165"/>
    <s v="10K–50K"/>
    <x v="2"/>
    <n v="4.7142999999999997"/>
    <s v="Yes"/>
    <x v="0"/>
    <n v="7"/>
    <n v="30"/>
    <x v="0"/>
    <n v="0"/>
    <n v="0"/>
  </r>
  <r>
    <s v="P502740"/>
    <x v="135"/>
    <n v="3728"/>
    <x v="41"/>
    <x v="10"/>
    <n v="19378"/>
    <s v="10K–50K"/>
    <x v="2"/>
    <n v="4"/>
    <s v="Yes"/>
    <x v="0"/>
    <n v="7"/>
    <n v="19"/>
    <x v="1"/>
    <n v="0"/>
    <n v="0"/>
  </r>
  <r>
    <s v="P451737"/>
    <x v="136"/>
    <n v="1741"/>
    <x v="42"/>
    <x v="10"/>
    <n v="10432"/>
    <s v="10K–50K"/>
    <x v="2"/>
    <n v="3.875"/>
    <s v="Yes"/>
    <x v="1"/>
    <n v="8"/>
    <n v="130"/>
    <x v="2"/>
    <n v="0"/>
    <n v="1"/>
  </r>
  <r>
    <s v="P503572"/>
    <x v="137"/>
    <n v="5674"/>
    <x v="25"/>
    <x v="10"/>
    <n v="11164"/>
    <s v="10K–50K"/>
    <x v="2"/>
    <n v="3.4443999999999999"/>
    <s v="Yes"/>
    <x v="1"/>
    <n v="9"/>
    <n v="46"/>
    <x v="0"/>
    <n v="0"/>
    <n v="0"/>
  </r>
  <r>
    <s v="P438362"/>
    <x v="138"/>
    <n v="1741"/>
    <x v="42"/>
    <x v="10"/>
    <n v="11331"/>
    <s v="10K–50K"/>
    <x v="2"/>
    <n v="4.6666999999999996"/>
    <s v="Yes"/>
    <x v="0"/>
    <n v="9"/>
    <n v="49"/>
    <x v="0"/>
    <n v="0"/>
    <n v="1"/>
  </r>
  <r>
    <s v="P474942"/>
    <x v="139"/>
    <n v="1254"/>
    <x v="24"/>
    <x v="10"/>
    <n v="12369"/>
    <s v="10K–50K"/>
    <x v="2"/>
    <n v="4.6666999999999996"/>
    <s v="Yes"/>
    <x v="0"/>
    <n v="9"/>
    <n v="25"/>
    <x v="0"/>
    <n v="0"/>
    <n v="0"/>
  </r>
  <r>
    <s v="P501591"/>
    <x v="140"/>
    <n v="7083"/>
    <x v="2"/>
    <x v="10"/>
    <n v="12819"/>
    <s v="10K–50K"/>
    <x v="2"/>
    <n v="4.4443999999999999"/>
    <s v="Yes"/>
    <x v="0"/>
    <n v="9"/>
    <n v="74"/>
    <x v="2"/>
    <n v="0"/>
    <n v="1"/>
  </r>
  <r>
    <s v="P481350"/>
    <x v="141"/>
    <n v="6341"/>
    <x v="12"/>
    <x v="10"/>
    <n v="15686"/>
    <s v="10K–50K"/>
    <x v="2"/>
    <n v="4.4443999999999999"/>
    <s v="Yes"/>
    <x v="0"/>
    <n v="9"/>
    <n v="64"/>
    <x v="2"/>
    <n v="0"/>
    <n v="0"/>
  </r>
  <r>
    <s v="P480279"/>
    <x v="142"/>
    <n v="6195"/>
    <x v="27"/>
    <x v="10"/>
    <n v="10973"/>
    <s v="10K–50K"/>
    <x v="2"/>
    <n v="3.7"/>
    <s v="Yes"/>
    <x v="1"/>
    <n v="10"/>
    <n v="25"/>
    <x v="0"/>
    <n v="0"/>
    <n v="0"/>
  </r>
  <r>
    <s v="P477734"/>
    <x v="143"/>
    <n v="3902"/>
    <x v="13"/>
    <x v="9"/>
    <n v="11736"/>
    <s v="10K–50K"/>
    <x v="2"/>
    <n v="3.6"/>
    <s v="Yes"/>
    <x v="1"/>
    <n v="10"/>
    <n v="24"/>
    <x v="0"/>
    <n v="0"/>
    <n v="0"/>
  </r>
  <r>
    <s v="P501323"/>
    <x v="144"/>
    <n v="6041"/>
    <x v="6"/>
    <x v="10"/>
    <n v="15655"/>
    <s v="10K–50K"/>
    <x v="2"/>
    <n v="4.2"/>
    <s v="Yes"/>
    <x v="0"/>
    <n v="10"/>
    <n v="88"/>
    <x v="2"/>
    <n v="0"/>
    <n v="1"/>
  </r>
  <r>
    <s v="P500139"/>
    <x v="145"/>
    <n v="6234"/>
    <x v="1"/>
    <x v="10"/>
    <n v="23001"/>
    <s v="10K–50K"/>
    <x v="2"/>
    <n v="4.5"/>
    <s v="Yes"/>
    <x v="0"/>
    <n v="10"/>
    <n v="22"/>
    <x v="0"/>
    <n v="0"/>
    <n v="0"/>
  </r>
  <r>
    <s v="P270600"/>
    <x v="146"/>
    <n v="5644"/>
    <x v="26"/>
    <x v="8"/>
    <n v="12571"/>
    <s v="10K–50K"/>
    <x v="2"/>
    <n v="3.3635999999999999"/>
    <s v="Yes"/>
    <x v="1"/>
    <n v="11"/>
    <n v="86"/>
    <x v="2"/>
    <n v="0"/>
    <n v="0"/>
  </r>
  <r>
    <s v="P458958"/>
    <x v="147"/>
    <n v="6235"/>
    <x v="43"/>
    <x v="5"/>
    <n v="10245"/>
    <s v="10K–50K"/>
    <x v="2"/>
    <n v="4.0833000000000004"/>
    <s v="Yes"/>
    <x v="0"/>
    <n v="12"/>
    <n v="15"/>
    <x v="1"/>
    <n v="0"/>
    <n v="0"/>
  </r>
  <r>
    <s v="P483494"/>
    <x v="148"/>
    <n v="6073"/>
    <x v="15"/>
    <x v="10"/>
    <n v="10461"/>
    <s v="10K–50K"/>
    <x v="2"/>
    <n v="4.0833000000000004"/>
    <s v="Yes"/>
    <x v="0"/>
    <n v="12"/>
    <n v="93"/>
    <x v="2"/>
    <n v="0"/>
    <n v="0"/>
  </r>
  <r>
    <s v="P500785"/>
    <x v="149"/>
    <n v="3902"/>
    <x v="13"/>
    <x v="10"/>
    <n v="11340"/>
    <s v="10K–50K"/>
    <x v="2"/>
    <n v="4.5833000000000004"/>
    <s v="Yes"/>
    <x v="0"/>
    <n v="12"/>
    <n v="15"/>
    <x v="1"/>
    <n v="0"/>
    <n v="0"/>
  </r>
  <r>
    <s v="P500248"/>
    <x v="150"/>
    <n v="6236"/>
    <x v="38"/>
    <x v="3"/>
    <n v="12680"/>
    <s v="10K–50K"/>
    <x v="2"/>
    <n v="4.5833000000000004"/>
    <s v="Yes"/>
    <x v="0"/>
    <n v="12"/>
    <n v="85"/>
    <x v="2"/>
    <n v="0"/>
    <n v="0"/>
  </r>
  <r>
    <s v="P483495"/>
    <x v="151"/>
    <n v="6073"/>
    <x v="15"/>
    <x v="10"/>
    <n v="11638"/>
    <s v="10K–50K"/>
    <x v="2"/>
    <n v="4.0769000000000002"/>
    <s v="Yes"/>
    <x v="0"/>
    <n v="13"/>
    <n v="95"/>
    <x v="2"/>
    <n v="0"/>
    <n v="0"/>
  </r>
  <r>
    <s v="P475961"/>
    <x v="152"/>
    <n v="6201"/>
    <x v="44"/>
    <x v="10"/>
    <n v="13729"/>
    <s v="10K–50K"/>
    <x v="2"/>
    <n v="4.4615"/>
    <s v="Yes"/>
    <x v="0"/>
    <n v="13"/>
    <n v="380"/>
    <x v="2"/>
    <n v="1"/>
    <n v="0"/>
  </r>
  <r>
    <s v="P504636"/>
    <x v="153"/>
    <n v="6189"/>
    <x v="5"/>
    <x v="1"/>
    <n v="18565"/>
    <s v="10K–50K"/>
    <x v="2"/>
    <n v="4"/>
    <s v="Yes"/>
    <x v="0"/>
    <n v="13"/>
    <n v="20"/>
    <x v="0"/>
    <n v="1"/>
    <n v="0"/>
  </r>
  <r>
    <s v="P480607"/>
    <x v="154"/>
    <n v="6117"/>
    <x v="33"/>
    <x v="10"/>
    <n v="10728"/>
    <s v="10K–50K"/>
    <x v="2"/>
    <n v="4.1429"/>
    <s v="Yes"/>
    <x v="0"/>
    <n v="14"/>
    <n v="32"/>
    <x v="0"/>
    <n v="0"/>
    <n v="0"/>
  </r>
  <r>
    <s v="P480166"/>
    <x v="155"/>
    <n v="6352"/>
    <x v="35"/>
    <x v="3"/>
    <n v="11380"/>
    <s v="10K–50K"/>
    <x v="2"/>
    <n v="3.7856999999999998"/>
    <s v="Yes"/>
    <x v="1"/>
    <n v="14"/>
    <n v="25"/>
    <x v="0"/>
    <n v="0"/>
    <n v="0"/>
  </r>
  <r>
    <s v="P417359"/>
    <x v="156"/>
    <n v="6089"/>
    <x v="45"/>
    <x v="8"/>
    <n v="13898"/>
    <s v="10K–50K"/>
    <x v="2"/>
    <n v="4.2142999999999997"/>
    <s v="Yes"/>
    <x v="0"/>
    <n v="14"/>
    <n v="42"/>
    <x v="0"/>
    <n v="0"/>
    <n v="0"/>
  </r>
  <r>
    <s v="P438632"/>
    <x v="157"/>
    <n v="6272"/>
    <x v="46"/>
    <x v="11"/>
    <n v="14832"/>
    <s v="10K–50K"/>
    <x v="2"/>
    <n v="4.0713999999999997"/>
    <s v="Yes"/>
    <x v="0"/>
    <n v="14"/>
    <n v="49"/>
    <x v="0"/>
    <n v="0"/>
    <n v="0"/>
  </r>
  <r>
    <s v="P500743"/>
    <x v="158"/>
    <n v="3902"/>
    <x v="13"/>
    <x v="5"/>
    <n v="10162"/>
    <s v="10K–50K"/>
    <x v="2"/>
    <n v="4.4000000000000004"/>
    <s v="Yes"/>
    <x v="0"/>
    <n v="15"/>
    <n v="5.5"/>
    <x v="1"/>
    <n v="0"/>
    <n v="0"/>
  </r>
  <r>
    <s v="P504795"/>
    <x v="159"/>
    <n v="6751"/>
    <x v="47"/>
    <x v="1"/>
    <n v="13371"/>
    <s v="10K–50K"/>
    <x v="2"/>
    <n v="4.7332999999999998"/>
    <s v="Yes"/>
    <x v="0"/>
    <n v="15"/>
    <n v="29"/>
    <x v="0"/>
    <n v="1"/>
    <n v="0"/>
  </r>
  <r>
    <s v="P479861"/>
    <x v="160"/>
    <n v="6234"/>
    <x v="1"/>
    <x v="10"/>
    <n v="24451"/>
    <s v="10K–50K"/>
    <x v="2"/>
    <n v="4.0625"/>
    <s v="Yes"/>
    <x v="0"/>
    <n v="16"/>
    <n v="40.700000000000003"/>
    <x v="0"/>
    <n v="0"/>
    <n v="0"/>
  </r>
  <r>
    <s v="P504774"/>
    <x v="161"/>
    <n v="6751"/>
    <x v="47"/>
    <x v="1"/>
    <n v="10568"/>
    <s v="10K–50K"/>
    <x v="2"/>
    <n v="4.5881999999999996"/>
    <s v="Yes"/>
    <x v="0"/>
    <n v="17"/>
    <n v="29"/>
    <x v="0"/>
    <n v="1"/>
    <n v="0"/>
  </r>
  <r>
    <s v="P500012"/>
    <x v="162"/>
    <n v="4348"/>
    <x v="11"/>
    <x v="3"/>
    <n v="14153"/>
    <s v="10K–50K"/>
    <x v="2"/>
    <n v="4.4706000000000001"/>
    <s v="Yes"/>
    <x v="0"/>
    <n v="17"/>
    <n v="24"/>
    <x v="0"/>
    <n v="0"/>
    <n v="0"/>
  </r>
  <r>
    <s v="P481712"/>
    <x v="163"/>
    <n v="6235"/>
    <x v="43"/>
    <x v="8"/>
    <n v="10008"/>
    <s v="10K–50K"/>
    <x v="2"/>
    <n v="4.5556000000000001"/>
    <s v="Yes"/>
    <x v="0"/>
    <n v="18"/>
    <n v="20"/>
    <x v="0"/>
    <n v="0"/>
    <n v="1"/>
  </r>
  <r>
    <s v="P504327"/>
    <x v="164"/>
    <n v="6041"/>
    <x v="6"/>
    <x v="10"/>
    <n v="32077"/>
    <s v="10K–50K"/>
    <x v="2"/>
    <n v="4.4211"/>
    <s v="Yes"/>
    <x v="0"/>
    <n v="19"/>
    <n v="68"/>
    <x v="2"/>
    <n v="1"/>
    <n v="0"/>
  </r>
  <r>
    <s v="P472067"/>
    <x v="165"/>
    <n v="3902"/>
    <x v="13"/>
    <x v="11"/>
    <n v="12554"/>
    <s v="10K–50K"/>
    <x v="2"/>
    <n v="4.4000000000000004"/>
    <s v="Yes"/>
    <x v="0"/>
    <n v="20"/>
    <n v="10"/>
    <x v="1"/>
    <n v="0"/>
    <n v="0"/>
  </r>
  <r>
    <s v="P468229"/>
    <x v="166"/>
    <n v="6041"/>
    <x v="6"/>
    <x v="3"/>
    <n v="12625"/>
    <s v="10K–50K"/>
    <x v="2"/>
    <n v="4.1500000000000004"/>
    <s v="Yes"/>
    <x v="0"/>
    <n v="20"/>
    <n v="112"/>
    <x v="2"/>
    <n v="0"/>
    <n v="0"/>
  </r>
  <r>
    <s v="P469028"/>
    <x v="167"/>
    <n v="3902"/>
    <x v="13"/>
    <x v="1"/>
    <n v="13252"/>
    <s v="10K–50K"/>
    <x v="2"/>
    <n v="3.3"/>
    <s v="Yes"/>
    <x v="1"/>
    <n v="20"/>
    <n v="20"/>
    <x v="0"/>
    <n v="0"/>
    <n v="0"/>
  </r>
  <r>
    <s v="P467628"/>
    <x v="168"/>
    <n v="6218"/>
    <x v="20"/>
    <x v="7"/>
    <n v="10130"/>
    <s v="10K–50K"/>
    <x v="2"/>
    <n v="3.0455000000000001"/>
    <s v="Yes"/>
    <x v="1"/>
    <n v="22"/>
    <n v="35"/>
    <x v="0"/>
    <n v="0"/>
    <n v="0"/>
  </r>
  <r>
    <s v="P433466"/>
    <x v="169"/>
    <n v="7037"/>
    <x v="48"/>
    <x v="5"/>
    <n v="13055"/>
    <s v="10K–50K"/>
    <x v="2"/>
    <n v="4.5909000000000004"/>
    <s v="Yes"/>
    <x v="0"/>
    <n v="22"/>
    <n v="10.99"/>
    <x v="1"/>
    <n v="0"/>
    <n v="0"/>
  </r>
  <r>
    <s v="P503868"/>
    <x v="170"/>
    <n v="6125"/>
    <x v="0"/>
    <x v="10"/>
    <n v="23044"/>
    <s v="10K–50K"/>
    <x v="2"/>
    <n v="4.3635999999999999"/>
    <s v="Yes"/>
    <x v="0"/>
    <n v="22"/>
    <n v="35"/>
    <x v="0"/>
    <n v="0"/>
    <n v="0"/>
  </r>
  <r>
    <s v="P503294"/>
    <x v="171"/>
    <n v="7083"/>
    <x v="2"/>
    <x v="10"/>
    <n v="39446"/>
    <s v="10K–50K"/>
    <x v="2"/>
    <n v="2.5"/>
    <s v="Yes"/>
    <x v="2"/>
    <n v="22"/>
    <n v="26"/>
    <x v="0"/>
    <n v="0"/>
    <n v="0"/>
  </r>
  <r>
    <s v="P482322"/>
    <x v="172"/>
    <n v="5987"/>
    <x v="9"/>
    <x v="4"/>
    <n v="10079"/>
    <s v="10K–50K"/>
    <x v="2"/>
    <n v="4.125"/>
    <s v="Yes"/>
    <x v="0"/>
    <n v="24"/>
    <n v="22"/>
    <x v="0"/>
    <n v="0"/>
    <n v="0"/>
  </r>
  <r>
    <s v="P469521"/>
    <x v="173"/>
    <n v="6341"/>
    <x v="12"/>
    <x v="2"/>
    <n v="11114"/>
    <s v="10K–50K"/>
    <x v="2"/>
    <n v="3.8"/>
    <s v="Yes"/>
    <x v="1"/>
    <n v="25"/>
    <n v="26"/>
    <x v="0"/>
    <n v="0"/>
    <n v="0"/>
  </r>
  <r>
    <s v="P481699"/>
    <x v="174"/>
    <n v="6014"/>
    <x v="17"/>
    <x v="5"/>
    <n v="12733"/>
    <s v="10K–50K"/>
    <x v="2"/>
    <n v="4.3600000000000003"/>
    <s v="Yes"/>
    <x v="0"/>
    <n v="25"/>
    <n v="9"/>
    <x v="1"/>
    <n v="0"/>
    <n v="0"/>
  </r>
  <r>
    <s v="P468634"/>
    <x v="175"/>
    <n v="5644"/>
    <x v="26"/>
    <x v="3"/>
    <n v="17355"/>
    <s v="10K–50K"/>
    <x v="2"/>
    <n v="4.84"/>
    <s v="Yes"/>
    <x v="0"/>
    <n v="25"/>
    <n v="99"/>
    <x v="2"/>
    <n v="0"/>
    <n v="0"/>
  </r>
  <r>
    <s v="P455235"/>
    <x v="176"/>
    <n v="6073"/>
    <x v="15"/>
    <x v="10"/>
    <n v="19425"/>
    <s v="10K–50K"/>
    <x v="2"/>
    <n v="4.16"/>
    <s v="Yes"/>
    <x v="0"/>
    <n v="25"/>
    <n v="130"/>
    <x v="2"/>
    <n v="0"/>
    <n v="0"/>
  </r>
  <r>
    <s v="P500428"/>
    <x v="177"/>
    <n v="6316"/>
    <x v="49"/>
    <x v="8"/>
    <n v="11916"/>
    <s v="10K–50K"/>
    <x v="2"/>
    <n v="4"/>
    <s v="Yes"/>
    <x v="0"/>
    <n v="26"/>
    <n v="45"/>
    <x v="0"/>
    <n v="0"/>
    <n v="0"/>
  </r>
  <r>
    <s v="P476842"/>
    <x v="178"/>
    <n v="6236"/>
    <x v="38"/>
    <x v="11"/>
    <n v="15090"/>
    <s v="10K–50K"/>
    <x v="2"/>
    <n v="2.8077000000000001"/>
    <s v="Yes"/>
    <x v="2"/>
    <n v="26"/>
    <n v="55"/>
    <x v="2"/>
    <n v="0"/>
    <n v="0"/>
  </r>
  <r>
    <s v="P432835"/>
    <x v="179"/>
    <n v="6207"/>
    <x v="50"/>
    <x v="9"/>
    <n v="10216"/>
    <s v="10K–50K"/>
    <x v="2"/>
    <n v="4.0713999999999997"/>
    <s v="Yes"/>
    <x v="0"/>
    <n v="28"/>
    <n v="63"/>
    <x v="2"/>
    <n v="0"/>
    <n v="0"/>
  </r>
  <r>
    <s v="P455227"/>
    <x v="180"/>
    <n v="5857"/>
    <x v="51"/>
    <x v="10"/>
    <n v="10949"/>
    <s v="10K–50K"/>
    <x v="2"/>
    <n v="3.931"/>
    <s v="Yes"/>
    <x v="1"/>
    <n v="29"/>
    <n v="28"/>
    <x v="0"/>
    <n v="0"/>
    <n v="0"/>
  </r>
  <r>
    <s v="P483092"/>
    <x v="181"/>
    <n v="3902"/>
    <x v="13"/>
    <x v="1"/>
    <n v="14845"/>
    <s v="10K–50K"/>
    <x v="2"/>
    <n v="4.5861999999999998"/>
    <s v="Yes"/>
    <x v="0"/>
    <n v="29"/>
    <n v="17"/>
    <x v="1"/>
    <n v="0"/>
    <n v="0"/>
  </r>
  <r>
    <s v="P480280"/>
    <x v="182"/>
    <n v="6195"/>
    <x v="27"/>
    <x v="3"/>
    <n v="14541"/>
    <s v="10K–50K"/>
    <x v="2"/>
    <n v="3.2332999999999998"/>
    <s v="Yes"/>
    <x v="1"/>
    <n v="30"/>
    <n v="20"/>
    <x v="0"/>
    <n v="0"/>
    <n v="0"/>
  </r>
  <r>
    <s v="P480600"/>
    <x v="183"/>
    <n v="1073"/>
    <x v="52"/>
    <x v="0"/>
    <n v="15332"/>
    <s v="10K–50K"/>
    <x v="2"/>
    <n v="3.4"/>
    <s v="Yes"/>
    <x v="1"/>
    <n v="30"/>
    <n v="45"/>
    <x v="0"/>
    <n v="0"/>
    <n v="0"/>
  </r>
  <r>
    <s v="P446518"/>
    <x v="184"/>
    <n v="5644"/>
    <x v="26"/>
    <x v="2"/>
    <n v="10137"/>
    <s v="10K–50K"/>
    <x v="2"/>
    <n v="4.4062999999999999"/>
    <s v="Yes"/>
    <x v="0"/>
    <n v="32"/>
    <n v="53"/>
    <x v="2"/>
    <n v="0"/>
    <n v="0"/>
  </r>
  <r>
    <s v="P470510"/>
    <x v="185"/>
    <n v="6356"/>
    <x v="53"/>
    <x v="7"/>
    <n v="10759"/>
    <s v="10K–50K"/>
    <x v="2"/>
    <n v="3.6875"/>
    <s v="Yes"/>
    <x v="1"/>
    <n v="32"/>
    <n v="92"/>
    <x v="2"/>
    <n v="0"/>
    <n v="0"/>
  </r>
  <r>
    <s v="P433155"/>
    <x v="186"/>
    <n v="8008"/>
    <x v="18"/>
    <x v="6"/>
    <n v="11103"/>
    <s v="10K–50K"/>
    <x v="2"/>
    <n v="4.0312999999999999"/>
    <s v="Yes"/>
    <x v="0"/>
    <n v="32"/>
    <n v="24"/>
    <x v="0"/>
    <n v="0"/>
    <n v="0"/>
  </r>
  <r>
    <s v="P454514"/>
    <x v="187"/>
    <n v="4164"/>
    <x v="54"/>
    <x v="10"/>
    <n v="17238"/>
    <s v="10K–50K"/>
    <x v="2"/>
    <n v="3.7879"/>
    <s v="Yes"/>
    <x v="1"/>
    <n v="33"/>
    <n v="59"/>
    <x v="2"/>
    <n v="0"/>
    <n v="0"/>
  </r>
  <r>
    <s v="P442548"/>
    <x v="188"/>
    <n v="6283"/>
    <x v="55"/>
    <x v="7"/>
    <n v="11971"/>
    <s v="10K–50K"/>
    <x v="2"/>
    <n v="4"/>
    <s v="Yes"/>
    <x v="0"/>
    <n v="34"/>
    <n v="22"/>
    <x v="0"/>
    <n v="0"/>
    <n v="0"/>
  </r>
  <r>
    <s v="P444615"/>
    <x v="189"/>
    <n v="8017"/>
    <x v="56"/>
    <x v="2"/>
    <n v="12154"/>
    <s v="10K–50K"/>
    <x v="2"/>
    <n v="4.0881999999999996"/>
    <s v="Yes"/>
    <x v="0"/>
    <n v="34"/>
    <n v="14"/>
    <x v="1"/>
    <n v="0"/>
    <n v="0"/>
  </r>
  <r>
    <s v="P483151"/>
    <x v="190"/>
    <n v="3902"/>
    <x v="13"/>
    <x v="8"/>
    <n v="26055"/>
    <s v="10K–50K"/>
    <x v="2"/>
    <n v="3.9117999999999999"/>
    <s v="Yes"/>
    <x v="1"/>
    <n v="34"/>
    <n v="3.5"/>
    <x v="1"/>
    <n v="0"/>
    <n v="0"/>
  </r>
  <r>
    <s v="P471547"/>
    <x v="191"/>
    <n v="7083"/>
    <x v="2"/>
    <x v="7"/>
    <n v="16632"/>
    <s v="10K–50K"/>
    <x v="2"/>
    <n v="4.1429"/>
    <s v="Yes"/>
    <x v="0"/>
    <n v="35"/>
    <n v="16"/>
    <x v="1"/>
    <n v="0"/>
    <n v="0"/>
  </r>
  <r>
    <s v="P461195"/>
    <x v="192"/>
    <n v="3902"/>
    <x v="13"/>
    <x v="5"/>
    <n v="11589"/>
    <s v="10K–50K"/>
    <x v="2"/>
    <n v="3.8889"/>
    <s v="Yes"/>
    <x v="1"/>
    <n v="36"/>
    <n v="5.5"/>
    <x v="1"/>
    <n v="0"/>
    <n v="0"/>
  </r>
  <r>
    <s v="P470533"/>
    <x v="193"/>
    <n v="8008"/>
    <x v="18"/>
    <x v="6"/>
    <n v="17964"/>
    <s v="10K–50K"/>
    <x v="2"/>
    <n v="4.8056000000000001"/>
    <s v="Yes"/>
    <x v="0"/>
    <n v="36"/>
    <n v="24"/>
    <x v="0"/>
    <n v="0"/>
    <n v="0"/>
  </r>
  <r>
    <s v="P446908"/>
    <x v="194"/>
    <n v="6089"/>
    <x v="45"/>
    <x v="1"/>
    <n v="11042"/>
    <s v="10K–50K"/>
    <x v="2"/>
    <n v="4.4595000000000002"/>
    <s v="Yes"/>
    <x v="0"/>
    <n v="37"/>
    <n v="92"/>
    <x v="2"/>
    <n v="0"/>
    <n v="0"/>
  </r>
  <r>
    <s v="P482694"/>
    <x v="195"/>
    <n v="6125"/>
    <x v="0"/>
    <x v="3"/>
    <n v="13024"/>
    <s v="10K–50K"/>
    <x v="2"/>
    <n v="3.5135000000000001"/>
    <s v="Yes"/>
    <x v="1"/>
    <n v="37"/>
    <n v="23"/>
    <x v="0"/>
    <n v="0"/>
    <n v="0"/>
  </r>
  <r>
    <s v="P476485"/>
    <x v="196"/>
    <n v="6352"/>
    <x v="35"/>
    <x v="3"/>
    <n v="14985"/>
    <s v="10K–50K"/>
    <x v="2"/>
    <n v="4.4865000000000004"/>
    <s v="Yes"/>
    <x v="0"/>
    <n v="37"/>
    <n v="35"/>
    <x v="0"/>
    <n v="0"/>
    <n v="0"/>
  </r>
  <r>
    <s v="P469518"/>
    <x v="197"/>
    <n v="6341"/>
    <x v="12"/>
    <x v="3"/>
    <n v="17313"/>
    <s v="10K–50K"/>
    <x v="2"/>
    <n v="4.3243"/>
    <s v="Yes"/>
    <x v="0"/>
    <n v="37"/>
    <n v="37"/>
    <x v="0"/>
    <n v="0"/>
    <n v="0"/>
  </r>
  <r>
    <s v="P504218"/>
    <x v="198"/>
    <n v="6041"/>
    <x v="6"/>
    <x v="10"/>
    <n v="23678"/>
    <s v="10K–50K"/>
    <x v="2"/>
    <n v="4.5404999999999998"/>
    <s v="Yes"/>
    <x v="0"/>
    <n v="37"/>
    <n v="27"/>
    <x v="0"/>
    <n v="1"/>
    <n v="0"/>
  </r>
  <r>
    <s v="P468652"/>
    <x v="199"/>
    <n v="7037"/>
    <x v="48"/>
    <x v="11"/>
    <n v="12668"/>
    <s v="10K–50K"/>
    <x v="2"/>
    <n v="4.3947000000000003"/>
    <s v="Yes"/>
    <x v="0"/>
    <n v="38"/>
    <n v="299"/>
    <x v="2"/>
    <n v="0"/>
    <n v="0"/>
  </r>
  <r>
    <s v="P474376"/>
    <x v="200"/>
    <n v="6225"/>
    <x v="57"/>
    <x v="6"/>
    <n v="13586"/>
    <s v="10K–50K"/>
    <x v="2"/>
    <n v="3.7631999999999999"/>
    <s v="Yes"/>
    <x v="1"/>
    <n v="38"/>
    <n v="25"/>
    <x v="0"/>
    <n v="0"/>
    <n v="0"/>
  </r>
  <r>
    <s v="P469085"/>
    <x v="201"/>
    <n v="3902"/>
    <x v="13"/>
    <x v="5"/>
    <n v="32212"/>
    <s v="10K–50K"/>
    <x v="2"/>
    <n v="4.3684000000000003"/>
    <s v="Yes"/>
    <x v="0"/>
    <n v="38"/>
    <n v="10"/>
    <x v="1"/>
    <n v="0"/>
    <n v="0"/>
  </r>
  <r>
    <s v="P504208"/>
    <x v="202"/>
    <n v="6125"/>
    <x v="0"/>
    <x v="10"/>
    <n v="41957"/>
    <s v="10K–50K"/>
    <x v="2"/>
    <n v="4.2632000000000003"/>
    <s v="Yes"/>
    <x v="0"/>
    <n v="38"/>
    <n v="21"/>
    <x v="0"/>
    <n v="1"/>
    <n v="0"/>
  </r>
  <r>
    <s v="P479688"/>
    <x v="203"/>
    <n v="3902"/>
    <x v="13"/>
    <x v="5"/>
    <n v="10299"/>
    <s v="10K–50K"/>
    <x v="2"/>
    <n v="3.6922999999999999"/>
    <s v="Yes"/>
    <x v="1"/>
    <n v="39"/>
    <n v="10"/>
    <x v="1"/>
    <n v="0"/>
    <n v="0"/>
  </r>
  <r>
    <s v="P442745"/>
    <x v="204"/>
    <n v="3733"/>
    <x v="22"/>
    <x v="3"/>
    <n v="11217"/>
    <s v="10K–50K"/>
    <x v="2"/>
    <n v="4.5385"/>
    <s v="Yes"/>
    <x v="0"/>
    <n v="39"/>
    <n v="73"/>
    <x v="2"/>
    <n v="0"/>
    <n v="0"/>
  </r>
  <r>
    <s v="P471062"/>
    <x v="205"/>
    <n v="3728"/>
    <x v="41"/>
    <x v="10"/>
    <n v="15019"/>
    <s v="10K–50K"/>
    <x v="2"/>
    <n v="4.5999999999999996"/>
    <s v="Yes"/>
    <x v="0"/>
    <n v="40"/>
    <n v="58"/>
    <x v="2"/>
    <n v="1"/>
    <n v="0"/>
  </r>
  <r>
    <s v="P477714"/>
    <x v="206"/>
    <n v="3902"/>
    <x v="13"/>
    <x v="11"/>
    <n v="15323"/>
    <s v="10K–50K"/>
    <x v="2"/>
    <n v="4"/>
    <s v="Yes"/>
    <x v="0"/>
    <n v="40"/>
    <n v="14"/>
    <x v="1"/>
    <n v="0"/>
    <n v="1"/>
  </r>
  <r>
    <s v="P458733"/>
    <x v="207"/>
    <n v="3902"/>
    <x v="13"/>
    <x v="9"/>
    <n v="17556"/>
    <s v="10K–50K"/>
    <x v="2"/>
    <n v="3.7"/>
    <s v="Yes"/>
    <x v="1"/>
    <n v="40"/>
    <n v="12"/>
    <x v="1"/>
    <n v="0"/>
    <n v="0"/>
  </r>
  <r>
    <s v="P475590"/>
    <x v="208"/>
    <n v="3733"/>
    <x v="22"/>
    <x v="8"/>
    <n v="18284"/>
    <s v="10K–50K"/>
    <x v="2"/>
    <n v="3.45"/>
    <s v="Yes"/>
    <x v="1"/>
    <n v="40"/>
    <n v="29"/>
    <x v="0"/>
    <n v="0"/>
    <n v="0"/>
  </r>
  <r>
    <s v="P484033"/>
    <x v="209"/>
    <n v="6195"/>
    <x v="27"/>
    <x v="3"/>
    <n v="22591"/>
    <s v="10K–50K"/>
    <x v="2"/>
    <n v="4.1500000000000004"/>
    <s v="Yes"/>
    <x v="0"/>
    <n v="40"/>
    <n v="40"/>
    <x v="0"/>
    <n v="0"/>
    <n v="0"/>
  </r>
  <r>
    <s v="P459835"/>
    <x v="210"/>
    <n v="6236"/>
    <x v="38"/>
    <x v="7"/>
    <n v="38819"/>
    <s v="10K–50K"/>
    <x v="2"/>
    <n v="3.1749999999999998"/>
    <s v="Yes"/>
    <x v="1"/>
    <n v="40"/>
    <n v="30"/>
    <x v="0"/>
    <n v="0"/>
    <n v="0"/>
  </r>
  <r>
    <s v="P472031"/>
    <x v="211"/>
    <n v="5972"/>
    <x v="10"/>
    <x v="5"/>
    <n v="14414"/>
    <s v="10K–50K"/>
    <x v="2"/>
    <n v="4.5366"/>
    <s v="Yes"/>
    <x v="0"/>
    <n v="41"/>
    <n v="30"/>
    <x v="0"/>
    <n v="0"/>
    <n v="1"/>
  </r>
  <r>
    <s v="P482312"/>
    <x v="212"/>
    <n v="3902"/>
    <x v="13"/>
    <x v="11"/>
    <n v="31987"/>
    <s v="10K–50K"/>
    <x v="2"/>
    <n v="4.4146000000000001"/>
    <s v="Yes"/>
    <x v="0"/>
    <n v="41"/>
    <n v="12"/>
    <x v="1"/>
    <n v="0"/>
    <n v="0"/>
  </r>
  <r>
    <s v="P459140"/>
    <x v="213"/>
    <n v="8008"/>
    <x v="18"/>
    <x v="6"/>
    <n v="12579"/>
    <s v="10K–50K"/>
    <x v="2"/>
    <n v="3.6190000000000002"/>
    <s v="Yes"/>
    <x v="1"/>
    <n v="42"/>
    <n v="24"/>
    <x v="0"/>
    <n v="0"/>
    <n v="1"/>
  </r>
  <r>
    <s v="P416538"/>
    <x v="214"/>
    <n v="6201"/>
    <x v="44"/>
    <x v="5"/>
    <n v="15023"/>
    <s v="10K–50K"/>
    <x v="2"/>
    <n v="4.2857000000000003"/>
    <s v="Yes"/>
    <x v="0"/>
    <n v="42"/>
    <n v="300"/>
    <x v="2"/>
    <n v="0"/>
    <n v="0"/>
  </r>
  <r>
    <s v="P455897"/>
    <x v="215"/>
    <n v="6234"/>
    <x v="1"/>
    <x v="1"/>
    <n v="20715"/>
    <s v="10K–50K"/>
    <x v="2"/>
    <n v="4"/>
    <s v="Yes"/>
    <x v="0"/>
    <n v="42"/>
    <n v="20"/>
    <x v="0"/>
    <n v="0"/>
    <n v="1"/>
  </r>
  <r>
    <s v="P470048"/>
    <x v="216"/>
    <n v="3733"/>
    <x v="22"/>
    <x v="10"/>
    <n v="22451"/>
    <s v="10K–50K"/>
    <x v="2"/>
    <n v="3.8809999999999998"/>
    <s v="Yes"/>
    <x v="1"/>
    <n v="42"/>
    <n v="29"/>
    <x v="0"/>
    <n v="0"/>
    <n v="0"/>
  </r>
  <r>
    <s v="P480986"/>
    <x v="217"/>
    <n v="3902"/>
    <x v="13"/>
    <x v="8"/>
    <n v="15171"/>
    <s v="10K–50K"/>
    <x v="2"/>
    <n v="4.1364000000000001"/>
    <s v="Yes"/>
    <x v="0"/>
    <n v="44"/>
    <n v="18"/>
    <x v="1"/>
    <n v="0"/>
    <n v="0"/>
  </r>
  <r>
    <s v="P461947"/>
    <x v="218"/>
    <n v="6218"/>
    <x v="20"/>
    <x v="5"/>
    <n v="10799"/>
    <s v="10K–50K"/>
    <x v="2"/>
    <n v="4.5110999999999999"/>
    <s v="Yes"/>
    <x v="0"/>
    <n v="45"/>
    <n v="47"/>
    <x v="0"/>
    <n v="0"/>
    <n v="0"/>
  </r>
  <r>
    <s v="P386762"/>
    <x v="219"/>
    <n v="7050"/>
    <x v="58"/>
    <x v="9"/>
    <n v="14709"/>
    <s v="10K–50K"/>
    <x v="2"/>
    <n v="4.6444000000000001"/>
    <s v="Yes"/>
    <x v="0"/>
    <n v="45"/>
    <n v="12"/>
    <x v="1"/>
    <n v="0"/>
    <n v="0"/>
  </r>
  <r>
    <s v="P445726"/>
    <x v="220"/>
    <n v="3902"/>
    <x v="13"/>
    <x v="3"/>
    <n v="34044"/>
    <s v="10K–50K"/>
    <x v="2"/>
    <n v="4.0217000000000001"/>
    <s v="Yes"/>
    <x v="0"/>
    <n v="46"/>
    <n v="18"/>
    <x v="1"/>
    <n v="0"/>
    <n v="0"/>
  </r>
  <r>
    <s v="P444969"/>
    <x v="221"/>
    <n v="8017"/>
    <x v="56"/>
    <x v="7"/>
    <n v="11554"/>
    <s v="10K–50K"/>
    <x v="2"/>
    <n v="3.8511000000000002"/>
    <s v="Yes"/>
    <x v="1"/>
    <n v="47"/>
    <n v="5"/>
    <x v="1"/>
    <n v="0"/>
    <n v="0"/>
  </r>
  <r>
    <s v="P427641"/>
    <x v="222"/>
    <n v="6175"/>
    <x v="59"/>
    <x v="3"/>
    <n v="13406"/>
    <s v="10K–50K"/>
    <x v="2"/>
    <n v="3.6808999999999998"/>
    <s v="Yes"/>
    <x v="1"/>
    <n v="47"/>
    <n v="20"/>
    <x v="0"/>
    <n v="0"/>
    <n v="0"/>
  </r>
  <r>
    <s v="P469504"/>
    <x v="223"/>
    <n v="6341"/>
    <x v="12"/>
    <x v="2"/>
    <n v="14565"/>
    <s v="10K–50K"/>
    <x v="2"/>
    <n v="4.617"/>
    <s v="Yes"/>
    <x v="0"/>
    <n v="47"/>
    <n v="34"/>
    <x v="0"/>
    <n v="0"/>
    <n v="0"/>
  </r>
  <r>
    <s v="P435801"/>
    <x v="224"/>
    <n v="7075"/>
    <x v="14"/>
    <x v="3"/>
    <n v="12101"/>
    <s v="10K–50K"/>
    <x v="2"/>
    <n v="4.1041999999999996"/>
    <s v="Yes"/>
    <x v="0"/>
    <n v="48"/>
    <n v="38"/>
    <x v="0"/>
    <n v="0"/>
    <n v="0"/>
  </r>
  <r>
    <s v="P473724"/>
    <x v="225"/>
    <n v="3902"/>
    <x v="13"/>
    <x v="2"/>
    <n v="12475"/>
    <s v="10K–50K"/>
    <x v="2"/>
    <n v="4.6875"/>
    <s v="Yes"/>
    <x v="0"/>
    <n v="48"/>
    <n v="6"/>
    <x v="1"/>
    <n v="0"/>
    <n v="0"/>
  </r>
  <r>
    <s v="P440494"/>
    <x v="226"/>
    <n v="8017"/>
    <x v="56"/>
    <x v="1"/>
    <n v="10060"/>
    <s v="10K–50K"/>
    <x v="2"/>
    <n v="4.0815999999999999"/>
    <s v="Yes"/>
    <x v="0"/>
    <n v="49"/>
    <n v="45"/>
    <x v="0"/>
    <n v="0"/>
    <n v="0"/>
  </r>
  <r>
    <s v="P408678"/>
    <x v="227"/>
    <n v="1132"/>
    <x v="60"/>
    <x v="1"/>
    <n v="26130"/>
    <s v="10K–50K"/>
    <x v="2"/>
    <n v="4.1020000000000003"/>
    <s v="Yes"/>
    <x v="0"/>
    <n v="49"/>
    <n v="32"/>
    <x v="0"/>
    <n v="0"/>
    <n v="0"/>
  </r>
  <r>
    <s v="P471566"/>
    <x v="228"/>
    <n v="5674"/>
    <x v="25"/>
    <x v="7"/>
    <n v="13714"/>
    <s v="10K–50K"/>
    <x v="2"/>
    <n v="4.1923000000000004"/>
    <s v="Yes"/>
    <x v="0"/>
    <n v="52"/>
    <n v="18"/>
    <x v="1"/>
    <n v="0"/>
    <n v="0"/>
  </r>
  <r>
    <s v="P459116"/>
    <x v="229"/>
    <n v="6125"/>
    <x v="0"/>
    <x v="7"/>
    <n v="17031"/>
    <s v="10K–50K"/>
    <x v="2"/>
    <n v="4.3076999999999996"/>
    <s v="Yes"/>
    <x v="0"/>
    <n v="52"/>
    <n v="15"/>
    <x v="1"/>
    <n v="0"/>
    <n v="1"/>
  </r>
  <r>
    <s v="P472466"/>
    <x v="230"/>
    <n v="4348"/>
    <x v="11"/>
    <x v="3"/>
    <n v="22152"/>
    <s v="10K–50K"/>
    <x v="2"/>
    <n v="3.9807999999999999"/>
    <s v="Yes"/>
    <x v="1"/>
    <n v="52"/>
    <n v="18"/>
    <x v="1"/>
    <n v="0"/>
    <n v="0"/>
  </r>
  <r>
    <s v="P484055"/>
    <x v="231"/>
    <n v="6125"/>
    <x v="0"/>
    <x v="10"/>
    <n v="40254"/>
    <s v="10K–50K"/>
    <x v="2"/>
    <n v="4.0191999999999997"/>
    <s v="Yes"/>
    <x v="0"/>
    <n v="52"/>
    <n v="45"/>
    <x v="0"/>
    <n v="0"/>
    <n v="0"/>
  </r>
  <r>
    <s v="P446612"/>
    <x v="232"/>
    <n v="6236"/>
    <x v="38"/>
    <x v="5"/>
    <n v="11527"/>
    <s v="10K–50K"/>
    <x v="2"/>
    <n v="3.4906000000000001"/>
    <s v="Yes"/>
    <x v="1"/>
    <n v="53"/>
    <n v="25"/>
    <x v="0"/>
    <n v="0"/>
    <n v="1"/>
  </r>
  <r>
    <s v="P440309"/>
    <x v="233"/>
    <n v="6256"/>
    <x v="61"/>
    <x v="9"/>
    <n v="13390"/>
    <s v="10K–50K"/>
    <x v="2"/>
    <n v="4.3773999999999997"/>
    <s v="Yes"/>
    <x v="0"/>
    <n v="53"/>
    <n v="46"/>
    <x v="0"/>
    <n v="0"/>
    <n v="0"/>
  </r>
  <r>
    <s v="P460746"/>
    <x v="234"/>
    <n v="6041"/>
    <x v="6"/>
    <x v="2"/>
    <n v="16714"/>
    <s v="10K–50K"/>
    <x v="2"/>
    <n v="4.4074"/>
    <s v="Yes"/>
    <x v="0"/>
    <n v="54"/>
    <n v="14"/>
    <x v="1"/>
    <n v="0"/>
    <n v="0"/>
  </r>
  <r>
    <s v="P458964"/>
    <x v="235"/>
    <n v="6309"/>
    <x v="62"/>
    <x v="11"/>
    <n v="16978"/>
    <s v="10K–50K"/>
    <x v="2"/>
    <n v="3.9815"/>
    <s v="Yes"/>
    <x v="1"/>
    <n v="54"/>
    <n v="25"/>
    <x v="0"/>
    <n v="0"/>
    <n v="0"/>
  </r>
  <r>
    <s v="P417111"/>
    <x v="236"/>
    <n v="6201"/>
    <x v="44"/>
    <x v="8"/>
    <n v="10037"/>
    <s v="10K–50K"/>
    <x v="2"/>
    <n v="3.5817999999999999"/>
    <s v="Yes"/>
    <x v="1"/>
    <n v="55"/>
    <n v="260"/>
    <x v="2"/>
    <n v="0"/>
    <n v="0"/>
  </r>
  <r>
    <s v="P469514"/>
    <x v="237"/>
    <n v="6341"/>
    <x v="12"/>
    <x v="2"/>
    <n v="13813"/>
    <s v="10K–50K"/>
    <x v="2"/>
    <n v="4.7091000000000003"/>
    <s v="Yes"/>
    <x v="0"/>
    <n v="55"/>
    <n v="34"/>
    <x v="0"/>
    <n v="0"/>
    <n v="0"/>
  </r>
  <r>
    <s v="P467651"/>
    <x v="238"/>
    <n v="3902"/>
    <x v="13"/>
    <x v="1"/>
    <n v="15027"/>
    <s v="10K–50K"/>
    <x v="2"/>
    <n v="4.1818"/>
    <s v="Yes"/>
    <x v="0"/>
    <n v="55"/>
    <n v="20"/>
    <x v="0"/>
    <n v="0"/>
    <n v="0"/>
  </r>
  <r>
    <s v="P469525"/>
    <x v="239"/>
    <n v="6341"/>
    <x v="12"/>
    <x v="1"/>
    <n v="18794"/>
    <s v="10K–50K"/>
    <x v="2"/>
    <n v="4.0545"/>
    <s v="Yes"/>
    <x v="0"/>
    <n v="55"/>
    <n v="42"/>
    <x v="0"/>
    <n v="0"/>
    <n v="0"/>
  </r>
  <r>
    <s v="P444964"/>
    <x v="240"/>
    <n v="6201"/>
    <x v="44"/>
    <x v="0"/>
    <n v="19686"/>
    <s v="10K–50K"/>
    <x v="2"/>
    <n v="3.5535999999999999"/>
    <s v="Yes"/>
    <x v="1"/>
    <n v="56"/>
    <n v="85"/>
    <x v="2"/>
    <n v="0"/>
    <n v="0"/>
  </r>
  <r>
    <s v="P504524"/>
    <x v="241"/>
    <n v="6751"/>
    <x v="47"/>
    <x v="2"/>
    <n v="10558"/>
    <s v="10K–50K"/>
    <x v="2"/>
    <n v="4.0876999999999999"/>
    <s v="Yes"/>
    <x v="0"/>
    <n v="57"/>
    <n v="19"/>
    <x v="1"/>
    <n v="1"/>
    <n v="0"/>
  </r>
  <r>
    <s v="P473728"/>
    <x v="242"/>
    <n v="3902"/>
    <x v="13"/>
    <x v="2"/>
    <n v="20055"/>
    <s v="10K–50K"/>
    <x v="2"/>
    <n v="3.8246000000000002"/>
    <s v="Yes"/>
    <x v="1"/>
    <n v="57"/>
    <n v="10"/>
    <x v="1"/>
    <n v="0"/>
    <n v="0"/>
  </r>
  <r>
    <s v="P483060"/>
    <x v="243"/>
    <n v="2082"/>
    <x v="63"/>
    <x v="0"/>
    <n v="35345"/>
    <s v="10K–50K"/>
    <x v="2"/>
    <n v="4.3509000000000002"/>
    <s v="Yes"/>
    <x v="0"/>
    <n v="57"/>
    <n v="28"/>
    <x v="0"/>
    <n v="1"/>
    <n v="0"/>
  </r>
  <r>
    <s v="P469544"/>
    <x v="244"/>
    <n v="6285"/>
    <x v="21"/>
    <x v="1"/>
    <n v="28910"/>
    <s v="10K–50K"/>
    <x v="2"/>
    <n v="4.1723999999999997"/>
    <s v="Yes"/>
    <x v="0"/>
    <n v="58"/>
    <n v="15.99"/>
    <x v="1"/>
    <n v="0"/>
    <n v="0"/>
  </r>
  <r>
    <s v="P419466"/>
    <x v="245"/>
    <n v="5626"/>
    <x v="64"/>
    <x v="6"/>
    <n v="10899"/>
    <s v="10K–50K"/>
    <x v="2"/>
    <n v="4.9492000000000003"/>
    <s v="Yes"/>
    <x v="0"/>
    <n v="59"/>
    <n v="9"/>
    <x v="1"/>
    <n v="0"/>
    <n v="0"/>
  </r>
  <r>
    <s v="P469516"/>
    <x v="246"/>
    <n v="6341"/>
    <x v="12"/>
    <x v="4"/>
    <n v="11227"/>
    <s v="10K–50K"/>
    <x v="2"/>
    <n v="4.4915000000000003"/>
    <s v="Yes"/>
    <x v="0"/>
    <n v="59"/>
    <n v="37"/>
    <x v="0"/>
    <n v="0"/>
    <n v="0"/>
  </r>
  <r>
    <s v="P398500"/>
    <x v="247"/>
    <n v="6114"/>
    <x v="65"/>
    <x v="11"/>
    <n v="12714"/>
    <s v="10K–50K"/>
    <x v="2"/>
    <n v="4.3220000000000001"/>
    <s v="Yes"/>
    <x v="0"/>
    <n v="59"/>
    <n v="159"/>
    <x v="2"/>
    <n v="0"/>
    <n v="0"/>
  </r>
  <r>
    <s v="P405827"/>
    <x v="248"/>
    <n v="7037"/>
    <x v="48"/>
    <x v="8"/>
    <n v="10363"/>
    <s v="10K–50K"/>
    <x v="2"/>
    <n v="3.5"/>
    <s v="Yes"/>
    <x v="1"/>
    <n v="60"/>
    <n v="149"/>
    <x v="2"/>
    <n v="0"/>
    <n v="0"/>
  </r>
  <r>
    <s v="P173622"/>
    <x v="249"/>
    <n v="5337"/>
    <x v="32"/>
    <x v="5"/>
    <n v="11355"/>
    <s v="10K–50K"/>
    <x v="2"/>
    <n v="4.45"/>
    <s v="Yes"/>
    <x v="0"/>
    <n v="60"/>
    <n v="70"/>
    <x v="2"/>
    <n v="0"/>
    <n v="0"/>
  </r>
  <r>
    <s v="P442734"/>
    <x v="250"/>
    <n v="2366"/>
    <x v="66"/>
    <x v="1"/>
    <n v="12040"/>
    <s v="10K–50K"/>
    <x v="2"/>
    <n v="4.5332999999999997"/>
    <s v="Yes"/>
    <x v="0"/>
    <n v="60"/>
    <n v="65"/>
    <x v="2"/>
    <n v="0"/>
    <n v="0"/>
  </r>
  <r>
    <s v="P433522"/>
    <x v="251"/>
    <n v="6236"/>
    <x v="38"/>
    <x v="5"/>
    <n v="11636"/>
    <s v="10K–50K"/>
    <x v="2"/>
    <n v="4.3114999999999997"/>
    <s v="Yes"/>
    <x v="0"/>
    <n v="61"/>
    <n v="58"/>
    <x v="2"/>
    <n v="0"/>
    <n v="0"/>
  </r>
  <r>
    <s v="P469527"/>
    <x v="252"/>
    <n v="6341"/>
    <x v="12"/>
    <x v="2"/>
    <n v="13473"/>
    <s v="10K–50K"/>
    <x v="2"/>
    <n v="4.5484"/>
    <s v="Yes"/>
    <x v="0"/>
    <n v="62"/>
    <n v="35"/>
    <x v="0"/>
    <n v="0"/>
    <n v="0"/>
  </r>
  <r>
    <s v="P456957"/>
    <x v="253"/>
    <n v="3902"/>
    <x v="13"/>
    <x v="1"/>
    <n v="10594"/>
    <s v="10K–50K"/>
    <x v="2"/>
    <n v="4.2222"/>
    <s v="Yes"/>
    <x v="0"/>
    <n v="63"/>
    <n v="20"/>
    <x v="0"/>
    <n v="0"/>
    <n v="1"/>
  </r>
  <r>
    <s v="P409834"/>
    <x v="254"/>
    <n v="3733"/>
    <x v="22"/>
    <x v="3"/>
    <n v="10649"/>
    <s v="10K–50K"/>
    <x v="2"/>
    <n v="4.2539999999999996"/>
    <s v="Yes"/>
    <x v="0"/>
    <n v="63"/>
    <n v="73"/>
    <x v="2"/>
    <n v="0"/>
    <n v="0"/>
  </r>
  <r>
    <s v="P397626"/>
    <x v="255"/>
    <n v="6014"/>
    <x v="17"/>
    <x v="5"/>
    <n v="12850"/>
    <s v="10K–50K"/>
    <x v="2"/>
    <n v="3.6190000000000002"/>
    <s v="Yes"/>
    <x v="1"/>
    <n v="63"/>
    <n v="9"/>
    <x v="1"/>
    <n v="0"/>
    <n v="0"/>
  </r>
  <r>
    <s v="P407381"/>
    <x v="256"/>
    <n v="1254"/>
    <x v="24"/>
    <x v="6"/>
    <n v="13842"/>
    <s v="10K–50K"/>
    <x v="2"/>
    <n v="4.2857000000000003"/>
    <s v="Yes"/>
    <x v="0"/>
    <n v="63"/>
    <n v="34"/>
    <x v="0"/>
    <n v="0"/>
    <n v="0"/>
  </r>
  <r>
    <s v="P432662"/>
    <x v="257"/>
    <n v="6117"/>
    <x v="33"/>
    <x v="9"/>
    <n v="14116"/>
    <s v="10K–50K"/>
    <x v="2"/>
    <n v="3.0952000000000002"/>
    <s v="Yes"/>
    <x v="1"/>
    <n v="63"/>
    <n v="40"/>
    <x v="0"/>
    <n v="0"/>
    <n v="0"/>
  </r>
  <r>
    <s v="P386757"/>
    <x v="258"/>
    <n v="7050"/>
    <x v="58"/>
    <x v="9"/>
    <n v="14381"/>
    <s v="10K–50K"/>
    <x v="2"/>
    <n v="3.8254000000000001"/>
    <s v="Yes"/>
    <x v="1"/>
    <n v="63"/>
    <n v="26"/>
    <x v="0"/>
    <n v="0"/>
    <n v="0"/>
  </r>
  <r>
    <s v="P439626"/>
    <x v="259"/>
    <n v="4348"/>
    <x v="11"/>
    <x v="8"/>
    <n v="14953"/>
    <s v="10K–50K"/>
    <x v="2"/>
    <n v="3.7618999999999998"/>
    <s v="Yes"/>
    <x v="1"/>
    <n v="63"/>
    <n v="72"/>
    <x v="2"/>
    <n v="0"/>
    <n v="0"/>
  </r>
  <r>
    <s v="P442841"/>
    <x v="260"/>
    <n v="6289"/>
    <x v="19"/>
    <x v="0"/>
    <n v="10271"/>
    <s v="10K–50K"/>
    <x v="2"/>
    <n v="3.0461999999999998"/>
    <s v="Yes"/>
    <x v="1"/>
    <n v="65"/>
    <n v="15"/>
    <x v="1"/>
    <n v="0"/>
    <n v="0"/>
  </r>
  <r>
    <s v="P386764"/>
    <x v="261"/>
    <n v="7050"/>
    <x v="58"/>
    <x v="9"/>
    <n v="11104"/>
    <s v="10K–50K"/>
    <x v="2"/>
    <n v="3.5385"/>
    <s v="Yes"/>
    <x v="1"/>
    <n v="65"/>
    <n v="26"/>
    <x v="0"/>
    <n v="0"/>
    <n v="0"/>
  </r>
  <r>
    <s v="P386760"/>
    <x v="262"/>
    <n v="7050"/>
    <x v="58"/>
    <x v="9"/>
    <n v="11224"/>
    <s v="10K–50K"/>
    <x v="2"/>
    <n v="4.3076999999999996"/>
    <s v="Yes"/>
    <x v="0"/>
    <n v="65"/>
    <n v="30"/>
    <x v="0"/>
    <n v="0"/>
    <n v="0"/>
  </r>
  <r>
    <s v="P461162"/>
    <x v="263"/>
    <n v="5972"/>
    <x v="10"/>
    <x v="1"/>
    <n v="13624"/>
    <s v="10K–50K"/>
    <x v="2"/>
    <n v="4.5692000000000004"/>
    <s v="Yes"/>
    <x v="0"/>
    <n v="65"/>
    <n v="30"/>
    <x v="0"/>
    <n v="0"/>
    <n v="0"/>
  </r>
  <r>
    <s v="P469515"/>
    <x v="264"/>
    <n v="6341"/>
    <x v="12"/>
    <x v="1"/>
    <n v="13705"/>
    <s v="10K–50K"/>
    <x v="2"/>
    <n v="4.8333000000000004"/>
    <s v="Yes"/>
    <x v="0"/>
    <n v="66"/>
    <n v="22"/>
    <x v="0"/>
    <n v="0"/>
    <n v="0"/>
  </r>
  <r>
    <s v="P461521"/>
    <x v="265"/>
    <n v="3902"/>
    <x v="13"/>
    <x v="5"/>
    <n v="16227"/>
    <s v="10K–50K"/>
    <x v="2"/>
    <n v="3.6818"/>
    <s v="Yes"/>
    <x v="1"/>
    <n v="66"/>
    <n v="5"/>
    <x v="1"/>
    <n v="0"/>
    <n v="0"/>
  </r>
  <r>
    <s v="P469454"/>
    <x v="266"/>
    <n v="6353"/>
    <x v="67"/>
    <x v="3"/>
    <n v="10153"/>
    <s v="10K–50K"/>
    <x v="2"/>
    <n v="4.6269"/>
    <s v="Yes"/>
    <x v="0"/>
    <n v="67"/>
    <n v="30"/>
    <x v="0"/>
    <n v="0"/>
    <n v="0"/>
  </r>
  <r>
    <s v="P449156"/>
    <x v="267"/>
    <n v="2002"/>
    <x v="68"/>
    <x v="9"/>
    <n v="10451"/>
    <s v="10K–50K"/>
    <x v="2"/>
    <n v="4.4328000000000003"/>
    <s v="Yes"/>
    <x v="0"/>
    <n v="67"/>
    <n v="195"/>
    <x v="2"/>
    <n v="0"/>
    <n v="0"/>
  </r>
  <r>
    <s v="P417118"/>
    <x v="268"/>
    <n v="6201"/>
    <x v="44"/>
    <x v="4"/>
    <n v="12975"/>
    <s v="10K–50K"/>
    <x v="2"/>
    <n v="4.2537000000000003"/>
    <s v="Yes"/>
    <x v="0"/>
    <n v="67"/>
    <n v="105"/>
    <x v="2"/>
    <n v="0"/>
    <n v="0"/>
  </r>
  <r>
    <s v="P452004"/>
    <x v="269"/>
    <n v="6117"/>
    <x v="33"/>
    <x v="3"/>
    <n v="13225"/>
    <s v="10K–50K"/>
    <x v="2"/>
    <n v="4.0587999999999997"/>
    <s v="Yes"/>
    <x v="0"/>
    <n v="68"/>
    <n v="36"/>
    <x v="0"/>
    <n v="0"/>
    <n v="0"/>
  </r>
  <r>
    <s v="P444968"/>
    <x v="270"/>
    <n v="8017"/>
    <x v="56"/>
    <x v="7"/>
    <n v="16475"/>
    <s v="10K–50K"/>
    <x v="2"/>
    <n v="3.8382000000000001"/>
    <s v="Yes"/>
    <x v="1"/>
    <n v="68"/>
    <n v="5"/>
    <x v="1"/>
    <n v="0"/>
    <n v="0"/>
  </r>
  <r>
    <s v="P441045"/>
    <x v="271"/>
    <n v="6117"/>
    <x v="33"/>
    <x v="9"/>
    <n v="30982"/>
    <s v="10K–50K"/>
    <x v="2"/>
    <n v="3.8971"/>
    <s v="Yes"/>
    <x v="1"/>
    <n v="68"/>
    <n v="25"/>
    <x v="0"/>
    <n v="0"/>
    <n v="0"/>
  </r>
  <r>
    <s v="P388982"/>
    <x v="272"/>
    <n v="7050"/>
    <x v="58"/>
    <x v="9"/>
    <n v="14443"/>
    <s v="10K–50K"/>
    <x v="2"/>
    <n v="4.2609000000000004"/>
    <s v="Yes"/>
    <x v="0"/>
    <n v="69"/>
    <n v="25"/>
    <x v="0"/>
    <n v="0"/>
    <n v="1"/>
  </r>
  <r>
    <s v="P437477"/>
    <x v="273"/>
    <n v="5857"/>
    <x v="51"/>
    <x v="10"/>
    <n v="17141"/>
    <s v="10K–50K"/>
    <x v="2"/>
    <n v="3.6086999999999998"/>
    <s v="Yes"/>
    <x v="1"/>
    <n v="69"/>
    <n v="34"/>
    <x v="0"/>
    <n v="0"/>
    <n v="0"/>
  </r>
  <r>
    <s v="P397625"/>
    <x v="274"/>
    <n v="6014"/>
    <x v="17"/>
    <x v="5"/>
    <n v="16054"/>
    <s v="10K–50K"/>
    <x v="2"/>
    <n v="4.0571000000000002"/>
    <s v="Yes"/>
    <x v="0"/>
    <n v="70"/>
    <n v="9"/>
    <x v="1"/>
    <n v="0"/>
    <n v="0"/>
  </r>
  <r>
    <s v="P479840"/>
    <x v="275"/>
    <n v="5972"/>
    <x v="10"/>
    <x v="8"/>
    <n v="17841"/>
    <s v="10K–50K"/>
    <x v="2"/>
    <n v="3.8429000000000002"/>
    <s v="Yes"/>
    <x v="1"/>
    <n v="70"/>
    <n v="30"/>
    <x v="0"/>
    <n v="0"/>
    <n v="0"/>
  </r>
  <r>
    <s v="P469087"/>
    <x v="276"/>
    <n v="6352"/>
    <x v="35"/>
    <x v="8"/>
    <n v="26880"/>
    <s v="10K–50K"/>
    <x v="2"/>
    <n v="3.5143"/>
    <s v="Yes"/>
    <x v="1"/>
    <n v="70"/>
    <n v="36"/>
    <x v="0"/>
    <n v="0"/>
    <n v="0"/>
  </r>
  <r>
    <s v="P480444"/>
    <x v="277"/>
    <n v="8001"/>
    <x v="4"/>
    <x v="5"/>
    <n v="32523"/>
    <s v="10K–50K"/>
    <x v="2"/>
    <n v="4"/>
    <s v="Yes"/>
    <x v="0"/>
    <n v="70"/>
    <n v="60"/>
    <x v="2"/>
    <n v="0"/>
    <n v="0"/>
  </r>
  <r>
    <s v="P474957"/>
    <x v="278"/>
    <n v="8008"/>
    <x v="18"/>
    <x v="6"/>
    <n v="11912"/>
    <s v="10K–50K"/>
    <x v="2"/>
    <n v="3.7606000000000002"/>
    <s v="Yes"/>
    <x v="1"/>
    <n v="71"/>
    <n v="24"/>
    <x v="0"/>
    <n v="0"/>
    <n v="0"/>
  </r>
  <r>
    <s v="P437960"/>
    <x v="279"/>
    <n v="6149"/>
    <x v="69"/>
    <x v="8"/>
    <n v="38772"/>
    <s v="10K–50K"/>
    <x v="2"/>
    <n v="4.0986000000000002"/>
    <s v="Yes"/>
    <x v="0"/>
    <n v="71"/>
    <n v="26"/>
    <x v="0"/>
    <n v="0"/>
    <n v="0"/>
  </r>
  <r>
    <s v="P483496"/>
    <x v="280"/>
    <n v="6234"/>
    <x v="1"/>
    <x v="1"/>
    <n v="43971"/>
    <s v="10K–50K"/>
    <x v="2"/>
    <n v="4.2534999999999998"/>
    <s v="Yes"/>
    <x v="0"/>
    <n v="71"/>
    <n v="6.5"/>
    <x v="1"/>
    <n v="0"/>
    <n v="0"/>
  </r>
  <r>
    <s v="P440486"/>
    <x v="281"/>
    <n v="8017"/>
    <x v="56"/>
    <x v="2"/>
    <n v="14598"/>
    <s v="10K–50K"/>
    <x v="2"/>
    <n v="4.1506999999999996"/>
    <s v="Yes"/>
    <x v="0"/>
    <n v="73"/>
    <n v="18"/>
    <x v="1"/>
    <n v="0"/>
    <n v="0"/>
  </r>
  <r>
    <s v="P469513"/>
    <x v="282"/>
    <n v="6341"/>
    <x v="12"/>
    <x v="2"/>
    <n v="24652"/>
    <s v="10K–50K"/>
    <x v="2"/>
    <n v="4.1369999999999996"/>
    <s v="Yes"/>
    <x v="0"/>
    <n v="73"/>
    <n v="15"/>
    <x v="1"/>
    <n v="0"/>
    <n v="0"/>
  </r>
  <r>
    <s v="P502169"/>
    <x v="283"/>
    <n v="6289"/>
    <x v="19"/>
    <x v="10"/>
    <n v="10557"/>
    <s v="10K–50K"/>
    <x v="2"/>
    <n v="4.7161999999999997"/>
    <s v="Yes"/>
    <x v="0"/>
    <n v="74"/>
    <n v="40"/>
    <x v="0"/>
    <n v="0"/>
    <n v="0"/>
  </r>
  <r>
    <s v="P447597"/>
    <x v="284"/>
    <n v="6234"/>
    <x v="1"/>
    <x v="3"/>
    <n v="21125"/>
    <s v="10K–50K"/>
    <x v="2"/>
    <n v="4.1891999999999996"/>
    <s v="Yes"/>
    <x v="0"/>
    <n v="74"/>
    <n v="8.5"/>
    <x v="1"/>
    <n v="0"/>
    <n v="1"/>
  </r>
  <r>
    <s v="P476540"/>
    <x v="285"/>
    <n v="8008"/>
    <x v="18"/>
    <x v="10"/>
    <n v="26141"/>
    <s v="10K–50K"/>
    <x v="2"/>
    <n v="4.0945999999999998"/>
    <s v="Yes"/>
    <x v="0"/>
    <n v="74"/>
    <n v="30"/>
    <x v="0"/>
    <n v="0"/>
    <n v="0"/>
  </r>
  <r>
    <s v="P440502"/>
    <x v="286"/>
    <n v="8017"/>
    <x v="56"/>
    <x v="8"/>
    <n v="10678"/>
    <s v="10K–50K"/>
    <x v="2"/>
    <n v="3.24"/>
    <s v="Yes"/>
    <x v="1"/>
    <n v="75"/>
    <n v="18"/>
    <x v="1"/>
    <n v="0"/>
    <n v="0"/>
  </r>
  <r>
    <s v="P379704"/>
    <x v="287"/>
    <n v="7020"/>
    <x v="70"/>
    <x v="3"/>
    <n v="11417"/>
    <s v="10K–50K"/>
    <x v="2"/>
    <n v="4.2"/>
    <s v="Yes"/>
    <x v="0"/>
    <n v="75"/>
    <n v="165"/>
    <x v="2"/>
    <n v="0"/>
    <n v="0"/>
  </r>
  <r>
    <s v="P454395"/>
    <x v="288"/>
    <n v="4348"/>
    <x v="11"/>
    <x v="7"/>
    <n v="16661"/>
    <s v="10K–50K"/>
    <x v="2"/>
    <n v="3.7732999999999999"/>
    <s v="Yes"/>
    <x v="1"/>
    <n v="75"/>
    <n v="21"/>
    <x v="0"/>
    <n v="0"/>
    <n v="0"/>
  </r>
  <r>
    <s v="P434340"/>
    <x v="289"/>
    <n v="6256"/>
    <x v="61"/>
    <x v="9"/>
    <n v="18840"/>
    <s v="10K–50K"/>
    <x v="2"/>
    <n v="4"/>
    <s v="Yes"/>
    <x v="0"/>
    <n v="75"/>
    <n v="40"/>
    <x v="0"/>
    <n v="0"/>
    <n v="0"/>
  </r>
  <r>
    <s v="P465808"/>
    <x v="290"/>
    <n v="3902"/>
    <x v="13"/>
    <x v="11"/>
    <n v="34580"/>
    <s v="10K–50K"/>
    <x v="2"/>
    <n v="3.44"/>
    <s v="Yes"/>
    <x v="1"/>
    <n v="75"/>
    <n v="12"/>
    <x v="1"/>
    <n v="0"/>
    <n v="0"/>
  </r>
  <r>
    <s v="P469478"/>
    <x v="291"/>
    <n v="6235"/>
    <x v="43"/>
    <x v="8"/>
    <n v="30543"/>
    <s v="10K–50K"/>
    <x v="2"/>
    <n v="3.6842000000000001"/>
    <s v="Yes"/>
    <x v="1"/>
    <n v="76"/>
    <n v="20"/>
    <x v="0"/>
    <n v="0"/>
    <n v="0"/>
  </r>
  <r>
    <s v="P401158"/>
    <x v="292"/>
    <n v="6114"/>
    <x v="65"/>
    <x v="11"/>
    <n v="10303"/>
    <s v="10K–50K"/>
    <x v="2"/>
    <n v="4.6494"/>
    <s v="Yes"/>
    <x v="0"/>
    <n v="77"/>
    <n v="159"/>
    <x v="2"/>
    <n v="0"/>
    <n v="0"/>
  </r>
  <r>
    <s v="P395723"/>
    <x v="293"/>
    <n v="7091"/>
    <x v="71"/>
    <x v="4"/>
    <n v="12498"/>
    <s v="10K–50K"/>
    <x v="2"/>
    <n v="4.3635999999999999"/>
    <s v="Yes"/>
    <x v="0"/>
    <n v="77"/>
    <n v="28"/>
    <x v="0"/>
    <n v="0"/>
    <n v="0"/>
  </r>
  <r>
    <s v="P461161"/>
    <x v="294"/>
    <n v="5972"/>
    <x v="10"/>
    <x v="1"/>
    <n v="13002"/>
    <s v="10K–50K"/>
    <x v="2"/>
    <n v="4.2857000000000003"/>
    <s v="Yes"/>
    <x v="0"/>
    <n v="77"/>
    <n v="26"/>
    <x v="0"/>
    <n v="0"/>
    <n v="0"/>
  </r>
  <r>
    <s v="P502691"/>
    <x v="295"/>
    <n v="6285"/>
    <x v="21"/>
    <x v="1"/>
    <n v="13720"/>
    <s v="10K–50K"/>
    <x v="2"/>
    <n v="4.1558000000000002"/>
    <s v="Yes"/>
    <x v="0"/>
    <n v="77"/>
    <n v="24.99"/>
    <x v="0"/>
    <n v="0"/>
    <n v="0"/>
  </r>
  <r>
    <s v="P378219"/>
    <x v="296"/>
    <n v="5337"/>
    <x v="32"/>
    <x v="5"/>
    <n v="13301"/>
    <s v="10K–50K"/>
    <x v="2"/>
    <n v="4.2531999999999996"/>
    <s v="Yes"/>
    <x v="0"/>
    <n v="79"/>
    <n v="72"/>
    <x v="2"/>
    <n v="0"/>
    <n v="0"/>
  </r>
  <r>
    <s v="P440490"/>
    <x v="297"/>
    <n v="8017"/>
    <x v="56"/>
    <x v="2"/>
    <n v="13045"/>
    <s v="10K–50K"/>
    <x v="2"/>
    <n v="3.7625000000000002"/>
    <s v="Yes"/>
    <x v="1"/>
    <n v="80"/>
    <n v="15"/>
    <x v="1"/>
    <n v="0"/>
    <n v="0"/>
  </r>
  <r>
    <s v="P502479"/>
    <x v="298"/>
    <n v="6169"/>
    <x v="3"/>
    <x v="2"/>
    <n v="11299"/>
    <s v="10K–50K"/>
    <x v="2"/>
    <n v="4.5926"/>
    <s v="Yes"/>
    <x v="0"/>
    <n v="81"/>
    <n v="42"/>
    <x v="0"/>
    <n v="0"/>
    <n v="0"/>
  </r>
  <r>
    <s v="P431733"/>
    <x v="299"/>
    <n v="6218"/>
    <x v="20"/>
    <x v="2"/>
    <n v="17152"/>
    <s v="10K–50K"/>
    <x v="2"/>
    <n v="4.6173000000000002"/>
    <s v="Yes"/>
    <x v="0"/>
    <n v="81"/>
    <n v="46"/>
    <x v="0"/>
    <n v="0"/>
    <n v="0"/>
  </r>
  <r>
    <s v="P459131"/>
    <x v="300"/>
    <n v="5674"/>
    <x v="25"/>
    <x v="10"/>
    <n v="22166"/>
    <s v="10K–50K"/>
    <x v="2"/>
    <n v="4.2346000000000004"/>
    <s v="Yes"/>
    <x v="0"/>
    <n v="81"/>
    <n v="65"/>
    <x v="2"/>
    <n v="0"/>
    <n v="0"/>
  </r>
  <r>
    <s v="P399622"/>
    <x v="301"/>
    <n v="6041"/>
    <x v="6"/>
    <x v="5"/>
    <n v="27298"/>
    <s v="10K–50K"/>
    <x v="2"/>
    <n v="4.4074"/>
    <s v="Yes"/>
    <x v="0"/>
    <n v="81"/>
    <n v="95"/>
    <x v="2"/>
    <n v="0"/>
    <n v="0"/>
  </r>
  <r>
    <s v="P399656"/>
    <x v="302"/>
    <n v="5972"/>
    <x v="10"/>
    <x v="10"/>
    <n v="10231"/>
    <s v="10K–50K"/>
    <x v="2"/>
    <n v="4.5853999999999999"/>
    <s v="Yes"/>
    <x v="0"/>
    <n v="82"/>
    <n v="30"/>
    <x v="0"/>
    <n v="0"/>
    <n v="1"/>
  </r>
  <r>
    <s v="P438635"/>
    <x v="303"/>
    <n v="6272"/>
    <x v="46"/>
    <x v="0"/>
    <n v="15560"/>
    <s v="10K–50K"/>
    <x v="2"/>
    <n v="3.4268000000000001"/>
    <s v="Yes"/>
    <x v="1"/>
    <n v="82"/>
    <n v="39"/>
    <x v="0"/>
    <n v="0"/>
    <n v="0"/>
  </r>
  <r>
    <s v="P447773"/>
    <x v="304"/>
    <n v="6084"/>
    <x v="37"/>
    <x v="10"/>
    <n v="30424"/>
    <s v="10K–50K"/>
    <x v="2"/>
    <n v="3.9146000000000001"/>
    <s v="Yes"/>
    <x v="1"/>
    <n v="82"/>
    <n v="99"/>
    <x v="2"/>
    <n v="0"/>
    <n v="0"/>
  </r>
  <r>
    <s v="P422005"/>
    <x v="305"/>
    <n v="6218"/>
    <x v="20"/>
    <x v="3"/>
    <n v="10346"/>
    <s v="10K–50K"/>
    <x v="2"/>
    <n v="3.7143000000000002"/>
    <s v="Yes"/>
    <x v="1"/>
    <n v="84"/>
    <n v="38"/>
    <x v="0"/>
    <n v="0"/>
    <n v="0"/>
  </r>
  <r>
    <s v="P438628"/>
    <x v="306"/>
    <n v="6272"/>
    <x v="46"/>
    <x v="9"/>
    <n v="18126"/>
    <s v="10K–50K"/>
    <x v="2"/>
    <n v="4.5833000000000004"/>
    <s v="Yes"/>
    <x v="0"/>
    <n v="84"/>
    <n v="65"/>
    <x v="2"/>
    <n v="0"/>
    <n v="0"/>
  </r>
  <r>
    <s v="P450947"/>
    <x v="307"/>
    <n v="7083"/>
    <x v="2"/>
    <x v="7"/>
    <n v="31898"/>
    <s v="10K–50K"/>
    <x v="2"/>
    <n v="4"/>
    <s v="Yes"/>
    <x v="0"/>
    <n v="84"/>
    <n v="28"/>
    <x v="0"/>
    <n v="0"/>
    <n v="0"/>
  </r>
  <r>
    <s v="P456413"/>
    <x v="308"/>
    <n v="5715"/>
    <x v="72"/>
    <x v="7"/>
    <n v="12738"/>
    <s v="10K–50K"/>
    <x v="2"/>
    <n v="4.2470999999999997"/>
    <s v="Yes"/>
    <x v="0"/>
    <n v="85"/>
    <n v="16"/>
    <x v="1"/>
    <n v="0"/>
    <n v="0"/>
  </r>
  <r>
    <s v="P444013"/>
    <x v="309"/>
    <n v="3902"/>
    <x v="13"/>
    <x v="9"/>
    <n v="31468"/>
    <s v="10K–50K"/>
    <x v="2"/>
    <n v="4.1176000000000004"/>
    <s v="Yes"/>
    <x v="0"/>
    <n v="85"/>
    <n v="35"/>
    <x v="0"/>
    <n v="0"/>
    <n v="0"/>
  </r>
  <r>
    <s v="P401570"/>
    <x v="310"/>
    <n v="3733"/>
    <x v="22"/>
    <x v="2"/>
    <n v="11239"/>
    <s v="10K–50K"/>
    <x v="2"/>
    <n v="4.5"/>
    <s v="Yes"/>
    <x v="0"/>
    <n v="86"/>
    <n v="37"/>
    <x v="0"/>
    <n v="0"/>
    <n v="0"/>
  </r>
  <r>
    <s v="P440306"/>
    <x v="311"/>
    <n v="5648"/>
    <x v="73"/>
    <x v="7"/>
    <n v="12223"/>
    <s v="10K–50K"/>
    <x v="2"/>
    <n v="3.5813999999999999"/>
    <s v="Yes"/>
    <x v="1"/>
    <n v="86"/>
    <n v="14"/>
    <x v="1"/>
    <n v="0"/>
    <n v="1"/>
  </r>
  <r>
    <s v="P504523"/>
    <x v="312"/>
    <n v="6751"/>
    <x v="47"/>
    <x v="3"/>
    <n v="17832"/>
    <s v="10K–50K"/>
    <x v="2"/>
    <n v="3.9651000000000001"/>
    <s v="Yes"/>
    <x v="1"/>
    <n v="86"/>
    <n v="26"/>
    <x v="0"/>
    <n v="1"/>
    <n v="0"/>
  </r>
  <r>
    <s v="P402943"/>
    <x v="313"/>
    <n v="6130"/>
    <x v="30"/>
    <x v="9"/>
    <n v="25496"/>
    <s v="10K–50K"/>
    <x v="2"/>
    <n v="3.8256000000000001"/>
    <s v="Yes"/>
    <x v="1"/>
    <n v="86"/>
    <n v="110"/>
    <x v="2"/>
    <n v="0"/>
    <n v="0"/>
  </r>
  <r>
    <s v="P438643"/>
    <x v="314"/>
    <n v="6272"/>
    <x v="46"/>
    <x v="2"/>
    <n v="10844"/>
    <s v="10K–50K"/>
    <x v="2"/>
    <n v="4.4713000000000003"/>
    <s v="Yes"/>
    <x v="0"/>
    <n v="87"/>
    <n v="39"/>
    <x v="0"/>
    <n v="0"/>
    <n v="0"/>
  </r>
  <r>
    <s v="P432421"/>
    <x v="315"/>
    <n v="3902"/>
    <x v="13"/>
    <x v="5"/>
    <n v="16867"/>
    <s v="10K–50K"/>
    <x v="2"/>
    <n v="3.7614000000000001"/>
    <s v="Yes"/>
    <x v="1"/>
    <n v="88"/>
    <n v="5.5"/>
    <x v="1"/>
    <n v="0"/>
    <n v="1"/>
  </r>
  <r>
    <s v="P469517"/>
    <x v="316"/>
    <n v="6341"/>
    <x v="12"/>
    <x v="3"/>
    <n v="16079"/>
    <s v="10K–50K"/>
    <x v="2"/>
    <n v="4.5281000000000002"/>
    <s v="Yes"/>
    <x v="0"/>
    <n v="89"/>
    <n v="29"/>
    <x v="0"/>
    <n v="0"/>
    <n v="0"/>
  </r>
  <r>
    <s v="P482328"/>
    <x v="317"/>
    <n v="6234"/>
    <x v="1"/>
    <x v="1"/>
    <n v="38431"/>
    <s v="10K–50K"/>
    <x v="2"/>
    <n v="3.9213"/>
    <s v="Yes"/>
    <x v="1"/>
    <n v="89"/>
    <n v="6.5"/>
    <x v="1"/>
    <n v="0"/>
    <n v="0"/>
  </r>
  <r>
    <s v="P424985"/>
    <x v="318"/>
    <n v="6225"/>
    <x v="57"/>
    <x v="6"/>
    <n v="14995"/>
    <s v="10K–50K"/>
    <x v="2"/>
    <n v="4"/>
    <s v="Yes"/>
    <x v="0"/>
    <n v="90"/>
    <n v="48"/>
    <x v="0"/>
    <n v="0"/>
    <n v="0"/>
  </r>
  <r>
    <s v="P2046"/>
    <x v="319"/>
    <n v="3526"/>
    <x v="74"/>
    <x v="3"/>
    <n v="10378"/>
    <s v="10K–50K"/>
    <x v="2"/>
    <n v="4.6813000000000002"/>
    <s v="Yes"/>
    <x v="0"/>
    <n v="91"/>
    <n v="23.5"/>
    <x v="0"/>
    <n v="0"/>
    <n v="0"/>
  </r>
  <r>
    <s v="P422004"/>
    <x v="320"/>
    <n v="6218"/>
    <x v="20"/>
    <x v="3"/>
    <n v="12320"/>
    <s v="10K–50K"/>
    <x v="2"/>
    <n v="3.7473000000000001"/>
    <s v="Yes"/>
    <x v="1"/>
    <n v="91"/>
    <n v="38"/>
    <x v="0"/>
    <n v="0"/>
    <n v="1"/>
  </r>
  <r>
    <s v="P440484"/>
    <x v="321"/>
    <n v="8017"/>
    <x v="56"/>
    <x v="3"/>
    <n v="16337"/>
    <s v="10K–50K"/>
    <x v="2"/>
    <n v="4.4396000000000004"/>
    <s v="Yes"/>
    <x v="0"/>
    <n v="91"/>
    <n v="7"/>
    <x v="1"/>
    <n v="0"/>
    <n v="0"/>
  </r>
  <r>
    <s v="P455622"/>
    <x v="322"/>
    <n v="1254"/>
    <x v="24"/>
    <x v="1"/>
    <n v="22013"/>
    <s v="10K–50K"/>
    <x v="2"/>
    <n v="3.5823999999999998"/>
    <s v="Yes"/>
    <x v="1"/>
    <n v="91"/>
    <n v="85"/>
    <x v="2"/>
    <n v="0"/>
    <n v="0"/>
  </r>
  <r>
    <s v="P468709"/>
    <x v="323"/>
    <n v="6234"/>
    <x v="1"/>
    <x v="1"/>
    <n v="27717"/>
    <s v="10K–50K"/>
    <x v="2"/>
    <n v="4.3186999999999998"/>
    <s v="Yes"/>
    <x v="0"/>
    <n v="91"/>
    <n v="6.4"/>
    <x v="1"/>
    <n v="0"/>
    <n v="0"/>
  </r>
  <r>
    <s v="P440072"/>
    <x v="324"/>
    <n v="6207"/>
    <x v="50"/>
    <x v="5"/>
    <n v="12672"/>
    <s v="10K–50K"/>
    <x v="2"/>
    <n v="3.7282999999999999"/>
    <s v="Yes"/>
    <x v="1"/>
    <n v="92"/>
    <n v="52"/>
    <x v="2"/>
    <n v="0"/>
    <n v="0"/>
  </r>
  <r>
    <s v="P379705"/>
    <x v="325"/>
    <n v="7020"/>
    <x v="70"/>
    <x v="3"/>
    <n v="13637"/>
    <s v="10K–50K"/>
    <x v="2"/>
    <n v="3.883"/>
    <s v="Yes"/>
    <x v="1"/>
    <n v="94"/>
    <n v="76"/>
    <x v="2"/>
    <n v="0"/>
    <n v="0"/>
  </r>
  <r>
    <s v="P379995"/>
    <x v="326"/>
    <n v="6089"/>
    <x v="45"/>
    <x v="1"/>
    <n v="14820"/>
    <s v="10K–50K"/>
    <x v="2"/>
    <n v="4.2233999999999998"/>
    <s v="Yes"/>
    <x v="0"/>
    <n v="94"/>
    <n v="120"/>
    <x v="2"/>
    <n v="0"/>
    <n v="0"/>
  </r>
  <r>
    <s v="P463964"/>
    <x v="327"/>
    <n v="6073"/>
    <x v="15"/>
    <x v="3"/>
    <n v="19808"/>
    <s v="10K–50K"/>
    <x v="2"/>
    <n v="3.8085"/>
    <s v="Yes"/>
    <x v="1"/>
    <n v="94"/>
    <n v="48"/>
    <x v="0"/>
    <n v="0"/>
    <n v="0"/>
  </r>
  <r>
    <s v="P504849"/>
    <x v="328"/>
    <n v="6189"/>
    <x v="5"/>
    <x v="10"/>
    <n v="12092"/>
    <s v="10K–50K"/>
    <x v="2"/>
    <n v="4.8453999999999997"/>
    <s v="Yes"/>
    <x v="0"/>
    <n v="97"/>
    <n v="54"/>
    <x v="2"/>
    <n v="1"/>
    <n v="0"/>
  </r>
  <r>
    <s v="P392004"/>
    <x v="329"/>
    <n v="2082"/>
    <x v="63"/>
    <x v="3"/>
    <n v="10782"/>
    <s v="10K–50K"/>
    <x v="2"/>
    <n v="4.4184000000000001"/>
    <s v="Yes"/>
    <x v="0"/>
    <n v="98"/>
    <n v="65"/>
    <x v="2"/>
    <n v="0"/>
    <n v="0"/>
  </r>
  <r>
    <s v="P480165"/>
    <x v="330"/>
    <n v="8001"/>
    <x v="4"/>
    <x v="10"/>
    <n v="20010"/>
    <s v="10K–50K"/>
    <x v="2"/>
    <n v="4.7652999999999999"/>
    <s v="Yes"/>
    <x v="0"/>
    <n v="98"/>
    <n v="42"/>
    <x v="0"/>
    <n v="0"/>
    <n v="0"/>
  </r>
  <r>
    <s v="P429659"/>
    <x v="331"/>
    <n v="6195"/>
    <x v="27"/>
    <x v="3"/>
    <n v="28719"/>
    <s v="10K–50K"/>
    <x v="2"/>
    <n v="4.2550999999999997"/>
    <s v="Yes"/>
    <x v="0"/>
    <n v="98"/>
    <n v="32"/>
    <x v="0"/>
    <n v="0"/>
    <n v="0"/>
  </r>
  <r>
    <s v="P455618"/>
    <x v="332"/>
    <n v="7091"/>
    <x v="71"/>
    <x v="4"/>
    <n v="11030"/>
    <s v="10K–50K"/>
    <x v="2"/>
    <n v="4.3635999999999999"/>
    <s v="Yes"/>
    <x v="0"/>
    <n v="99"/>
    <n v="36"/>
    <x v="0"/>
    <n v="0"/>
    <n v="0"/>
  </r>
  <r>
    <s v="P475540"/>
    <x v="333"/>
    <n v="8001"/>
    <x v="4"/>
    <x v="3"/>
    <n v="28597"/>
    <s v="10K–50K"/>
    <x v="2"/>
    <n v="4.7272999999999996"/>
    <s v="Yes"/>
    <x v="0"/>
    <n v="99"/>
    <n v="74"/>
    <x v="2"/>
    <n v="0"/>
    <n v="0"/>
  </r>
  <r>
    <s v="P395417"/>
    <x v="334"/>
    <n v="7017"/>
    <x v="75"/>
    <x v="11"/>
    <n v="14204"/>
    <s v="10K–50K"/>
    <x v="2"/>
    <n v="3.67"/>
    <s v="Yes"/>
    <x v="1"/>
    <n v="100"/>
    <n v="449"/>
    <x v="2"/>
    <n v="0"/>
    <n v="1"/>
  </r>
  <r>
    <s v="P469086"/>
    <x v="335"/>
    <n v="3902"/>
    <x v="13"/>
    <x v="11"/>
    <n v="21304"/>
    <s v="10K–50K"/>
    <x v="2"/>
    <n v="4.7300000000000004"/>
    <s v="Yes"/>
    <x v="0"/>
    <n v="100"/>
    <n v="8"/>
    <x v="1"/>
    <n v="0"/>
    <n v="0"/>
  </r>
  <r>
    <s v="P403748"/>
    <x v="336"/>
    <n v="4348"/>
    <x v="11"/>
    <x v="1"/>
    <n v="15355"/>
    <s v="10K–50K"/>
    <x v="2"/>
    <n v="3.9009999999999998"/>
    <s v="Yes"/>
    <x v="1"/>
    <n v="101"/>
    <n v="75"/>
    <x v="2"/>
    <n v="0"/>
    <n v="0"/>
  </r>
  <r>
    <s v="P475112"/>
    <x v="337"/>
    <n v="6295"/>
    <x v="28"/>
    <x v="3"/>
    <n v="11430"/>
    <s v="10K–50K"/>
    <x v="2"/>
    <n v="4.5392000000000001"/>
    <s v="Yes"/>
    <x v="0"/>
    <n v="102"/>
    <n v="24"/>
    <x v="0"/>
    <n v="0"/>
    <n v="0"/>
  </r>
  <r>
    <s v="P483146"/>
    <x v="338"/>
    <n v="3902"/>
    <x v="13"/>
    <x v="3"/>
    <n v="13488"/>
    <s v="10K–50K"/>
    <x v="2"/>
    <n v="4.5865"/>
    <s v="Yes"/>
    <x v="0"/>
    <n v="104"/>
    <n v="14"/>
    <x v="1"/>
    <n v="0"/>
    <n v="0"/>
  </r>
  <r>
    <s v="P385320"/>
    <x v="339"/>
    <n v="6001"/>
    <x v="76"/>
    <x v="11"/>
    <n v="16672"/>
    <s v="10K–50K"/>
    <x v="2"/>
    <n v="3.4380999999999999"/>
    <s v="Yes"/>
    <x v="1"/>
    <n v="105"/>
    <n v="449"/>
    <x v="2"/>
    <n v="0"/>
    <n v="0"/>
  </r>
  <r>
    <s v="P440926"/>
    <x v="340"/>
    <n v="3733"/>
    <x v="22"/>
    <x v="7"/>
    <n v="26184"/>
    <s v="10K–50K"/>
    <x v="2"/>
    <n v="4.1143000000000001"/>
    <s v="Yes"/>
    <x v="0"/>
    <n v="105"/>
    <n v="17"/>
    <x v="1"/>
    <n v="0"/>
    <n v="0"/>
  </r>
  <r>
    <s v="P440929"/>
    <x v="341"/>
    <n v="3733"/>
    <x v="22"/>
    <x v="7"/>
    <n v="29477"/>
    <s v="10K–50K"/>
    <x v="2"/>
    <n v="4.4762000000000004"/>
    <s v="Yes"/>
    <x v="0"/>
    <n v="105"/>
    <n v="17"/>
    <x v="1"/>
    <n v="0"/>
    <n v="0"/>
  </r>
  <r>
    <s v="P475172"/>
    <x v="342"/>
    <n v="6307"/>
    <x v="77"/>
    <x v="5"/>
    <n v="12664"/>
    <s v="10K–50K"/>
    <x v="2"/>
    <n v="4.7169999999999996"/>
    <s v="Yes"/>
    <x v="0"/>
    <n v="106"/>
    <n v="54"/>
    <x v="2"/>
    <n v="0"/>
    <n v="0"/>
  </r>
  <r>
    <s v="P454821"/>
    <x v="343"/>
    <n v="7037"/>
    <x v="48"/>
    <x v="11"/>
    <n v="16929"/>
    <s v="10K–50K"/>
    <x v="2"/>
    <n v="3.8784999999999998"/>
    <s v="Yes"/>
    <x v="1"/>
    <n v="107"/>
    <n v="179"/>
    <x v="2"/>
    <n v="0"/>
    <n v="0"/>
  </r>
  <r>
    <s v="P457694"/>
    <x v="344"/>
    <n v="6018"/>
    <x v="78"/>
    <x v="1"/>
    <n v="11488"/>
    <s v="10K–50K"/>
    <x v="2"/>
    <n v="4.2130000000000001"/>
    <s v="Yes"/>
    <x v="0"/>
    <n v="108"/>
    <n v="85"/>
    <x v="2"/>
    <n v="0"/>
    <n v="0"/>
  </r>
  <r>
    <s v="P430813"/>
    <x v="345"/>
    <n v="1741"/>
    <x v="42"/>
    <x v="5"/>
    <n v="13528"/>
    <s v="10K–50K"/>
    <x v="2"/>
    <n v="4.0833000000000004"/>
    <s v="Yes"/>
    <x v="0"/>
    <n v="108"/>
    <n v="15"/>
    <x v="1"/>
    <n v="0"/>
    <n v="1"/>
  </r>
  <r>
    <s v="P482327"/>
    <x v="346"/>
    <n v="6234"/>
    <x v="1"/>
    <x v="2"/>
    <n v="27760"/>
    <s v="10K–50K"/>
    <x v="2"/>
    <n v="3.9537"/>
    <s v="Yes"/>
    <x v="1"/>
    <n v="108"/>
    <n v="9"/>
    <x v="1"/>
    <n v="0"/>
    <n v="0"/>
  </r>
  <r>
    <s v="P433618"/>
    <x v="347"/>
    <n v="5337"/>
    <x v="32"/>
    <x v="2"/>
    <n v="12520"/>
    <s v="10K–50K"/>
    <x v="2"/>
    <n v="4.2454999999999998"/>
    <s v="Yes"/>
    <x v="0"/>
    <n v="110"/>
    <n v="36"/>
    <x v="0"/>
    <n v="0"/>
    <n v="0"/>
  </r>
  <r>
    <s v="P503878"/>
    <x v="348"/>
    <n v="5674"/>
    <x v="25"/>
    <x v="0"/>
    <n v="20729"/>
    <s v="10K–50K"/>
    <x v="2"/>
    <n v="4.5727000000000002"/>
    <s v="Yes"/>
    <x v="0"/>
    <n v="110"/>
    <n v="22"/>
    <x v="0"/>
    <n v="1"/>
    <n v="0"/>
  </r>
  <r>
    <s v="P483661"/>
    <x v="349"/>
    <n v="6117"/>
    <x v="33"/>
    <x v="1"/>
    <n v="15482"/>
    <s v="10K–50K"/>
    <x v="2"/>
    <n v="4.5134999999999996"/>
    <s v="Yes"/>
    <x v="0"/>
    <n v="111"/>
    <n v="62"/>
    <x v="2"/>
    <n v="0"/>
    <n v="0"/>
  </r>
  <r>
    <s v="P471761"/>
    <x v="350"/>
    <n v="7083"/>
    <x v="2"/>
    <x v="10"/>
    <n v="37629"/>
    <s v="10K–50K"/>
    <x v="2"/>
    <n v="4.3874000000000004"/>
    <s v="Yes"/>
    <x v="0"/>
    <n v="111"/>
    <n v="28"/>
    <x v="0"/>
    <n v="0"/>
    <n v="1"/>
  </r>
  <r>
    <s v="P397465"/>
    <x v="351"/>
    <n v="5671"/>
    <x v="79"/>
    <x v="0"/>
    <n v="13002"/>
    <s v="10K–50K"/>
    <x v="2"/>
    <n v="4.1517999999999997"/>
    <s v="Yes"/>
    <x v="0"/>
    <n v="112"/>
    <n v="8"/>
    <x v="1"/>
    <n v="0"/>
    <n v="0"/>
  </r>
  <r>
    <s v="P449102"/>
    <x v="352"/>
    <n v="6235"/>
    <x v="43"/>
    <x v="9"/>
    <n v="14595"/>
    <s v="10K–50K"/>
    <x v="2"/>
    <n v="4.3838999999999997"/>
    <s v="Yes"/>
    <x v="0"/>
    <n v="112"/>
    <n v="12"/>
    <x v="1"/>
    <n v="0"/>
    <n v="0"/>
  </r>
  <r>
    <s v="P504325"/>
    <x v="353"/>
    <n v="6189"/>
    <x v="5"/>
    <x v="10"/>
    <n v="26624"/>
    <s v="10K–50K"/>
    <x v="2"/>
    <n v="4.875"/>
    <s v="Yes"/>
    <x v="0"/>
    <n v="112"/>
    <n v="52"/>
    <x v="2"/>
    <n v="1"/>
    <n v="0"/>
  </r>
  <r>
    <s v="P469196"/>
    <x v="354"/>
    <n v="3902"/>
    <x v="13"/>
    <x v="9"/>
    <n v="32124"/>
    <s v="10K–50K"/>
    <x v="2"/>
    <n v="3.7410999999999999"/>
    <s v="Yes"/>
    <x v="1"/>
    <n v="112"/>
    <n v="10"/>
    <x v="1"/>
    <n v="0"/>
    <n v="0"/>
  </r>
  <r>
    <s v="P412117"/>
    <x v="355"/>
    <n v="5946"/>
    <x v="80"/>
    <x v="3"/>
    <n v="12883"/>
    <s v="10K–50K"/>
    <x v="2"/>
    <n v="4.3009000000000004"/>
    <s v="Yes"/>
    <x v="0"/>
    <n v="113"/>
    <n v="56"/>
    <x v="2"/>
    <n v="0"/>
    <n v="0"/>
  </r>
  <r>
    <s v="P446638"/>
    <x v="356"/>
    <n v="6219"/>
    <x v="39"/>
    <x v="10"/>
    <n v="23348"/>
    <s v="10K–50K"/>
    <x v="2"/>
    <n v="4.5751999999999997"/>
    <s v="Yes"/>
    <x v="0"/>
    <n v="113"/>
    <n v="19"/>
    <x v="1"/>
    <n v="0"/>
    <n v="0"/>
  </r>
  <r>
    <s v="P474110"/>
    <x v="357"/>
    <n v="6358"/>
    <x v="81"/>
    <x v="1"/>
    <n v="11839"/>
    <s v="10K–50K"/>
    <x v="2"/>
    <n v="4.6490999999999998"/>
    <s v="Yes"/>
    <x v="0"/>
    <n v="114"/>
    <n v="72"/>
    <x v="2"/>
    <n v="0"/>
    <n v="1"/>
  </r>
  <r>
    <s v="P448537"/>
    <x v="358"/>
    <n v="6285"/>
    <x v="21"/>
    <x v="1"/>
    <n v="29698"/>
    <s v="10K–50K"/>
    <x v="2"/>
    <n v="4.2173999999999996"/>
    <s v="Yes"/>
    <x v="0"/>
    <n v="115"/>
    <n v="12.99"/>
    <x v="1"/>
    <n v="0"/>
    <n v="0"/>
  </r>
  <r>
    <s v="P460554"/>
    <x v="359"/>
    <n v="3902"/>
    <x v="13"/>
    <x v="1"/>
    <n v="11705"/>
    <s v="10K–50K"/>
    <x v="2"/>
    <n v="4.6067999999999998"/>
    <s v="Yes"/>
    <x v="0"/>
    <n v="117"/>
    <n v="17"/>
    <x v="1"/>
    <n v="0"/>
    <n v="0"/>
  </r>
  <r>
    <s v="P442859"/>
    <x v="360"/>
    <n v="6018"/>
    <x v="78"/>
    <x v="5"/>
    <n v="14367"/>
    <s v="10K–50K"/>
    <x v="2"/>
    <n v="4.3728999999999996"/>
    <s v="Yes"/>
    <x v="0"/>
    <n v="118"/>
    <n v="38"/>
    <x v="0"/>
    <n v="0"/>
    <n v="0"/>
  </r>
  <r>
    <s v="P416344"/>
    <x v="361"/>
    <n v="6201"/>
    <x v="44"/>
    <x v="2"/>
    <n v="19070"/>
    <s v="10K–50K"/>
    <x v="2"/>
    <n v="4"/>
    <s v="Yes"/>
    <x v="0"/>
    <n v="119"/>
    <n v="95"/>
    <x v="2"/>
    <n v="0"/>
    <n v="0"/>
  </r>
  <r>
    <s v="P399755"/>
    <x v="362"/>
    <n v="5996"/>
    <x v="82"/>
    <x v="11"/>
    <n v="17417"/>
    <s v="10K–50K"/>
    <x v="2"/>
    <n v="4.3917000000000002"/>
    <s v="Yes"/>
    <x v="0"/>
    <n v="120"/>
    <n v="49"/>
    <x v="0"/>
    <n v="0"/>
    <n v="0"/>
  </r>
  <r>
    <s v="P392143"/>
    <x v="363"/>
    <n v="7020"/>
    <x v="70"/>
    <x v="10"/>
    <n v="22558"/>
    <s v="10K–50K"/>
    <x v="2"/>
    <n v="3.65"/>
    <s v="Yes"/>
    <x v="1"/>
    <n v="120"/>
    <n v="75"/>
    <x v="2"/>
    <n v="0"/>
    <n v="1"/>
  </r>
  <r>
    <s v="P455212"/>
    <x v="364"/>
    <n v="3902"/>
    <x v="13"/>
    <x v="5"/>
    <n v="23473"/>
    <s v="10K–50K"/>
    <x v="2"/>
    <n v="3.5124"/>
    <s v="Yes"/>
    <x v="1"/>
    <n v="121"/>
    <n v="12"/>
    <x v="1"/>
    <n v="0"/>
    <n v="0"/>
  </r>
  <r>
    <s v="P433519"/>
    <x v="365"/>
    <n v="6236"/>
    <x v="38"/>
    <x v="3"/>
    <n v="12841"/>
    <s v="10K–50K"/>
    <x v="2"/>
    <n v="3.5491999999999999"/>
    <s v="Yes"/>
    <x v="1"/>
    <n v="122"/>
    <n v="145"/>
    <x v="2"/>
    <n v="0"/>
    <n v="0"/>
  </r>
  <r>
    <s v="P444967"/>
    <x v="366"/>
    <n v="8017"/>
    <x v="56"/>
    <x v="7"/>
    <n v="32572"/>
    <s v="10K–50K"/>
    <x v="2"/>
    <n v="4.1138000000000003"/>
    <s v="Yes"/>
    <x v="0"/>
    <n v="123"/>
    <n v="5"/>
    <x v="1"/>
    <n v="0"/>
    <n v="0"/>
  </r>
  <r>
    <s v="P429522"/>
    <x v="367"/>
    <n v="6218"/>
    <x v="20"/>
    <x v="4"/>
    <n v="18993"/>
    <s v="10K–50K"/>
    <x v="2"/>
    <n v="3.6048"/>
    <s v="Yes"/>
    <x v="1"/>
    <n v="124"/>
    <n v="68"/>
    <x v="2"/>
    <n v="1"/>
    <n v="0"/>
  </r>
  <r>
    <s v="P398502"/>
    <x v="368"/>
    <n v="6114"/>
    <x v="65"/>
    <x v="11"/>
    <n v="24832"/>
    <s v="10K–50K"/>
    <x v="2"/>
    <n v="4.4355000000000002"/>
    <s v="Yes"/>
    <x v="0"/>
    <n v="124"/>
    <n v="199"/>
    <x v="2"/>
    <n v="0"/>
    <n v="0"/>
  </r>
  <r>
    <s v="P377178"/>
    <x v="369"/>
    <n v="4164"/>
    <x v="54"/>
    <x v="1"/>
    <n v="10417"/>
    <s v="10K–50K"/>
    <x v="2"/>
    <n v="4.1280000000000001"/>
    <s v="Yes"/>
    <x v="0"/>
    <n v="125"/>
    <n v="89"/>
    <x v="2"/>
    <n v="0"/>
    <n v="0"/>
  </r>
  <r>
    <s v="P453818"/>
    <x v="370"/>
    <n v="6018"/>
    <x v="78"/>
    <x v="3"/>
    <n v="11763"/>
    <s v="10K–50K"/>
    <x v="2"/>
    <n v="4.4640000000000004"/>
    <s v="Yes"/>
    <x v="0"/>
    <n v="125"/>
    <n v="58"/>
    <x v="2"/>
    <n v="0"/>
    <n v="0"/>
  </r>
  <r>
    <s v="P484081"/>
    <x v="371"/>
    <n v="6373"/>
    <x v="83"/>
    <x v="8"/>
    <n v="11155"/>
    <s v="10K–50K"/>
    <x v="2"/>
    <n v="4.5396999999999998"/>
    <s v="Yes"/>
    <x v="0"/>
    <n v="126"/>
    <n v="56"/>
    <x v="2"/>
    <n v="0"/>
    <n v="0"/>
  </r>
  <r>
    <s v="P440483"/>
    <x v="372"/>
    <n v="8017"/>
    <x v="56"/>
    <x v="3"/>
    <n v="19617"/>
    <s v="10K–50K"/>
    <x v="2"/>
    <n v="3.9603000000000002"/>
    <s v="Yes"/>
    <x v="1"/>
    <n v="126"/>
    <n v="7"/>
    <x v="1"/>
    <n v="0"/>
    <n v="0"/>
  </r>
  <r>
    <s v="P440933"/>
    <x v="373"/>
    <n v="3733"/>
    <x v="22"/>
    <x v="7"/>
    <n v="43176"/>
    <s v="10K–50K"/>
    <x v="2"/>
    <n v="3.9843000000000002"/>
    <s v="Yes"/>
    <x v="1"/>
    <n v="127"/>
    <n v="17"/>
    <x v="1"/>
    <n v="0"/>
    <n v="0"/>
  </r>
  <r>
    <s v="P470240"/>
    <x v="374"/>
    <n v="5674"/>
    <x v="25"/>
    <x v="1"/>
    <n v="38002"/>
    <s v="10K–50K"/>
    <x v="2"/>
    <n v="4.1875"/>
    <s v="Yes"/>
    <x v="0"/>
    <n v="128"/>
    <n v="56"/>
    <x v="2"/>
    <n v="0"/>
    <n v="0"/>
  </r>
  <r>
    <s v="P394702"/>
    <x v="375"/>
    <n v="3733"/>
    <x v="22"/>
    <x v="8"/>
    <n v="11304"/>
    <s v="10K–50K"/>
    <x v="2"/>
    <n v="3.8372000000000002"/>
    <s v="Yes"/>
    <x v="1"/>
    <n v="129"/>
    <n v="58"/>
    <x v="2"/>
    <n v="0"/>
    <n v="0"/>
  </r>
  <r>
    <s v="P447199"/>
    <x v="376"/>
    <n v="6225"/>
    <x v="57"/>
    <x v="6"/>
    <n v="13931"/>
    <s v="10K–50K"/>
    <x v="2"/>
    <n v="3.9845000000000002"/>
    <s v="Yes"/>
    <x v="1"/>
    <n v="129"/>
    <n v="49"/>
    <x v="0"/>
    <n v="0"/>
    <n v="0"/>
  </r>
  <r>
    <s v="P408301"/>
    <x v="377"/>
    <n v="7020"/>
    <x v="70"/>
    <x v="5"/>
    <n v="18342"/>
    <s v="10K–50K"/>
    <x v="2"/>
    <n v="3.8450000000000002"/>
    <s v="Yes"/>
    <x v="1"/>
    <n v="129"/>
    <n v="75"/>
    <x v="2"/>
    <n v="0"/>
    <n v="0"/>
  </r>
  <r>
    <s v="P482696"/>
    <x v="378"/>
    <n v="6125"/>
    <x v="0"/>
    <x v="8"/>
    <n v="16508"/>
    <s v="10K–50K"/>
    <x v="2"/>
    <n v="4.5385"/>
    <s v="Yes"/>
    <x v="0"/>
    <n v="130"/>
    <n v="43"/>
    <x v="0"/>
    <n v="0"/>
    <n v="0"/>
  </r>
  <r>
    <s v="P411881"/>
    <x v="379"/>
    <n v="5946"/>
    <x v="80"/>
    <x v="8"/>
    <n v="17127"/>
    <s v="10K–50K"/>
    <x v="2"/>
    <n v="3.4462000000000002"/>
    <s v="Yes"/>
    <x v="1"/>
    <n v="130"/>
    <n v="98"/>
    <x v="2"/>
    <n v="0"/>
    <n v="0"/>
  </r>
  <r>
    <s v="P397622"/>
    <x v="380"/>
    <n v="6014"/>
    <x v="17"/>
    <x v="5"/>
    <n v="22325"/>
    <s v="10K–50K"/>
    <x v="2"/>
    <n v="4.0537999999999998"/>
    <s v="Yes"/>
    <x v="0"/>
    <n v="130"/>
    <n v="7"/>
    <x v="1"/>
    <n v="0"/>
    <n v="0"/>
  </r>
  <r>
    <s v="P476733"/>
    <x v="381"/>
    <n v="5987"/>
    <x v="9"/>
    <x v="4"/>
    <n v="22699"/>
    <s v="10K–50K"/>
    <x v="2"/>
    <n v="4.0152999999999999"/>
    <s v="Yes"/>
    <x v="0"/>
    <n v="131"/>
    <n v="38"/>
    <x v="0"/>
    <n v="0"/>
    <n v="0"/>
  </r>
  <r>
    <s v="P410756"/>
    <x v="382"/>
    <n v="6084"/>
    <x v="37"/>
    <x v="3"/>
    <n v="16102"/>
    <s v="10K–50K"/>
    <x v="2"/>
    <n v="4.0758000000000001"/>
    <s v="Yes"/>
    <x v="0"/>
    <n v="132"/>
    <n v="245"/>
    <x v="2"/>
    <n v="0"/>
    <n v="0"/>
  </r>
  <r>
    <s v="P395389"/>
    <x v="383"/>
    <n v="5996"/>
    <x v="82"/>
    <x v="11"/>
    <n v="16148"/>
    <s v="10K–50K"/>
    <x v="2"/>
    <n v="4.4211"/>
    <s v="Yes"/>
    <x v="0"/>
    <n v="133"/>
    <n v="65"/>
    <x v="2"/>
    <n v="0"/>
    <n v="0"/>
  </r>
  <r>
    <s v="P469524"/>
    <x v="384"/>
    <n v="6341"/>
    <x v="12"/>
    <x v="4"/>
    <n v="19795"/>
    <s v="10K–50K"/>
    <x v="2"/>
    <n v="4.2556000000000003"/>
    <s v="Yes"/>
    <x v="0"/>
    <n v="133"/>
    <n v="37"/>
    <x v="0"/>
    <n v="0"/>
    <n v="0"/>
  </r>
  <r>
    <s v="P447200"/>
    <x v="385"/>
    <n v="5648"/>
    <x v="73"/>
    <x v="3"/>
    <n v="10945"/>
    <s v="10K–50K"/>
    <x v="2"/>
    <n v="4.4104000000000001"/>
    <s v="Yes"/>
    <x v="0"/>
    <n v="134"/>
    <n v="39"/>
    <x v="0"/>
    <n v="0"/>
    <n v="0"/>
  </r>
  <r>
    <s v="P440658"/>
    <x v="386"/>
    <n v="7083"/>
    <x v="2"/>
    <x v="10"/>
    <n v="22114"/>
    <s v="10K–50K"/>
    <x v="2"/>
    <n v="4.3955000000000002"/>
    <s v="Yes"/>
    <x v="0"/>
    <n v="134"/>
    <n v="22"/>
    <x v="0"/>
    <n v="0"/>
    <n v="0"/>
  </r>
  <r>
    <s v="P413613"/>
    <x v="387"/>
    <n v="5668"/>
    <x v="16"/>
    <x v="11"/>
    <n v="40031"/>
    <s v="10K–50K"/>
    <x v="2"/>
    <n v="4.1493000000000002"/>
    <s v="Yes"/>
    <x v="0"/>
    <n v="134"/>
    <n v="159"/>
    <x v="2"/>
    <n v="0"/>
    <n v="1"/>
  </r>
  <r>
    <s v="P386755"/>
    <x v="388"/>
    <n v="7050"/>
    <x v="58"/>
    <x v="9"/>
    <n v="17120"/>
    <s v="10K–50K"/>
    <x v="2"/>
    <n v="4.4074"/>
    <s v="Yes"/>
    <x v="0"/>
    <n v="135"/>
    <n v="40"/>
    <x v="0"/>
    <n v="0"/>
    <n v="0"/>
  </r>
  <r>
    <s v="P439672"/>
    <x v="257"/>
    <n v="3902"/>
    <x v="13"/>
    <x v="9"/>
    <n v="29366"/>
    <s v="10K–50K"/>
    <x v="2"/>
    <n v="3.7111000000000001"/>
    <s v="Yes"/>
    <x v="1"/>
    <n v="135"/>
    <n v="22"/>
    <x v="0"/>
    <n v="0"/>
    <n v="0"/>
  </r>
  <r>
    <s v="P423157"/>
    <x v="389"/>
    <n v="6226"/>
    <x v="84"/>
    <x v="9"/>
    <n v="14485"/>
    <s v="10K–50K"/>
    <x v="2"/>
    <n v="3.8529"/>
    <s v="Yes"/>
    <x v="1"/>
    <n v="136"/>
    <n v="38"/>
    <x v="0"/>
    <n v="0"/>
    <n v="0"/>
  </r>
  <r>
    <s v="P450211"/>
    <x v="390"/>
    <n v="4348"/>
    <x v="11"/>
    <x v="7"/>
    <n v="38157"/>
    <s v="10K–50K"/>
    <x v="2"/>
    <n v="3.9925999999999999"/>
    <s v="Yes"/>
    <x v="1"/>
    <n v="136"/>
    <n v="28"/>
    <x v="0"/>
    <n v="0"/>
    <n v="0"/>
  </r>
  <r>
    <s v="P410883"/>
    <x v="391"/>
    <n v="3728"/>
    <x v="41"/>
    <x v="2"/>
    <n v="10371"/>
    <s v="10K–50K"/>
    <x v="2"/>
    <n v="4.2263000000000002"/>
    <s v="Yes"/>
    <x v="0"/>
    <n v="137"/>
    <n v="39"/>
    <x v="0"/>
    <n v="0"/>
    <n v="0"/>
  </r>
  <r>
    <s v="P385773"/>
    <x v="392"/>
    <n v="5668"/>
    <x v="16"/>
    <x v="1"/>
    <n v="13677"/>
    <s v="10K–50K"/>
    <x v="2"/>
    <n v="4.2554999999999996"/>
    <s v="Yes"/>
    <x v="0"/>
    <n v="137"/>
    <n v="72"/>
    <x v="2"/>
    <n v="0"/>
    <n v="0"/>
  </r>
  <r>
    <s v="P385262"/>
    <x v="393"/>
    <n v="5337"/>
    <x v="32"/>
    <x v="4"/>
    <n v="17778"/>
    <s v="10K–50K"/>
    <x v="2"/>
    <n v="3.8174999999999999"/>
    <s v="Yes"/>
    <x v="1"/>
    <n v="137"/>
    <n v="40"/>
    <x v="0"/>
    <n v="0"/>
    <n v="0"/>
  </r>
  <r>
    <s v="P469528"/>
    <x v="394"/>
    <n v="6341"/>
    <x v="12"/>
    <x v="1"/>
    <n v="33137"/>
    <s v="10K–50K"/>
    <x v="2"/>
    <n v="4.5035999999999996"/>
    <s v="Yes"/>
    <x v="0"/>
    <n v="137"/>
    <n v="42"/>
    <x v="0"/>
    <n v="0"/>
    <n v="0"/>
  </r>
  <r>
    <s v="P442989"/>
    <x v="395"/>
    <n v="5648"/>
    <x v="73"/>
    <x v="1"/>
    <n v="11296"/>
    <s v="10K–50K"/>
    <x v="2"/>
    <n v="3.1013999999999999"/>
    <s v="Yes"/>
    <x v="1"/>
    <n v="138"/>
    <n v="42"/>
    <x v="0"/>
    <n v="0"/>
    <n v="1"/>
  </r>
  <r>
    <s v="P473126"/>
    <x v="396"/>
    <n v="6341"/>
    <x v="12"/>
    <x v="1"/>
    <n v="18644"/>
    <s v="10K–50K"/>
    <x v="2"/>
    <n v="4.6521999999999997"/>
    <s v="Yes"/>
    <x v="0"/>
    <n v="138"/>
    <n v="52"/>
    <x v="2"/>
    <n v="0"/>
    <n v="0"/>
  </r>
  <r>
    <s v="P422003"/>
    <x v="397"/>
    <n v="6218"/>
    <x v="20"/>
    <x v="1"/>
    <n v="26859"/>
    <s v="10K–50K"/>
    <x v="2"/>
    <n v="4.3986000000000001"/>
    <s v="Yes"/>
    <x v="0"/>
    <n v="138"/>
    <n v="59"/>
    <x v="2"/>
    <n v="0"/>
    <n v="0"/>
  </r>
  <r>
    <s v="P500101"/>
    <x v="398"/>
    <n v="6134"/>
    <x v="40"/>
    <x v="2"/>
    <n v="14632"/>
    <s v="10K–50K"/>
    <x v="2"/>
    <n v="4.6475"/>
    <s v="Yes"/>
    <x v="0"/>
    <n v="139"/>
    <n v="32"/>
    <x v="0"/>
    <n v="0"/>
    <n v="0"/>
  </r>
  <r>
    <s v="P474936"/>
    <x v="399"/>
    <n v="4171"/>
    <x v="23"/>
    <x v="3"/>
    <n v="15759"/>
    <s v="10K–50K"/>
    <x v="2"/>
    <n v="4.3884999999999996"/>
    <s v="Yes"/>
    <x v="0"/>
    <n v="139"/>
    <n v="38"/>
    <x v="0"/>
    <n v="0"/>
    <n v="0"/>
  </r>
  <r>
    <s v="P502745"/>
    <x v="400"/>
    <n v="6279"/>
    <x v="85"/>
    <x v="3"/>
    <n v="22286"/>
    <s v="10K–50K"/>
    <x v="2"/>
    <n v="4.3741000000000003"/>
    <s v="Yes"/>
    <x v="0"/>
    <n v="139"/>
    <n v="48"/>
    <x v="0"/>
    <n v="0"/>
    <n v="0"/>
  </r>
  <r>
    <s v="P442833"/>
    <x v="401"/>
    <n v="6234"/>
    <x v="1"/>
    <x v="1"/>
    <n v="35874"/>
    <s v="10K–50K"/>
    <x v="2"/>
    <n v="4.3499999999999996"/>
    <s v="Yes"/>
    <x v="0"/>
    <n v="140"/>
    <n v="11.1"/>
    <x v="1"/>
    <n v="0"/>
    <n v="1"/>
  </r>
  <r>
    <s v="P479313"/>
    <x v="402"/>
    <n v="5668"/>
    <x v="16"/>
    <x v="3"/>
    <n v="17314"/>
    <s v="10K–50K"/>
    <x v="2"/>
    <n v="4.6950000000000003"/>
    <s v="Yes"/>
    <x v="0"/>
    <n v="141"/>
    <n v="77"/>
    <x v="2"/>
    <n v="0"/>
    <n v="0"/>
  </r>
  <r>
    <s v="P443383"/>
    <x v="403"/>
    <n v="1254"/>
    <x v="24"/>
    <x v="8"/>
    <n v="11769"/>
    <s v="10K–50K"/>
    <x v="2"/>
    <n v="3.3380000000000001"/>
    <s v="Yes"/>
    <x v="1"/>
    <n v="142"/>
    <n v="37"/>
    <x v="0"/>
    <n v="0"/>
    <n v="0"/>
  </r>
  <r>
    <s v="P419633"/>
    <x v="404"/>
    <n v="7037"/>
    <x v="48"/>
    <x v="1"/>
    <n v="17954"/>
    <s v="10K–50K"/>
    <x v="2"/>
    <n v="3.8873000000000002"/>
    <s v="Yes"/>
    <x v="1"/>
    <n v="142"/>
    <n v="159"/>
    <x v="2"/>
    <n v="0"/>
    <n v="0"/>
  </r>
  <r>
    <s v="P456395"/>
    <x v="405"/>
    <n v="6295"/>
    <x v="28"/>
    <x v="2"/>
    <n v="12712"/>
    <s v="10K–50K"/>
    <x v="2"/>
    <n v="4.5663999999999998"/>
    <s v="Yes"/>
    <x v="0"/>
    <n v="143"/>
    <n v="22"/>
    <x v="0"/>
    <n v="0"/>
    <n v="0"/>
  </r>
  <r>
    <s v="P476428"/>
    <x v="406"/>
    <n v="6368"/>
    <x v="86"/>
    <x v="1"/>
    <n v="13429"/>
    <s v="10K–50K"/>
    <x v="2"/>
    <n v="4.5663999999999998"/>
    <s v="Yes"/>
    <x v="0"/>
    <n v="143"/>
    <n v="58"/>
    <x v="2"/>
    <n v="0"/>
    <n v="0"/>
  </r>
  <r>
    <s v="P478239"/>
    <x v="407"/>
    <n v="4171"/>
    <x v="23"/>
    <x v="5"/>
    <n v="18954"/>
    <s v="10K–50K"/>
    <x v="2"/>
    <n v="4.6318999999999999"/>
    <s v="Yes"/>
    <x v="0"/>
    <n v="144"/>
    <n v="42"/>
    <x v="0"/>
    <n v="0"/>
    <n v="0"/>
  </r>
  <r>
    <s v="P388545"/>
    <x v="408"/>
    <n v="5337"/>
    <x v="32"/>
    <x v="2"/>
    <n v="21389"/>
    <s v="10K–50K"/>
    <x v="2"/>
    <n v="4.4513999999999996"/>
    <s v="Yes"/>
    <x v="0"/>
    <n v="144"/>
    <n v="35"/>
    <x v="0"/>
    <n v="0"/>
    <n v="0"/>
  </r>
  <r>
    <s v="P469505"/>
    <x v="409"/>
    <n v="6341"/>
    <x v="12"/>
    <x v="1"/>
    <n v="11291"/>
    <s v="10K–50K"/>
    <x v="2"/>
    <n v="4.7054999999999998"/>
    <s v="Yes"/>
    <x v="0"/>
    <n v="146"/>
    <n v="46"/>
    <x v="0"/>
    <n v="0"/>
    <n v="0"/>
  </r>
  <r>
    <s v="P416755"/>
    <x v="410"/>
    <n v="5668"/>
    <x v="16"/>
    <x v="3"/>
    <n v="13709"/>
    <s v="10K–50K"/>
    <x v="2"/>
    <n v="4.0342000000000002"/>
    <s v="Yes"/>
    <x v="0"/>
    <n v="146"/>
    <n v="65"/>
    <x v="2"/>
    <n v="0"/>
    <n v="0"/>
  </r>
  <r>
    <s v="P474823"/>
    <x v="411"/>
    <n v="5668"/>
    <x v="16"/>
    <x v="1"/>
    <n v="11560"/>
    <s v="10K–50K"/>
    <x v="2"/>
    <n v="4.7415000000000003"/>
    <s v="Yes"/>
    <x v="0"/>
    <n v="147"/>
    <n v="82"/>
    <x v="2"/>
    <n v="0"/>
    <n v="0"/>
  </r>
  <r>
    <s v="P427393"/>
    <x v="412"/>
    <n v="5668"/>
    <x v="16"/>
    <x v="8"/>
    <n v="12365"/>
    <s v="10K–50K"/>
    <x v="2"/>
    <n v="3.5442"/>
    <s v="Yes"/>
    <x v="1"/>
    <n v="147"/>
    <n v="55"/>
    <x v="2"/>
    <n v="0"/>
    <n v="0"/>
  </r>
  <r>
    <s v="P481700"/>
    <x v="413"/>
    <n v="6014"/>
    <x v="17"/>
    <x v="10"/>
    <n v="17922"/>
    <s v="10K–50K"/>
    <x v="2"/>
    <n v="4.2857000000000003"/>
    <s v="Yes"/>
    <x v="0"/>
    <n v="147"/>
    <n v="39"/>
    <x v="0"/>
    <n v="0"/>
    <n v="0"/>
  </r>
  <r>
    <s v="P443839"/>
    <x v="414"/>
    <n v="6285"/>
    <x v="21"/>
    <x v="3"/>
    <n v="23440"/>
    <s v="10K–50K"/>
    <x v="2"/>
    <n v="4.4421999999999997"/>
    <s v="Yes"/>
    <x v="0"/>
    <n v="147"/>
    <n v="12.99"/>
    <x v="1"/>
    <n v="0"/>
    <n v="0"/>
  </r>
  <r>
    <s v="P483643"/>
    <x v="415"/>
    <n v="6312"/>
    <x v="87"/>
    <x v="0"/>
    <n v="12568"/>
    <s v="10K–50K"/>
    <x v="2"/>
    <n v="4.5404999999999998"/>
    <s v="Yes"/>
    <x v="0"/>
    <n v="148"/>
    <n v="28"/>
    <x v="0"/>
    <n v="0"/>
    <n v="0"/>
  </r>
  <r>
    <s v="P500988"/>
    <x v="416"/>
    <n v="6117"/>
    <x v="33"/>
    <x v="8"/>
    <n v="22997"/>
    <s v="10K–50K"/>
    <x v="2"/>
    <n v="4.2297000000000002"/>
    <s v="Yes"/>
    <x v="0"/>
    <n v="148"/>
    <n v="48"/>
    <x v="0"/>
    <n v="0"/>
    <n v="0"/>
  </r>
  <r>
    <s v="P465803"/>
    <x v="417"/>
    <n v="3902"/>
    <x v="13"/>
    <x v="9"/>
    <n v="11904"/>
    <s v="10K–50K"/>
    <x v="2"/>
    <n v="4.8993000000000002"/>
    <s v="Yes"/>
    <x v="0"/>
    <n v="149"/>
    <n v="20"/>
    <x v="0"/>
    <n v="0"/>
    <n v="0"/>
  </r>
  <r>
    <s v="P404465"/>
    <x v="418"/>
    <n v="5996"/>
    <x v="82"/>
    <x v="11"/>
    <n v="35507"/>
    <s v="10K–50K"/>
    <x v="2"/>
    <n v="4.1409000000000002"/>
    <s v="Yes"/>
    <x v="0"/>
    <n v="149"/>
    <n v="24"/>
    <x v="0"/>
    <n v="0"/>
    <n v="0"/>
  </r>
  <r>
    <s v="P443358"/>
    <x v="419"/>
    <n v="6219"/>
    <x v="39"/>
    <x v="3"/>
    <n v="10341"/>
    <s v="10K–50K"/>
    <x v="2"/>
    <n v="4.4667000000000003"/>
    <s v="Yes"/>
    <x v="0"/>
    <n v="150"/>
    <n v="47"/>
    <x v="0"/>
    <n v="0"/>
    <n v="0"/>
  </r>
  <r>
    <s v="P481701"/>
    <x v="420"/>
    <n v="6377"/>
    <x v="88"/>
    <x v="3"/>
    <n v="11518"/>
    <s v="10K–50K"/>
    <x v="2"/>
    <n v="4.7466999999999997"/>
    <s v="Yes"/>
    <x v="0"/>
    <n v="150"/>
    <n v="58"/>
    <x v="2"/>
    <n v="0"/>
    <n v="0"/>
  </r>
  <r>
    <s v="P481825"/>
    <x v="421"/>
    <n v="6125"/>
    <x v="0"/>
    <x v="4"/>
    <n v="19738"/>
    <s v="10K–50K"/>
    <x v="2"/>
    <n v="4.2583000000000002"/>
    <s v="Yes"/>
    <x v="0"/>
    <n v="151"/>
    <n v="30"/>
    <x v="0"/>
    <n v="0"/>
    <n v="0"/>
  </r>
  <r>
    <s v="P431840"/>
    <x v="422"/>
    <n v="6117"/>
    <x v="33"/>
    <x v="9"/>
    <n v="31953"/>
    <s v="10K–50K"/>
    <x v="2"/>
    <n v="3.5497000000000001"/>
    <s v="Yes"/>
    <x v="1"/>
    <n v="151"/>
    <n v="22"/>
    <x v="0"/>
    <n v="0"/>
    <n v="0"/>
  </r>
  <r>
    <s v="P428255"/>
    <x v="423"/>
    <n v="1073"/>
    <x v="52"/>
    <x v="1"/>
    <n v="47079"/>
    <s v="10K–50K"/>
    <x v="2"/>
    <n v="4.2434000000000003"/>
    <s v="Yes"/>
    <x v="0"/>
    <n v="152"/>
    <n v="110"/>
    <x v="2"/>
    <n v="0"/>
    <n v="0"/>
  </r>
  <r>
    <s v="P474113"/>
    <x v="424"/>
    <n v="6358"/>
    <x v="81"/>
    <x v="3"/>
    <n v="10042"/>
    <s v="10K–50K"/>
    <x v="2"/>
    <n v="4.0392000000000001"/>
    <s v="Yes"/>
    <x v="0"/>
    <n v="153"/>
    <n v="95"/>
    <x v="2"/>
    <n v="0"/>
    <n v="0"/>
  </r>
  <r>
    <s v="P500626"/>
    <x v="425"/>
    <n v="3902"/>
    <x v="13"/>
    <x v="2"/>
    <n v="15903"/>
    <s v="10K–50K"/>
    <x v="2"/>
    <n v="4.0130999999999997"/>
    <s v="Yes"/>
    <x v="0"/>
    <n v="153"/>
    <n v="12"/>
    <x v="1"/>
    <n v="0"/>
    <n v="0"/>
  </r>
  <r>
    <s v="P470007"/>
    <x v="426"/>
    <n v="4171"/>
    <x v="23"/>
    <x v="2"/>
    <n v="11568"/>
    <s v="10K–50K"/>
    <x v="2"/>
    <n v="4.1753"/>
    <s v="Yes"/>
    <x v="0"/>
    <n v="154"/>
    <n v="30"/>
    <x v="0"/>
    <n v="0"/>
    <n v="0"/>
  </r>
  <r>
    <s v="P449158"/>
    <x v="427"/>
    <n v="4348"/>
    <x v="11"/>
    <x v="7"/>
    <n v="34666"/>
    <s v="10K–50K"/>
    <x v="2"/>
    <n v="3.9935"/>
    <s v="Yes"/>
    <x v="1"/>
    <n v="154"/>
    <n v="22"/>
    <x v="0"/>
    <n v="0"/>
    <n v="0"/>
  </r>
  <r>
    <s v="P418221"/>
    <x v="428"/>
    <n v="7091"/>
    <x v="71"/>
    <x v="6"/>
    <n v="16938"/>
    <s v="10K–50K"/>
    <x v="2"/>
    <n v="3.9744000000000002"/>
    <s v="Yes"/>
    <x v="1"/>
    <n v="156"/>
    <n v="54"/>
    <x v="2"/>
    <n v="0"/>
    <n v="0"/>
  </r>
  <r>
    <s v="P461520"/>
    <x v="429"/>
    <n v="3902"/>
    <x v="13"/>
    <x v="5"/>
    <n v="34386"/>
    <s v="10K–50K"/>
    <x v="2"/>
    <n v="4.2691999999999997"/>
    <s v="Yes"/>
    <x v="0"/>
    <n v="156"/>
    <n v="5"/>
    <x v="1"/>
    <n v="0"/>
    <n v="0"/>
  </r>
  <r>
    <s v="P416824"/>
    <x v="430"/>
    <n v="1254"/>
    <x v="24"/>
    <x v="1"/>
    <n v="23281"/>
    <s v="10K–50K"/>
    <x v="2"/>
    <n v="3.9298999999999999"/>
    <s v="Yes"/>
    <x v="1"/>
    <n v="157"/>
    <n v="85"/>
    <x v="2"/>
    <n v="0"/>
    <n v="0"/>
  </r>
  <r>
    <s v="P422012"/>
    <x v="431"/>
    <n v="6218"/>
    <x v="20"/>
    <x v="3"/>
    <n v="24886"/>
    <s v="10K–50K"/>
    <x v="2"/>
    <n v="3.8344"/>
    <s v="Yes"/>
    <x v="1"/>
    <n v="157"/>
    <n v="38"/>
    <x v="0"/>
    <n v="0"/>
    <n v="0"/>
  </r>
  <r>
    <s v="P473304"/>
    <x v="432"/>
    <n v="7083"/>
    <x v="2"/>
    <x v="1"/>
    <n v="49327"/>
    <s v="10K–50K"/>
    <x v="2"/>
    <n v="3.6943000000000001"/>
    <s v="Yes"/>
    <x v="1"/>
    <n v="157"/>
    <n v="38"/>
    <x v="0"/>
    <n v="0"/>
    <n v="0"/>
  </r>
  <r>
    <s v="P416825"/>
    <x v="433"/>
    <n v="5972"/>
    <x v="10"/>
    <x v="1"/>
    <n v="24816"/>
    <s v="10K–50K"/>
    <x v="2"/>
    <n v="3.9811000000000001"/>
    <s v="Yes"/>
    <x v="1"/>
    <n v="159"/>
    <n v="58"/>
    <x v="2"/>
    <n v="0"/>
    <n v="0"/>
  </r>
  <r>
    <s v="P408230"/>
    <x v="434"/>
    <n v="2082"/>
    <x v="63"/>
    <x v="5"/>
    <n v="26393"/>
    <s v="10K–50K"/>
    <x v="2"/>
    <n v="4.7546999999999997"/>
    <s v="Yes"/>
    <x v="0"/>
    <n v="159"/>
    <n v="67"/>
    <x v="2"/>
    <n v="0"/>
    <n v="0"/>
  </r>
  <r>
    <s v="P472451"/>
    <x v="435"/>
    <n v="4171"/>
    <x v="23"/>
    <x v="5"/>
    <n v="17013"/>
    <s v="10K–50K"/>
    <x v="2"/>
    <n v="4.7640000000000002"/>
    <s v="Yes"/>
    <x v="0"/>
    <n v="161"/>
    <n v="42"/>
    <x v="0"/>
    <n v="0"/>
    <n v="0"/>
  </r>
  <r>
    <s v="P442713"/>
    <x v="436"/>
    <n v="5972"/>
    <x v="10"/>
    <x v="8"/>
    <n v="37716"/>
    <s v="10K–50K"/>
    <x v="2"/>
    <n v="3.7222"/>
    <s v="Yes"/>
    <x v="1"/>
    <n v="162"/>
    <n v="44"/>
    <x v="0"/>
    <n v="0"/>
    <n v="0"/>
  </r>
  <r>
    <s v="P442756"/>
    <x v="437"/>
    <n v="6234"/>
    <x v="1"/>
    <x v="1"/>
    <n v="43799"/>
    <s v="10K–50K"/>
    <x v="2"/>
    <n v="4.0926"/>
    <s v="Yes"/>
    <x v="0"/>
    <n v="162"/>
    <n v="14.3"/>
    <x v="1"/>
    <n v="0"/>
    <n v="0"/>
  </r>
  <r>
    <s v="P473726"/>
    <x v="438"/>
    <n v="3902"/>
    <x v="13"/>
    <x v="2"/>
    <n v="10098"/>
    <s v="10K–50K"/>
    <x v="2"/>
    <n v="4.6379999999999999"/>
    <s v="Yes"/>
    <x v="0"/>
    <n v="163"/>
    <n v="12"/>
    <x v="1"/>
    <n v="0"/>
    <n v="0"/>
  </r>
  <r>
    <s v="P500121"/>
    <x v="439"/>
    <n v="2000"/>
    <x v="89"/>
    <x v="1"/>
    <n v="21555"/>
    <s v="10K–50K"/>
    <x v="2"/>
    <n v="4.1901999999999999"/>
    <s v="Yes"/>
    <x v="0"/>
    <n v="163"/>
    <n v="34"/>
    <x v="0"/>
    <n v="0"/>
    <n v="0"/>
  </r>
  <r>
    <s v="P500102"/>
    <x v="440"/>
    <n v="6134"/>
    <x v="40"/>
    <x v="2"/>
    <n v="17719"/>
    <s v="10K–50K"/>
    <x v="2"/>
    <n v="4.6829000000000001"/>
    <s v="Yes"/>
    <x v="0"/>
    <n v="164"/>
    <n v="36"/>
    <x v="0"/>
    <n v="0"/>
    <n v="0"/>
  </r>
  <r>
    <s v="P392648"/>
    <x v="441"/>
    <n v="5644"/>
    <x v="26"/>
    <x v="3"/>
    <n v="10298"/>
    <s v="10K–50K"/>
    <x v="2"/>
    <n v="3.3696999999999999"/>
    <s v="Yes"/>
    <x v="1"/>
    <n v="165"/>
    <n v="74"/>
    <x v="2"/>
    <n v="0"/>
    <n v="0"/>
  </r>
  <r>
    <s v="P471793"/>
    <x v="442"/>
    <n v="6341"/>
    <x v="12"/>
    <x v="2"/>
    <n v="14266"/>
    <s v="10K–50K"/>
    <x v="2"/>
    <n v="4.6666999999999996"/>
    <s v="Yes"/>
    <x v="0"/>
    <n v="165"/>
    <n v="29"/>
    <x v="0"/>
    <n v="0"/>
    <n v="0"/>
  </r>
  <r>
    <s v="P467250"/>
    <x v="443"/>
    <n v="6352"/>
    <x v="35"/>
    <x v="3"/>
    <n v="35804"/>
    <s v="10K–50K"/>
    <x v="2"/>
    <n v="4.1988000000000003"/>
    <s v="Yes"/>
    <x v="0"/>
    <n v="166"/>
    <n v="45"/>
    <x v="0"/>
    <n v="0"/>
    <n v="0"/>
  </r>
  <r>
    <s v="P455612"/>
    <x v="444"/>
    <n v="6312"/>
    <x v="87"/>
    <x v="1"/>
    <n v="10316"/>
    <s v="10K–50K"/>
    <x v="2"/>
    <n v="4.5030000000000001"/>
    <s v="Yes"/>
    <x v="0"/>
    <n v="167"/>
    <n v="59"/>
    <x v="2"/>
    <n v="0"/>
    <n v="0"/>
  </r>
  <r>
    <s v="P455614"/>
    <x v="445"/>
    <n v="6312"/>
    <x v="87"/>
    <x v="2"/>
    <n v="13297"/>
    <s v="10K–50K"/>
    <x v="2"/>
    <n v="4.3832000000000004"/>
    <s v="Yes"/>
    <x v="0"/>
    <n v="167"/>
    <n v="36"/>
    <x v="0"/>
    <n v="0"/>
    <n v="0"/>
  </r>
  <r>
    <s v="P440503"/>
    <x v="446"/>
    <n v="8017"/>
    <x v="56"/>
    <x v="0"/>
    <n v="32609"/>
    <s v="10K–50K"/>
    <x v="2"/>
    <n v="4.2515000000000001"/>
    <s v="Yes"/>
    <x v="0"/>
    <n v="167"/>
    <n v="8"/>
    <x v="1"/>
    <n v="0"/>
    <n v="0"/>
  </r>
  <r>
    <s v="P482695"/>
    <x v="447"/>
    <n v="6125"/>
    <x v="0"/>
    <x v="3"/>
    <n v="15636"/>
    <s v="10K–50K"/>
    <x v="2"/>
    <n v="4.0472999999999999"/>
    <s v="Yes"/>
    <x v="0"/>
    <n v="169"/>
    <n v="40"/>
    <x v="0"/>
    <n v="0"/>
    <n v="0"/>
  </r>
  <r>
    <s v="P481348"/>
    <x v="448"/>
    <n v="6341"/>
    <x v="12"/>
    <x v="1"/>
    <n v="13939"/>
    <s v="10K–50K"/>
    <x v="2"/>
    <n v="4.8235000000000001"/>
    <s v="Yes"/>
    <x v="0"/>
    <n v="170"/>
    <n v="62"/>
    <x v="2"/>
    <n v="0"/>
    <n v="0"/>
  </r>
  <r>
    <s v="P392144"/>
    <x v="449"/>
    <n v="7020"/>
    <x v="70"/>
    <x v="2"/>
    <n v="14771"/>
    <s v="10K–50K"/>
    <x v="2"/>
    <n v="4.2058999999999997"/>
    <s v="Yes"/>
    <x v="0"/>
    <n v="170"/>
    <n v="88"/>
    <x v="2"/>
    <n v="0"/>
    <n v="0"/>
  </r>
  <r>
    <s v="P432818"/>
    <x v="450"/>
    <n v="6114"/>
    <x v="65"/>
    <x v="11"/>
    <n v="12284"/>
    <s v="10K–50K"/>
    <x v="2"/>
    <n v="3.9824999999999999"/>
    <s v="Yes"/>
    <x v="1"/>
    <n v="171"/>
    <n v="99"/>
    <x v="2"/>
    <n v="0"/>
    <n v="0"/>
  </r>
  <r>
    <s v="P424990"/>
    <x v="451"/>
    <n v="6225"/>
    <x v="57"/>
    <x v="6"/>
    <n v="23906"/>
    <s v="10K–50K"/>
    <x v="2"/>
    <n v="4.1111000000000004"/>
    <s v="Yes"/>
    <x v="0"/>
    <n v="171"/>
    <n v="34"/>
    <x v="0"/>
    <n v="0"/>
    <n v="0"/>
  </r>
  <r>
    <s v="P450583"/>
    <x v="452"/>
    <n v="6117"/>
    <x v="33"/>
    <x v="1"/>
    <n v="31466"/>
    <s v="10K–50K"/>
    <x v="2"/>
    <n v="3.9531999999999998"/>
    <s v="Yes"/>
    <x v="1"/>
    <n v="171"/>
    <n v="54"/>
    <x v="2"/>
    <n v="0"/>
    <n v="0"/>
  </r>
  <r>
    <s v="P402942"/>
    <x v="453"/>
    <n v="6130"/>
    <x v="30"/>
    <x v="9"/>
    <n v="45835"/>
    <s v="10K–50K"/>
    <x v="2"/>
    <n v="3.7778"/>
    <s v="Yes"/>
    <x v="1"/>
    <n v="171"/>
    <n v="50"/>
    <x v="0"/>
    <n v="0"/>
    <n v="0"/>
  </r>
  <r>
    <s v="P467749"/>
    <x v="454"/>
    <n v="4171"/>
    <x v="23"/>
    <x v="3"/>
    <n v="13614"/>
    <s v="10K–50K"/>
    <x v="2"/>
    <n v="4.407"/>
    <s v="Yes"/>
    <x v="0"/>
    <n v="172"/>
    <n v="72"/>
    <x v="2"/>
    <n v="0"/>
    <n v="0"/>
  </r>
  <r>
    <s v="P430812"/>
    <x v="455"/>
    <n v="3728"/>
    <x v="41"/>
    <x v="4"/>
    <n v="17046"/>
    <s v="10K–50K"/>
    <x v="2"/>
    <n v="4.2035"/>
    <s v="Yes"/>
    <x v="0"/>
    <n v="172"/>
    <n v="38"/>
    <x v="0"/>
    <n v="0"/>
    <n v="0"/>
  </r>
  <r>
    <s v="P503657"/>
    <x v="456"/>
    <n v="4171"/>
    <x v="23"/>
    <x v="3"/>
    <n v="12606"/>
    <s v="10K–50K"/>
    <x v="2"/>
    <n v="4.5664999999999996"/>
    <s v="Yes"/>
    <x v="0"/>
    <n v="173"/>
    <n v="129"/>
    <x v="2"/>
    <n v="1"/>
    <n v="0"/>
  </r>
  <r>
    <s v="P503923"/>
    <x v="457"/>
    <n v="6117"/>
    <x v="33"/>
    <x v="8"/>
    <n v="14229"/>
    <s v="10K–50K"/>
    <x v="2"/>
    <n v="4.6207000000000003"/>
    <s v="Yes"/>
    <x v="0"/>
    <n v="174"/>
    <n v="48"/>
    <x v="0"/>
    <n v="1"/>
    <n v="0"/>
  </r>
  <r>
    <s v="P440305"/>
    <x v="458"/>
    <n v="5946"/>
    <x v="80"/>
    <x v="2"/>
    <n v="16803"/>
    <s v="10K–50K"/>
    <x v="2"/>
    <n v="4.5575000000000001"/>
    <s v="Yes"/>
    <x v="0"/>
    <n v="174"/>
    <n v="44"/>
    <x v="0"/>
    <n v="0"/>
    <n v="0"/>
  </r>
  <r>
    <s v="P467748"/>
    <x v="459"/>
    <n v="4171"/>
    <x v="23"/>
    <x v="8"/>
    <n v="20074"/>
    <s v="10K–50K"/>
    <x v="2"/>
    <n v="4.3333000000000004"/>
    <s v="Yes"/>
    <x v="0"/>
    <n v="174"/>
    <n v="62"/>
    <x v="2"/>
    <n v="0"/>
    <n v="0"/>
  </r>
  <r>
    <s v="P502852"/>
    <x v="460"/>
    <n v="6001"/>
    <x v="76"/>
    <x v="11"/>
    <n v="11514"/>
    <s v="10K–50K"/>
    <x v="2"/>
    <n v="4.5313999999999997"/>
    <s v="Yes"/>
    <x v="0"/>
    <n v="175"/>
    <n v="245"/>
    <x v="2"/>
    <n v="1"/>
    <n v="0"/>
  </r>
  <r>
    <s v="P443834"/>
    <x v="461"/>
    <n v="6285"/>
    <x v="21"/>
    <x v="3"/>
    <n v="34950"/>
    <s v="10K–50K"/>
    <x v="2"/>
    <n v="4.1029"/>
    <s v="Yes"/>
    <x v="0"/>
    <n v="175"/>
    <n v="11.99"/>
    <x v="1"/>
    <n v="0"/>
    <n v="0"/>
  </r>
  <r>
    <s v="P468813"/>
    <x v="462"/>
    <n v="4171"/>
    <x v="23"/>
    <x v="2"/>
    <n v="14957"/>
    <s v="10K–50K"/>
    <x v="2"/>
    <n v="4.3352000000000004"/>
    <s v="Yes"/>
    <x v="0"/>
    <n v="176"/>
    <n v="30"/>
    <x v="0"/>
    <n v="0"/>
    <n v="0"/>
  </r>
  <r>
    <s v="P448932"/>
    <x v="463"/>
    <n v="5946"/>
    <x v="80"/>
    <x v="3"/>
    <n v="11055"/>
    <s v="10K–50K"/>
    <x v="2"/>
    <n v="4.2938000000000001"/>
    <s v="Yes"/>
    <x v="0"/>
    <n v="177"/>
    <n v="110"/>
    <x v="2"/>
    <n v="0"/>
    <n v="0"/>
  </r>
  <r>
    <s v="P440981"/>
    <x v="464"/>
    <n v="6274"/>
    <x v="90"/>
    <x v="1"/>
    <n v="13007"/>
    <s v="10K–50K"/>
    <x v="2"/>
    <n v="4.6158000000000001"/>
    <s v="Yes"/>
    <x v="0"/>
    <n v="177"/>
    <n v="77"/>
    <x v="2"/>
    <n v="0"/>
    <n v="0"/>
  </r>
  <r>
    <s v="P465365"/>
    <x v="465"/>
    <n v="6209"/>
    <x v="8"/>
    <x v="8"/>
    <n v="28152"/>
    <s v="10K–50K"/>
    <x v="2"/>
    <n v="4.2599"/>
    <s v="Yes"/>
    <x v="0"/>
    <n v="177"/>
    <n v="25"/>
    <x v="0"/>
    <n v="0"/>
    <n v="0"/>
  </r>
  <r>
    <s v="P432824"/>
    <x v="466"/>
    <n v="6256"/>
    <x v="61"/>
    <x v="9"/>
    <n v="32471"/>
    <s v="10K–50K"/>
    <x v="2"/>
    <n v="3.8771"/>
    <s v="Yes"/>
    <x v="1"/>
    <n v="179"/>
    <n v="36"/>
    <x v="0"/>
    <n v="0"/>
    <n v="0"/>
  </r>
  <r>
    <s v="P468211"/>
    <x v="467"/>
    <n v="6337"/>
    <x v="91"/>
    <x v="4"/>
    <n v="14842"/>
    <s v="10K–50K"/>
    <x v="2"/>
    <n v="4.0938999999999997"/>
    <s v="Yes"/>
    <x v="0"/>
    <n v="181"/>
    <n v="38"/>
    <x v="0"/>
    <n v="0"/>
    <n v="0"/>
  </r>
  <r>
    <s v="P424986"/>
    <x v="468"/>
    <n v="6225"/>
    <x v="57"/>
    <x v="6"/>
    <n v="17319"/>
    <s v="10K–50K"/>
    <x v="2"/>
    <n v="4.3425000000000002"/>
    <s v="Yes"/>
    <x v="0"/>
    <n v="181"/>
    <n v="38"/>
    <x v="0"/>
    <n v="0"/>
    <n v="0"/>
  </r>
  <r>
    <s v="P403315"/>
    <x v="469"/>
    <n v="6041"/>
    <x v="6"/>
    <x v="3"/>
    <n v="47809"/>
    <s v="10K–50K"/>
    <x v="2"/>
    <n v="4.4751000000000003"/>
    <s v="Yes"/>
    <x v="0"/>
    <n v="181"/>
    <n v="98"/>
    <x v="2"/>
    <n v="0"/>
    <n v="0"/>
  </r>
  <r>
    <s v="P503865"/>
    <x v="470"/>
    <n v="6357"/>
    <x v="92"/>
    <x v="8"/>
    <n v="15443"/>
    <s v="10K–50K"/>
    <x v="2"/>
    <n v="4.4176000000000002"/>
    <s v="Yes"/>
    <x v="0"/>
    <n v="182"/>
    <n v="34"/>
    <x v="0"/>
    <n v="1"/>
    <n v="1"/>
  </r>
  <r>
    <s v="P448192"/>
    <x v="471"/>
    <n v="4348"/>
    <x v="11"/>
    <x v="7"/>
    <n v="25388"/>
    <s v="10K–50K"/>
    <x v="2"/>
    <n v="3.8956"/>
    <s v="Yes"/>
    <x v="1"/>
    <n v="182"/>
    <n v="15"/>
    <x v="1"/>
    <n v="0"/>
    <n v="0"/>
  </r>
  <r>
    <s v="P422011"/>
    <x v="472"/>
    <n v="6218"/>
    <x v="20"/>
    <x v="2"/>
    <n v="27710"/>
    <s v="10K–50K"/>
    <x v="2"/>
    <n v="4.2637"/>
    <s v="Yes"/>
    <x v="0"/>
    <n v="182"/>
    <n v="24"/>
    <x v="0"/>
    <n v="1"/>
    <n v="0"/>
  </r>
  <r>
    <s v="P385632"/>
    <x v="473"/>
    <n v="1254"/>
    <x v="24"/>
    <x v="10"/>
    <n v="29926"/>
    <s v="10K–50K"/>
    <x v="2"/>
    <n v="4.2142999999999997"/>
    <s v="Yes"/>
    <x v="0"/>
    <n v="182"/>
    <n v="32.5"/>
    <x v="0"/>
    <n v="0"/>
    <n v="0"/>
  </r>
  <r>
    <s v="P461522"/>
    <x v="474"/>
    <n v="3902"/>
    <x v="13"/>
    <x v="5"/>
    <n v="25388"/>
    <s v="10K–50K"/>
    <x v="2"/>
    <n v="3.0272999999999999"/>
    <s v="Yes"/>
    <x v="1"/>
    <n v="183"/>
    <n v="3"/>
    <x v="1"/>
    <n v="0"/>
    <n v="0"/>
  </r>
  <r>
    <s v="P479319"/>
    <x v="475"/>
    <n v="6352"/>
    <x v="35"/>
    <x v="1"/>
    <n v="17786"/>
    <s v="10K–50K"/>
    <x v="2"/>
    <n v="4.4348000000000001"/>
    <s v="Yes"/>
    <x v="0"/>
    <n v="184"/>
    <n v="42"/>
    <x v="0"/>
    <n v="0"/>
    <n v="0"/>
  </r>
  <r>
    <s v="P501157"/>
    <x v="476"/>
    <n v="5668"/>
    <x v="16"/>
    <x v="8"/>
    <n v="12157"/>
    <s v="10K–50K"/>
    <x v="2"/>
    <n v="4.7458999999999998"/>
    <s v="Yes"/>
    <x v="0"/>
    <n v="185"/>
    <n v="68"/>
    <x v="2"/>
    <n v="0"/>
    <n v="0"/>
  </r>
  <r>
    <s v="P467115"/>
    <x v="477"/>
    <n v="5972"/>
    <x v="10"/>
    <x v="1"/>
    <n v="27888"/>
    <s v="10K–50K"/>
    <x v="2"/>
    <n v="3.6558999999999999"/>
    <s v="Yes"/>
    <x v="1"/>
    <n v="186"/>
    <n v="42"/>
    <x v="0"/>
    <n v="0"/>
    <n v="0"/>
  </r>
  <r>
    <s v="P431847"/>
    <x v="478"/>
    <n v="7050"/>
    <x v="58"/>
    <x v="9"/>
    <n v="18297"/>
    <s v="10K–50K"/>
    <x v="2"/>
    <n v="4.1070000000000002"/>
    <s v="Yes"/>
    <x v="0"/>
    <n v="187"/>
    <n v="26"/>
    <x v="0"/>
    <n v="0"/>
    <n v="0"/>
  </r>
  <r>
    <s v="P448934"/>
    <x v="479"/>
    <n v="6175"/>
    <x v="59"/>
    <x v="2"/>
    <n v="25082"/>
    <s v="10K–50K"/>
    <x v="2"/>
    <n v="4.0480999999999998"/>
    <s v="Yes"/>
    <x v="0"/>
    <n v="187"/>
    <n v="34"/>
    <x v="0"/>
    <n v="0"/>
    <n v="0"/>
  </r>
  <r>
    <s v="P422248"/>
    <x v="480"/>
    <n v="6218"/>
    <x v="20"/>
    <x v="2"/>
    <n v="22813"/>
    <s v="10K–50K"/>
    <x v="2"/>
    <n v="4.2872000000000003"/>
    <s v="Yes"/>
    <x v="0"/>
    <n v="188"/>
    <n v="28"/>
    <x v="0"/>
    <n v="0"/>
    <n v="0"/>
  </r>
  <r>
    <s v="P472455"/>
    <x v="481"/>
    <n v="4171"/>
    <x v="23"/>
    <x v="1"/>
    <n v="29046"/>
    <s v="10K–50K"/>
    <x v="2"/>
    <n v="4.6614000000000004"/>
    <s v="Yes"/>
    <x v="0"/>
    <n v="189"/>
    <n v="52"/>
    <x v="2"/>
    <n v="0"/>
    <n v="0"/>
  </r>
  <r>
    <s v="P429043"/>
    <x v="482"/>
    <n v="6136"/>
    <x v="93"/>
    <x v="11"/>
    <n v="37545"/>
    <s v="10K–50K"/>
    <x v="2"/>
    <n v="3.9735"/>
    <s v="Yes"/>
    <x v="1"/>
    <n v="189"/>
    <n v="199"/>
    <x v="2"/>
    <n v="0"/>
    <n v="0"/>
  </r>
  <r>
    <s v="P432239"/>
    <x v="483"/>
    <n v="6218"/>
    <x v="20"/>
    <x v="0"/>
    <n v="40755"/>
    <s v="10K–50K"/>
    <x v="2"/>
    <n v="4.0419"/>
    <s v="Yes"/>
    <x v="0"/>
    <n v="191"/>
    <n v="28"/>
    <x v="0"/>
    <n v="0"/>
    <n v="0"/>
  </r>
  <r>
    <s v="P471009"/>
    <x v="484"/>
    <n v="4171"/>
    <x v="23"/>
    <x v="5"/>
    <n v="19999"/>
    <s v="10K–50K"/>
    <x v="2"/>
    <n v="4.5365000000000002"/>
    <s v="Yes"/>
    <x v="0"/>
    <n v="192"/>
    <n v="42"/>
    <x v="0"/>
    <n v="0"/>
    <n v="0"/>
  </r>
  <r>
    <s v="P417242"/>
    <x v="485"/>
    <n v="6201"/>
    <x v="44"/>
    <x v="0"/>
    <n v="28090"/>
    <s v="10K–50K"/>
    <x v="2"/>
    <n v="3.9323000000000001"/>
    <s v="Yes"/>
    <x v="1"/>
    <n v="192"/>
    <n v="75"/>
    <x v="2"/>
    <n v="0"/>
    <n v="0"/>
  </r>
  <r>
    <s v="P474329"/>
    <x v="486"/>
    <n v="6357"/>
    <x v="92"/>
    <x v="3"/>
    <n v="18465"/>
    <s v="10K–50K"/>
    <x v="2"/>
    <n v="4.6237000000000004"/>
    <s v="Yes"/>
    <x v="0"/>
    <n v="194"/>
    <n v="25"/>
    <x v="0"/>
    <n v="0"/>
    <n v="0"/>
  </r>
  <r>
    <s v="P500329"/>
    <x v="487"/>
    <n v="6279"/>
    <x v="85"/>
    <x v="0"/>
    <n v="22688"/>
    <s v="10K–50K"/>
    <x v="2"/>
    <n v="4.2938000000000001"/>
    <s v="Yes"/>
    <x v="0"/>
    <n v="194"/>
    <n v="25"/>
    <x v="0"/>
    <n v="0"/>
    <n v="0"/>
  </r>
  <r>
    <s v="P424989"/>
    <x v="488"/>
    <n v="6225"/>
    <x v="57"/>
    <x v="6"/>
    <n v="22970"/>
    <s v="10K–50K"/>
    <x v="2"/>
    <n v="4.1959"/>
    <s v="Yes"/>
    <x v="0"/>
    <n v="194"/>
    <n v="60"/>
    <x v="2"/>
    <n v="0"/>
    <n v="0"/>
  </r>
  <r>
    <s v="P421997"/>
    <x v="489"/>
    <n v="6218"/>
    <x v="20"/>
    <x v="2"/>
    <n v="37317"/>
    <s v="10K–50K"/>
    <x v="2"/>
    <n v="4.2215999999999996"/>
    <s v="Yes"/>
    <x v="0"/>
    <n v="194"/>
    <n v="47"/>
    <x v="0"/>
    <n v="0"/>
    <n v="0"/>
  </r>
  <r>
    <s v="P417241"/>
    <x v="490"/>
    <n v="6201"/>
    <x v="44"/>
    <x v="3"/>
    <n v="14920"/>
    <s v="10K–50K"/>
    <x v="2"/>
    <n v="4.4256000000000002"/>
    <s v="Yes"/>
    <x v="0"/>
    <n v="195"/>
    <n v="270"/>
    <x v="2"/>
    <n v="0"/>
    <n v="0"/>
  </r>
  <r>
    <s v="P479722"/>
    <x v="491"/>
    <n v="6285"/>
    <x v="21"/>
    <x v="1"/>
    <n v="23101"/>
    <s v="10K–50K"/>
    <x v="2"/>
    <n v="4.4615"/>
    <s v="Yes"/>
    <x v="0"/>
    <n v="195"/>
    <n v="11.99"/>
    <x v="1"/>
    <n v="0"/>
    <n v="0"/>
  </r>
  <r>
    <s v="P392607"/>
    <x v="492"/>
    <n v="3728"/>
    <x v="41"/>
    <x v="5"/>
    <n v="16676"/>
    <s v="10K–50K"/>
    <x v="2"/>
    <n v="3.5"/>
    <s v="Yes"/>
    <x v="1"/>
    <n v="196"/>
    <n v="85"/>
    <x v="2"/>
    <n v="0"/>
    <n v="0"/>
  </r>
  <r>
    <s v="P432243"/>
    <x v="493"/>
    <n v="1254"/>
    <x v="24"/>
    <x v="2"/>
    <n v="33034"/>
    <s v="10K–50K"/>
    <x v="2"/>
    <n v="3.0859000000000001"/>
    <s v="Yes"/>
    <x v="1"/>
    <n v="198"/>
    <n v="32"/>
    <x v="0"/>
    <n v="0"/>
    <n v="0"/>
  </r>
  <r>
    <s v="P423127"/>
    <x v="494"/>
    <n v="6219"/>
    <x v="39"/>
    <x v="2"/>
    <n v="11814"/>
    <s v="10K–50K"/>
    <x v="2"/>
    <n v="4.4523000000000001"/>
    <s v="Yes"/>
    <x v="0"/>
    <n v="199"/>
    <n v="42"/>
    <x v="0"/>
    <n v="0"/>
    <n v="0"/>
  </r>
  <r>
    <s v="P503250"/>
    <x v="495"/>
    <n v="6352"/>
    <x v="35"/>
    <x v="1"/>
    <n v="25289"/>
    <s v="10K–50K"/>
    <x v="2"/>
    <n v="4.5829000000000004"/>
    <s v="Yes"/>
    <x v="0"/>
    <n v="199"/>
    <n v="42"/>
    <x v="0"/>
    <n v="0"/>
    <n v="0"/>
  </r>
  <r>
    <s v="P469520"/>
    <x v="496"/>
    <n v="6341"/>
    <x v="12"/>
    <x v="2"/>
    <n v="27344"/>
    <s v="10K–50K"/>
    <x v="2"/>
    <n v="4.7300000000000004"/>
    <s v="Yes"/>
    <x v="0"/>
    <n v="200"/>
    <n v="22"/>
    <x v="0"/>
    <n v="0"/>
    <n v="0"/>
  </r>
  <r>
    <s v="P470040"/>
    <x v="497"/>
    <n v="6218"/>
    <x v="20"/>
    <x v="3"/>
    <n v="11677"/>
    <s v="10K–50K"/>
    <x v="2"/>
    <n v="4.4875999999999996"/>
    <s v="Yes"/>
    <x v="0"/>
    <n v="201"/>
    <n v="38"/>
    <x v="0"/>
    <n v="0"/>
    <n v="0"/>
  </r>
  <r>
    <s v="P473729"/>
    <x v="498"/>
    <n v="3902"/>
    <x v="13"/>
    <x v="5"/>
    <n v="27165"/>
    <s v="10K–50K"/>
    <x v="2"/>
    <n v="4.4825999999999997"/>
    <s v="Yes"/>
    <x v="0"/>
    <n v="201"/>
    <n v="10"/>
    <x v="1"/>
    <n v="0"/>
    <n v="1"/>
  </r>
  <r>
    <s v="P438637"/>
    <x v="499"/>
    <n v="6272"/>
    <x v="46"/>
    <x v="8"/>
    <n v="16264"/>
    <s v="10K–50K"/>
    <x v="2"/>
    <n v="4.0594000000000001"/>
    <s v="Yes"/>
    <x v="0"/>
    <n v="202"/>
    <n v="40"/>
    <x v="0"/>
    <n v="0"/>
    <n v="0"/>
  </r>
  <r>
    <s v="P501030"/>
    <x v="500"/>
    <n v="6125"/>
    <x v="0"/>
    <x v="3"/>
    <n v="10478"/>
    <s v="10K–50K"/>
    <x v="2"/>
    <n v="4.6994999999999996"/>
    <s v="Yes"/>
    <x v="0"/>
    <n v="203"/>
    <n v="39"/>
    <x v="0"/>
    <n v="0"/>
    <n v="0"/>
  </r>
  <r>
    <s v="P504043"/>
    <x v="501"/>
    <n v="5674"/>
    <x v="25"/>
    <x v="3"/>
    <n v="14652"/>
    <s v="10K–50K"/>
    <x v="2"/>
    <n v="4.8186"/>
    <s v="Yes"/>
    <x v="0"/>
    <n v="204"/>
    <n v="58"/>
    <x v="2"/>
    <n v="1"/>
    <n v="0"/>
  </r>
  <r>
    <s v="P483136"/>
    <x v="502"/>
    <n v="3902"/>
    <x v="13"/>
    <x v="1"/>
    <n v="10653"/>
    <s v="10K–50K"/>
    <x v="2"/>
    <n v="4.5999999999999996"/>
    <s v="Yes"/>
    <x v="0"/>
    <n v="205"/>
    <n v="20"/>
    <x v="0"/>
    <n v="0"/>
    <n v="0"/>
  </r>
  <r>
    <s v="P416552"/>
    <x v="503"/>
    <n v="6018"/>
    <x v="78"/>
    <x v="1"/>
    <n v="10859"/>
    <s v="10K–50K"/>
    <x v="2"/>
    <n v="4.3853999999999997"/>
    <s v="Yes"/>
    <x v="0"/>
    <n v="205"/>
    <n v="95"/>
    <x v="2"/>
    <n v="0"/>
    <n v="0"/>
  </r>
  <r>
    <s v="P420230"/>
    <x v="504"/>
    <n v="5648"/>
    <x v="73"/>
    <x v="0"/>
    <n v="23307"/>
    <s v="10K–50K"/>
    <x v="2"/>
    <n v="4.1024000000000003"/>
    <s v="Yes"/>
    <x v="0"/>
    <n v="205"/>
    <n v="16"/>
    <x v="1"/>
    <n v="0"/>
    <n v="1"/>
  </r>
  <r>
    <s v="P471038"/>
    <x v="505"/>
    <n v="6357"/>
    <x v="92"/>
    <x v="0"/>
    <n v="41560"/>
    <s v="10K–50K"/>
    <x v="2"/>
    <n v="4.4292999999999996"/>
    <s v="Yes"/>
    <x v="0"/>
    <n v="205"/>
    <n v="17"/>
    <x v="1"/>
    <n v="0"/>
    <n v="0"/>
  </r>
  <r>
    <s v="P448201"/>
    <x v="506"/>
    <n v="5337"/>
    <x v="32"/>
    <x v="3"/>
    <n v="18392"/>
    <s v="10K–50K"/>
    <x v="2"/>
    <n v="4.5121000000000002"/>
    <s v="Yes"/>
    <x v="0"/>
    <n v="207"/>
    <n v="75"/>
    <x v="2"/>
    <n v="0"/>
    <n v="0"/>
  </r>
  <r>
    <s v="P385253"/>
    <x v="507"/>
    <n v="3733"/>
    <x v="22"/>
    <x v="3"/>
    <n v="18986"/>
    <s v="10K–50K"/>
    <x v="2"/>
    <n v="4.0965999999999996"/>
    <s v="Yes"/>
    <x v="0"/>
    <n v="207"/>
    <n v="63"/>
    <x v="2"/>
    <n v="0"/>
    <n v="0"/>
  </r>
  <r>
    <s v="P469818"/>
    <x v="508"/>
    <n v="6347"/>
    <x v="94"/>
    <x v="2"/>
    <n v="10510"/>
    <s v="10K–50K"/>
    <x v="2"/>
    <n v="4.5311000000000003"/>
    <s v="Yes"/>
    <x v="0"/>
    <n v="209"/>
    <n v="32"/>
    <x v="0"/>
    <n v="0"/>
    <n v="0"/>
  </r>
  <r>
    <s v="P386739"/>
    <x v="509"/>
    <n v="7020"/>
    <x v="70"/>
    <x v="8"/>
    <n v="12946"/>
    <s v="10K–50K"/>
    <x v="2"/>
    <n v="4.1100000000000003"/>
    <s v="Yes"/>
    <x v="0"/>
    <n v="209"/>
    <n v="130"/>
    <x v="2"/>
    <n v="0"/>
    <n v="0"/>
  </r>
  <r>
    <s v="P471033"/>
    <x v="510"/>
    <n v="6117"/>
    <x v="33"/>
    <x v="1"/>
    <n v="19480"/>
    <s v="10K–50K"/>
    <x v="2"/>
    <n v="4.3875999999999999"/>
    <s v="Yes"/>
    <x v="0"/>
    <n v="209"/>
    <n v="50"/>
    <x v="0"/>
    <n v="0"/>
    <n v="0"/>
  </r>
  <r>
    <s v="P482552"/>
    <x v="511"/>
    <n v="6041"/>
    <x v="6"/>
    <x v="5"/>
    <n v="46732"/>
    <s v="10K–50K"/>
    <x v="2"/>
    <n v="4.6315999999999997"/>
    <s v="Yes"/>
    <x v="0"/>
    <n v="209"/>
    <n v="70"/>
    <x v="2"/>
    <n v="0"/>
    <n v="0"/>
  </r>
  <r>
    <s v="P504028"/>
    <x v="512"/>
    <n v="6234"/>
    <x v="1"/>
    <x v="8"/>
    <n v="11059"/>
    <s v="10K–50K"/>
    <x v="2"/>
    <n v="3.9714"/>
    <s v="Yes"/>
    <x v="1"/>
    <n v="210"/>
    <n v="25"/>
    <x v="0"/>
    <n v="1"/>
    <n v="0"/>
  </r>
  <r>
    <s v="P480284"/>
    <x v="513"/>
    <n v="4171"/>
    <x v="23"/>
    <x v="1"/>
    <n v="12449"/>
    <s v="10K–50K"/>
    <x v="2"/>
    <n v="4.75"/>
    <s v="Yes"/>
    <x v="0"/>
    <n v="212"/>
    <n v="139"/>
    <x v="2"/>
    <n v="0"/>
    <n v="0"/>
  </r>
  <r>
    <s v="P501213"/>
    <x v="514"/>
    <n v="6195"/>
    <x v="27"/>
    <x v="1"/>
    <n v="12007"/>
    <s v="10K–50K"/>
    <x v="2"/>
    <n v="4.4741999999999997"/>
    <s v="Yes"/>
    <x v="0"/>
    <n v="213"/>
    <n v="72"/>
    <x v="2"/>
    <n v="0"/>
    <n v="0"/>
  </r>
  <r>
    <s v="P476028"/>
    <x v="515"/>
    <n v="6247"/>
    <x v="7"/>
    <x v="3"/>
    <n v="46744"/>
    <s v="10K–50K"/>
    <x v="2"/>
    <n v="4.4507000000000003"/>
    <s v="Yes"/>
    <x v="0"/>
    <n v="213"/>
    <n v="55"/>
    <x v="2"/>
    <n v="0"/>
    <n v="0"/>
  </r>
  <r>
    <s v="P407387"/>
    <x v="516"/>
    <n v="7050"/>
    <x v="58"/>
    <x v="9"/>
    <n v="14123"/>
    <s v="10K–50K"/>
    <x v="2"/>
    <n v="4.1542000000000003"/>
    <s v="Yes"/>
    <x v="0"/>
    <n v="214"/>
    <n v="10"/>
    <x v="1"/>
    <n v="0"/>
    <n v="0"/>
  </r>
  <r>
    <s v="P432831"/>
    <x v="517"/>
    <n v="6226"/>
    <x v="84"/>
    <x v="1"/>
    <n v="12648"/>
    <s v="10K–50K"/>
    <x v="2"/>
    <n v="4.2605000000000004"/>
    <s v="Yes"/>
    <x v="0"/>
    <n v="215"/>
    <n v="58"/>
    <x v="2"/>
    <n v="0"/>
    <n v="0"/>
  </r>
  <r>
    <s v="P475932"/>
    <x v="518"/>
    <n v="6377"/>
    <x v="88"/>
    <x v="1"/>
    <n v="15740"/>
    <s v="10K–50K"/>
    <x v="2"/>
    <n v="4.4790999999999999"/>
    <s v="Yes"/>
    <x v="0"/>
    <n v="215"/>
    <n v="68"/>
    <x v="2"/>
    <n v="0"/>
    <n v="0"/>
  </r>
  <r>
    <s v="P469507"/>
    <x v="519"/>
    <n v="6341"/>
    <x v="12"/>
    <x v="1"/>
    <n v="42037"/>
    <s v="10K–50K"/>
    <x v="2"/>
    <n v="4.7534999999999998"/>
    <s v="Yes"/>
    <x v="0"/>
    <n v="215"/>
    <n v="39"/>
    <x v="0"/>
    <n v="0"/>
    <n v="0"/>
  </r>
  <r>
    <s v="P474325"/>
    <x v="520"/>
    <n v="6117"/>
    <x v="33"/>
    <x v="3"/>
    <n v="16279"/>
    <s v="10K–50K"/>
    <x v="2"/>
    <n v="4.2869999999999999"/>
    <s v="Yes"/>
    <x v="0"/>
    <n v="216"/>
    <n v="46"/>
    <x v="0"/>
    <n v="0"/>
    <n v="0"/>
  </r>
  <r>
    <s v="P500244"/>
    <x v="521"/>
    <n v="3728"/>
    <x v="41"/>
    <x v="8"/>
    <n v="16592"/>
    <s v="10K–50K"/>
    <x v="2"/>
    <n v="4.6912000000000003"/>
    <s v="Yes"/>
    <x v="0"/>
    <n v="217"/>
    <n v="65"/>
    <x v="2"/>
    <n v="0"/>
    <n v="0"/>
  </r>
  <r>
    <s v="P479353"/>
    <x v="522"/>
    <n v="6285"/>
    <x v="21"/>
    <x v="2"/>
    <n v="18857"/>
    <s v="10K–50K"/>
    <x v="2"/>
    <n v="4.1734999999999998"/>
    <s v="Yes"/>
    <x v="0"/>
    <n v="219"/>
    <n v="10.99"/>
    <x v="1"/>
    <n v="0"/>
    <n v="0"/>
  </r>
  <r>
    <s v="P479352"/>
    <x v="523"/>
    <n v="6041"/>
    <x v="6"/>
    <x v="1"/>
    <n v="30103"/>
    <s v="10K–50K"/>
    <x v="2"/>
    <n v="4.6483999999999996"/>
    <s v="Yes"/>
    <x v="0"/>
    <n v="219"/>
    <n v="62"/>
    <x v="2"/>
    <n v="0"/>
    <n v="0"/>
  </r>
  <r>
    <s v="P469511"/>
    <x v="524"/>
    <n v="6341"/>
    <x v="12"/>
    <x v="1"/>
    <n v="36209"/>
    <s v="10K–50K"/>
    <x v="2"/>
    <n v="4.5317999999999996"/>
    <s v="Yes"/>
    <x v="0"/>
    <n v="220"/>
    <n v="52"/>
    <x v="2"/>
    <n v="0"/>
    <n v="0"/>
  </r>
  <r>
    <s v="P481367"/>
    <x v="525"/>
    <n v="6742"/>
    <x v="95"/>
    <x v="0"/>
    <n v="23148"/>
    <s v="10K–50K"/>
    <x v="2"/>
    <n v="4.0814000000000004"/>
    <s v="Yes"/>
    <x v="0"/>
    <n v="221"/>
    <n v="14"/>
    <x v="1"/>
    <n v="0"/>
    <n v="0"/>
  </r>
  <r>
    <s v="P469862"/>
    <x v="526"/>
    <n v="6347"/>
    <x v="94"/>
    <x v="3"/>
    <n v="17528"/>
    <s v="10K–50K"/>
    <x v="2"/>
    <n v="4.3784000000000001"/>
    <s v="Yes"/>
    <x v="0"/>
    <n v="222"/>
    <n v="34"/>
    <x v="0"/>
    <n v="0"/>
    <n v="0"/>
  </r>
  <r>
    <s v="P440937"/>
    <x v="527"/>
    <n v="6218"/>
    <x v="20"/>
    <x v="3"/>
    <n v="17721"/>
    <s v="10K–50K"/>
    <x v="2"/>
    <n v="4.1395999999999997"/>
    <s v="Yes"/>
    <x v="0"/>
    <n v="222"/>
    <n v="55"/>
    <x v="2"/>
    <n v="0"/>
    <n v="0"/>
  </r>
  <r>
    <s v="P483127"/>
    <x v="528"/>
    <n v="6357"/>
    <x v="92"/>
    <x v="1"/>
    <n v="13387"/>
    <s v="10K–50K"/>
    <x v="2"/>
    <n v="4.7545000000000002"/>
    <s v="Yes"/>
    <x v="0"/>
    <n v="224"/>
    <n v="48"/>
    <x v="0"/>
    <n v="0"/>
    <n v="0"/>
  </r>
  <r>
    <s v="P270543"/>
    <x v="529"/>
    <n v="5644"/>
    <x v="26"/>
    <x v="3"/>
    <n v="14373"/>
    <s v="10K–50K"/>
    <x v="2"/>
    <n v="4.2187999999999999"/>
    <s v="Yes"/>
    <x v="0"/>
    <n v="224"/>
    <n v="66"/>
    <x v="2"/>
    <n v="0"/>
    <n v="0"/>
  </r>
  <r>
    <s v="P422257"/>
    <x v="530"/>
    <n v="6218"/>
    <x v="20"/>
    <x v="2"/>
    <n v="24814"/>
    <s v="10K–50K"/>
    <x v="2"/>
    <n v="4.2843999999999998"/>
    <s v="Yes"/>
    <x v="0"/>
    <n v="225"/>
    <n v="35"/>
    <x v="0"/>
    <n v="0"/>
    <n v="0"/>
  </r>
  <r>
    <s v="P405944"/>
    <x v="531"/>
    <n v="5337"/>
    <x v="32"/>
    <x v="4"/>
    <n v="12724"/>
    <s v="10K–50K"/>
    <x v="2"/>
    <n v="3.1858"/>
    <s v="Yes"/>
    <x v="1"/>
    <n v="226"/>
    <n v="42"/>
    <x v="0"/>
    <n v="0"/>
    <n v="0"/>
  </r>
  <r>
    <s v="P500039"/>
    <x v="532"/>
    <n v="6323"/>
    <x v="96"/>
    <x v="3"/>
    <n v="21558"/>
    <s v="10K–50K"/>
    <x v="2"/>
    <n v="4.6902999999999997"/>
    <s v="Yes"/>
    <x v="0"/>
    <n v="226"/>
    <n v="60"/>
    <x v="2"/>
    <n v="0"/>
    <n v="0"/>
  </r>
  <r>
    <s v="P443837"/>
    <x v="533"/>
    <n v="6285"/>
    <x v="21"/>
    <x v="5"/>
    <n v="30744"/>
    <s v="10K–50K"/>
    <x v="2"/>
    <n v="4.3083999999999998"/>
    <s v="Yes"/>
    <x v="0"/>
    <n v="227"/>
    <n v="7.49"/>
    <x v="1"/>
    <n v="0"/>
    <n v="0"/>
  </r>
  <r>
    <s v="P503827"/>
    <x v="534"/>
    <n v="6247"/>
    <x v="7"/>
    <x v="1"/>
    <n v="14766"/>
    <s v="10K–50K"/>
    <x v="2"/>
    <n v="4.7587999999999999"/>
    <s v="Yes"/>
    <x v="0"/>
    <n v="228"/>
    <n v="69"/>
    <x v="2"/>
    <n v="1"/>
    <n v="0"/>
  </r>
  <r>
    <s v="P392945"/>
    <x v="535"/>
    <n v="6018"/>
    <x v="78"/>
    <x v="1"/>
    <n v="10068"/>
    <s v="10K–50K"/>
    <x v="2"/>
    <n v="3.9824999999999999"/>
    <s v="Yes"/>
    <x v="1"/>
    <n v="229"/>
    <n v="118"/>
    <x v="2"/>
    <n v="0"/>
    <n v="0"/>
  </r>
  <r>
    <s v="P474326"/>
    <x v="536"/>
    <n v="6117"/>
    <x v="33"/>
    <x v="3"/>
    <n v="10870"/>
    <s v="10K–50K"/>
    <x v="2"/>
    <n v="3.786"/>
    <s v="Yes"/>
    <x v="1"/>
    <n v="229"/>
    <n v="46"/>
    <x v="0"/>
    <n v="0"/>
    <n v="0"/>
  </r>
  <r>
    <s v="P461935"/>
    <x v="537"/>
    <n v="7037"/>
    <x v="48"/>
    <x v="11"/>
    <n v="11753"/>
    <s v="10K–50K"/>
    <x v="2"/>
    <n v="4.4236000000000004"/>
    <s v="Yes"/>
    <x v="0"/>
    <n v="229"/>
    <n v="329"/>
    <x v="2"/>
    <n v="0"/>
    <n v="0"/>
  </r>
  <r>
    <s v="P501169"/>
    <x v="538"/>
    <n v="5668"/>
    <x v="16"/>
    <x v="1"/>
    <n v="24244"/>
    <s v="10K–50K"/>
    <x v="2"/>
    <n v="4.556"/>
    <s v="Yes"/>
    <x v="0"/>
    <n v="232"/>
    <n v="85"/>
    <x v="2"/>
    <n v="0"/>
    <n v="0"/>
  </r>
  <r>
    <s v="P462829"/>
    <x v="539"/>
    <n v="6195"/>
    <x v="27"/>
    <x v="2"/>
    <n v="21228"/>
    <s v="10K–50K"/>
    <x v="2"/>
    <n v="3.6440999999999999"/>
    <s v="Yes"/>
    <x v="1"/>
    <n v="236"/>
    <n v="28"/>
    <x v="0"/>
    <n v="0"/>
    <n v="1"/>
  </r>
  <r>
    <s v="P469519"/>
    <x v="540"/>
    <n v="6341"/>
    <x v="12"/>
    <x v="2"/>
    <n v="37158"/>
    <s v="10K–50K"/>
    <x v="2"/>
    <n v="4.7300000000000004"/>
    <s v="Yes"/>
    <x v="0"/>
    <n v="237"/>
    <n v="26"/>
    <x v="0"/>
    <n v="0"/>
    <n v="0"/>
  </r>
  <r>
    <s v="P458724"/>
    <x v="541"/>
    <n v="3902"/>
    <x v="13"/>
    <x v="11"/>
    <n v="38239"/>
    <s v="10K–50K"/>
    <x v="2"/>
    <n v="4.4725999999999999"/>
    <s v="Yes"/>
    <x v="0"/>
    <n v="237"/>
    <n v="18"/>
    <x v="1"/>
    <n v="0"/>
    <n v="0"/>
  </r>
  <r>
    <s v="P232327"/>
    <x v="542"/>
    <n v="1254"/>
    <x v="24"/>
    <x v="4"/>
    <n v="16286"/>
    <s v="10K–50K"/>
    <x v="2"/>
    <n v="3.9706000000000001"/>
    <s v="Yes"/>
    <x v="1"/>
    <n v="238"/>
    <n v="30"/>
    <x v="0"/>
    <n v="0"/>
    <n v="0"/>
  </r>
  <r>
    <s v="P457442"/>
    <x v="543"/>
    <n v="3902"/>
    <x v="13"/>
    <x v="1"/>
    <n v="41657"/>
    <s v="10K–50K"/>
    <x v="2"/>
    <n v="3.3235000000000001"/>
    <s v="Yes"/>
    <x v="1"/>
    <n v="238"/>
    <n v="9"/>
    <x v="1"/>
    <n v="0"/>
    <n v="0"/>
  </r>
  <r>
    <s v="P296415"/>
    <x v="544"/>
    <n v="6018"/>
    <x v="78"/>
    <x v="3"/>
    <n v="10578"/>
    <s v="10K–50K"/>
    <x v="2"/>
    <n v="4.3807999999999998"/>
    <s v="Yes"/>
    <x v="0"/>
    <n v="239"/>
    <n v="94"/>
    <x v="2"/>
    <n v="0"/>
    <n v="0"/>
  </r>
  <r>
    <s v="P429662"/>
    <x v="545"/>
    <n v="4372"/>
    <x v="97"/>
    <x v="5"/>
    <n v="16237"/>
    <s v="10K–50K"/>
    <x v="2"/>
    <n v="3.887"/>
    <s v="Yes"/>
    <x v="1"/>
    <n v="239"/>
    <n v="44"/>
    <x v="0"/>
    <n v="0"/>
    <n v="0"/>
  </r>
  <r>
    <s v="P398761"/>
    <x v="546"/>
    <n v="5668"/>
    <x v="16"/>
    <x v="1"/>
    <n v="23751"/>
    <s v="10K–50K"/>
    <x v="2"/>
    <n v="4.3388999999999998"/>
    <s v="Yes"/>
    <x v="0"/>
    <n v="239"/>
    <n v="20"/>
    <x v="0"/>
    <n v="0"/>
    <n v="0"/>
  </r>
  <r>
    <s v="P471227"/>
    <x v="547"/>
    <n v="4171"/>
    <x v="23"/>
    <x v="3"/>
    <n v="14020"/>
    <s v="10K–50K"/>
    <x v="2"/>
    <n v="4.4667000000000003"/>
    <s v="Yes"/>
    <x v="0"/>
    <n v="240"/>
    <n v="69"/>
    <x v="2"/>
    <n v="0"/>
    <n v="0"/>
  </r>
  <r>
    <s v="P442850"/>
    <x v="548"/>
    <n v="6289"/>
    <x v="19"/>
    <x v="5"/>
    <n v="19905"/>
    <s v="10K–50K"/>
    <x v="2"/>
    <n v="4.1577000000000002"/>
    <s v="Yes"/>
    <x v="0"/>
    <n v="241"/>
    <n v="52"/>
    <x v="2"/>
    <n v="0"/>
    <n v="0"/>
  </r>
  <r>
    <s v="P472057"/>
    <x v="549"/>
    <n v="3902"/>
    <x v="13"/>
    <x v="11"/>
    <n v="19958"/>
    <s v="10K–50K"/>
    <x v="2"/>
    <n v="4.3651"/>
    <s v="Yes"/>
    <x v="0"/>
    <n v="241"/>
    <n v="14"/>
    <x v="1"/>
    <n v="0"/>
    <n v="0"/>
  </r>
  <r>
    <s v="P473725"/>
    <x v="550"/>
    <n v="3902"/>
    <x v="13"/>
    <x v="1"/>
    <n v="20307"/>
    <s v="10K–50K"/>
    <x v="2"/>
    <n v="4.8299000000000003"/>
    <s v="Yes"/>
    <x v="0"/>
    <n v="241"/>
    <n v="18"/>
    <x v="1"/>
    <n v="0"/>
    <n v="0"/>
  </r>
  <r>
    <s v="P462339"/>
    <x v="551"/>
    <n v="5644"/>
    <x v="26"/>
    <x v="8"/>
    <n v="24532"/>
    <s v="10K–50K"/>
    <x v="2"/>
    <n v="4.6390000000000002"/>
    <s v="Yes"/>
    <x v="0"/>
    <n v="241"/>
    <n v="58"/>
    <x v="2"/>
    <n v="0"/>
    <n v="0"/>
  </r>
  <r>
    <s v="P400205"/>
    <x v="552"/>
    <n v="6117"/>
    <x v="33"/>
    <x v="3"/>
    <n v="26322"/>
    <s v="10K–50K"/>
    <x v="2"/>
    <n v="4.3526999999999996"/>
    <s v="Yes"/>
    <x v="0"/>
    <n v="241"/>
    <n v="74"/>
    <x v="2"/>
    <n v="0"/>
    <n v="0"/>
  </r>
  <r>
    <s v="P469530"/>
    <x v="553"/>
    <n v="6209"/>
    <x v="8"/>
    <x v="2"/>
    <n v="16182"/>
    <s v="10K–50K"/>
    <x v="2"/>
    <n v="4.5597000000000003"/>
    <s v="Yes"/>
    <x v="0"/>
    <n v="243"/>
    <n v="22"/>
    <x v="0"/>
    <n v="0"/>
    <n v="0"/>
  </r>
  <r>
    <s v="P480160"/>
    <x v="554"/>
    <n v="4171"/>
    <x v="23"/>
    <x v="3"/>
    <n v="20963"/>
    <s v="10K–50K"/>
    <x v="2"/>
    <n v="4.6379000000000001"/>
    <s v="Yes"/>
    <x v="0"/>
    <n v="243"/>
    <n v="129"/>
    <x v="2"/>
    <n v="0"/>
    <n v="0"/>
  </r>
  <r>
    <s v="P417984"/>
    <x v="555"/>
    <n v="1254"/>
    <x v="24"/>
    <x v="3"/>
    <n v="19480"/>
    <s v="10K–50K"/>
    <x v="2"/>
    <n v="4.0246000000000004"/>
    <s v="Yes"/>
    <x v="0"/>
    <n v="244"/>
    <n v="44"/>
    <x v="0"/>
    <n v="0"/>
    <n v="0"/>
  </r>
  <r>
    <s v="P455899"/>
    <x v="556"/>
    <n v="6234"/>
    <x v="1"/>
    <x v="1"/>
    <n v="43421"/>
    <s v="10K–50K"/>
    <x v="2"/>
    <n v="4.2089999999999996"/>
    <s v="Yes"/>
    <x v="0"/>
    <n v="244"/>
    <n v="8.9"/>
    <x v="1"/>
    <n v="0"/>
    <n v="0"/>
  </r>
  <r>
    <s v="P379907"/>
    <x v="557"/>
    <n v="6018"/>
    <x v="78"/>
    <x v="3"/>
    <n v="10676"/>
    <s v="10K–50K"/>
    <x v="2"/>
    <n v="4.4531000000000001"/>
    <s v="Yes"/>
    <x v="0"/>
    <n v="245"/>
    <n v="82"/>
    <x v="2"/>
    <n v="0"/>
    <n v="0"/>
  </r>
  <r>
    <s v="P442757"/>
    <x v="558"/>
    <n v="6234"/>
    <x v="1"/>
    <x v="3"/>
    <n v="49358"/>
    <s v="10K–50K"/>
    <x v="2"/>
    <n v="4.2286000000000001"/>
    <s v="Yes"/>
    <x v="0"/>
    <n v="245"/>
    <n v="11.1"/>
    <x v="1"/>
    <n v="0"/>
    <n v="1"/>
  </r>
  <r>
    <s v="P405826"/>
    <x v="559"/>
    <n v="7050"/>
    <x v="58"/>
    <x v="9"/>
    <n v="11891"/>
    <s v="10K–50K"/>
    <x v="2"/>
    <n v="4.1902999999999997"/>
    <s v="Yes"/>
    <x v="0"/>
    <n v="247"/>
    <n v="39"/>
    <x v="0"/>
    <n v="0"/>
    <n v="0"/>
  </r>
  <r>
    <s v="P474824"/>
    <x v="560"/>
    <n v="5668"/>
    <x v="16"/>
    <x v="1"/>
    <n v="15061"/>
    <s v="10K–50K"/>
    <x v="2"/>
    <n v="4.7286999999999999"/>
    <s v="Yes"/>
    <x v="0"/>
    <n v="247"/>
    <n v="87"/>
    <x v="2"/>
    <n v="0"/>
    <n v="0"/>
  </r>
  <r>
    <s v="P420143"/>
    <x v="561"/>
    <n v="7020"/>
    <x v="70"/>
    <x v="5"/>
    <n v="16958"/>
    <s v="10K–50K"/>
    <x v="2"/>
    <n v="3.9159999999999999"/>
    <s v="Yes"/>
    <x v="1"/>
    <n v="250"/>
    <n v="75"/>
    <x v="2"/>
    <n v="0"/>
    <n v="0"/>
  </r>
  <r>
    <s v="P501190"/>
    <x v="562"/>
    <n v="5668"/>
    <x v="16"/>
    <x v="3"/>
    <n v="10107"/>
    <s v="10K–50K"/>
    <x v="2"/>
    <n v="4.8007999999999997"/>
    <s v="Yes"/>
    <x v="0"/>
    <n v="251"/>
    <n v="75"/>
    <x v="2"/>
    <n v="0"/>
    <n v="0"/>
  </r>
  <r>
    <s v="P458546"/>
    <x v="563"/>
    <n v="6246"/>
    <x v="98"/>
    <x v="1"/>
    <n v="12625"/>
    <s v="10K–50K"/>
    <x v="2"/>
    <n v="4.5975999999999999"/>
    <s v="Yes"/>
    <x v="0"/>
    <n v="251"/>
    <n v="32"/>
    <x v="0"/>
    <n v="0"/>
    <n v="0"/>
  </r>
  <r>
    <s v="P471039"/>
    <x v="564"/>
    <n v="6357"/>
    <x v="92"/>
    <x v="1"/>
    <n v="23827"/>
    <s v="10K–50K"/>
    <x v="2"/>
    <n v="4.1673"/>
    <s v="Yes"/>
    <x v="0"/>
    <n v="251"/>
    <n v="17"/>
    <x v="1"/>
    <n v="0"/>
    <n v="0"/>
  </r>
  <r>
    <s v="P91627362"/>
    <x v="565"/>
    <n v="6326"/>
    <x v="99"/>
    <x v="2"/>
    <n v="18322"/>
    <s v="10K–50K"/>
    <x v="2"/>
    <n v="4.1745999999999999"/>
    <s v="Yes"/>
    <x v="0"/>
    <n v="252"/>
    <n v="24"/>
    <x v="0"/>
    <n v="0"/>
    <n v="0"/>
  </r>
  <r>
    <s v="P481096"/>
    <x v="566"/>
    <n v="6117"/>
    <x v="33"/>
    <x v="1"/>
    <n v="24635"/>
    <s v="10K–50K"/>
    <x v="2"/>
    <n v="4.5039999999999996"/>
    <s v="Yes"/>
    <x v="0"/>
    <n v="252"/>
    <n v="65"/>
    <x v="2"/>
    <n v="0"/>
    <n v="0"/>
  </r>
  <r>
    <s v="P107306"/>
    <x v="567"/>
    <n v="4164"/>
    <x v="54"/>
    <x v="8"/>
    <n v="13212"/>
    <s v="10K–50K"/>
    <x v="2"/>
    <n v="4.0316000000000001"/>
    <s v="Yes"/>
    <x v="0"/>
    <n v="253"/>
    <n v="89"/>
    <x v="2"/>
    <n v="0"/>
    <n v="0"/>
  </r>
  <r>
    <s v="P467973"/>
    <x v="568"/>
    <n v="6314"/>
    <x v="100"/>
    <x v="8"/>
    <n v="12224"/>
    <s v="10K–50K"/>
    <x v="2"/>
    <n v="4.2087000000000003"/>
    <s v="Yes"/>
    <x v="0"/>
    <n v="254"/>
    <n v="68"/>
    <x v="2"/>
    <n v="0"/>
    <n v="0"/>
  </r>
  <r>
    <s v="P501781"/>
    <x v="569"/>
    <n v="6209"/>
    <x v="8"/>
    <x v="1"/>
    <n v="11314"/>
    <s v="10K–50K"/>
    <x v="2"/>
    <n v="4.5842999999999998"/>
    <s v="Yes"/>
    <x v="0"/>
    <n v="255"/>
    <n v="28"/>
    <x v="0"/>
    <n v="0"/>
    <n v="0"/>
  </r>
  <r>
    <s v="P462891"/>
    <x v="570"/>
    <n v="3733"/>
    <x v="22"/>
    <x v="1"/>
    <n v="25211"/>
    <s v="10K–50K"/>
    <x v="2"/>
    <n v="4.5327999999999999"/>
    <s v="Yes"/>
    <x v="0"/>
    <n v="259"/>
    <n v="46"/>
    <x v="0"/>
    <n v="0"/>
    <n v="0"/>
  </r>
  <r>
    <s v="P433143"/>
    <x v="571"/>
    <n v="4164"/>
    <x v="54"/>
    <x v="1"/>
    <n v="10030"/>
    <s v="10K–50K"/>
    <x v="2"/>
    <n v="4.1923000000000004"/>
    <s v="Yes"/>
    <x v="0"/>
    <n v="260"/>
    <n v="49"/>
    <x v="0"/>
    <n v="0"/>
    <n v="0"/>
  </r>
  <r>
    <s v="P417867"/>
    <x v="572"/>
    <n v="6041"/>
    <x v="6"/>
    <x v="3"/>
    <n v="44847"/>
    <s v="10K–50K"/>
    <x v="2"/>
    <n v="4.1885000000000003"/>
    <s v="Yes"/>
    <x v="0"/>
    <n v="260"/>
    <n v="125"/>
    <x v="2"/>
    <n v="0"/>
    <n v="0"/>
  </r>
  <r>
    <s v="P455613"/>
    <x v="573"/>
    <n v="6312"/>
    <x v="87"/>
    <x v="8"/>
    <n v="12740"/>
    <s v="10K–50K"/>
    <x v="2"/>
    <n v="4.3205999999999998"/>
    <s v="Yes"/>
    <x v="0"/>
    <n v="262"/>
    <n v="62"/>
    <x v="2"/>
    <n v="0"/>
    <n v="0"/>
  </r>
  <r>
    <s v="P470058"/>
    <x v="574"/>
    <n v="5987"/>
    <x v="9"/>
    <x v="4"/>
    <n v="21531"/>
    <s v="10K–50K"/>
    <x v="2"/>
    <n v="4.4389000000000003"/>
    <s v="Yes"/>
    <x v="0"/>
    <n v="262"/>
    <n v="42"/>
    <x v="0"/>
    <n v="0"/>
    <n v="0"/>
  </r>
  <r>
    <s v="P504433"/>
    <x v="575"/>
    <n v="6341"/>
    <x v="12"/>
    <x v="1"/>
    <n v="21691"/>
    <s v="10K–50K"/>
    <x v="2"/>
    <n v="4.7385999999999999"/>
    <s v="Yes"/>
    <x v="0"/>
    <n v="264"/>
    <n v="58"/>
    <x v="2"/>
    <n v="1"/>
    <n v="0"/>
  </r>
  <r>
    <s v="P424378"/>
    <x v="576"/>
    <n v="7083"/>
    <x v="2"/>
    <x v="3"/>
    <n v="48487"/>
    <s v="10K–50K"/>
    <x v="2"/>
    <n v="4.2367999999999997"/>
    <s v="Yes"/>
    <x v="0"/>
    <n v="266"/>
    <n v="38"/>
    <x v="0"/>
    <n v="0"/>
    <n v="0"/>
  </r>
  <r>
    <s v="P429954"/>
    <x v="577"/>
    <n v="7020"/>
    <x v="70"/>
    <x v="2"/>
    <n v="19570"/>
    <s v="10K–50K"/>
    <x v="2"/>
    <n v="3.9476"/>
    <s v="Yes"/>
    <x v="1"/>
    <n v="267"/>
    <n v="88"/>
    <x v="2"/>
    <n v="0"/>
    <n v="0"/>
  </r>
  <r>
    <s v="P479351"/>
    <x v="578"/>
    <n v="5987"/>
    <x v="9"/>
    <x v="3"/>
    <n v="23310"/>
    <s v="10K–50K"/>
    <x v="2"/>
    <n v="4.3783000000000003"/>
    <s v="Yes"/>
    <x v="0"/>
    <n v="267"/>
    <n v="46"/>
    <x v="0"/>
    <n v="0"/>
    <n v="0"/>
  </r>
  <r>
    <s v="P482006"/>
    <x v="579"/>
    <n v="6295"/>
    <x v="28"/>
    <x v="3"/>
    <n v="40516"/>
    <s v="10K–50K"/>
    <x v="2"/>
    <n v="4.3745000000000003"/>
    <s v="Yes"/>
    <x v="0"/>
    <n v="267"/>
    <n v="26"/>
    <x v="0"/>
    <n v="0"/>
    <n v="0"/>
  </r>
  <r>
    <s v="P385631"/>
    <x v="580"/>
    <n v="1254"/>
    <x v="24"/>
    <x v="10"/>
    <n v="39928"/>
    <s v="10K–50K"/>
    <x v="2"/>
    <n v="4.3320999999999996"/>
    <s v="Yes"/>
    <x v="0"/>
    <n v="268"/>
    <n v="32.5"/>
    <x v="0"/>
    <n v="0"/>
    <n v="0"/>
  </r>
  <r>
    <s v="P474333"/>
    <x v="581"/>
    <n v="6175"/>
    <x v="59"/>
    <x v="1"/>
    <n v="12144"/>
    <s v="10K–50K"/>
    <x v="2"/>
    <n v="4.3532000000000002"/>
    <s v="Yes"/>
    <x v="0"/>
    <n v="269"/>
    <n v="29"/>
    <x v="0"/>
    <n v="0"/>
    <n v="0"/>
  </r>
  <r>
    <s v="P122782"/>
    <x v="582"/>
    <n v="1254"/>
    <x v="24"/>
    <x v="0"/>
    <n v="15182"/>
    <s v="10K–50K"/>
    <x v="2"/>
    <n v="4.2962999999999996"/>
    <s v="Yes"/>
    <x v="0"/>
    <n v="270"/>
    <n v="31.5"/>
    <x v="0"/>
    <n v="0"/>
    <n v="0"/>
  </r>
  <r>
    <s v="P479340"/>
    <x v="583"/>
    <n v="6209"/>
    <x v="8"/>
    <x v="1"/>
    <n v="28434"/>
    <s v="10K–50K"/>
    <x v="2"/>
    <n v="4.5148000000000001"/>
    <s v="Yes"/>
    <x v="0"/>
    <n v="270"/>
    <n v="34"/>
    <x v="0"/>
    <n v="0"/>
    <n v="0"/>
  </r>
  <r>
    <s v="P474330"/>
    <x v="584"/>
    <n v="6175"/>
    <x v="59"/>
    <x v="1"/>
    <n v="15408"/>
    <s v="10K–50K"/>
    <x v="2"/>
    <n v="4.3284000000000002"/>
    <s v="Yes"/>
    <x v="0"/>
    <n v="271"/>
    <n v="29"/>
    <x v="0"/>
    <n v="0"/>
    <n v="0"/>
  </r>
  <r>
    <s v="P9939"/>
    <x v="585"/>
    <n v="4164"/>
    <x v="54"/>
    <x v="2"/>
    <n v="15154"/>
    <s v="10K–50K"/>
    <x v="2"/>
    <n v="4.3087999999999997"/>
    <s v="Yes"/>
    <x v="0"/>
    <n v="272"/>
    <n v="42"/>
    <x v="0"/>
    <n v="0"/>
    <n v="0"/>
  </r>
  <r>
    <s v="P475194"/>
    <x v="586"/>
    <n v="6373"/>
    <x v="83"/>
    <x v="1"/>
    <n v="10279"/>
    <s v="10K–50K"/>
    <x v="2"/>
    <n v="4.2572000000000001"/>
    <s v="Yes"/>
    <x v="0"/>
    <n v="276"/>
    <n v="56"/>
    <x v="2"/>
    <n v="0"/>
    <n v="0"/>
  </r>
  <r>
    <s v="P402014"/>
    <x v="587"/>
    <n v="6073"/>
    <x v="15"/>
    <x v="2"/>
    <n v="15699"/>
    <s v="10K–50K"/>
    <x v="2"/>
    <n v="4.2717000000000001"/>
    <s v="Yes"/>
    <x v="0"/>
    <n v="276"/>
    <n v="50"/>
    <x v="0"/>
    <n v="0"/>
    <n v="0"/>
  </r>
  <r>
    <s v="P397623"/>
    <x v="588"/>
    <n v="6014"/>
    <x v="17"/>
    <x v="5"/>
    <n v="40090"/>
    <s v="10K–50K"/>
    <x v="2"/>
    <n v="4.5507"/>
    <s v="Yes"/>
    <x v="0"/>
    <n v="276"/>
    <n v="7"/>
    <x v="1"/>
    <n v="0"/>
    <n v="0"/>
  </r>
  <r>
    <s v="P404794"/>
    <x v="589"/>
    <n v="6134"/>
    <x v="40"/>
    <x v="3"/>
    <n v="40465"/>
    <s v="10K–50K"/>
    <x v="2"/>
    <n v="3.8477999999999999"/>
    <s v="Yes"/>
    <x v="1"/>
    <n v="276"/>
    <n v="32"/>
    <x v="0"/>
    <n v="0"/>
    <n v="0"/>
  </r>
  <r>
    <s v="P476731"/>
    <x v="590"/>
    <n v="6307"/>
    <x v="77"/>
    <x v="7"/>
    <n v="12981"/>
    <s v="10K–50K"/>
    <x v="2"/>
    <n v="4.5595999999999997"/>
    <s v="Yes"/>
    <x v="0"/>
    <n v="277"/>
    <n v="12"/>
    <x v="1"/>
    <n v="0"/>
    <n v="0"/>
  </r>
  <r>
    <s v="P450632"/>
    <x v="591"/>
    <n v="6307"/>
    <x v="77"/>
    <x v="2"/>
    <n v="22064"/>
    <s v="10K–50K"/>
    <x v="2"/>
    <n v="4.5595999999999997"/>
    <s v="Yes"/>
    <x v="0"/>
    <n v="277"/>
    <n v="38"/>
    <x v="0"/>
    <n v="0"/>
    <n v="0"/>
  </r>
  <r>
    <s v="P469439"/>
    <x v="592"/>
    <n v="6195"/>
    <x v="27"/>
    <x v="0"/>
    <n v="29662"/>
    <s v="10K–50K"/>
    <x v="2"/>
    <n v="3.8809"/>
    <s v="Yes"/>
    <x v="1"/>
    <n v="277"/>
    <n v="16"/>
    <x v="1"/>
    <n v="0"/>
    <n v="0"/>
  </r>
  <r>
    <s v="P457510"/>
    <x v="593"/>
    <n v="7050"/>
    <x v="58"/>
    <x v="9"/>
    <n v="14955"/>
    <s v="10K–50K"/>
    <x v="2"/>
    <n v="4.6726999999999999"/>
    <s v="Yes"/>
    <x v="0"/>
    <n v="278"/>
    <n v="26"/>
    <x v="0"/>
    <n v="0"/>
    <n v="0"/>
  </r>
  <r>
    <s v="P467251"/>
    <x v="594"/>
    <n v="6352"/>
    <x v="35"/>
    <x v="10"/>
    <n v="38902"/>
    <s v="10K–50K"/>
    <x v="2"/>
    <n v="4.0647000000000002"/>
    <s v="Yes"/>
    <x v="0"/>
    <n v="278"/>
    <n v="45"/>
    <x v="0"/>
    <n v="0"/>
    <n v="1"/>
  </r>
  <r>
    <s v="P456988"/>
    <x v="595"/>
    <n v="8008"/>
    <x v="18"/>
    <x v="10"/>
    <n v="33502"/>
    <s v="10K–50K"/>
    <x v="2"/>
    <n v="3.7713999999999999"/>
    <s v="Yes"/>
    <x v="1"/>
    <n v="280"/>
    <n v="35"/>
    <x v="0"/>
    <n v="0"/>
    <n v="0"/>
  </r>
  <r>
    <s v="P244701"/>
    <x v="596"/>
    <n v="1254"/>
    <x v="24"/>
    <x v="5"/>
    <n v="18472"/>
    <s v="10K–50K"/>
    <x v="2"/>
    <n v="4.4768999999999997"/>
    <s v="Yes"/>
    <x v="0"/>
    <n v="281"/>
    <n v="29"/>
    <x v="0"/>
    <n v="0"/>
    <n v="0"/>
  </r>
  <r>
    <s v="P501321"/>
    <x v="597"/>
    <n v="6294"/>
    <x v="101"/>
    <x v="4"/>
    <n v="10922"/>
    <s v="10K–50K"/>
    <x v="2"/>
    <n v="4.8262"/>
    <s v="Yes"/>
    <x v="0"/>
    <n v="282"/>
    <n v="38"/>
    <x v="0"/>
    <n v="0"/>
    <n v="0"/>
  </r>
  <r>
    <s v="P122727"/>
    <x v="598"/>
    <n v="1254"/>
    <x v="24"/>
    <x v="8"/>
    <n v="11912"/>
    <s v="10K–50K"/>
    <x v="2"/>
    <n v="4.1702000000000004"/>
    <s v="Yes"/>
    <x v="0"/>
    <n v="282"/>
    <n v="54"/>
    <x v="2"/>
    <n v="0"/>
    <n v="0"/>
  </r>
  <r>
    <s v="P439927"/>
    <x v="599"/>
    <n v="5946"/>
    <x v="80"/>
    <x v="1"/>
    <n v="20613"/>
    <s v="10K–50K"/>
    <x v="2"/>
    <n v="4.3723000000000001"/>
    <s v="Yes"/>
    <x v="0"/>
    <n v="282"/>
    <n v="72"/>
    <x v="2"/>
    <n v="0"/>
    <n v="0"/>
  </r>
  <r>
    <s v="P294018"/>
    <x v="600"/>
    <n v="6029"/>
    <x v="102"/>
    <x v="2"/>
    <n v="23197"/>
    <s v="10K–50K"/>
    <x v="2"/>
    <n v="4.4789000000000003"/>
    <s v="Yes"/>
    <x v="0"/>
    <n v="284"/>
    <n v="23"/>
    <x v="0"/>
    <n v="0"/>
    <n v="0"/>
  </r>
  <r>
    <s v="P474826"/>
    <x v="601"/>
    <n v="5668"/>
    <x v="16"/>
    <x v="1"/>
    <n v="22246"/>
    <s v="10K–50K"/>
    <x v="2"/>
    <n v="4.4667000000000003"/>
    <s v="Yes"/>
    <x v="0"/>
    <n v="285"/>
    <n v="76"/>
    <x v="2"/>
    <n v="0"/>
    <n v="0"/>
  </r>
  <r>
    <s v="P472302"/>
    <x v="602"/>
    <n v="6312"/>
    <x v="87"/>
    <x v="1"/>
    <n v="12209"/>
    <s v="10K–50K"/>
    <x v="2"/>
    <n v="4.7630999999999997"/>
    <s v="Yes"/>
    <x v="0"/>
    <n v="287"/>
    <n v="58"/>
    <x v="2"/>
    <n v="0"/>
    <n v="0"/>
  </r>
  <r>
    <s v="P455894"/>
    <x v="603"/>
    <n v="5972"/>
    <x v="10"/>
    <x v="3"/>
    <n v="24055"/>
    <s v="10K–50K"/>
    <x v="2"/>
    <n v="4.2388000000000003"/>
    <s v="Yes"/>
    <x v="0"/>
    <n v="289"/>
    <n v="36"/>
    <x v="0"/>
    <n v="0"/>
    <n v="0"/>
  </r>
  <r>
    <s v="P456572"/>
    <x v="604"/>
    <n v="4164"/>
    <x v="54"/>
    <x v="8"/>
    <n v="23093"/>
    <s v="10K–50K"/>
    <x v="2"/>
    <n v="4.0686999999999998"/>
    <s v="Yes"/>
    <x v="0"/>
    <n v="291"/>
    <n v="67"/>
    <x v="2"/>
    <n v="0"/>
    <n v="0"/>
  </r>
  <r>
    <s v="P460513"/>
    <x v="605"/>
    <n v="6125"/>
    <x v="0"/>
    <x v="3"/>
    <n v="43168"/>
    <s v="10K–50K"/>
    <x v="2"/>
    <n v="4.5739000000000001"/>
    <s v="Yes"/>
    <x v="0"/>
    <n v="291"/>
    <n v="27"/>
    <x v="0"/>
    <n v="0"/>
    <n v="0"/>
  </r>
  <r>
    <s v="P443838"/>
    <x v="606"/>
    <n v="6285"/>
    <x v="21"/>
    <x v="2"/>
    <n v="45406"/>
    <s v="10K–50K"/>
    <x v="2"/>
    <n v="4.3917999999999999"/>
    <s v="Yes"/>
    <x v="0"/>
    <n v="291"/>
    <n v="12.99"/>
    <x v="1"/>
    <n v="0"/>
    <n v="0"/>
  </r>
  <r>
    <s v="P501282"/>
    <x v="607"/>
    <n v="6341"/>
    <x v="12"/>
    <x v="3"/>
    <n v="13256"/>
    <s v="10K–50K"/>
    <x v="2"/>
    <n v="4.6985999999999999"/>
    <s v="Yes"/>
    <x v="0"/>
    <n v="292"/>
    <n v="45"/>
    <x v="0"/>
    <n v="0"/>
    <n v="0"/>
  </r>
  <r>
    <s v="P436891"/>
    <x v="608"/>
    <n v="6117"/>
    <x v="33"/>
    <x v="9"/>
    <n v="33236"/>
    <s v="10K–50K"/>
    <x v="2"/>
    <n v="3.5478999999999998"/>
    <s v="Yes"/>
    <x v="1"/>
    <n v="292"/>
    <n v="32"/>
    <x v="0"/>
    <n v="0"/>
    <n v="0"/>
  </r>
  <r>
    <s v="P480447"/>
    <x v="609"/>
    <n v="6357"/>
    <x v="92"/>
    <x v="3"/>
    <n v="13877"/>
    <s v="10K–50K"/>
    <x v="2"/>
    <n v="4.5646000000000004"/>
    <s v="Yes"/>
    <x v="0"/>
    <n v="294"/>
    <n v="35"/>
    <x v="0"/>
    <n v="0"/>
    <n v="0"/>
  </r>
  <r>
    <s v="P454389"/>
    <x v="610"/>
    <n v="5987"/>
    <x v="9"/>
    <x v="4"/>
    <n v="28604"/>
    <s v="10K–50K"/>
    <x v="2"/>
    <n v="3.9047999999999998"/>
    <s v="Yes"/>
    <x v="1"/>
    <n v="294"/>
    <n v="21"/>
    <x v="0"/>
    <n v="0"/>
    <n v="0"/>
  </r>
  <r>
    <s v="P455900"/>
    <x v="611"/>
    <n v="6234"/>
    <x v="1"/>
    <x v="1"/>
    <n v="48131"/>
    <s v="10K–50K"/>
    <x v="2"/>
    <n v="4.3979999999999997"/>
    <s v="Yes"/>
    <x v="0"/>
    <n v="294"/>
    <n v="5"/>
    <x v="1"/>
    <n v="0"/>
    <n v="0"/>
  </r>
  <r>
    <s v="P500894"/>
    <x v="612"/>
    <n v="6352"/>
    <x v="35"/>
    <x v="3"/>
    <n v="24560"/>
    <s v="10K–50K"/>
    <x v="2"/>
    <n v="4.6554000000000002"/>
    <s v="Yes"/>
    <x v="0"/>
    <n v="296"/>
    <n v="34"/>
    <x v="0"/>
    <n v="0"/>
    <n v="0"/>
  </r>
  <r>
    <s v="P504639"/>
    <x v="613"/>
    <n v="5674"/>
    <x v="25"/>
    <x v="8"/>
    <n v="17823"/>
    <s v="10K–50K"/>
    <x v="2"/>
    <n v="4.6040000000000001"/>
    <s v="Yes"/>
    <x v="0"/>
    <n v="298"/>
    <n v="34"/>
    <x v="0"/>
    <n v="1"/>
    <n v="0"/>
  </r>
  <r>
    <s v="P501581"/>
    <x v="614"/>
    <n v="6352"/>
    <x v="35"/>
    <x v="2"/>
    <n v="12779"/>
    <s v="10K–50K"/>
    <x v="2"/>
    <n v="4.1738999999999997"/>
    <s v="Yes"/>
    <x v="0"/>
    <n v="299"/>
    <n v="14"/>
    <x v="1"/>
    <n v="0"/>
    <n v="0"/>
  </r>
  <r>
    <s v="P430903"/>
    <x v="615"/>
    <n v="6134"/>
    <x v="40"/>
    <x v="1"/>
    <n v="38968"/>
    <s v="10K–50K"/>
    <x v="2"/>
    <n v="3.7258"/>
    <s v="Yes"/>
    <x v="1"/>
    <n v="299"/>
    <n v="36"/>
    <x v="0"/>
    <n v="0"/>
    <n v="0"/>
  </r>
  <r>
    <s v="P483664"/>
    <x v="616"/>
    <n v="6218"/>
    <x v="20"/>
    <x v="3"/>
    <n v="11696"/>
    <s v="10K–50K"/>
    <x v="2"/>
    <n v="4.5232999999999999"/>
    <s v="Yes"/>
    <x v="0"/>
    <n v="300"/>
    <n v="60"/>
    <x v="2"/>
    <n v="0"/>
    <n v="0"/>
  </r>
  <r>
    <s v="P449188"/>
    <x v="617"/>
    <n v="8001"/>
    <x v="4"/>
    <x v="4"/>
    <n v="31465"/>
    <s v="10K–50K"/>
    <x v="2"/>
    <n v="3.9767000000000001"/>
    <s v="Yes"/>
    <x v="1"/>
    <n v="300"/>
    <n v="36"/>
    <x v="0"/>
    <n v="0"/>
    <n v="0"/>
  </r>
  <r>
    <s v="P440482"/>
    <x v="618"/>
    <n v="8017"/>
    <x v="56"/>
    <x v="3"/>
    <n v="42146"/>
    <s v="10K–50K"/>
    <x v="2"/>
    <n v="3.7566999999999999"/>
    <s v="Yes"/>
    <x v="1"/>
    <n v="300"/>
    <n v="7"/>
    <x v="1"/>
    <n v="0"/>
    <n v="0"/>
  </r>
  <r>
    <s v="P430818"/>
    <x v="619"/>
    <n v="5648"/>
    <x v="73"/>
    <x v="1"/>
    <n v="20912"/>
    <s v="10K–50K"/>
    <x v="2"/>
    <n v="4.1093000000000002"/>
    <s v="Yes"/>
    <x v="0"/>
    <n v="302"/>
    <n v="15"/>
    <x v="1"/>
    <n v="0"/>
    <n v="1"/>
  </r>
  <r>
    <s v="P469537"/>
    <x v="620"/>
    <n v="6307"/>
    <x v="77"/>
    <x v="10"/>
    <n v="26274"/>
    <s v="10K–50K"/>
    <x v="2"/>
    <n v="4.702"/>
    <s v="Yes"/>
    <x v="0"/>
    <n v="302"/>
    <n v="58"/>
    <x v="2"/>
    <n v="0"/>
    <n v="0"/>
  </r>
  <r>
    <s v="P454100"/>
    <x v="621"/>
    <n v="6117"/>
    <x v="33"/>
    <x v="1"/>
    <n v="45368"/>
    <s v="10K–50K"/>
    <x v="2"/>
    <n v="4.2615999999999996"/>
    <s v="Yes"/>
    <x v="0"/>
    <n v="302"/>
    <n v="58"/>
    <x v="2"/>
    <n v="0"/>
    <n v="0"/>
  </r>
  <r>
    <s v="P460514"/>
    <x v="622"/>
    <n v="6125"/>
    <x v="0"/>
    <x v="2"/>
    <n v="27415"/>
    <s v="10K–50K"/>
    <x v="2"/>
    <n v="4.3728999999999996"/>
    <s v="Yes"/>
    <x v="0"/>
    <n v="303"/>
    <n v="34"/>
    <x v="0"/>
    <n v="0"/>
    <n v="0"/>
  </r>
  <r>
    <s v="P474825"/>
    <x v="623"/>
    <n v="5668"/>
    <x v="16"/>
    <x v="8"/>
    <n v="29199"/>
    <s v="10K–50K"/>
    <x v="2"/>
    <n v="4.4966999999999997"/>
    <s v="Yes"/>
    <x v="0"/>
    <n v="304"/>
    <n v="71"/>
    <x v="2"/>
    <n v="0"/>
    <n v="0"/>
  </r>
  <r>
    <s v="P470221"/>
    <x v="624"/>
    <n v="6218"/>
    <x v="20"/>
    <x v="2"/>
    <n v="14773"/>
    <s v="10K–50K"/>
    <x v="2"/>
    <n v="4.6820000000000004"/>
    <s v="Yes"/>
    <x v="0"/>
    <n v="305"/>
    <n v="60"/>
    <x v="2"/>
    <n v="0"/>
    <n v="0"/>
  </r>
  <r>
    <s v="P411254"/>
    <x v="625"/>
    <n v="4372"/>
    <x v="97"/>
    <x v="5"/>
    <n v="19870"/>
    <s v="10K–50K"/>
    <x v="2"/>
    <n v="3.9216000000000002"/>
    <s v="Yes"/>
    <x v="1"/>
    <n v="306"/>
    <n v="75"/>
    <x v="2"/>
    <n v="0"/>
    <n v="0"/>
  </r>
  <r>
    <s v="P422013"/>
    <x v="626"/>
    <n v="6218"/>
    <x v="20"/>
    <x v="2"/>
    <n v="39855"/>
    <s v="10K–50K"/>
    <x v="2"/>
    <n v="4.5033000000000003"/>
    <s v="Yes"/>
    <x v="0"/>
    <n v="306"/>
    <n v="38"/>
    <x v="0"/>
    <n v="0"/>
    <n v="0"/>
  </r>
  <r>
    <s v="P467118"/>
    <x v="627"/>
    <n v="6335"/>
    <x v="103"/>
    <x v="5"/>
    <n v="11890"/>
    <s v="10K–50K"/>
    <x v="2"/>
    <n v="4.0129999999999999"/>
    <s v="Yes"/>
    <x v="0"/>
    <n v="307"/>
    <n v="49"/>
    <x v="0"/>
    <n v="0"/>
    <n v="0"/>
  </r>
  <r>
    <s v="P450244"/>
    <x v="628"/>
    <n v="6285"/>
    <x v="21"/>
    <x v="1"/>
    <n v="36241"/>
    <s v="10K–50K"/>
    <x v="2"/>
    <n v="4.2899000000000003"/>
    <s v="Yes"/>
    <x v="0"/>
    <n v="307"/>
    <n v="15.99"/>
    <x v="1"/>
    <n v="0"/>
    <n v="0"/>
  </r>
  <r>
    <s v="P423123"/>
    <x v="629"/>
    <n v="6219"/>
    <x v="39"/>
    <x v="2"/>
    <n v="10658"/>
    <s v="10K–50K"/>
    <x v="2"/>
    <n v="4.5631000000000004"/>
    <s v="Yes"/>
    <x v="0"/>
    <n v="309"/>
    <n v="65"/>
    <x v="2"/>
    <n v="0"/>
    <n v="0"/>
  </r>
  <r>
    <s v="P482692"/>
    <x v="630"/>
    <n v="6125"/>
    <x v="0"/>
    <x v="1"/>
    <n v="24759"/>
    <s v="10K–50K"/>
    <x v="2"/>
    <n v="4.7355"/>
    <s v="Yes"/>
    <x v="0"/>
    <n v="310"/>
    <n v="45"/>
    <x v="0"/>
    <n v="0"/>
    <n v="0"/>
  </r>
  <r>
    <s v="P444226"/>
    <x v="631"/>
    <n v="8001"/>
    <x v="4"/>
    <x v="3"/>
    <n v="47186"/>
    <s v="10K–50K"/>
    <x v="2"/>
    <n v="4.2355"/>
    <s v="Yes"/>
    <x v="0"/>
    <n v="310"/>
    <n v="48"/>
    <x v="0"/>
    <n v="0"/>
    <n v="0"/>
  </r>
  <r>
    <s v="P455242"/>
    <x v="632"/>
    <n v="6247"/>
    <x v="7"/>
    <x v="2"/>
    <n v="30871"/>
    <s v="10K–50K"/>
    <x v="2"/>
    <n v="4.0833000000000004"/>
    <s v="Yes"/>
    <x v="0"/>
    <n v="312"/>
    <n v="35"/>
    <x v="0"/>
    <n v="0"/>
    <n v="0"/>
  </r>
  <r>
    <s v="P421600"/>
    <x v="633"/>
    <n v="6117"/>
    <x v="33"/>
    <x v="2"/>
    <n v="39251"/>
    <s v="10K–50K"/>
    <x v="2"/>
    <n v="4.0833000000000004"/>
    <s v="Yes"/>
    <x v="0"/>
    <n v="312"/>
    <n v="39"/>
    <x v="0"/>
    <n v="0"/>
    <n v="0"/>
  </r>
  <r>
    <s v="P482329"/>
    <x v="634"/>
    <n v="6169"/>
    <x v="3"/>
    <x v="1"/>
    <n v="41445"/>
    <s v="10K–50K"/>
    <x v="2"/>
    <n v="4.5841000000000003"/>
    <s v="Yes"/>
    <x v="0"/>
    <n v="315"/>
    <n v="69"/>
    <x v="2"/>
    <n v="0"/>
    <n v="0"/>
  </r>
  <r>
    <s v="P443351"/>
    <x v="635"/>
    <n v="6219"/>
    <x v="39"/>
    <x v="7"/>
    <n v="14201"/>
    <s v="10K–50K"/>
    <x v="2"/>
    <n v="4.3986999999999998"/>
    <s v="Yes"/>
    <x v="0"/>
    <n v="316"/>
    <n v="13"/>
    <x v="1"/>
    <n v="0"/>
    <n v="0"/>
  </r>
  <r>
    <s v="P423150"/>
    <x v="636"/>
    <n v="6219"/>
    <x v="39"/>
    <x v="2"/>
    <n v="16363"/>
    <s v="10K–50K"/>
    <x v="2"/>
    <n v="4.3986999999999998"/>
    <s v="Yes"/>
    <x v="0"/>
    <n v="316"/>
    <n v="43"/>
    <x v="0"/>
    <n v="0"/>
    <n v="0"/>
  </r>
  <r>
    <s v="P446422"/>
    <x v="637"/>
    <n v="6218"/>
    <x v="20"/>
    <x v="5"/>
    <n v="18646"/>
    <s v="10K–50K"/>
    <x v="2"/>
    <n v="3.9018999999999999"/>
    <s v="Yes"/>
    <x v="1"/>
    <n v="316"/>
    <n v="48"/>
    <x v="0"/>
    <n v="0"/>
    <n v="0"/>
  </r>
  <r>
    <s v="P397310"/>
    <x v="638"/>
    <n v="4372"/>
    <x v="97"/>
    <x v="2"/>
    <n v="20771"/>
    <s v="10K–50K"/>
    <x v="2"/>
    <n v="4.2436999999999996"/>
    <s v="Yes"/>
    <x v="0"/>
    <n v="316"/>
    <n v="59"/>
    <x v="2"/>
    <n v="0"/>
    <n v="0"/>
  </r>
  <r>
    <s v="P467652"/>
    <x v="639"/>
    <n v="3902"/>
    <x v="13"/>
    <x v="0"/>
    <n v="45533"/>
    <s v="10K–50K"/>
    <x v="2"/>
    <n v="3.5474999999999999"/>
    <s v="Yes"/>
    <x v="1"/>
    <n v="316"/>
    <n v="5"/>
    <x v="1"/>
    <n v="0"/>
    <n v="0"/>
  </r>
  <r>
    <s v="P441323"/>
    <x v="640"/>
    <n v="6189"/>
    <x v="5"/>
    <x v="7"/>
    <n v="47027"/>
    <s v="10K–50K"/>
    <x v="2"/>
    <n v="3.7057000000000002"/>
    <s v="Yes"/>
    <x v="1"/>
    <n v="316"/>
    <n v="10"/>
    <x v="1"/>
    <n v="0"/>
    <n v="0"/>
  </r>
  <r>
    <s v="P4032"/>
    <x v="641"/>
    <n v="4164"/>
    <x v="54"/>
    <x v="2"/>
    <n v="15366"/>
    <s v="10K–50K"/>
    <x v="2"/>
    <n v="4.2934000000000001"/>
    <s v="Yes"/>
    <x v="0"/>
    <n v="317"/>
    <n v="42"/>
    <x v="0"/>
    <n v="0"/>
    <n v="0"/>
  </r>
  <r>
    <s v="P483137"/>
    <x v="642"/>
    <n v="3902"/>
    <x v="13"/>
    <x v="1"/>
    <n v="12192"/>
    <s v="10K–50K"/>
    <x v="2"/>
    <n v="4.6447000000000003"/>
    <s v="Yes"/>
    <x v="0"/>
    <n v="318"/>
    <n v="20"/>
    <x v="0"/>
    <n v="0"/>
    <n v="0"/>
  </r>
  <r>
    <s v="P455924"/>
    <x v="643"/>
    <n v="6201"/>
    <x v="44"/>
    <x v="8"/>
    <n v="16236"/>
    <s v="10K–50K"/>
    <x v="2"/>
    <n v="4.0534999999999997"/>
    <s v="Yes"/>
    <x v="0"/>
    <n v="318"/>
    <n v="260"/>
    <x v="2"/>
    <n v="0"/>
    <n v="0"/>
  </r>
  <r>
    <s v="P482008"/>
    <x v="644"/>
    <n v="8008"/>
    <x v="18"/>
    <x v="6"/>
    <n v="17225"/>
    <s v="10K–50K"/>
    <x v="2"/>
    <n v="4.3936999999999999"/>
    <s v="Yes"/>
    <x v="0"/>
    <n v="320"/>
    <n v="32"/>
    <x v="0"/>
    <n v="0"/>
    <n v="0"/>
  </r>
  <r>
    <s v="P432048"/>
    <x v="645"/>
    <n v="7020"/>
    <x v="70"/>
    <x v="1"/>
    <n v="18261"/>
    <s v="10K–50K"/>
    <x v="2"/>
    <n v="4.2561999999999998"/>
    <s v="Yes"/>
    <x v="0"/>
    <n v="320"/>
    <n v="92"/>
    <x v="2"/>
    <n v="0"/>
    <n v="0"/>
  </r>
  <r>
    <s v="P479633"/>
    <x v="646"/>
    <n v="6014"/>
    <x v="17"/>
    <x v="5"/>
    <n v="18287"/>
    <s v="10K–50K"/>
    <x v="2"/>
    <n v="4.1780999999999997"/>
    <s v="Yes"/>
    <x v="0"/>
    <n v="320"/>
    <n v="9"/>
    <x v="1"/>
    <n v="0"/>
    <n v="0"/>
  </r>
  <r>
    <s v="P406104"/>
    <x v="647"/>
    <n v="3728"/>
    <x v="41"/>
    <x v="8"/>
    <n v="49824"/>
    <s v="10K–50K"/>
    <x v="2"/>
    <n v="3.7593999999999999"/>
    <s v="Yes"/>
    <x v="1"/>
    <n v="320"/>
    <n v="75"/>
    <x v="2"/>
    <n v="0"/>
    <n v="0"/>
  </r>
  <r>
    <s v="P397624"/>
    <x v="648"/>
    <n v="6014"/>
    <x v="17"/>
    <x v="5"/>
    <n v="35931"/>
    <s v="10K–50K"/>
    <x v="2"/>
    <n v="4.4471999999999996"/>
    <s v="Yes"/>
    <x v="0"/>
    <n v="322"/>
    <n v="9"/>
    <x v="1"/>
    <n v="0"/>
    <n v="0"/>
  </r>
  <r>
    <s v="P457522"/>
    <x v="649"/>
    <n v="6014"/>
    <x v="17"/>
    <x v="4"/>
    <n v="15285"/>
    <s v="10K–50K"/>
    <x v="2"/>
    <n v="4.4215"/>
    <s v="Yes"/>
    <x v="0"/>
    <n v="325"/>
    <n v="42"/>
    <x v="0"/>
    <n v="0"/>
    <n v="0"/>
  </r>
  <r>
    <s v="P416923"/>
    <x v="650"/>
    <n v="6169"/>
    <x v="3"/>
    <x v="8"/>
    <n v="38812"/>
    <s v="10K–50K"/>
    <x v="2"/>
    <n v="3.6564000000000001"/>
    <s v="Yes"/>
    <x v="1"/>
    <n v="326"/>
    <n v="38"/>
    <x v="0"/>
    <n v="0"/>
    <n v="0"/>
  </r>
  <r>
    <s v="P475629"/>
    <x v="651"/>
    <n v="6316"/>
    <x v="49"/>
    <x v="3"/>
    <n v="15716"/>
    <s v="10K–50K"/>
    <x v="2"/>
    <n v="4.5697000000000001"/>
    <s v="Yes"/>
    <x v="0"/>
    <n v="330"/>
    <n v="43"/>
    <x v="0"/>
    <n v="0"/>
    <n v="0"/>
  </r>
  <r>
    <s v="P467647"/>
    <x v="425"/>
    <n v="3902"/>
    <x v="13"/>
    <x v="2"/>
    <n v="21017"/>
    <s v="10K–50K"/>
    <x v="2"/>
    <n v="3.6314000000000002"/>
    <s v="Yes"/>
    <x v="1"/>
    <n v="331"/>
    <n v="12"/>
    <x v="1"/>
    <n v="0"/>
    <n v="0"/>
  </r>
  <r>
    <s v="P475181"/>
    <x v="652"/>
    <n v="6373"/>
    <x v="83"/>
    <x v="8"/>
    <n v="17136"/>
    <s v="10K–50K"/>
    <x v="2"/>
    <n v="3.9578000000000002"/>
    <s v="Yes"/>
    <x v="1"/>
    <n v="332"/>
    <n v="30"/>
    <x v="0"/>
    <n v="0"/>
    <n v="0"/>
  </r>
  <r>
    <s v="P503642"/>
    <x v="653"/>
    <n v="6195"/>
    <x v="27"/>
    <x v="3"/>
    <n v="11500"/>
    <s v="10K–50K"/>
    <x v="2"/>
    <n v="4.4234"/>
    <s v="Yes"/>
    <x v="0"/>
    <n v="333"/>
    <n v="56"/>
    <x v="2"/>
    <n v="0"/>
    <n v="0"/>
  </r>
  <r>
    <s v="P453929"/>
    <x v="654"/>
    <n v="4164"/>
    <x v="54"/>
    <x v="3"/>
    <n v="21491"/>
    <s v="10K–50K"/>
    <x v="2"/>
    <n v="4.6078000000000001"/>
    <s v="Yes"/>
    <x v="0"/>
    <n v="334"/>
    <n v="88"/>
    <x v="2"/>
    <n v="0"/>
    <n v="0"/>
  </r>
  <r>
    <s v="P472021"/>
    <x v="655"/>
    <n v="6349"/>
    <x v="104"/>
    <x v="3"/>
    <n v="14376"/>
    <s v="10K–50K"/>
    <x v="2"/>
    <n v="4.6687000000000003"/>
    <s v="Yes"/>
    <x v="0"/>
    <n v="335"/>
    <n v="48"/>
    <x v="0"/>
    <n v="0"/>
    <n v="0"/>
  </r>
  <r>
    <s v="P467750"/>
    <x v="656"/>
    <n v="4171"/>
    <x v="23"/>
    <x v="3"/>
    <n v="24347"/>
    <s v="10K–50K"/>
    <x v="2"/>
    <n v="4.6566999999999998"/>
    <s v="Yes"/>
    <x v="0"/>
    <n v="335"/>
    <n v="69"/>
    <x v="2"/>
    <n v="0"/>
    <n v="0"/>
  </r>
  <r>
    <s v="P503651"/>
    <x v="657"/>
    <n v="5674"/>
    <x v="25"/>
    <x v="3"/>
    <n v="10448"/>
    <s v="10K–50K"/>
    <x v="2"/>
    <n v="4.8319000000000001"/>
    <s v="Yes"/>
    <x v="0"/>
    <n v="339"/>
    <n v="60"/>
    <x v="2"/>
    <n v="0"/>
    <n v="0"/>
  </r>
  <r>
    <s v="P483138"/>
    <x v="658"/>
    <n v="3902"/>
    <x v="13"/>
    <x v="1"/>
    <n v="12422"/>
    <s v="10K–50K"/>
    <x v="2"/>
    <n v="4.6844000000000001"/>
    <s v="Yes"/>
    <x v="0"/>
    <n v="339"/>
    <n v="20"/>
    <x v="0"/>
    <n v="0"/>
    <n v="0"/>
  </r>
  <r>
    <s v="P501288"/>
    <x v="659"/>
    <n v="6341"/>
    <x v="12"/>
    <x v="8"/>
    <n v="22932"/>
    <s v="10K–50K"/>
    <x v="2"/>
    <n v="4.5"/>
    <s v="Yes"/>
    <x v="0"/>
    <n v="340"/>
    <n v="39"/>
    <x v="0"/>
    <n v="0"/>
    <n v="0"/>
  </r>
  <r>
    <s v="P407444"/>
    <x v="660"/>
    <n v="6117"/>
    <x v="33"/>
    <x v="2"/>
    <n v="28997"/>
    <s v="10K–50K"/>
    <x v="2"/>
    <n v="4.3011999999999997"/>
    <s v="Yes"/>
    <x v="0"/>
    <n v="342"/>
    <n v="14"/>
    <x v="1"/>
    <n v="0"/>
    <n v="0"/>
  </r>
  <r>
    <s v="P458917"/>
    <x v="661"/>
    <n v="7020"/>
    <x v="70"/>
    <x v="3"/>
    <n v="13855"/>
    <s v="10K–50K"/>
    <x v="2"/>
    <n v="4.4461000000000004"/>
    <s v="Yes"/>
    <x v="0"/>
    <n v="343"/>
    <n v="68"/>
    <x v="2"/>
    <n v="0"/>
    <n v="0"/>
  </r>
  <r>
    <s v="P400204"/>
    <x v="662"/>
    <n v="6117"/>
    <x v="33"/>
    <x v="3"/>
    <n v="43956"/>
    <s v="10K–50K"/>
    <x v="2"/>
    <n v="4.4169"/>
    <s v="Yes"/>
    <x v="0"/>
    <n v="343"/>
    <n v="88"/>
    <x v="2"/>
    <n v="0"/>
    <n v="0"/>
  </r>
  <r>
    <s v="P433456"/>
    <x v="663"/>
    <n v="3728"/>
    <x v="41"/>
    <x v="8"/>
    <n v="11436"/>
    <s v="10K–50K"/>
    <x v="2"/>
    <n v="4.0115999999999996"/>
    <s v="Yes"/>
    <x v="0"/>
    <n v="345"/>
    <n v="68"/>
    <x v="2"/>
    <n v="0"/>
    <n v="0"/>
  </r>
  <r>
    <s v="P478029"/>
    <x v="664"/>
    <n v="6285"/>
    <x v="21"/>
    <x v="2"/>
    <n v="18399"/>
    <s v="10K–50K"/>
    <x v="2"/>
    <n v="4.4203000000000001"/>
    <s v="Yes"/>
    <x v="0"/>
    <n v="345"/>
    <n v="5.99"/>
    <x v="1"/>
    <n v="0"/>
    <n v="0"/>
  </r>
  <r>
    <s v="P469088"/>
    <x v="665"/>
    <n v="6285"/>
    <x v="21"/>
    <x v="2"/>
    <n v="38263"/>
    <s v="10K–50K"/>
    <x v="2"/>
    <n v="4.4203000000000001"/>
    <s v="Yes"/>
    <x v="0"/>
    <n v="345"/>
    <n v="11.99"/>
    <x v="1"/>
    <n v="0"/>
    <n v="0"/>
  </r>
  <r>
    <s v="P447778"/>
    <x v="666"/>
    <n v="6285"/>
    <x v="21"/>
    <x v="1"/>
    <n v="28723"/>
    <s v="10K–50K"/>
    <x v="2"/>
    <n v="4.0376000000000003"/>
    <s v="Yes"/>
    <x v="0"/>
    <n v="346"/>
    <n v="12.99"/>
    <x v="1"/>
    <n v="0"/>
    <n v="0"/>
  </r>
  <r>
    <s v="P465741"/>
    <x v="667"/>
    <n v="6312"/>
    <x v="87"/>
    <x v="5"/>
    <n v="28060"/>
    <s v="10K–50K"/>
    <x v="2"/>
    <n v="4.6801000000000004"/>
    <s v="Yes"/>
    <x v="0"/>
    <n v="347"/>
    <n v="56"/>
    <x v="2"/>
    <n v="0"/>
    <n v="0"/>
  </r>
  <r>
    <s v="P475135"/>
    <x v="668"/>
    <n v="4164"/>
    <x v="54"/>
    <x v="7"/>
    <n v="10296"/>
    <s v="10K–50K"/>
    <x v="2"/>
    <n v="4.2621000000000002"/>
    <s v="Yes"/>
    <x v="0"/>
    <n v="351"/>
    <n v="30"/>
    <x v="0"/>
    <n v="0"/>
    <n v="0"/>
  </r>
  <r>
    <s v="P500756"/>
    <x v="669"/>
    <n v="5972"/>
    <x v="10"/>
    <x v="1"/>
    <n v="16175"/>
    <s v="10K–50K"/>
    <x v="2"/>
    <n v="4.6780999999999997"/>
    <s v="Yes"/>
    <x v="0"/>
    <n v="351"/>
    <n v="50"/>
    <x v="0"/>
    <n v="0"/>
    <n v="0"/>
  </r>
  <r>
    <s v="P417980"/>
    <x v="670"/>
    <n v="4164"/>
    <x v="54"/>
    <x v="4"/>
    <n v="26245"/>
    <s v="10K–50K"/>
    <x v="2"/>
    <n v="4.3219000000000003"/>
    <s v="Yes"/>
    <x v="0"/>
    <n v="351"/>
    <n v="69"/>
    <x v="2"/>
    <n v="0"/>
    <n v="0"/>
  </r>
  <r>
    <s v="P456571"/>
    <x v="671"/>
    <n v="4164"/>
    <x v="54"/>
    <x v="1"/>
    <n v="28653"/>
    <s v="10K–50K"/>
    <x v="2"/>
    <n v="4.2621000000000002"/>
    <s v="Yes"/>
    <x v="0"/>
    <n v="351"/>
    <n v="88"/>
    <x v="2"/>
    <n v="0"/>
    <n v="0"/>
  </r>
  <r>
    <s v="P482325"/>
    <x v="672"/>
    <n v="5987"/>
    <x v="9"/>
    <x v="4"/>
    <n v="23635"/>
    <s v="10K–50K"/>
    <x v="2"/>
    <n v="4.2805"/>
    <s v="Yes"/>
    <x v="0"/>
    <n v="353"/>
    <n v="34"/>
    <x v="0"/>
    <n v="0"/>
    <n v="0"/>
  </r>
  <r>
    <s v="P466114"/>
    <x v="673"/>
    <n v="4171"/>
    <x v="23"/>
    <x v="1"/>
    <n v="48739"/>
    <s v="10K–50K"/>
    <x v="2"/>
    <n v="4.5721999999999996"/>
    <s v="Yes"/>
    <x v="0"/>
    <n v="353"/>
    <n v="84"/>
    <x v="2"/>
    <n v="0"/>
    <n v="0"/>
  </r>
  <r>
    <s v="P446909"/>
    <x v="674"/>
    <n v="5987"/>
    <x v="9"/>
    <x v="4"/>
    <n v="20095"/>
    <s v="10K–50K"/>
    <x v="2"/>
    <n v="3.8729"/>
    <s v="Yes"/>
    <x v="1"/>
    <n v="354"/>
    <n v="44"/>
    <x v="0"/>
    <n v="0"/>
    <n v="0"/>
  </r>
  <r>
    <s v="P444222"/>
    <x v="675"/>
    <n v="6294"/>
    <x v="101"/>
    <x v="1"/>
    <n v="21687"/>
    <s v="10K–50K"/>
    <x v="2"/>
    <n v="4.3971999999999998"/>
    <s v="Yes"/>
    <x v="0"/>
    <n v="355"/>
    <n v="125"/>
    <x v="2"/>
    <n v="0"/>
    <n v="0"/>
  </r>
  <r>
    <s v="P474822"/>
    <x v="676"/>
    <n v="6219"/>
    <x v="39"/>
    <x v="2"/>
    <n v="17736"/>
    <s v="10K–50K"/>
    <x v="2"/>
    <n v="4.7843"/>
    <s v="Yes"/>
    <x v="0"/>
    <n v="357"/>
    <n v="37"/>
    <x v="0"/>
    <n v="0"/>
    <n v="0"/>
  </r>
  <r>
    <s v="P173652"/>
    <x v="677"/>
    <n v="5337"/>
    <x v="32"/>
    <x v="3"/>
    <n v="22311"/>
    <s v="10K–50K"/>
    <x v="2"/>
    <n v="4.5335000000000001"/>
    <s v="Yes"/>
    <x v="0"/>
    <n v="358"/>
    <n v="85"/>
    <x v="2"/>
    <n v="0"/>
    <n v="0"/>
  </r>
  <r>
    <s v="P504042"/>
    <x v="678"/>
    <n v="6014"/>
    <x v="17"/>
    <x v="5"/>
    <n v="10190"/>
    <s v="10K–50K"/>
    <x v="2"/>
    <n v="4.6936"/>
    <s v="Yes"/>
    <x v="0"/>
    <n v="359"/>
    <n v="9"/>
    <x v="1"/>
    <n v="1"/>
    <n v="0"/>
  </r>
  <r>
    <s v="P415202"/>
    <x v="679"/>
    <n v="5946"/>
    <x v="80"/>
    <x v="3"/>
    <n v="19713"/>
    <s v="10K–50K"/>
    <x v="2"/>
    <n v="3.7075"/>
    <s v="Yes"/>
    <x v="1"/>
    <n v="359"/>
    <n v="98"/>
    <x v="2"/>
    <n v="0"/>
    <n v="0"/>
  </r>
  <r>
    <s v="P453928"/>
    <x v="680"/>
    <n v="4164"/>
    <x v="54"/>
    <x v="8"/>
    <n v="27356"/>
    <s v="10K–50K"/>
    <x v="2"/>
    <n v="4.5278"/>
    <s v="Yes"/>
    <x v="0"/>
    <n v="360"/>
    <n v="89"/>
    <x v="2"/>
    <n v="0"/>
    <n v="0"/>
  </r>
  <r>
    <s v="P472052"/>
    <x v="681"/>
    <n v="6209"/>
    <x v="8"/>
    <x v="1"/>
    <n v="22947"/>
    <s v="10K–50K"/>
    <x v="2"/>
    <n v="4.0385999999999997"/>
    <s v="Yes"/>
    <x v="0"/>
    <n v="363"/>
    <n v="28"/>
    <x v="0"/>
    <n v="0"/>
    <n v="0"/>
  </r>
  <r>
    <s v="P415773"/>
    <x v="682"/>
    <n v="1254"/>
    <x v="24"/>
    <x v="4"/>
    <n v="19781"/>
    <s v="10K–50K"/>
    <x v="2"/>
    <n v="4.2521000000000004"/>
    <s v="Yes"/>
    <x v="0"/>
    <n v="365"/>
    <n v="23"/>
    <x v="0"/>
    <n v="0"/>
    <n v="0"/>
  </r>
  <r>
    <s v="P475951"/>
    <x v="683"/>
    <n v="6295"/>
    <x v="28"/>
    <x v="1"/>
    <n v="41215"/>
    <s v="10K–50K"/>
    <x v="2"/>
    <n v="4.5835999999999997"/>
    <s v="Yes"/>
    <x v="0"/>
    <n v="365"/>
    <n v="30"/>
    <x v="0"/>
    <n v="0"/>
    <n v="0"/>
  </r>
  <r>
    <s v="P504045"/>
    <x v="684"/>
    <n v="5987"/>
    <x v="9"/>
    <x v="1"/>
    <n v="11846"/>
    <s v="10K–50K"/>
    <x v="2"/>
    <n v="4.7356999999999996"/>
    <s v="Yes"/>
    <x v="0"/>
    <n v="367"/>
    <n v="46"/>
    <x v="0"/>
    <n v="0"/>
    <n v="0"/>
  </r>
  <r>
    <s v="P480461"/>
    <x v="685"/>
    <n v="4164"/>
    <x v="54"/>
    <x v="8"/>
    <n v="20483"/>
    <s v="10K–50K"/>
    <x v="2"/>
    <n v="4.6294000000000004"/>
    <s v="Yes"/>
    <x v="0"/>
    <n v="367"/>
    <n v="42"/>
    <x v="0"/>
    <n v="0"/>
    <n v="0"/>
  </r>
  <r>
    <s v="P454102"/>
    <x v="686"/>
    <n v="3728"/>
    <x v="41"/>
    <x v="1"/>
    <n v="32582"/>
    <s v="10K–50K"/>
    <x v="2"/>
    <n v="4.1608000000000001"/>
    <s v="Yes"/>
    <x v="0"/>
    <n v="367"/>
    <n v="88"/>
    <x v="2"/>
    <n v="0"/>
    <n v="0"/>
  </r>
  <r>
    <s v="P475190"/>
    <x v="687"/>
    <n v="6373"/>
    <x v="83"/>
    <x v="8"/>
    <n v="19298"/>
    <s v="10K–50K"/>
    <x v="2"/>
    <n v="4.0731999999999999"/>
    <s v="Yes"/>
    <x v="0"/>
    <n v="369"/>
    <n v="32"/>
    <x v="0"/>
    <n v="0"/>
    <n v="0"/>
  </r>
  <r>
    <s v="P467971"/>
    <x v="688"/>
    <n v="5857"/>
    <x v="51"/>
    <x v="8"/>
    <n v="20905"/>
    <s v="10K–50K"/>
    <x v="2"/>
    <n v="4.3026999999999997"/>
    <s v="Yes"/>
    <x v="0"/>
    <n v="370"/>
    <n v="51"/>
    <x v="2"/>
    <n v="0"/>
    <n v="0"/>
  </r>
  <r>
    <s v="P472469"/>
    <x v="689"/>
    <n v="6357"/>
    <x v="92"/>
    <x v="1"/>
    <n v="30846"/>
    <s v="10K–50K"/>
    <x v="2"/>
    <n v="4.4043000000000001"/>
    <s v="Yes"/>
    <x v="0"/>
    <n v="376"/>
    <n v="34"/>
    <x v="0"/>
    <n v="0"/>
    <n v="0"/>
  </r>
  <r>
    <s v="P463665"/>
    <x v="690"/>
    <n v="6316"/>
    <x v="49"/>
    <x v="3"/>
    <n v="12439"/>
    <s v="10K–50K"/>
    <x v="2"/>
    <n v="4.3925999999999998"/>
    <s v="Yes"/>
    <x v="0"/>
    <n v="377"/>
    <n v="63"/>
    <x v="2"/>
    <n v="0"/>
    <n v="0"/>
  </r>
  <r>
    <s v="P500138"/>
    <x v="691"/>
    <n v="6169"/>
    <x v="3"/>
    <x v="3"/>
    <n v="29088"/>
    <s v="10K–50K"/>
    <x v="2"/>
    <n v="4.4402999999999997"/>
    <s v="Yes"/>
    <x v="0"/>
    <n v="377"/>
    <n v="68"/>
    <x v="2"/>
    <n v="0"/>
    <n v="0"/>
  </r>
  <r>
    <s v="P456400"/>
    <x v="692"/>
    <n v="5626"/>
    <x v="64"/>
    <x v="6"/>
    <n v="25187"/>
    <s v="10K–50K"/>
    <x v="2"/>
    <n v="4.5556000000000001"/>
    <s v="Yes"/>
    <x v="0"/>
    <n v="378"/>
    <n v="9"/>
    <x v="1"/>
    <n v="0"/>
    <n v="0"/>
  </r>
  <r>
    <s v="P482323"/>
    <x v="693"/>
    <n v="5987"/>
    <x v="9"/>
    <x v="4"/>
    <n v="32091"/>
    <s v="10K–50K"/>
    <x v="2"/>
    <n v="3.6648999999999998"/>
    <s v="Yes"/>
    <x v="1"/>
    <n v="379"/>
    <n v="34"/>
    <x v="0"/>
    <n v="0"/>
    <n v="0"/>
  </r>
  <r>
    <s v="P480192"/>
    <x v="694"/>
    <n v="6247"/>
    <x v="7"/>
    <x v="8"/>
    <n v="40911"/>
    <s v="10K–50K"/>
    <x v="2"/>
    <n v="4.3596000000000004"/>
    <s v="Yes"/>
    <x v="0"/>
    <n v="381"/>
    <n v="42"/>
    <x v="0"/>
    <n v="0"/>
    <n v="0"/>
  </r>
  <r>
    <s v="P374841"/>
    <x v="695"/>
    <n v="1254"/>
    <x v="24"/>
    <x v="8"/>
    <n v="15610"/>
    <s v="10K–50K"/>
    <x v="2"/>
    <n v="3.2427999999999999"/>
    <s v="Yes"/>
    <x v="1"/>
    <n v="383"/>
    <n v="44"/>
    <x v="0"/>
    <n v="0"/>
    <n v="0"/>
  </r>
  <r>
    <s v="P503721"/>
    <x v="696"/>
    <n v="6209"/>
    <x v="8"/>
    <x v="1"/>
    <n v="11747"/>
    <s v="10K–50K"/>
    <x v="2"/>
    <n v="4.4973999999999998"/>
    <s v="Yes"/>
    <x v="0"/>
    <n v="384"/>
    <n v="19"/>
    <x v="1"/>
    <n v="0"/>
    <n v="0"/>
  </r>
  <r>
    <s v="P2043"/>
    <x v="697"/>
    <n v="3526"/>
    <x v="74"/>
    <x v="3"/>
    <n v="31434"/>
    <s v="10K–50K"/>
    <x v="2"/>
    <n v="4.3932000000000002"/>
    <s v="Yes"/>
    <x v="0"/>
    <n v="384"/>
    <n v="14"/>
    <x v="1"/>
    <n v="0"/>
    <n v="0"/>
  </r>
  <r>
    <s v="P456582"/>
    <x v="698"/>
    <n v="6219"/>
    <x v="39"/>
    <x v="4"/>
    <n v="10706"/>
    <s v="10K–50K"/>
    <x v="2"/>
    <n v="4.3731"/>
    <s v="Yes"/>
    <x v="0"/>
    <n v="386"/>
    <n v="48"/>
    <x v="0"/>
    <n v="0"/>
    <n v="0"/>
  </r>
  <r>
    <s v="P392249"/>
    <x v="699"/>
    <n v="7083"/>
    <x v="2"/>
    <x v="2"/>
    <n v="30472"/>
    <s v="10K–50K"/>
    <x v="2"/>
    <n v="4.4663000000000004"/>
    <s v="Yes"/>
    <x v="0"/>
    <n v="386"/>
    <n v="28"/>
    <x v="0"/>
    <n v="0"/>
    <n v="0"/>
  </r>
  <r>
    <s v="P471037"/>
    <x v="700"/>
    <n v="6357"/>
    <x v="92"/>
    <x v="1"/>
    <n v="29785"/>
    <s v="10K–50K"/>
    <x v="2"/>
    <n v="4.6047000000000002"/>
    <s v="Yes"/>
    <x v="0"/>
    <n v="387"/>
    <n v="30"/>
    <x v="0"/>
    <n v="0"/>
    <n v="0"/>
  </r>
  <r>
    <s v="P446419"/>
    <x v="701"/>
    <n v="6207"/>
    <x v="50"/>
    <x v="1"/>
    <n v="21320"/>
    <s v="10K–50K"/>
    <x v="2"/>
    <n v="4.2287999999999997"/>
    <s v="Yes"/>
    <x v="0"/>
    <n v="389"/>
    <n v="73"/>
    <x v="2"/>
    <n v="0"/>
    <n v="0"/>
  </r>
  <r>
    <s v="P427529"/>
    <x v="702"/>
    <n v="6218"/>
    <x v="20"/>
    <x v="1"/>
    <n v="45478"/>
    <s v="10K–50K"/>
    <x v="2"/>
    <n v="3.6684000000000001"/>
    <s v="Yes"/>
    <x v="1"/>
    <n v="389"/>
    <n v="78"/>
    <x v="2"/>
    <n v="0"/>
    <n v="0"/>
  </r>
  <r>
    <s v="P423130"/>
    <x v="703"/>
    <n v="6219"/>
    <x v="39"/>
    <x v="5"/>
    <n v="37767"/>
    <s v="10K–50K"/>
    <x v="2"/>
    <n v="4.3666999999999998"/>
    <s v="Yes"/>
    <x v="0"/>
    <n v="390"/>
    <n v="65"/>
    <x v="2"/>
    <n v="0"/>
    <n v="0"/>
  </r>
  <r>
    <s v="P9941"/>
    <x v="704"/>
    <n v="4164"/>
    <x v="54"/>
    <x v="2"/>
    <n v="18246"/>
    <s v="10K–50K"/>
    <x v="2"/>
    <n v="4.4962"/>
    <s v="Yes"/>
    <x v="0"/>
    <n v="391"/>
    <n v="44"/>
    <x v="0"/>
    <n v="0"/>
    <n v="0"/>
  </r>
  <r>
    <s v="P456994"/>
    <x v="705"/>
    <n v="5972"/>
    <x v="10"/>
    <x v="8"/>
    <n v="49318"/>
    <s v="10K–50K"/>
    <x v="2"/>
    <n v="3.6735000000000002"/>
    <s v="Yes"/>
    <x v="1"/>
    <n v="392"/>
    <n v="36"/>
    <x v="0"/>
    <n v="0"/>
    <n v="0"/>
  </r>
  <r>
    <s v="P205614"/>
    <x v="706"/>
    <n v="5337"/>
    <x v="32"/>
    <x v="8"/>
    <n v="15783"/>
    <s v="10K–50K"/>
    <x v="2"/>
    <n v="3.5878000000000001"/>
    <s v="Yes"/>
    <x v="1"/>
    <n v="393"/>
    <n v="65"/>
    <x v="2"/>
    <n v="0"/>
    <n v="0"/>
  </r>
  <r>
    <s v="P217932"/>
    <x v="707"/>
    <n v="1741"/>
    <x v="42"/>
    <x v="2"/>
    <n v="17120"/>
    <s v="10K–50K"/>
    <x v="2"/>
    <n v="4.4416000000000002"/>
    <s v="Yes"/>
    <x v="0"/>
    <n v="394"/>
    <n v="34"/>
    <x v="0"/>
    <n v="0"/>
    <n v="0"/>
  </r>
  <r>
    <s v="P443829"/>
    <x v="708"/>
    <n v="8008"/>
    <x v="18"/>
    <x v="6"/>
    <n v="23933"/>
    <s v="10K–50K"/>
    <x v="2"/>
    <n v="3.4289000000000001"/>
    <s v="Yes"/>
    <x v="1"/>
    <n v="394"/>
    <n v="32"/>
    <x v="0"/>
    <n v="0"/>
    <n v="0"/>
  </r>
  <r>
    <s v="P444980"/>
    <x v="709"/>
    <n v="6169"/>
    <x v="3"/>
    <x v="3"/>
    <n v="34503"/>
    <s v="10K–50K"/>
    <x v="2"/>
    <n v="4.1878000000000002"/>
    <s v="Yes"/>
    <x v="0"/>
    <n v="394"/>
    <n v="42"/>
    <x v="0"/>
    <n v="0"/>
    <n v="0"/>
  </r>
  <r>
    <s v="P454388"/>
    <x v="710"/>
    <n v="5987"/>
    <x v="9"/>
    <x v="7"/>
    <n v="20710"/>
    <s v="10K–50K"/>
    <x v="2"/>
    <n v="3.9470000000000001"/>
    <s v="Yes"/>
    <x v="1"/>
    <n v="396"/>
    <n v="15"/>
    <x v="1"/>
    <n v="0"/>
    <n v="0"/>
  </r>
  <r>
    <s v="P454387"/>
    <x v="711"/>
    <n v="5987"/>
    <x v="9"/>
    <x v="4"/>
    <n v="42598"/>
    <s v="10K–50K"/>
    <x v="2"/>
    <n v="3.9470000000000001"/>
    <s v="Yes"/>
    <x v="1"/>
    <n v="396"/>
    <n v="38"/>
    <x v="0"/>
    <n v="0"/>
    <n v="0"/>
  </r>
  <r>
    <s v="P462666"/>
    <x v="712"/>
    <n v="2082"/>
    <x v="63"/>
    <x v="8"/>
    <n v="15015"/>
    <s v="10K–50K"/>
    <x v="2"/>
    <n v="4.5945"/>
    <s v="Yes"/>
    <x v="0"/>
    <n v="397"/>
    <n v="90"/>
    <x v="2"/>
    <n v="0"/>
    <n v="0"/>
  </r>
  <r>
    <s v="P475185"/>
    <x v="713"/>
    <n v="6373"/>
    <x v="83"/>
    <x v="3"/>
    <n v="12166"/>
    <s v="10K–50K"/>
    <x v="2"/>
    <n v="4.1883999999999997"/>
    <s v="Yes"/>
    <x v="0"/>
    <n v="398"/>
    <n v="54"/>
    <x v="2"/>
    <n v="0"/>
    <n v="0"/>
  </r>
  <r>
    <s v="P428816"/>
    <x v="714"/>
    <n v="6207"/>
    <x v="50"/>
    <x v="8"/>
    <n v="24957"/>
    <s v="10K–50K"/>
    <x v="2"/>
    <n v="3.7915000000000001"/>
    <s v="Yes"/>
    <x v="1"/>
    <n v="398"/>
    <n v="42"/>
    <x v="0"/>
    <n v="0"/>
    <n v="0"/>
  </r>
  <r>
    <s v="P432262"/>
    <x v="715"/>
    <n v="5626"/>
    <x v="64"/>
    <x v="6"/>
    <n v="33699"/>
    <s v="10K–50K"/>
    <x v="2"/>
    <n v="3.88"/>
    <s v="Yes"/>
    <x v="1"/>
    <n v="400"/>
    <n v="33"/>
    <x v="0"/>
    <n v="0"/>
    <n v="0"/>
  </r>
  <r>
    <s v="P392239"/>
    <x v="716"/>
    <n v="5671"/>
    <x v="79"/>
    <x v="0"/>
    <n v="20830"/>
    <s v="10K–50K"/>
    <x v="2"/>
    <n v="4.0998000000000001"/>
    <s v="Yes"/>
    <x v="0"/>
    <n v="401"/>
    <n v="7"/>
    <x v="1"/>
    <n v="0"/>
    <n v="0"/>
  </r>
  <r>
    <s v="P394826"/>
    <x v="717"/>
    <n v="7050"/>
    <x v="58"/>
    <x v="9"/>
    <n v="31935"/>
    <s v="10K–50K"/>
    <x v="2"/>
    <n v="4.2643000000000004"/>
    <s v="Yes"/>
    <x v="0"/>
    <n v="401"/>
    <n v="26"/>
    <x v="0"/>
    <n v="0"/>
    <n v="0"/>
  </r>
  <r>
    <s v="P456206"/>
    <x v="718"/>
    <n v="5626"/>
    <x v="64"/>
    <x v="6"/>
    <n v="10541"/>
    <s v="10K–50K"/>
    <x v="2"/>
    <n v="4.3905000000000003"/>
    <s v="Yes"/>
    <x v="0"/>
    <n v="402"/>
    <n v="45"/>
    <x v="0"/>
    <n v="0"/>
    <n v="0"/>
  </r>
  <r>
    <s v="P434361"/>
    <x v="719"/>
    <n v="3733"/>
    <x v="22"/>
    <x v="3"/>
    <n v="10847"/>
    <s v="10K–50K"/>
    <x v="2"/>
    <n v="4.3357999999999999"/>
    <s v="Yes"/>
    <x v="0"/>
    <n v="402"/>
    <n v="52"/>
    <x v="2"/>
    <n v="0"/>
    <n v="0"/>
  </r>
  <r>
    <s v="P270544"/>
    <x v="720"/>
    <n v="5644"/>
    <x v="26"/>
    <x v="8"/>
    <n v="21441"/>
    <s v="10K–50K"/>
    <x v="2"/>
    <n v="4.0990000000000002"/>
    <s v="Yes"/>
    <x v="0"/>
    <n v="404"/>
    <n v="58"/>
    <x v="2"/>
    <n v="0"/>
    <n v="0"/>
  </r>
  <r>
    <s v="P480285"/>
    <x v="721"/>
    <n v="4171"/>
    <x v="23"/>
    <x v="8"/>
    <n v="29708"/>
    <s v="10K–50K"/>
    <x v="2"/>
    <n v="4.6139000000000001"/>
    <s v="Yes"/>
    <x v="0"/>
    <n v="404"/>
    <n v="85"/>
    <x v="2"/>
    <n v="0"/>
    <n v="0"/>
  </r>
  <r>
    <s v="P435800"/>
    <x v="722"/>
    <n v="6226"/>
    <x v="84"/>
    <x v="1"/>
    <n v="43083"/>
    <s v="10K–50K"/>
    <x v="2"/>
    <n v="4.5469999999999997"/>
    <s v="Yes"/>
    <x v="0"/>
    <n v="404"/>
    <n v="42"/>
    <x v="0"/>
    <n v="0"/>
    <n v="0"/>
  </r>
  <r>
    <s v="P469522"/>
    <x v="723"/>
    <n v="6341"/>
    <x v="12"/>
    <x v="4"/>
    <n v="43866"/>
    <s v="10K–50K"/>
    <x v="2"/>
    <n v="4.2690999999999999"/>
    <s v="Yes"/>
    <x v="0"/>
    <n v="405"/>
    <n v="37"/>
    <x v="0"/>
    <n v="0"/>
    <n v="0"/>
  </r>
  <r>
    <s v="P475182"/>
    <x v="724"/>
    <n v="6373"/>
    <x v="83"/>
    <x v="2"/>
    <n v="11798"/>
    <s v="10K–50K"/>
    <x v="2"/>
    <n v="3.9064000000000001"/>
    <s v="Yes"/>
    <x v="1"/>
    <n v="406"/>
    <n v="34"/>
    <x v="0"/>
    <n v="0"/>
    <n v="0"/>
  </r>
  <r>
    <s v="P476730"/>
    <x v="725"/>
    <n v="6307"/>
    <x v="77"/>
    <x v="7"/>
    <n v="23559"/>
    <s v="10K–50K"/>
    <x v="2"/>
    <n v="4.4531999999999998"/>
    <s v="Yes"/>
    <x v="0"/>
    <n v="406"/>
    <n v="13"/>
    <x v="1"/>
    <n v="0"/>
    <n v="0"/>
  </r>
  <r>
    <s v="P450633"/>
    <x v="726"/>
    <n v="6307"/>
    <x v="77"/>
    <x v="2"/>
    <n v="31523"/>
    <s v="10K–50K"/>
    <x v="2"/>
    <n v="4.4531999999999998"/>
    <s v="Yes"/>
    <x v="0"/>
    <n v="406"/>
    <n v="40"/>
    <x v="0"/>
    <n v="0"/>
    <n v="0"/>
  </r>
  <r>
    <s v="P476876"/>
    <x v="727"/>
    <n v="6207"/>
    <x v="50"/>
    <x v="8"/>
    <n v="16219"/>
    <s v="10K–50K"/>
    <x v="2"/>
    <n v="4.6224999999999996"/>
    <s v="Yes"/>
    <x v="0"/>
    <n v="408"/>
    <n v="58"/>
    <x v="2"/>
    <n v="0"/>
    <n v="0"/>
  </r>
  <r>
    <s v="P503891"/>
    <x v="728"/>
    <n v="6295"/>
    <x v="28"/>
    <x v="3"/>
    <n v="13619"/>
    <s v="10K–50K"/>
    <x v="2"/>
    <n v="4.7298999999999998"/>
    <s v="Yes"/>
    <x v="0"/>
    <n v="411"/>
    <n v="29"/>
    <x v="0"/>
    <n v="0"/>
    <n v="0"/>
  </r>
  <r>
    <s v="P454837"/>
    <x v="729"/>
    <n v="6175"/>
    <x v="59"/>
    <x v="3"/>
    <n v="15582"/>
    <s v="10K–50K"/>
    <x v="2"/>
    <n v="4.4599000000000002"/>
    <s v="Yes"/>
    <x v="0"/>
    <n v="411"/>
    <n v="58"/>
    <x v="2"/>
    <n v="0"/>
    <n v="0"/>
  </r>
  <r>
    <s v="P426829"/>
    <x v="730"/>
    <n v="6175"/>
    <x v="59"/>
    <x v="2"/>
    <n v="24647"/>
    <s v="10K–50K"/>
    <x v="2"/>
    <n v="4.4757999999999996"/>
    <s v="Yes"/>
    <x v="0"/>
    <n v="414"/>
    <n v="29"/>
    <x v="0"/>
    <n v="0"/>
    <n v="0"/>
  </r>
  <r>
    <s v="P377368"/>
    <x v="731"/>
    <n v="5946"/>
    <x v="80"/>
    <x v="1"/>
    <n v="29199"/>
    <s v="10K–50K"/>
    <x v="2"/>
    <n v="4.0530999999999997"/>
    <s v="Yes"/>
    <x v="0"/>
    <n v="414"/>
    <n v="56"/>
    <x v="2"/>
    <n v="0"/>
    <n v="0"/>
  </r>
  <r>
    <s v="P460624"/>
    <x v="732"/>
    <n v="6219"/>
    <x v="39"/>
    <x v="10"/>
    <n v="21230"/>
    <s v="10K–50K"/>
    <x v="2"/>
    <n v="4.6265000000000001"/>
    <s v="Yes"/>
    <x v="0"/>
    <n v="415"/>
    <n v="39.5"/>
    <x v="0"/>
    <n v="0"/>
    <n v="0"/>
  </r>
  <r>
    <s v="P442990"/>
    <x v="733"/>
    <n v="5857"/>
    <x v="51"/>
    <x v="4"/>
    <n v="13299"/>
    <s v="10K–50K"/>
    <x v="2"/>
    <n v="3.3557999999999999"/>
    <s v="Yes"/>
    <x v="1"/>
    <n v="416"/>
    <n v="40"/>
    <x v="0"/>
    <n v="0"/>
    <n v="0"/>
  </r>
  <r>
    <s v="P504007"/>
    <x v="734"/>
    <n v="6014"/>
    <x v="17"/>
    <x v="3"/>
    <n v="16300"/>
    <s v="10K–50K"/>
    <x v="2"/>
    <n v="4.6090999999999998"/>
    <s v="Yes"/>
    <x v="0"/>
    <n v="417"/>
    <n v="48"/>
    <x v="0"/>
    <n v="1"/>
    <n v="0"/>
  </r>
  <r>
    <s v="P420158"/>
    <x v="735"/>
    <n v="4348"/>
    <x v="11"/>
    <x v="3"/>
    <n v="36763"/>
    <s v="10K–50K"/>
    <x v="2"/>
    <n v="4.2411000000000003"/>
    <s v="Yes"/>
    <x v="0"/>
    <n v="419"/>
    <n v="48"/>
    <x v="0"/>
    <n v="0"/>
    <n v="0"/>
  </r>
  <r>
    <s v="P442837"/>
    <x v="736"/>
    <n v="6289"/>
    <x v="19"/>
    <x v="1"/>
    <n v="24567"/>
    <s v="10K–50K"/>
    <x v="2"/>
    <n v="4.6380999999999997"/>
    <s v="Yes"/>
    <x v="0"/>
    <n v="420"/>
    <n v="50"/>
    <x v="0"/>
    <n v="0"/>
    <n v="0"/>
  </r>
  <r>
    <s v="P438618"/>
    <x v="737"/>
    <n v="3902"/>
    <x v="13"/>
    <x v="2"/>
    <n v="43752"/>
    <s v="10K–50K"/>
    <x v="2"/>
    <n v="4.6285999999999996"/>
    <s v="Yes"/>
    <x v="0"/>
    <n v="420"/>
    <n v="12"/>
    <x v="1"/>
    <n v="0"/>
    <n v="0"/>
  </r>
  <r>
    <s v="P500019"/>
    <x v="738"/>
    <n v="7075"/>
    <x v="14"/>
    <x v="4"/>
    <n v="11146"/>
    <s v="10K–50K"/>
    <x v="2"/>
    <n v="4.5247999999999999"/>
    <s v="Yes"/>
    <x v="0"/>
    <n v="423"/>
    <n v="38"/>
    <x v="0"/>
    <n v="0"/>
    <n v="0"/>
  </r>
  <r>
    <s v="P479348"/>
    <x v="739"/>
    <n v="6289"/>
    <x v="19"/>
    <x v="1"/>
    <n v="26189"/>
    <s v="10K–50K"/>
    <x v="2"/>
    <n v="4.6306000000000003"/>
    <s v="Yes"/>
    <x v="0"/>
    <n v="425"/>
    <n v="30"/>
    <x v="0"/>
    <n v="0"/>
    <n v="0"/>
  </r>
  <r>
    <s v="P503693"/>
    <x v="740"/>
    <n v="7083"/>
    <x v="2"/>
    <x v="1"/>
    <n v="27212"/>
    <s v="10K–50K"/>
    <x v="2"/>
    <n v="4.4859"/>
    <s v="Yes"/>
    <x v="0"/>
    <n v="426"/>
    <n v="68"/>
    <x v="2"/>
    <n v="0"/>
    <n v="0"/>
  </r>
  <r>
    <s v="P474340"/>
    <x v="741"/>
    <n v="5715"/>
    <x v="72"/>
    <x v="3"/>
    <n v="13454"/>
    <s v="10K–50K"/>
    <x v="2"/>
    <n v="4.5877999999999997"/>
    <s v="Yes"/>
    <x v="0"/>
    <n v="427"/>
    <n v="50"/>
    <x v="0"/>
    <n v="0"/>
    <n v="0"/>
  </r>
  <r>
    <s v="P467247"/>
    <x v="742"/>
    <n v="6352"/>
    <x v="35"/>
    <x v="2"/>
    <n v="42777"/>
    <s v="10K–50K"/>
    <x v="2"/>
    <n v="4.1029999999999998"/>
    <s v="Yes"/>
    <x v="0"/>
    <n v="427"/>
    <n v="28"/>
    <x v="0"/>
    <n v="0"/>
    <n v="0"/>
  </r>
  <r>
    <s v="P423142"/>
    <x v="743"/>
    <n v="6219"/>
    <x v="39"/>
    <x v="3"/>
    <n v="14546"/>
    <s v="10K–50K"/>
    <x v="2"/>
    <n v="4.6028000000000002"/>
    <s v="Yes"/>
    <x v="0"/>
    <n v="428"/>
    <n v="74"/>
    <x v="2"/>
    <n v="0"/>
    <n v="0"/>
  </r>
  <r>
    <s v="P501028"/>
    <x v="744"/>
    <n v="7083"/>
    <x v="2"/>
    <x v="8"/>
    <n v="19664"/>
    <s v="10K–50K"/>
    <x v="2"/>
    <n v="4.3971999999999998"/>
    <s v="Yes"/>
    <x v="0"/>
    <n v="428"/>
    <n v="60"/>
    <x v="2"/>
    <n v="0"/>
    <n v="1"/>
  </r>
  <r>
    <s v="P470507"/>
    <x v="745"/>
    <n v="6356"/>
    <x v="53"/>
    <x v="3"/>
    <n v="11428"/>
    <s v="10K–50K"/>
    <x v="2"/>
    <n v="4.3605"/>
    <s v="Yes"/>
    <x v="0"/>
    <n v="430"/>
    <n v="180"/>
    <x v="2"/>
    <n v="0"/>
    <n v="0"/>
  </r>
  <r>
    <s v="P479632"/>
    <x v="746"/>
    <n v="6014"/>
    <x v="17"/>
    <x v="1"/>
    <n v="17936"/>
    <s v="10K–50K"/>
    <x v="2"/>
    <n v="4.1694000000000004"/>
    <s v="Yes"/>
    <x v="0"/>
    <n v="431"/>
    <n v="45"/>
    <x v="0"/>
    <n v="0"/>
    <n v="0"/>
  </r>
  <r>
    <s v="P476415"/>
    <x v="747"/>
    <n v="6289"/>
    <x v="19"/>
    <x v="2"/>
    <n v="36209"/>
    <s v="10K–50K"/>
    <x v="2"/>
    <n v="4.5648"/>
    <s v="Yes"/>
    <x v="0"/>
    <n v="432"/>
    <n v="35"/>
    <x v="0"/>
    <n v="0"/>
    <n v="0"/>
  </r>
  <r>
    <s v="P473828"/>
    <x v="748"/>
    <n v="6014"/>
    <x v="17"/>
    <x v="8"/>
    <n v="20885"/>
    <s v="10K–50K"/>
    <x v="2"/>
    <n v="4.5472999999999999"/>
    <s v="Yes"/>
    <x v="0"/>
    <n v="433"/>
    <n v="40"/>
    <x v="0"/>
    <n v="0"/>
    <n v="0"/>
  </r>
  <r>
    <s v="P466163"/>
    <x v="749"/>
    <n v="6316"/>
    <x v="49"/>
    <x v="1"/>
    <n v="19684"/>
    <s v="10K–50K"/>
    <x v="2"/>
    <n v="4.6105999999999998"/>
    <s v="Yes"/>
    <x v="0"/>
    <n v="434"/>
    <n v="47"/>
    <x v="0"/>
    <n v="0"/>
    <n v="0"/>
  </r>
  <r>
    <s v="P479329"/>
    <x v="750"/>
    <n v="6218"/>
    <x v="20"/>
    <x v="5"/>
    <n v="29217"/>
    <s v="10K–50K"/>
    <x v="2"/>
    <n v="4.5461"/>
    <s v="Yes"/>
    <x v="0"/>
    <n v="434"/>
    <n v="45"/>
    <x v="0"/>
    <n v="0"/>
    <n v="0"/>
  </r>
  <r>
    <s v="P481340"/>
    <x v="751"/>
    <n v="5668"/>
    <x v="16"/>
    <x v="2"/>
    <n v="10330"/>
    <s v="10K–50K"/>
    <x v="2"/>
    <n v="4.3166000000000002"/>
    <s v="Yes"/>
    <x v="0"/>
    <n v="439"/>
    <n v="39"/>
    <x v="0"/>
    <n v="0"/>
    <n v="0"/>
  </r>
  <r>
    <s v="P468637"/>
    <x v="752"/>
    <n v="4171"/>
    <x v="23"/>
    <x v="2"/>
    <n v="15643"/>
    <s v="10K–50K"/>
    <x v="2"/>
    <n v="4.3098000000000001"/>
    <s v="Yes"/>
    <x v="0"/>
    <n v="439"/>
    <n v="30"/>
    <x v="0"/>
    <n v="0"/>
    <n v="0"/>
  </r>
  <r>
    <s v="P441220"/>
    <x v="753"/>
    <n v="5972"/>
    <x v="10"/>
    <x v="3"/>
    <n v="28615"/>
    <s v="10K–50K"/>
    <x v="2"/>
    <n v="4.3544999999999998"/>
    <s v="Yes"/>
    <x v="0"/>
    <n v="440"/>
    <n v="36"/>
    <x v="0"/>
    <n v="0"/>
    <n v="0"/>
  </r>
  <r>
    <s v="P481366"/>
    <x v="754"/>
    <n v="6742"/>
    <x v="95"/>
    <x v="4"/>
    <n v="15371"/>
    <s v="10K–50K"/>
    <x v="2"/>
    <n v="4.2896000000000001"/>
    <s v="Yes"/>
    <x v="0"/>
    <n v="442"/>
    <n v="34"/>
    <x v="0"/>
    <n v="1"/>
    <n v="0"/>
  </r>
  <r>
    <s v="P407448"/>
    <x v="755"/>
    <n v="5626"/>
    <x v="64"/>
    <x v="6"/>
    <n v="27207"/>
    <s v="10K–50K"/>
    <x v="2"/>
    <n v="4.1109"/>
    <s v="Yes"/>
    <x v="0"/>
    <n v="442"/>
    <n v="46"/>
    <x v="0"/>
    <n v="0"/>
    <n v="0"/>
  </r>
  <r>
    <s v="P448719"/>
    <x v="756"/>
    <n v="3728"/>
    <x v="41"/>
    <x v="1"/>
    <n v="16862"/>
    <s v="10K–50K"/>
    <x v="2"/>
    <n v="4.5778999999999996"/>
    <s v="Yes"/>
    <x v="0"/>
    <n v="443"/>
    <n v="88"/>
    <x v="2"/>
    <n v="0"/>
    <n v="0"/>
  </r>
  <r>
    <s v="P450262"/>
    <x v="757"/>
    <n v="6285"/>
    <x v="21"/>
    <x v="2"/>
    <n v="43383"/>
    <s v="10K–50K"/>
    <x v="2"/>
    <n v="4.2618999999999998"/>
    <s v="Yes"/>
    <x v="0"/>
    <n v="443"/>
    <n v="12.99"/>
    <x v="1"/>
    <n v="0"/>
    <n v="0"/>
  </r>
  <r>
    <s v="P453226"/>
    <x v="758"/>
    <n v="5987"/>
    <x v="9"/>
    <x v="8"/>
    <n v="26354"/>
    <s v="10K–50K"/>
    <x v="2"/>
    <n v="3.6044999999999998"/>
    <s v="Yes"/>
    <x v="1"/>
    <n v="445"/>
    <n v="40"/>
    <x v="0"/>
    <n v="0"/>
    <n v="1"/>
  </r>
  <r>
    <s v="P268700"/>
    <x v="759"/>
    <n v="4164"/>
    <x v="54"/>
    <x v="3"/>
    <n v="17680"/>
    <s v="10K–50K"/>
    <x v="2"/>
    <n v="4.3564999999999996"/>
    <s v="Yes"/>
    <x v="0"/>
    <n v="446"/>
    <n v="83"/>
    <x v="2"/>
    <n v="0"/>
    <n v="0"/>
  </r>
  <r>
    <s v="P439057"/>
    <x v="760"/>
    <n v="6175"/>
    <x v="59"/>
    <x v="3"/>
    <n v="14365"/>
    <s v="10K–50K"/>
    <x v="2"/>
    <n v="4.5826000000000002"/>
    <s v="Yes"/>
    <x v="0"/>
    <n v="448"/>
    <n v="45"/>
    <x v="0"/>
    <n v="0"/>
    <n v="0"/>
  </r>
  <r>
    <s v="P392248"/>
    <x v="761"/>
    <n v="7083"/>
    <x v="2"/>
    <x v="2"/>
    <n v="20586"/>
    <s v="10K–50K"/>
    <x v="2"/>
    <n v="4.4633000000000003"/>
    <s v="Yes"/>
    <x v="0"/>
    <n v="449"/>
    <n v="28"/>
    <x v="0"/>
    <n v="0"/>
    <n v="0"/>
  </r>
  <r>
    <s v="P500993"/>
    <x v="762"/>
    <n v="6323"/>
    <x v="96"/>
    <x v="4"/>
    <n v="11896"/>
    <s v="10K–50K"/>
    <x v="2"/>
    <n v="4.5321999999999996"/>
    <s v="Yes"/>
    <x v="0"/>
    <n v="451"/>
    <n v="25"/>
    <x v="0"/>
    <n v="0"/>
    <n v="0"/>
  </r>
  <r>
    <s v="P442535"/>
    <x v="763"/>
    <n v="3902"/>
    <x v="13"/>
    <x v="1"/>
    <n v="45067"/>
    <s v="10K–50K"/>
    <x v="2"/>
    <n v="3.9956"/>
    <s v="Yes"/>
    <x v="1"/>
    <n v="452"/>
    <n v="15"/>
    <x v="1"/>
    <n v="0"/>
    <n v="1"/>
  </r>
  <r>
    <s v="P500288"/>
    <x v="764"/>
    <n v="8001"/>
    <x v="4"/>
    <x v="1"/>
    <n v="24674"/>
    <s v="10K–50K"/>
    <x v="2"/>
    <n v="4.766"/>
    <s v="Yes"/>
    <x v="0"/>
    <n v="453"/>
    <n v="60"/>
    <x v="2"/>
    <n v="0"/>
    <n v="0"/>
  </r>
  <r>
    <s v="P503668"/>
    <x v="765"/>
    <n v="6289"/>
    <x v="19"/>
    <x v="1"/>
    <n v="20730"/>
    <s v="10K–50K"/>
    <x v="2"/>
    <n v="4.8242000000000003"/>
    <s v="Yes"/>
    <x v="0"/>
    <n v="455"/>
    <n v="69"/>
    <x v="2"/>
    <n v="0"/>
    <n v="0"/>
  </r>
  <r>
    <s v="P470057"/>
    <x v="766"/>
    <n v="5987"/>
    <x v="9"/>
    <x v="4"/>
    <n v="21689"/>
    <s v="10K–50K"/>
    <x v="2"/>
    <n v="3.9472999999999998"/>
    <s v="Yes"/>
    <x v="1"/>
    <n v="455"/>
    <n v="38"/>
    <x v="0"/>
    <n v="0"/>
    <n v="0"/>
  </r>
  <r>
    <s v="P504071"/>
    <x v="767"/>
    <n v="6156"/>
    <x v="105"/>
    <x v="8"/>
    <n v="35799"/>
    <s v="10K–50K"/>
    <x v="2"/>
    <n v="4.4004000000000003"/>
    <s v="Yes"/>
    <x v="0"/>
    <n v="457"/>
    <n v="46"/>
    <x v="0"/>
    <n v="0"/>
    <n v="0"/>
  </r>
  <r>
    <s v="P196524"/>
    <x v="768"/>
    <n v="1254"/>
    <x v="24"/>
    <x v="2"/>
    <n v="17889"/>
    <s v="10K–50K"/>
    <x v="2"/>
    <n v="4.3638000000000003"/>
    <s v="Yes"/>
    <x v="0"/>
    <n v="459"/>
    <n v="19.5"/>
    <x v="1"/>
    <n v="0"/>
    <n v="0"/>
  </r>
  <r>
    <s v="P474939"/>
    <x v="769"/>
    <n v="4171"/>
    <x v="23"/>
    <x v="2"/>
    <n v="21937"/>
    <s v="10K–50K"/>
    <x v="2"/>
    <n v="4.0414000000000003"/>
    <s v="Yes"/>
    <x v="0"/>
    <n v="459"/>
    <n v="30"/>
    <x v="0"/>
    <n v="0"/>
    <n v="0"/>
  </r>
  <r>
    <s v="P442843"/>
    <x v="770"/>
    <n v="6289"/>
    <x v="19"/>
    <x v="3"/>
    <n v="16974"/>
    <s v="10K–50K"/>
    <x v="2"/>
    <n v="4.2108999999999996"/>
    <s v="Yes"/>
    <x v="0"/>
    <n v="460"/>
    <n v="29"/>
    <x v="0"/>
    <n v="0"/>
    <n v="0"/>
  </r>
  <r>
    <s v="P377577"/>
    <x v="771"/>
    <n v="1254"/>
    <x v="24"/>
    <x v="5"/>
    <n v="33104"/>
    <s v="10K–50K"/>
    <x v="2"/>
    <n v="4.4771999999999998"/>
    <s v="Yes"/>
    <x v="0"/>
    <n v="461"/>
    <n v="40"/>
    <x v="0"/>
    <n v="0"/>
    <n v="0"/>
  </r>
  <r>
    <s v="P455237"/>
    <x v="772"/>
    <n v="6312"/>
    <x v="87"/>
    <x v="3"/>
    <n v="17458"/>
    <s v="10K–50K"/>
    <x v="2"/>
    <n v="4.5140000000000002"/>
    <s v="Yes"/>
    <x v="0"/>
    <n v="465"/>
    <n v="60"/>
    <x v="2"/>
    <n v="0"/>
    <n v="0"/>
  </r>
  <r>
    <s v="P470243"/>
    <x v="773"/>
    <n v="3728"/>
    <x v="41"/>
    <x v="2"/>
    <n v="11835"/>
    <s v="10K–50K"/>
    <x v="2"/>
    <n v="4.4935999999999998"/>
    <s v="Yes"/>
    <x v="0"/>
    <n v="466"/>
    <n v="68"/>
    <x v="2"/>
    <n v="0"/>
    <n v="0"/>
  </r>
  <r>
    <s v="P500744"/>
    <x v="774"/>
    <n v="3902"/>
    <x v="13"/>
    <x v="0"/>
    <n v="24932"/>
    <s v="10K–50K"/>
    <x v="2"/>
    <n v="4.5128000000000004"/>
    <s v="Yes"/>
    <x v="0"/>
    <n v="470"/>
    <n v="7"/>
    <x v="1"/>
    <n v="0"/>
    <n v="0"/>
  </r>
  <r>
    <s v="P443359"/>
    <x v="775"/>
    <n v="6219"/>
    <x v="39"/>
    <x v="3"/>
    <n v="12290"/>
    <s v="10K–50K"/>
    <x v="2"/>
    <n v="4.6055000000000001"/>
    <s v="Yes"/>
    <x v="0"/>
    <n v="474"/>
    <n v="74"/>
    <x v="2"/>
    <n v="0"/>
    <n v="0"/>
  </r>
  <r>
    <s v="P271682"/>
    <x v="776"/>
    <n v="3728"/>
    <x v="41"/>
    <x v="1"/>
    <n v="19631"/>
    <s v="10K–50K"/>
    <x v="2"/>
    <n v="3.5567000000000002"/>
    <s v="Yes"/>
    <x v="1"/>
    <n v="476"/>
    <n v="49"/>
    <x v="0"/>
    <n v="0"/>
    <n v="0"/>
  </r>
  <r>
    <s v="P457512"/>
    <x v="777"/>
    <n v="5857"/>
    <x v="51"/>
    <x v="3"/>
    <n v="20807"/>
    <s v="10K–50K"/>
    <x v="2"/>
    <n v="4.1407999999999996"/>
    <s v="Yes"/>
    <x v="0"/>
    <n v="476"/>
    <n v="55"/>
    <x v="2"/>
    <n v="0"/>
    <n v="0"/>
  </r>
  <r>
    <s v="P437981"/>
    <x v="778"/>
    <n v="6117"/>
    <x v="33"/>
    <x v="3"/>
    <n v="42381"/>
    <s v="10K–50K"/>
    <x v="2"/>
    <n v="4.3291000000000004"/>
    <s v="Yes"/>
    <x v="0"/>
    <n v="477"/>
    <n v="50"/>
    <x v="0"/>
    <n v="0"/>
    <n v="0"/>
  </r>
  <r>
    <s v="P502966"/>
    <x v="779"/>
    <n v="6338"/>
    <x v="106"/>
    <x v="1"/>
    <n v="45008"/>
    <s v="10K–50K"/>
    <x v="2"/>
    <n v="4.6486000000000001"/>
    <s v="Yes"/>
    <x v="0"/>
    <n v="481"/>
    <n v="38"/>
    <x v="0"/>
    <n v="0"/>
    <n v="0"/>
  </r>
  <r>
    <s v="P457521"/>
    <x v="780"/>
    <n v="6014"/>
    <x v="17"/>
    <x v="4"/>
    <n v="29897"/>
    <s v="10K–50K"/>
    <x v="2"/>
    <n v="4.4336000000000002"/>
    <s v="Yes"/>
    <x v="0"/>
    <n v="482"/>
    <n v="40"/>
    <x v="0"/>
    <n v="0"/>
    <n v="0"/>
  </r>
  <r>
    <s v="P466661"/>
    <x v="781"/>
    <n v="8001"/>
    <x v="4"/>
    <x v="2"/>
    <n v="40927"/>
    <s v="10K–50K"/>
    <x v="2"/>
    <n v="4.5747"/>
    <s v="Yes"/>
    <x v="0"/>
    <n v="482"/>
    <n v="28"/>
    <x v="0"/>
    <n v="0"/>
    <n v="0"/>
  </r>
  <r>
    <s v="P481169"/>
    <x v="782"/>
    <n v="6041"/>
    <x v="6"/>
    <x v="4"/>
    <n v="37047"/>
    <s v="10K–50K"/>
    <x v="2"/>
    <n v="3.3975"/>
    <s v="Yes"/>
    <x v="1"/>
    <n v="483"/>
    <n v="62"/>
    <x v="2"/>
    <n v="0"/>
    <n v="0"/>
  </r>
  <r>
    <s v="P479645"/>
    <x v="783"/>
    <n v="4164"/>
    <x v="54"/>
    <x v="1"/>
    <n v="10901"/>
    <s v="10K–50K"/>
    <x v="2"/>
    <n v="4.7252000000000001"/>
    <s v="Yes"/>
    <x v="0"/>
    <n v="484"/>
    <n v="79"/>
    <x v="2"/>
    <n v="0"/>
    <n v="1"/>
  </r>
  <r>
    <s v="P482074"/>
    <x v="784"/>
    <n v="6247"/>
    <x v="7"/>
    <x v="1"/>
    <n v="41405"/>
    <s v="10K–50K"/>
    <x v="2"/>
    <n v="4.7361000000000004"/>
    <s v="Yes"/>
    <x v="0"/>
    <n v="485"/>
    <n v="44"/>
    <x v="0"/>
    <n v="0"/>
    <n v="0"/>
  </r>
  <r>
    <s v="P394124"/>
    <x v="785"/>
    <n v="5922"/>
    <x v="31"/>
    <x v="4"/>
    <n v="20882"/>
    <s v="10K–50K"/>
    <x v="2"/>
    <n v="4.0122999999999998"/>
    <s v="Yes"/>
    <x v="0"/>
    <n v="487"/>
    <n v="38"/>
    <x v="0"/>
    <n v="0"/>
    <n v="0"/>
  </r>
  <r>
    <s v="P477985"/>
    <x v="786"/>
    <n v="7083"/>
    <x v="2"/>
    <x v="3"/>
    <n v="24791"/>
    <s v="10K–50K"/>
    <x v="2"/>
    <n v="4.5500999999999996"/>
    <s v="Yes"/>
    <x v="0"/>
    <n v="489"/>
    <n v="72"/>
    <x v="2"/>
    <n v="0"/>
    <n v="0"/>
  </r>
  <r>
    <s v="P426080"/>
    <x v="787"/>
    <n v="4348"/>
    <x v="11"/>
    <x v="5"/>
    <n v="33687"/>
    <s v="10K–50K"/>
    <x v="2"/>
    <n v="4.351"/>
    <s v="Yes"/>
    <x v="0"/>
    <n v="490"/>
    <n v="69"/>
    <x v="2"/>
    <n v="0"/>
    <n v="0"/>
  </r>
  <r>
    <s v="P428668"/>
    <x v="788"/>
    <n v="6149"/>
    <x v="69"/>
    <x v="8"/>
    <n v="47687"/>
    <s v="10K–50K"/>
    <x v="2"/>
    <n v="4.0796000000000001"/>
    <s v="Yes"/>
    <x v="0"/>
    <n v="490"/>
    <n v="26"/>
    <x v="0"/>
    <n v="0"/>
    <n v="0"/>
  </r>
  <r>
    <s v="P461177"/>
    <x v="789"/>
    <n v="6207"/>
    <x v="50"/>
    <x v="7"/>
    <n v="12716"/>
    <s v="10K–50K"/>
    <x v="2"/>
    <n v="4.1626000000000003"/>
    <s v="Yes"/>
    <x v="0"/>
    <n v="492"/>
    <n v="18"/>
    <x v="1"/>
    <n v="0"/>
    <n v="0"/>
  </r>
  <r>
    <s v="P433627"/>
    <x v="790"/>
    <n v="6207"/>
    <x v="50"/>
    <x v="5"/>
    <n v="40323"/>
    <s v="10K–50K"/>
    <x v="2"/>
    <n v="4.1626000000000003"/>
    <s v="Yes"/>
    <x v="0"/>
    <n v="492"/>
    <n v="52"/>
    <x v="2"/>
    <n v="0"/>
    <n v="0"/>
  </r>
  <r>
    <s v="P470509"/>
    <x v="791"/>
    <n v="6356"/>
    <x v="53"/>
    <x v="3"/>
    <n v="16116"/>
    <s v="10K–50K"/>
    <x v="2"/>
    <n v="4.2312000000000003"/>
    <s v="Yes"/>
    <x v="0"/>
    <n v="493"/>
    <n v="290"/>
    <x v="2"/>
    <n v="0"/>
    <n v="0"/>
  </r>
  <r>
    <s v="P440504"/>
    <x v="792"/>
    <n v="6247"/>
    <x v="7"/>
    <x v="5"/>
    <n v="47304"/>
    <s v="10K–50K"/>
    <x v="2"/>
    <n v="3.7972000000000001"/>
    <s v="Yes"/>
    <x v="1"/>
    <n v="493"/>
    <n v="54"/>
    <x v="2"/>
    <n v="0"/>
    <n v="1"/>
  </r>
  <r>
    <s v="P297531"/>
    <x v="793"/>
    <n v="3733"/>
    <x v="22"/>
    <x v="8"/>
    <n v="27439"/>
    <s v="10K–50K"/>
    <x v="2"/>
    <n v="4.0518999999999998"/>
    <s v="Yes"/>
    <x v="0"/>
    <n v="501"/>
    <n v="49"/>
    <x v="0"/>
    <n v="0"/>
    <n v="0"/>
  </r>
  <r>
    <s v="P471101"/>
    <x v="794"/>
    <n v="6289"/>
    <x v="19"/>
    <x v="1"/>
    <n v="27625"/>
    <s v="10K–50K"/>
    <x v="2"/>
    <n v="4.3712999999999997"/>
    <s v="Yes"/>
    <x v="0"/>
    <n v="501"/>
    <n v="50"/>
    <x v="0"/>
    <n v="0"/>
    <n v="0"/>
  </r>
  <r>
    <s v="P472453"/>
    <x v="795"/>
    <n v="4171"/>
    <x v="23"/>
    <x v="3"/>
    <n v="11425"/>
    <s v="10K–50K"/>
    <x v="2"/>
    <n v="4.0697000000000001"/>
    <s v="Yes"/>
    <x v="0"/>
    <n v="502"/>
    <n v="45"/>
    <x v="0"/>
    <n v="0"/>
    <n v="0"/>
  </r>
  <r>
    <s v="P384537"/>
    <x v="796"/>
    <n v="6018"/>
    <x v="78"/>
    <x v="3"/>
    <n v="19733"/>
    <s v="10K–50K"/>
    <x v="2"/>
    <n v="4.2525000000000004"/>
    <s v="Yes"/>
    <x v="0"/>
    <n v="503"/>
    <n v="112"/>
    <x v="2"/>
    <n v="0"/>
    <n v="0"/>
  </r>
  <r>
    <s v="P432049"/>
    <x v="797"/>
    <n v="6226"/>
    <x v="84"/>
    <x v="9"/>
    <n v="17924"/>
    <s v="10K–50K"/>
    <x v="2"/>
    <n v="4.5583999999999998"/>
    <s v="Yes"/>
    <x v="0"/>
    <n v="505"/>
    <n v="49"/>
    <x v="0"/>
    <n v="0"/>
    <n v="0"/>
  </r>
  <r>
    <s v="P415620"/>
    <x v="798"/>
    <n v="5857"/>
    <x v="51"/>
    <x v="5"/>
    <n v="31464"/>
    <s v="10K–50K"/>
    <x v="2"/>
    <n v="4.5167999999999999"/>
    <s v="Yes"/>
    <x v="0"/>
    <n v="505"/>
    <n v="52"/>
    <x v="2"/>
    <n v="0"/>
    <n v="0"/>
  </r>
  <r>
    <s v="P391802"/>
    <x v="799"/>
    <n v="4372"/>
    <x v="97"/>
    <x v="1"/>
    <n v="15453"/>
    <s v="10K–50K"/>
    <x v="2"/>
    <n v="3.5158"/>
    <s v="Yes"/>
    <x v="1"/>
    <n v="506"/>
    <n v="89"/>
    <x v="2"/>
    <n v="0"/>
    <n v="0"/>
  </r>
  <r>
    <s v="P311143"/>
    <x v="800"/>
    <n v="6018"/>
    <x v="78"/>
    <x v="4"/>
    <n v="27278"/>
    <s v="10K–50K"/>
    <x v="2"/>
    <n v="4.4134000000000002"/>
    <s v="Yes"/>
    <x v="0"/>
    <n v="508"/>
    <n v="28"/>
    <x v="0"/>
    <n v="0"/>
    <n v="0"/>
  </r>
  <r>
    <s v="P456414"/>
    <x v="801"/>
    <n v="5715"/>
    <x v="72"/>
    <x v="5"/>
    <n v="12229"/>
    <s v="10K–50K"/>
    <x v="2"/>
    <n v="4.5049000000000001"/>
    <s v="Yes"/>
    <x v="0"/>
    <n v="509"/>
    <n v="52"/>
    <x v="2"/>
    <n v="0"/>
    <n v="0"/>
  </r>
  <r>
    <s v="P476843"/>
    <x v="802"/>
    <n v="6236"/>
    <x v="38"/>
    <x v="8"/>
    <n v="15008"/>
    <s v="10K–50K"/>
    <x v="2"/>
    <n v="4.3216000000000001"/>
    <s v="Yes"/>
    <x v="0"/>
    <n v="510"/>
    <n v="70"/>
    <x v="2"/>
    <n v="0"/>
    <n v="0"/>
  </r>
  <r>
    <s v="P7365"/>
    <x v="803"/>
    <n v="4164"/>
    <x v="54"/>
    <x v="9"/>
    <n v="12516"/>
    <s v="10K–50K"/>
    <x v="2"/>
    <n v="4.0723000000000003"/>
    <s v="Yes"/>
    <x v="0"/>
    <n v="512"/>
    <n v="50"/>
    <x v="0"/>
    <n v="0"/>
    <n v="1"/>
  </r>
  <r>
    <s v="P459127"/>
    <x v="804"/>
    <n v="6318"/>
    <x v="107"/>
    <x v="0"/>
    <n v="14302"/>
    <s v="10K–50K"/>
    <x v="2"/>
    <n v="4.5731000000000002"/>
    <s v="Yes"/>
    <x v="0"/>
    <n v="513"/>
    <n v="50"/>
    <x v="0"/>
    <n v="0"/>
    <n v="0"/>
  </r>
  <r>
    <s v="P472472"/>
    <x v="805"/>
    <n v="6218"/>
    <x v="20"/>
    <x v="3"/>
    <n v="22873"/>
    <s v="10K–50K"/>
    <x v="2"/>
    <n v="4.5602999999999998"/>
    <s v="Yes"/>
    <x v="0"/>
    <n v="514"/>
    <n v="60"/>
    <x v="2"/>
    <n v="0"/>
    <n v="0"/>
  </r>
  <r>
    <s v="P407450"/>
    <x v="806"/>
    <n v="5626"/>
    <x v="64"/>
    <x v="6"/>
    <n v="28627"/>
    <s v="10K–50K"/>
    <x v="2"/>
    <n v="4.2602000000000002"/>
    <s v="Yes"/>
    <x v="0"/>
    <n v="515"/>
    <n v="34"/>
    <x v="0"/>
    <n v="0"/>
    <n v="0"/>
  </r>
  <r>
    <s v="P500857"/>
    <x v="807"/>
    <n v="4164"/>
    <x v="54"/>
    <x v="1"/>
    <n v="15103"/>
    <s v="10K–50K"/>
    <x v="2"/>
    <n v="4.7073999999999998"/>
    <s v="Yes"/>
    <x v="0"/>
    <n v="516"/>
    <n v="45"/>
    <x v="0"/>
    <n v="0"/>
    <n v="0"/>
  </r>
  <r>
    <s v="P443841"/>
    <x v="808"/>
    <n v="6285"/>
    <x v="21"/>
    <x v="1"/>
    <n v="31769"/>
    <s v="10K–50K"/>
    <x v="2"/>
    <n v="3.0270999999999999"/>
    <s v="Yes"/>
    <x v="1"/>
    <n v="517"/>
    <n v="10.99"/>
    <x v="1"/>
    <n v="0"/>
    <n v="0"/>
  </r>
  <r>
    <s v="P479304"/>
    <x v="809"/>
    <n v="6195"/>
    <x v="27"/>
    <x v="1"/>
    <n v="47526"/>
    <s v="10K–50K"/>
    <x v="2"/>
    <n v="4.4721000000000002"/>
    <s v="Yes"/>
    <x v="0"/>
    <n v="519"/>
    <n v="68"/>
    <x v="2"/>
    <n v="0"/>
    <n v="0"/>
  </r>
  <r>
    <s v="P94812"/>
    <x v="810"/>
    <n v="2082"/>
    <x v="63"/>
    <x v="2"/>
    <n v="25054"/>
    <s v="10K–50K"/>
    <x v="2"/>
    <n v="4.6138000000000003"/>
    <s v="Yes"/>
    <x v="0"/>
    <n v="523"/>
    <n v="39"/>
    <x v="0"/>
    <n v="0"/>
    <n v="0"/>
  </r>
  <r>
    <s v="P460723"/>
    <x v="811"/>
    <n v="3902"/>
    <x v="13"/>
    <x v="2"/>
    <n v="26264"/>
    <s v="10K–50K"/>
    <x v="2"/>
    <n v="2.5640999999999998"/>
    <s v="Yes"/>
    <x v="2"/>
    <n v="523"/>
    <n v="6"/>
    <x v="1"/>
    <n v="0"/>
    <n v="0"/>
  </r>
  <r>
    <s v="P474060"/>
    <x v="812"/>
    <n v="6218"/>
    <x v="20"/>
    <x v="7"/>
    <n v="19428"/>
    <s v="10K–50K"/>
    <x v="2"/>
    <n v="4.5419999999999998"/>
    <s v="Yes"/>
    <x v="0"/>
    <n v="524"/>
    <n v="25"/>
    <x v="0"/>
    <n v="0"/>
    <n v="0"/>
  </r>
  <r>
    <s v="P482551"/>
    <x v="813"/>
    <n v="6073"/>
    <x v="15"/>
    <x v="3"/>
    <n v="16576"/>
    <s v="10K–50K"/>
    <x v="2"/>
    <n v="4.6660000000000004"/>
    <s v="Yes"/>
    <x v="0"/>
    <n v="527"/>
    <n v="65"/>
    <x v="2"/>
    <n v="0"/>
    <n v="0"/>
  </r>
  <r>
    <s v="P463353"/>
    <x v="814"/>
    <n v="5987"/>
    <x v="9"/>
    <x v="3"/>
    <n v="37695"/>
    <s v="10K–50K"/>
    <x v="2"/>
    <n v="3.4003999999999999"/>
    <s v="Yes"/>
    <x v="1"/>
    <n v="527"/>
    <n v="44"/>
    <x v="0"/>
    <n v="0"/>
    <n v="0"/>
  </r>
  <r>
    <s v="P453227"/>
    <x v="815"/>
    <n v="5674"/>
    <x v="25"/>
    <x v="2"/>
    <n v="48054"/>
    <s v="10K–50K"/>
    <x v="2"/>
    <n v="4.2371999999999996"/>
    <s v="Yes"/>
    <x v="0"/>
    <n v="527"/>
    <n v="33"/>
    <x v="0"/>
    <n v="0"/>
    <n v="0"/>
  </r>
  <r>
    <s v="P442003"/>
    <x v="816"/>
    <n v="4348"/>
    <x v="11"/>
    <x v="0"/>
    <n v="26121"/>
    <s v="10K–50K"/>
    <x v="2"/>
    <n v="4.0833000000000004"/>
    <s v="Yes"/>
    <x v="0"/>
    <n v="528"/>
    <n v="25"/>
    <x v="0"/>
    <n v="0"/>
    <n v="0"/>
  </r>
  <r>
    <s v="P474304"/>
    <x v="817"/>
    <n v="6195"/>
    <x v="27"/>
    <x v="2"/>
    <n v="39366"/>
    <s v="10K–50K"/>
    <x v="2"/>
    <n v="4.4071999999999996"/>
    <s v="Yes"/>
    <x v="0"/>
    <n v="528"/>
    <n v="28"/>
    <x v="0"/>
    <n v="0"/>
    <n v="0"/>
  </r>
  <r>
    <s v="P414293"/>
    <x v="818"/>
    <n v="8001"/>
    <x v="4"/>
    <x v="3"/>
    <n v="34646"/>
    <s v="10K–50K"/>
    <x v="2"/>
    <n v="4.4348000000000001"/>
    <s v="Yes"/>
    <x v="0"/>
    <n v="529"/>
    <n v="34"/>
    <x v="0"/>
    <n v="0"/>
    <n v="0"/>
  </r>
  <r>
    <s v="P446641"/>
    <x v="819"/>
    <n v="5922"/>
    <x v="31"/>
    <x v="1"/>
    <n v="12342"/>
    <s v="10K–50K"/>
    <x v="2"/>
    <n v="4.3955000000000002"/>
    <s v="Yes"/>
    <x v="0"/>
    <n v="531"/>
    <n v="66"/>
    <x v="2"/>
    <n v="0"/>
    <n v="0"/>
  </r>
  <r>
    <s v="P382204"/>
    <x v="820"/>
    <n v="3728"/>
    <x v="41"/>
    <x v="5"/>
    <n v="31288"/>
    <s v="10K–50K"/>
    <x v="2"/>
    <n v="4.1989000000000001"/>
    <s v="Yes"/>
    <x v="0"/>
    <n v="533"/>
    <n v="55"/>
    <x v="2"/>
    <n v="0"/>
    <n v="0"/>
  </r>
  <r>
    <s v="P504125"/>
    <x v="821"/>
    <n v="6189"/>
    <x v="5"/>
    <x v="1"/>
    <n v="31946"/>
    <s v="10K–50K"/>
    <x v="2"/>
    <n v="4.6859999999999999"/>
    <s v="Yes"/>
    <x v="0"/>
    <n v="535"/>
    <n v="32"/>
    <x v="0"/>
    <n v="1"/>
    <n v="0"/>
  </r>
  <r>
    <s v="P392608"/>
    <x v="822"/>
    <n v="3728"/>
    <x v="41"/>
    <x v="5"/>
    <n v="23860"/>
    <s v="10K–50K"/>
    <x v="2"/>
    <n v="4.3723999999999998"/>
    <s v="Yes"/>
    <x v="0"/>
    <n v="537"/>
    <n v="60"/>
    <x v="2"/>
    <n v="0"/>
    <n v="0"/>
  </r>
  <r>
    <s v="P445832"/>
    <x v="823"/>
    <n v="6219"/>
    <x v="39"/>
    <x v="2"/>
    <n v="15540"/>
    <s v="10K–50K"/>
    <x v="2"/>
    <n v="4.6303000000000001"/>
    <s v="Yes"/>
    <x v="0"/>
    <n v="541"/>
    <n v="42"/>
    <x v="0"/>
    <n v="0"/>
    <n v="0"/>
  </r>
  <r>
    <s v="P446934"/>
    <x v="824"/>
    <n v="4164"/>
    <x v="54"/>
    <x v="3"/>
    <n v="17782"/>
    <s v="10K–50K"/>
    <x v="2"/>
    <n v="3.9357000000000002"/>
    <s v="Yes"/>
    <x v="1"/>
    <n v="544"/>
    <n v="49"/>
    <x v="0"/>
    <n v="0"/>
    <n v="0"/>
  </r>
  <r>
    <s v="P442742"/>
    <x v="825"/>
    <n v="3728"/>
    <x v="41"/>
    <x v="1"/>
    <n v="16263"/>
    <s v="10K–50K"/>
    <x v="2"/>
    <n v="4.6452999999999998"/>
    <s v="Yes"/>
    <x v="0"/>
    <n v="547"/>
    <n v="55"/>
    <x v="2"/>
    <n v="0"/>
    <n v="0"/>
  </r>
  <r>
    <s v="P384821"/>
    <x v="826"/>
    <n v="1254"/>
    <x v="24"/>
    <x v="3"/>
    <n v="29640"/>
    <s v="10K–50K"/>
    <x v="2"/>
    <n v="4.3308999999999997"/>
    <s v="Yes"/>
    <x v="0"/>
    <n v="550"/>
    <n v="34.5"/>
    <x v="0"/>
    <n v="0"/>
    <n v="0"/>
  </r>
  <r>
    <s v="P448184"/>
    <x v="827"/>
    <n v="6014"/>
    <x v="17"/>
    <x v="3"/>
    <n v="23218"/>
    <s v="10K–50K"/>
    <x v="2"/>
    <n v="4.4314"/>
    <s v="Yes"/>
    <x v="0"/>
    <n v="554"/>
    <n v="25"/>
    <x v="0"/>
    <n v="0"/>
    <n v="1"/>
  </r>
  <r>
    <s v="P399932"/>
    <x v="828"/>
    <n v="3728"/>
    <x v="41"/>
    <x v="1"/>
    <n v="24178"/>
    <s v="10K–50K"/>
    <x v="2"/>
    <n v="3.4314"/>
    <s v="Yes"/>
    <x v="1"/>
    <n v="554"/>
    <n v="32"/>
    <x v="0"/>
    <n v="0"/>
    <n v="1"/>
  </r>
  <r>
    <s v="P469482"/>
    <x v="829"/>
    <n v="8008"/>
    <x v="18"/>
    <x v="6"/>
    <n v="34228"/>
    <s v="10K–50K"/>
    <x v="2"/>
    <n v="3.7378999999999998"/>
    <s v="Yes"/>
    <x v="1"/>
    <n v="557"/>
    <n v="28"/>
    <x v="0"/>
    <n v="0"/>
    <n v="0"/>
  </r>
  <r>
    <s v="P442564"/>
    <x v="830"/>
    <n v="6117"/>
    <x v="33"/>
    <x v="3"/>
    <n v="41254"/>
    <s v="10K–50K"/>
    <x v="2"/>
    <n v="4.3644999999999996"/>
    <s v="Yes"/>
    <x v="0"/>
    <n v="557"/>
    <n v="60"/>
    <x v="2"/>
    <n v="0"/>
    <n v="0"/>
  </r>
  <r>
    <s v="P479354"/>
    <x v="831"/>
    <n v="6285"/>
    <x v="21"/>
    <x v="3"/>
    <n v="42831"/>
    <s v="10K–50K"/>
    <x v="2"/>
    <n v="4.0730000000000004"/>
    <s v="Yes"/>
    <x v="0"/>
    <n v="562"/>
    <n v="10.99"/>
    <x v="1"/>
    <n v="0"/>
    <n v="0"/>
  </r>
  <r>
    <s v="P251529"/>
    <x v="832"/>
    <n v="3728"/>
    <x v="41"/>
    <x v="1"/>
    <n v="28361"/>
    <s v="10K–50K"/>
    <x v="2"/>
    <n v="4.3262"/>
    <s v="Yes"/>
    <x v="0"/>
    <n v="564"/>
    <n v="65"/>
    <x v="2"/>
    <n v="0"/>
    <n v="0"/>
  </r>
  <r>
    <s v="P432242"/>
    <x v="833"/>
    <n v="1254"/>
    <x v="24"/>
    <x v="2"/>
    <n v="24438"/>
    <s v="10K–50K"/>
    <x v="2"/>
    <n v="4.1124999999999998"/>
    <s v="Yes"/>
    <x v="0"/>
    <n v="569"/>
    <n v="26.5"/>
    <x v="0"/>
    <n v="0"/>
    <n v="0"/>
  </r>
  <r>
    <s v="P442839"/>
    <x v="834"/>
    <n v="6289"/>
    <x v="19"/>
    <x v="3"/>
    <n v="25515"/>
    <s v="10K–50K"/>
    <x v="2"/>
    <n v="4.6502999999999997"/>
    <s v="Yes"/>
    <x v="0"/>
    <n v="569"/>
    <n v="42"/>
    <x v="0"/>
    <n v="0"/>
    <n v="0"/>
  </r>
  <r>
    <s v="P503879"/>
    <x v="835"/>
    <n v="8001"/>
    <x v="4"/>
    <x v="8"/>
    <n v="28506"/>
    <s v="10K–50K"/>
    <x v="2"/>
    <n v="4.7118000000000002"/>
    <s v="Yes"/>
    <x v="0"/>
    <n v="569"/>
    <n v="45"/>
    <x v="0"/>
    <n v="0"/>
    <n v="0"/>
  </r>
  <r>
    <s v="P466154"/>
    <x v="836"/>
    <n v="5987"/>
    <x v="9"/>
    <x v="4"/>
    <n v="41804"/>
    <s v="10K–50K"/>
    <x v="2"/>
    <n v="3.6736"/>
    <s v="Yes"/>
    <x v="1"/>
    <n v="573"/>
    <n v="46"/>
    <x v="0"/>
    <n v="0"/>
    <n v="0"/>
  </r>
  <r>
    <s v="P500613"/>
    <x v="837"/>
    <n v="5674"/>
    <x v="25"/>
    <x v="8"/>
    <n v="45414"/>
    <s v="10K–50K"/>
    <x v="2"/>
    <n v="4.2016999999999998"/>
    <s v="Yes"/>
    <x v="0"/>
    <n v="575"/>
    <n v="42"/>
    <x v="0"/>
    <n v="0"/>
    <n v="0"/>
  </r>
  <r>
    <s v="P480177"/>
    <x v="838"/>
    <n v="6218"/>
    <x v="20"/>
    <x v="8"/>
    <n v="22539"/>
    <s v="10K–50K"/>
    <x v="2"/>
    <n v="4.5713999999999997"/>
    <s v="Yes"/>
    <x v="0"/>
    <n v="581"/>
    <n v="60"/>
    <x v="2"/>
    <n v="0"/>
    <n v="0"/>
  </r>
  <r>
    <s v="P201440"/>
    <x v="839"/>
    <n v="1254"/>
    <x v="24"/>
    <x v="3"/>
    <n v="19437"/>
    <s v="10K–50K"/>
    <x v="2"/>
    <n v="4.0050999999999997"/>
    <s v="Yes"/>
    <x v="0"/>
    <n v="583"/>
    <n v="56"/>
    <x v="2"/>
    <n v="0"/>
    <n v="0"/>
  </r>
  <r>
    <s v="P475630"/>
    <x v="840"/>
    <n v="6169"/>
    <x v="3"/>
    <x v="2"/>
    <n v="36699"/>
    <s v="10K–50K"/>
    <x v="2"/>
    <n v="4.6746999999999996"/>
    <s v="Yes"/>
    <x v="0"/>
    <n v="584"/>
    <n v="16"/>
    <x v="1"/>
    <n v="0"/>
    <n v="0"/>
  </r>
  <r>
    <s v="P421432"/>
    <x v="841"/>
    <n v="4164"/>
    <x v="54"/>
    <x v="1"/>
    <n v="41475"/>
    <s v="10K–50K"/>
    <x v="2"/>
    <n v="3.9253"/>
    <s v="Yes"/>
    <x v="1"/>
    <n v="589"/>
    <n v="26"/>
    <x v="0"/>
    <n v="0"/>
    <n v="0"/>
  </r>
  <r>
    <s v="P457864"/>
    <x v="842"/>
    <n v="6218"/>
    <x v="20"/>
    <x v="1"/>
    <n v="10302"/>
    <s v="10K–50K"/>
    <x v="2"/>
    <n v="4.2194000000000003"/>
    <s v="Yes"/>
    <x v="0"/>
    <n v="597"/>
    <n v="60"/>
    <x v="2"/>
    <n v="0"/>
    <n v="1"/>
  </r>
  <r>
    <s v="P474832"/>
    <x v="843"/>
    <n v="4348"/>
    <x v="11"/>
    <x v="0"/>
    <n v="21441"/>
    <s v="10K–50K"/>
    <x v="2"/>
    <n v="4.6973000000000003"/>
    <s v="Yes"/>
    <x v="0"/>
    <n v="598"/>
    <n v="28"/>
    <x v="0"/>
    <n v="0"/>
    <n v="0"/>
  </r>
  <r>
    <s v="P474840"/>
    <x v="844"/>
    <n v="6218"/>
    <x v="20"/>
    <x v="1"/>
    <n v="42766"/>
    <s v="10K–50K"/>
    <x v="2"/>
    <n v="4.4916"/>
    <s v="Yes"/>
    <x v="0"/>
    <n v="598"/>
    <n v="65"/>
    <x v="2"/>
    <n v="0"/>
    <n v="0"/>
  </r>
  <r>
    <s v="P453823"/>
    <x v="845"/>
    <n v="3728"/>
    <x v="41"/>
    <x v="8"/>
    <n v="15022"/>
    <s v="10K–50K"/>
    <x v="2"/>
    <n v="4.3254999999999999"/>
    <s v="Yes"/>
    <x v="0"/>
    <n v="599"/>
    <n v="55"/>
    <x v="2"/>
    <n v="0"/>
    <n v="0"/>
  </r>
  <r>
    <s v="P467126"/>
    <x v="846"/>
    <n v="6335"/>
    <x v="103"/>
    <x v="1"/>
    <n v="13307"/>
    <s v="10K–50K"/>
    <x v="2"/>
    <n v="3.9451999999999998"/>
    <s v="Yes"/>
    <x v="1"/>
    <n v="602"/>
    <n v="79"/>
    <x v="2"/>
    <n v="0"/>
    <n v="0"/>
  </r>
  <r>
    <s v="P483679"/>
    <x v="847"/>
    <n v="5674"/>
    <x v="25"/>
    <x v="3"/>
    <n v="24293"/>
    <s v="10K–50K"/>
    <x v="2"/>
    <n v="4.8140000000000001"/>
    <s v="Yes"/>
    <x v="0"/>
    <n v="602"/>
    <n v="48"/>
    <x v="0"/>
    <n v="0"/>
    <n v="0"/>
  </r>
  <r>
    <s v="P501005"/>
    <x v="848"/>
    <n v="6014"/>
    <x v="17"/>
    <x v="3"/>
    <n v="33513"/>
    <s v="10K–50K"/>
    <x v="2"/>
    <n v="4.3228999999999997"/>
    <s v="Yes"/>
    <x v="0"/>
    <n v="607"/>
    <n v="44"/>
    <x v="0"/>
    <n v="0"/>
    <n v="0"/>
  </r>
  <r>
    <s v="P232907"/>
    <x v="849"/>
    <n v="5946"/>
    <x v="80"/>
    <x v="1"/>
    <n v="28025"/>
    <s v="10K–50K"/>
    <x v="2"/>
    <n v="4.4599000000000002"/>
    <s v="Yes"/>
    <x v="0"/>
    <n v="611"/>
    <n v="56"/>
    <x v="2"/>
    <n v="0"/>
    <n v="0"/>
  </r>
  <r>
    <s v="P443843"/>
    <x v="850"/>
    <n v="6285"/>
    <x v="21"/>
    <x v="1"/>
    <n v="43585"/>
    <s v="10K–50K"/>
    <x v="2"/>
    <n v="4.3087999999999997"/>
    <s v="Yes"/>
    <x v="0"/>
    <n v="612"/>
    <n v="9.99"/>
    <x v="1"/>
    <n v="0"/>
    <n v="0"/>
  </r>
  <r>
    <s v="P443370"/>
    <x v="851"/>
    <n v="6219"/>
    <x v="39"/>
    <x v="1"/>
    <n v="21673"/>
    <s v="10K–50K"/>
    <x v="2"/>
    <n v="4.5713999999999997"/>
    <s v="Yes"/>
    <x v="0"/>
    <n v="616"/>
    <n v="95"/>
    <x v="2"/>
    <n v="0"/>
    <n v="0"/>
  </r>
  <r>
    <s v="P386754"/>
    <x v="852"/>
    <n v="7050"/>
    <x v="58"/>
    <x v="9"/>
    <n v="49678"/>
    <s v="10K–50K"/>
    <x v="2"/>
    <n v="4.0534999999999997"/>
    <s v="Yes"/>
    <x v="0"/>
    <n v="617"/>
    <n v="26"/>
    <x v="0"/>
    <n v="0"/>
    <n v="0"/>
  </r>
  <r>
    <s v="P477157"/>
    <x v="853"/>
    <n v="8001"/>
    <x v="4"/>
    <x v="2"/>
    <n v="22126"/>
    <s v="10K–50K"/>
    <x v="2"/>
    <n v="4.6494"/>
    <s v="Yes"/>
    <x v="0"/>
    <n v="619"/>
    <n v="36"/>
    <x v="0"/>
    <n v="0"/>
    <n v="0"/>
  </r>
  <r>
    <s v="P454019"/>
    <x v="854"/>
    <n v="6014"/>
    <x v="17"/>
    <x v="3"/>
    <n v="13761"/>
    <s v="10K–50K"/>
    <x v="2"/>
    <n v="4.2435"/>
    <s v="Yes"/>
    <x v="0"/>
    <n v="620"/>
    <n v="35"/>
    <x v="0"/>
    <n v="0"/>
    <n v="0"/>
  </r>
  <r>
    <s v="P503634"/>
    <x v="855"/>
    <n v="6189"/>
    <x v="5"/>
    <x v="2"/>
    <n v="30873"/>
    <s v="10K–50K"/>
    <x v="2"/>
    <n v="4.4386999999999999"/>
    <s v="Yes"/>
    <x v="0"/>
    <n v="620"/>
    <n v="28"/>
    <x v="0"/>
    <n v="1"/>
    <n v="0"/>
  </r>
  <r>
    <s v="P232910"/>
    <x v="856"/>
    <n v="5946"/>
    <x v="80"/>
    <x v="3"/>
    <n v="19623"/>
    <s v="10K–50K"/>
    <x v="2"/>
    <n v="4.0449000000000002"/>
    <s v="Yes"/>
    <x v="0"/>
    <n v="623"/>
    <n v="76"/>
    <x v="2"/>
    <n v="0"/>
    <n v="0"/>
  </r>
  <r>
    <s v="P396623"/>
    <x v="857"/>
    <n v="7091"/>
    <x v="71"/>
    <x v="4"/>
    <n v="34125"/>
    <s v="10K–50K"/>
    <x v="2"/>
    <n v="3.3066"/>
    <s v="Yes"/>
    <x v="1"/>
    <n v="623"/>
    <n v="36"/>
    <x v="0"/>
    <n v="0"/>
    <n v="0"/>
  </r>
  <r>
    <s v="P415667"/>
    <x v="858"/>
    <n v="5946"/>
    <x v="80"/>
    <x v="1"/>
    <n v="36518"/>
    <s v="10K–50K"/>
    <x v="2"/>
    <n v="4.2392000000000003"/>
    <s v="Yes"/>
    <x v="0"/>
    <n v="623"/>
    <n v="44"/>
    <x v="0"/>
    <n v="0"/>
    <n v="0"/>
  </r>
  <r>
    <s v="P436094"/>
    <x v="859"/>
    <n v="5857"/>
    <x v="51"/>
    <x v="3"/>
    <n v="38294"/>
    <s v="10K–50K"/>
    <x v="2"/>
    <n v="4.4863999999999997"/>
    <s v="Yes"/>
    <x v="0"/>
    <n v="623"/>
    <n v="55"/>
    <x v="2"/>
    <n v="0"/>
    <n v="0"/>
  </r>
  <r>
    <s v="P3550"/>
    <x v="860"/>
    <n v="3728"/>
    <x v="41"/>
    <x v="1"/>
    <n v="23319"/>
    <s v="10K–50K"/>
    <x v="2"/>
    <n v="4.2767999999999997"/>
    <s v="Yes"/>
    <x v="0"/>
    <n v="625"/>
    <n v="48"/>
    <x v="0"/>
    <n v="0"/>
    <n v="0"/>
  </r>
  <r>
    <s v="P283106"/>
    <x v="861"/>
    <n v="3728"/>
    <x v="41"/>
    <x v="8"/>
    <n v="47539"/>
    <s v="10K–50K"/>
    <x v="2"/>
    <n v="3.3254000000000001"/>
    <s v="Yes"/>
    <x v="1"/>
    <n v="627"/>
    <n v="38"/>
    <x v="0"/>
    <n v="0"/>
    <n v="0"/>
  </r>
  <r>
    <s v="P477830"/>
    <x v="862"/>
    <n v="6169"/>
    <x v="3"/>
    <x v="2"/>
    <n v="30088"/>
    <s v="10K–50K"/>
    <x v="2"/>
    <n v="4.3868999999999998"/>
    <s v="Yes"/>
    <x v="0"/>
    <n v="628"/>
    <n v="39"/>
    <x v="0"/>
    <n v="0"/>
    <n v="0"/>
  </r>
  <r>
    <s v="P460747"/>
    <x v="863"/>
    <n v="6117"/>
    <x v="33"/>
    <x v="2"/>
    <n v="41051"/>
    <s v="10K–50K"/>
    <x v="2"/>
    <n v="4.3577000000000004"/>
    <s v="Yes"/>
    <x v="0"/>
    <n v="629"/>
    <n v="26"/>
    <x v="0"/>
    <n v="0"/>
    <n v="0"/>
  </r>
  <r>
    <s v="P466134"/>
    <x v="864"/>
    <n v="6125"/>
    <x v="0"/>
    <x v="3"/>
    <n v="45923"/>
    <s v="10K–50K"/>
    <x v="2"/>
    <n v="4.4912999999999998"/>
    <s v="Yes"/>
    <x v="0"/>
    <n v="631"/>
    <n v="35"/>
    <x v="0"/>
    <n v="0"/>
    <n v="0"/>
  </r>
  <r>
    <s v="P427638"/>
    <x v="865"/>
    <n v="4164"/>
    <x v="54"/>
    <x v="3"/>
    <n v="21135"/>
    <s v="10K–50K"/>
    <x v="2"/>
    <n v="4.4755000000000003"/>
    <s v="Yes"/>
    <x v="0"/>
    <n v="633"/>
    <n v="71"/>
    <x v="2"/>
    <n v="0"/>
    <n v="0"/>
  </r>
  <r>
    <s v="P500245"/>
    <x v="866"/>
    <n v="6156"/>
    <x v="105"/>
    <x v="4"/>
    <n v="24716"/>
    <s v="10K–50K"/>
    <x v="2"/>
    <n v="3.6608999999999998"/>
    <s v="Yes"/>
    <x v="1"/>
    <n v="634"/>
    <n v="64"/>
    <x v="2"/>
    <n v="0"/>
    <n v="0"/>
  </r>
  <r>
    <s v="P34402"/>
    <x v="867"/>
    <n v="4164"/>
    <x v="54"/>
    <x v="1"/>
    <n v="16688"/>
    <s v="10K–50K"/>
    <x v="2"/>
    <n v="4.2897999999999996"/>
    <s v="Yes"/>
    <x v="0"/>
    <n v="635"/>
    <n v="48"/>
    <x v="0"/>
    <n v="0"/>
    <n v="0"/>
  </r>
  <r>
    <s v="P467110"/>
    <x v="868"/>
    <n v="6195"/>
    <x v="27"/>
    <x v="1"/>
    <n v="44580"/>
    <s v="10K–50K"/>
    <x v="2"/>
    <n v="4.3464999999999998"/>
    <s v="Yes"/>
    <x v="0"/>
    <n v="635"/>
    <n v="65"/>
    <x v="2"/>
    <n v="0"/>
    <n v="0"/>
  </r>
  <r>
    <s v="P471043"/>
    <x v="869"/>
    <n v="5922"/>
    <x v="31"/>
    <x v="8"/>
    <n v="27604"/>
    <s v="10K–50K"/>
    <x v="2"/>
    <n v="4.4774000000000003"/>
    <s v="Yes"/>
    <x v="0"/>
    <n v="641"/>
    <n v="42"/>
    <x v="0"/>
    <n v="0"/>
    <n v="0"/>
  </r>
  <r>
    <s v="P448185"/>
    <x v="870"/>
    <n v="6014"/>
    <x v="17"/>
    <x v="3"/>
    <n v="34356"/>
    <s v="10K–50K"/>
    <x v="2"/>
    <n v="4.4977"/>
    <s v="Yes"/>
    <x v="0"/>
    <n v="645"/>
    <n v="49"/>
    <x v="0"/>
    <n v="0"/>
    <n v="0"/>
  </r>
  <r>
    <s v="P479125"/>
    <x v="871"/>
    <n v="6247"/>
    <x v="7"/>
    <x v="3"/>
    <n v="12092"/>
    <s v="10K–50K"/>
    <x v="2"/>
    <n v="4.4612999999999996"/>
    <s v="Yes"/>
    <x v="0"/>
    <n v="646"/>
    <n v="17"/>
    <x v="1"/>
    <n v="0"/>
    <n v="0"/>
  </r>
  <r>
    <s v="P439928"/>
    <x v="872"/>
    <n v="5987"/>
    <x v="9"/>
    <x v="3"/>
    <n v="42616"/>
    <s v="10K–50K"/>
    <x v="2"/>
    <n v="3.6997"/>
    <s v="Yes"/>
    <x v="1"/>
    <n v="646"/>
    <n v="44"/>
    <x v="0"/>
    <n v="0"/>
    <n v="0"/>
  </r>
  <r>
    <s v="P432045"/>
    <x v="873"/>
    <n v="6018"/>
    <x v="78"/>
    <x v="0"/>
    <n v="44448"/>
    <s v="10K–50K"/>
    <x v="2"/>
    <n v="3.8721000000000001"/>
    <s v="Yes"/>
    <x v="1"/>
    <n v="649"/>
    <n v="29"/>
    <x v="0"/>
    <n v="0"/>
    <n v="0"/>
  </r>
  <r>
    <s v="P461213"/>
    <x v="874"/>
    <n v="6316"/>
    <x v="49"/>
    <x v="3"/>
    <n v="25888"/>
    <s v="10K–50K"/>
    <x v="2"/>
    <n v="4.1886999999999999"/>
    <s v="Yes"/>
    <x v="0"/>
    <n v="657"/>
    <n v="43"/>
    <x v="0"/>
    <n v="0"/>
    <n v="0"/>
  </r>
  <r>
    <s v="P443349"/>
    <x v="875"/>
    <n v="7050"/>
    <x v="58"/>
    <x v="9"/>
    <n v="15373"/>
    <s v="10K–50K"/>
    <x v="2"/>
    <n v="4.1151999999999997"/>
    <s v="Yes"/>
    <x v="0"/>
    <n v="660"/>
    <n v="40"/>
    <x v="0"/>
    <n v="0"/>
    <n v="0"/>
  </r>
  <r>
    <s v="P466673"/>
    <x v="876"/>
    <n v="4164"/>
    <x v="54"/>
    <x v="1"/>
    <n v="19264"/>
    <s v="10K–50K"/>
    <x v="2"/>
    <n v="4.3875999999999999"/>
    <s v="Yes"/>
    <x v="0"/>
    <n v="663"/>
    <n v="83"/>
    <x v="2"/>
    <n v="0"/>
    <n v="0"/>
  </r>
  <r>
    <s v="P381020"/>
    <x v="877"/>
    <n v="4171"/>
    <x v="23"/>
    <x v="2"/>
    <n v="41456"/>
    <s v="10K–50K"/>
    <x v="2"/>
    <n v="4.0090000000000003"/>
    <s v="Yes"/>
    <x v="0"/>
    <n v="664"/>
    <n v="30"/>
    <x v="0"/>
    <n v="0"/>
    <n v="0"/>
  </r>
  <r>
    <s v="P413326"/>
    <x v="878"/>
    <n v="6041"/>
    <x v="6"/>
    <x v="0"/>
    <n v="46733"/>
    <s v="10K–50K"/>
    <x v="2"/>
    <n v="4.2805999999999997"/>
    <s v="Yes"/>
    <x v="0"/>
    <n v="670"/>
    <n v="30"/>
    <x v="0"/>
    <n v="0"/>
    <n v="0"/>
  </r>
  <r>
    <s v="P466117"/>
    <x v="879"/>
    <n v="7083"/>
    <x v="2"/>
    <x v="3"/>
    <n v="15545"/>
    <s v="10K–50K"/>
    <x v="2"/>
    <n v="3.8833000000000002"/>
    <s v="Yes"/>
    <x v="1"/>
    <n v="677"/>
    <n v="42"/>
    <x v="0"/>
    <n v="0"/>
    <n v="0"/>
  </r>
  <r>
    <s v="P458900"/>
    <x v="880"/>
    <n v="5922"/>
    <x v="31"/>
    <x v="2"/>
    <n v="16013"/>
    <s v="10K–50K"/>
    <x v="2"/>
    <n v="4.2436999999999996"/>
    <s v="Yes"/>
    <x v="0"/>
    <n v="677"/>
    <n v="29"/>
    <x v="0"/>
    <n v="0"/>
    <n v="0"/>
  </r>
  <r>
    <s v="P444057"/>
    <x v="881"/>
    <n v="7075"/>
    <x v="14"/>
    <x v="2"/>
    <n v="17087"/>
    <s v="10K–50K"/>
    <x v="2"/>
    <n v="4.2942999999999998"/>
    <s v="Yes"/>
    <x v="0"/>
    <n v="683"/>
    <n v="30"/>
    <x v="0"/>
    <n v="0"/>
    <n v="0"/>
  </r>
  <r>
    <s v="P457517"/>
    <x v="882"/>
    <n v="4348"/>
    <x v="11"/>
    <x v="0"/>
    <n v="28208"/>
    <s v="10K–50K"/>
    <x v="2"/>
    <n v="4.3891"/>
    <s v="Yes"/>
    <x v="0"/>
    <n v="699"/>
    <n v="25"/>
    <x v="0"/>
    <n v="0"/>
    <n v="0"/>
  </r>
  <r>
    <s v="P379710"/>
    <x v="883"/>
    <n v="7020"/>
    <x v="70"/>
    <x v="2"/>
    <n v="40150"/>
    <s v="10K–50K"/>
    <x v="2"/>
    <n v="4.4649000000000001"/>
    <s v="Yes"/>
    <x v="0"/>
    <n v="699"/>
    <n v="88"/>
    <x v="2"/>
    <n v="0"/>
    <n v="0"/>
  </r>
  <r>
    <s v="P482693"/>
    <x v="884"/>
    <n v="6125"/>
    <x v="0"/>
    <x v="3"/>
    <n v="48729"/>
    <s v="10K–50K"/>
    <x v="2"/>
    <n v="3.9927999999999999"/>
    <s v="Yes"/>
    <x v="1"/>
    <n v="699"/>
    <n v="40"/>
    <x v="0"/>
    <n v="0"/>
    <n v="0"/>
  </r>
  <r>
    <s v="P471226"/>
    <x v="885"/>
    <n v="4171"/>
    <x v="23"/>
    <x v="3"/>
    <n v="19036"/>
    <s v="10K–50K"/>
    <x v="2"/>
    <n v="4.3968999999999996"/>
    <s v="Yes"/>
    <x v="0"/>
    <n v="703"/>
    <n v="65"/>
    <x v="2"/>
    <n v="0"/>
    <n v="0"/>
  </r>
  <r>
    <s v="P232906"/>
    <x v="886"/>
    <n v="5946"/>
    <x v="80"/>
    <x v="3"/>
    <n v="17558"/>
    <s v="10K–50K"/>
    <x v="2"/>
    <n v="4.1489000000000003"/>
    <s v="Yes"/>
    <x v="0"/>
    <n v="705"/>
    <n v="76"/>
    <x v="2"/>
    <n v="0"/>
    <n v="0"/>
  </r>
  <r>
    <s v="P472981"/>
    <x v="887"/>
    <n v="1741"/>
    <x v="42"/>
    <x v="8"/>
    <n v="22310"/>
    <s v="10K–50K"/>
    <x v="2"/>
    <n v="4.6132999999999997"/>
    <s v="Yes"/>
    <x v="0"/>
    <n v="706"/>
    <n v="79"/>
    <x v="2"/>
    <n v="0"/>
    <n v="0"/>
  </r>
  <r>
    <s v="P446423"/>
    <x v="888"/>
    <n v="4164"/>
    <x v="54"/>
    <x v="1"/>
    <n v="43504"/>
    <s v="10K–50K"/>
    <x v="2"/>
    <n v="4.1166999999999998"/>
    <s v="Yes"/>
    <x v="0"/>
    <n v="711"/>
    <n v="38"/>
    <x v="0"/>
    <n v="0"/>
    <n v="0"/>
  </r>
  <r>
    <s v="P188306"/>
    <x v="889"/>
    <n v="1254"/>
    <x v="24"/>
    <x v="1"/>
    <n v="17157"/>
    <s v="10K–50K"/>
    <x v="2"/>
    <n v="4.0182000000000002"/>
    <s v="Yes"/>
    <x v="0"/>
    <n v="713"/>
    <n v="26"/>
    <x v="0"/>
    <n v="0"/>
    <n v="0"/>
  </r>
  <r>
    <s v="P443700"/>
    <x v="890"/>
    <n v="6219"/>
    <x v="39"/>
    <x v="7"/>
    <n v="16436"/>
    <s v="10K–50K"/>
    <x v="2"/>
    <n v="4.5195999999999996"/>
    <s v="Yes"/>
    <x v="0"/>
    <n v="716"/>
    <n v="13"/>
    <x v="1"/>
    <n v="0"/>
    <n v="0"/>
  </r>
  <r>
    <s v="P432241"/>
    <x v="891"/>
    <n v="1254"/>
    <x v="24"/>
    <x v="3"/>
    <n v="32096"/>
    <s v="10K–50K"/>
    <x v="2"/>
    <n v="3.8742999999999999"/>
    <s v="Yes"/>
    <x v="1"/>
    <n v="716"/>
    <n v="45"/>
    <x v="0"/>
    <n v="0"/>
    <n v="0"/>
  </r>
  <r>
    <s v="P423136"/>
    <x v="892"/>
    <n v="6219"/>
    <x v="39"/>
    <x v="2"/>
    <n v="34428"/>
    <s v="10K–50K"/>
    <x v="2"/>
    <n v="4.5195999999999996"/>
    <s v="Yes"/>
    <x v="0"/>
    <n v="716"/>
    <n v="42"/>
    <x v="0"/>
    <n v="0"/>
    <n v="0"/>
  </r>
  <r>
    <s v="P501254"/>
    <x v="893"/>
    <n v="6189"/>
    <x v="5"/>
    <x v="1"/>
    <n v="46292"/>
    <s v="10K–50K"/>
    <x v="2"/>
    <n v="4.6795"/>
    <s v="Yes"/>
    <x v="0"/>
    <n v="730"/>
    <n v="40"/>
    <x v="0"/>
    <n v="0"/>
    <n v="0"/>
  </r>
  <r>
    <s v="P471788"/>
    <x v="894"/>
    <n v="4164"/>
    <x v="54"/>
    <x v="7"/>
    <n v="10438"/>
    <s v="10K–50K"/>
    <x v="2"/>
    <n v="4.4897999999999998"/>
    <s v="Yes"/>
    <x v="0"/>
    <n v="733"/>
    <n v="17"/>
    <x v="1"/>
    <n v="0"/>
    <n v="0"/>
  </r>
  <r>
    <s v="P467615"/>
    <x v="895"/>
    <n v="6014"/>
    <x v="17"/>
    <x v="5"/>
    <n v="37108"/>
    <s v="10K–50K"/>
    <x v="2"/>
    <n v="4.5464000000000002"/>
    <s v="Yes"/>
    <x v="0"/>
    <n v="743"/>
    <n v="42"/>
    <x v="0"/>
    <n v="0"/>
    <n v="1"/>
  </r>
  <r>
    <s v="P454084"/>
    <x v="896"/>
    <n v="5922"/>
    <x v="31"/>
    <x v="1"/>
    <n v="15095"/>
    <s v="10K–50K"/>
    <x v="2"/>
    <n v="4.4131999999999998"/>
    <s v="Yes"/>
    <x v="0"/>
    <n v="760"/>
    <n v="69"/>
    <x v="2"/>
    <n v="0"/>
    <n v="0"/>
  </r>
  <r>
    <s v="P428100"/>
    <x v="897"/>
    <n v="3728"/>
    <x v="41"/>
    <x v="1"/>
    <n v="30830"/>
    <s v="10K–50K"/>
    <x v="2"/>
    <n v="4.0275999999999996"/>
    <s v="Yes"/>
    <x v="0"/>
    <n v="762"/>
    <n v="105"/>
    <x v="2"/>
    <n v="0"/>
    <n v="0"/>
  </r>
  <r>
    <s v="P454396"/>
    <x v="898"/>
    <n v="4348"/>
    <x v="11"/>
    <x v="8"/>
    <n v="21612"/>
    <s v="10K–50K"/>
    <x v="2"/>
    <n v="4.4036999999999997"/>
    <s v="Yes"/>
    <x v="0"/>
    <n v="763"/>
    <n v="45"/>
    <x v="0"/>
    <n v="0"/>
    <n v="0"/>
  </r>
  <r>
    <s v="P481739"/>
    <x v="899"/>
    <n v="6289"/>
    <x v="19"/>
    <x v="3"/>
    <n v="43004"/>
    <s v="10K–50K"/>
    <x v="2"/>
    <n v="4.5273000000000003"/>
    <s v="Yes"/>
    <x v="0"/>
    <n v="768"/>
    <n v="48"/>
    <x v="0"/>
    <n v="0"/>
    <n v="0"/>
  </r>
  <r>
    <s v="P394397"/>
    <x v="900"/>
    <n v="4164"/>
    <x v="54"/>
    <x v="1"/>
    <n v="36774"/>
    <s v="10K–50K"/>
    <x v="2"/>
    <n v="3.9546999999999999"/>
    <s v="Yes"/>
    <x v="1"/>
    <n v="773"/>
    <n v="71"/>
    <x v="2"/>
    <n v="0"/>
    <n v="0"/>
  </r>
  <r>
    <s v="P456126"/>
    <x v="901"/>
    <n v="6134"/>
    <x v="40"/>
    <x v="2"/>
    <n v="17898"/>
    <s v="10K–50K"/>
    <x v="2"/>
    <n v="4.4259000000000004"/>
    <s v="Yes"/>
    <x v="0"/>
    <n v="789"/>
    <n v="30"/>
    <x v="0"/>
    <n v="0"/>
    <n v="0"/>
  </r>
  <r>
    <s v="P429516"/>
    <x v="902"/>
    <n v="7091"/>
    <x v="71"/>
    <x v="4"/>
    <n v="41546"/>
    <s v="10K–50K"/>
    <x v="2"/>
    <n v="4.4204999999999997"/>
    <s v="Yes"/>
    <x v="0"/>
    <n v="799"/>
    <n v="48"/>
    <x v="0"/>
    <n v="0"/>
    <n v="0"/>
  </r>
  <r>
    <s v="P122661"/>
    <x v="903"/>
    <n v="1254"/>
    <x v="24"/>
    <x v="2"/>
    <n v="16656"/>
    <s v="10K–50K"/>
    <x v="2"/>
    <n v="4.5320999999999998"/>
    <s v="Yes"/>
    <x v="0"/>
    <n v="810"/>
    <n v="26"/>
    <x v="0"/>
    <n v="0"/>
    <n v="0"/>
  </r>
  <r>
    <s v="P480301"/>
    <x v="904"/>
    <n v="8001"/>
    <x v="4"/>
    <x v="2"/>
    <n v="17610"/>
    <s v="10K–50K"/>
    <x v="2"/>
    <n v="4.4835000000000003"/>
    <s v="Yes"/>
    <x v="0"/>
    <n v="819"/>
    <n v="16"/>
    <x v="1"/>
    <n v="0"/>
    <n v="0"/>
  </r>
  <r>
    <s v="P122762"/>
    <x v="905"/>
    <n v="1254"/>
    <x v="24"/>
    <x v="2"/>
    <n v="17770"/>
    <s v="10K–50K"/>
    <x v="2"/>
    <n v="4.4932999999999996"/>
    <s v="Yes"/>
    <x v="0"/>
    <n v="821"/>
    <n v="23.5"/>
    <x v="0"/>
    <n v="0"/>
    <n v="0"/>
  </r>
  <r>
    <s v="P482676"/>
    <x v="906"/>
    <n v="8001"/>
    <x v="4"/>
    <x v="1"/>
    <n v="27859"/>
    <s v="10K–50K"/>
    <x v="2"/>
    <n v="4.4314999999999998"/>
    <s v="Yes"/>
    <x v="0"/>
    <n v="825"/>
    <n v="50"/>
    <x v="0"/>
    <n v="0"/>
    <n v="0"/>
  </r>
  <r>
    <s v="P9940"/>
    <x v="907"/>
    <n v="4164"/>
    <x v="54"/>
    <x v="3"/>
    <n v="24570"/>
    <s v="10K–50K"/>
    <x v="2"/>
    <n v="4.2484999999999999"/>
    <s v="Yes"/>
    <x v="0"/>
    <n v="829"/>
    <n v="68"/>
    <x v="2"/>
    <n v="0"/>
    <n v="0"/>
  </r>
  <r>
    <s v="P458576"/>
    <x v="908"/>
    <n v="3728"/>
    <x v="41"/>
    <x v="3"/>
    <n v="26530"/>
    <s v="10K–50K"/>
    <x v="2"/>
    <n v="4.2885999999999997"/>
    <s v="Yes"/>
    <x v="0"/>
    <n v="842"/>
    <n v="55"/>
    <x v="2"/>
    <n v="0"/>
    <n v="0"/>
  </r>
  <r>
    <s v="P433521"/>
    <x v="909"/>
    <n v="6236"/>
    <x v="38"/>
    <x v="8"/>
    <n v="31496"/>
    <s v="10K–50K"/>
    <x v="2"/>
    <n v="4.3539000000000003"/>
    <s v="Yes"/>
    <x v="0"/>
    <n v="842"/>
    <n v="65"/>
    <x v="2"/>
    <n v="0"/>
    <n v="0"/>
  </r>
  <r>
    <s v="P419221"/>
    <x v="910"/>
    <n v="7083"/>
    <x v="2"/>
    <x v="4"/>
    <n v="40278"/>
    <s v="10K–50K"/>
    <x v="2"/>
    <n v="3.2982"/>
    <s v="Yes"/>
    <x v="1"/>
    <n v="845"/>
    <n v="36"/>
    <x v="0"/>
    <n v="0"/>
    <n v="0"/>
  </r>
  <r>
    <s v="P470536"/>
    <x v="911"/>
    <n v="1741"/>
    <x v="42"/>
    <x v="3"/>
    <n v="10202"/>
    <s v="10K–50K"/>
    <x v="2"/>
    <n v="4.6429999999999998"/>
    <s v="Yes"/>
    <x v="0"/>
    <n v="846"/>
    <n v="95"/>
    <x v="2"/>
    <n v="0"/>
    <n v="0"/>
  </r>
  <r>
    <s v="P479339"/>
    <x v="912"/>
    <n v="5674"/>
    <x v="25"/>
    <x v="3"/>
    <n v="47908"/>
    <s v="10K–50K"/>
    <x v="2"/>
    <n v="4.5522"/>
    <s v="Yes"/>
    <x v="0"/>
    <n v="862"/>
    <n v="51"/>
    <x v="2"/>
    <n v="0"/>
    <n v="0"/>
  </r>
  <r>
    <s v="P469213"/>
    <x v="913"/>
    <n v="5674"/>
    <x v="25"/>
    <x v="8"/>
    <n v="26008"/>
    <s v="10K–50K"/>
    <x v="2"/>
    <n v="4.3939000000000004"/>
    <s v="Yes"/>
    <x v="0"/>
    <n v="886"/>
    <n v="52"/>
    <x v="2"/>
    <n v="0"/>
    <n v="0"/>
  </r>
  <r>
    <s v="P4015"/>
    <x v="914"/>
    <n v="4164"/>
    <x v="54"/>
    <x v="2"/>
    <n v="21951"/>
    <s v="10K–50K"/>
    <x v="2"/>
    <n v="4.3179999999999996"/>
    <s v="Yes"/>
    <x v="0"/>
    <n v="890"/>
    <n v="30"/>
    <x v="0"/>
    <n v="0"/>
    <n v="0"/>
  </r>
  <r>
    <s v="P377545"/>
    <x v="915"/>
    <n v="5648"/>
    <x v="73"/>
    <x v="8"/>
    <n v="45734"/>
    <s v="10K–50K"/>
    <x v="2"/>
    <n v="4.0088999999999997"/>
    <s v="Yes"/>
    <x v="0"/>
    <n v="901"/>
    <n v="39"/>
    <x v="0"/>
    <n v="0"/>
    <n v="0"/>
  </r>
  <r>
    <s v="P257537"/>
    <x v="916"/>
    <n v="1254"/>
    <x v="24"/>
    <x v="8"/>
    <n v="24355"/>
    <s v="10K–50K"/>
    <x v="2"/>
    <n v="3.7690999999999999"/>
    <s v="Yes"/>
    <x v="1"/>
    <n v="905"/>
    <n v="37"/>
    <x v="0"/>
    <n v="0"/>
    <n v="0"/>
  </r>
  <r>
    <s v="P254720"/>
    <x v="917"/>
    <n v="4164"/>
    <x v="54"/>
    <x v="2"/>
    <n v="32202"/>
    <s v="10K–50K"/>
    <x v="2"/>
    <n v="4.3476999999999997"/>
    <s v="Yes"/>
    <x v="0"/>
    <n v="906"/>
    <n v="39"/>
    <x v="0"/>
    <n v="0"/>
    <n v="0"/>
  </r>
  <r>
    <s v="P471025"/>
    <x v="918"/>
    <n v="8001"/>
    <x v="4"/>
    <x v="1"/>
    <n v="32224"/>
    <s v="10K–50K"/>
    <x v="2"/>
    <n v="4.3190999999999997"/>
    <s v="Yes"/>
    <x v="0"/>
    <n v="912"/>
    <n v="48"/>
    <x v="0"/>
    <n v="0"/>
    <n v="0"/>
  </r>
  <r>
    <s v="P455611"/>
    <x v="919"/>
    <n v="6218"/>
    <x v="20"/>
    <x v="10"/>
    <n v="10273"/>
    <s v="10K–50K"/>
    <x v="2"/>
    <n v="3.8477999999999999"/>
    <s v="Yes"/>
    <x v="1"/>
    <n v="913"/>
    <n v="125"/>
    <x v="2"/>
    <n v="0"/>
    <n v="1"/>
  </r>
  <r>
    <s v="P440949"/>
    <x v="920"/>
    <n v="6283"/>
    <x v="55"/>
    <x v="1"/>
    <n v="18300"/>
    <s v="10K–50K"/>
    <x v="2"/>
    <n v="4.5092999999999996"/>
    <s v="Yes"/>
    <x v="0"/>
    <n v="915"/>
    <n v="56"/>
    <x v="2"/>
    <n v="0"/>
    <n v="0"/>
  </r>
  <r>
    <s v="P122881"/>
    <x v="921"/>
    <n v="1254"/>
    <x v="24"/>
    <x v="2"/>
    <n v="24326"/>
    <s v="10K–50K"/>
    <x v="2"/>
    <n v="4.3181000000000003"/>
    <s v="Yes"/>
    <x v="0"/>
    <n v="918"/>
    <n v="20"/>
    <x v="0"/>
    <n v="0"/>
    <n v="0"/>
  </r>
  <r>
    <s v="P375850"/>
    <x v="922"/>
    <n v="6084"/>
    <x v="37"/>
    <x v="2"/>
    <n v="14027"/>
    <s v="10K–50K"/>
    <x v="2"/>
    <n v="4.1306000000000003"/>
    <s v="Yes"/>
    <x v="0"/>
    <n v="919"/>
    <n v="75"/>
    <x v="2"/>
    <n v="0"/>
    <n v="0"/>
  </r>
  <r>
    <s v="P442838"/>
    <x v="923"/>
    <n v="6289"/>
    <x v="19"/>
    <x v="8"/>
    <n v="39524"/>
    <s v="10K–50K"/>
    <x v="2"/>
    <n v="4.3169000000000004"/>
    <s v="Yes"/>
    <x v="0"/>
    <n v="934"/>
    <n v="44"/>
    <x v="0"/>
    <n v="0"/>
    <n v="0"/>
  </r>
  <r>
    <s v="P453930"/>
    <x v="924"/>
    <n v="6219"/>
    <x v="39"/>
    <x v="8"/>
    <n v="26613"/>
    <s v="10K–50K"/>
    <x v="2"/>
    <n v="4.5228000000000002"/>
    <s v="Yes"/>
    <x v="0"/>
    <n v="945"/>
    <n v="74"/>
    <x v="2"/>
    <n v="0"/>
    <n v="0"/>
  </r>
  <r>
    <s v="P448202"/>
    <x v="925"/>
    <n v="5337"/>
    <x v="32"/>
    <x v="3"/>
    <n v="12045"/>
    <s v="10K–50K"/>
    <x v="2"/>
    <n v="4.5776000000000003"/>
    <s v="Yes"/>
    <x v="0"/>
    <n v="947"/>
    <n v="75"/>
    <x v="2"/>
    <n v="0"/>
    <n v="0"/>
  </r>
  <r>
    <s v="P474937"/>
    <x v="926"/>
    <n v="4171"/>
    <x v="23"/>
    <x v="2"/>
    <n v="30905"/>
    <s v="10K–50K"/>
    <x v="2"/>
    <n v="4.4615"/>
    <s v="Yes"/>
    <x v="0"/>
    <n v="949"/>
    <n v="30"/>
    <x v="0"/>
    <n v="0"/>
    <n v="0"/>
  </r>
  <r>
    <s v="P443830"/>
    <x v="927"/>
    <n v="6285"/>
    <x v="21"/>
    <x v="1"/>
    <n v="48143"/>
    <s v="10K–50K"/>
    <x v="2"/>
    <n v="4.3936999999999999"/>
    <s v="Yes"/>
    <x v="0"/>
    <n v="960"/>
    <n v="14.99"/>
    <x v="1"/>
    <n v="0"/>
    <n v="0"/>
  </r>
  <r>
    <s v="P475589"/>
    <x v="928"/>
    <n v="3733"/>
    <x v="22"/>
    <x v="8"/>
    <n v="35804"/>
    <s v="10K–50K"/>
    <x v="2"/>
    <n v="4.4569999999999999"/>
    <s v="Yes"/>
    <x v="0"/>
    <n v="965"/>
    <n v="37"/>
    <x v="0"/>
    <n v="0"/>
    <n v="0"/>
  </r>
  <r>
    <s v="P404793"/>
    <x v="929"/>
    <n v="6134"/>
    <x v="40"/>
    <x v="3"/>
    <n v="22337"/>
    <s v="10K–50K"/>
    <x v="2"/>
    <n v="4.3712999999999997"/>
    <s v="Yes"/>
    <x v="0"/>
    <n v="967"/>
    <n v="39"/>
    <x v="0"/>
    <n v="0"/>
    <n v="0"/>
  </r>
  <r>
    <s v="P409631"/>
    <x v="930"/>
    <n v="5648"/>
    <x v="73"/>
    <x v="2"/>
    <n v="38635"/>
    <s v="10K–50K"/>
    <x v="2"/>
    <n v="4.5315000000000003"/>
    <s v="Yes"/>
    <x v="0"/>
    <n v="969"/>
    <n v="22"/>
    <x v="0"/>
    <n v="0"/>
    <n v="1"/>
  </r>
  <r>
    <s v="P476729"/>
    <x v="931"/>
    <n v="6307"/>
    <x v="77"/>
    <x v="7"/>
    <n v="11881"/>
    <s v="10K–50K"/>
    <x v="2"/>
    <n v="4.5707000000000004"/>
    <s v="Yes"/>
    <x v="0"/>
    <n v="976"/>
    <n v="25"/>
    <x v="0"/>
    <n v="0"/>
    <n v="0"/>
  </r>
  <r>
    <s v="P469538"/>
    <x v="932"/>
    <n v="6307"/>
    <x v="77"/>
    <x v="1"/>
    <n v="25847"/>
    <s v="10K–50K"/>
    <x v="2"/>
    <n v="4.5707000000000004"/>
    <s v="Yes"/>
    <x v="0"/>
    <n v="976"/>
    <n v="89"/>
    <x v="2"/>
    <n v="0"/>
    <n v="0"/>
  </r>
  <r>
    <s v="P433443"/>
    <x v="933"/>
    <n v="7075"/>
    <x v="14"/>
    <x v="3"/>
    <n v="47248"/>
    <s v="10K–50K"/>
    <x v="2"/>
    <n v="4.5147000000000004"/>
    <s v="Yes"/>
    <x v="0"/>
    <n v="985"/>
    <n v="38"/>
    <x v="0"/>
    <n v="0"/>
    <n v="1"/>
  </r>
  <r>
    <s v="P440650"/>
    <x v="934"/>
    <n v="4164"/>
    <x v="54"/>
    <x v="7"/>
    <n v="16664"/>
    <s v="10K–50K"/>
    <x v="2"/>
    <n v="4.6089000000000002"/>
    <s v="Yes"/>
    <x v="0"/>
    <n v="987"/>
    <n v="32"/>
    <x v="0"/>
    <n v="0"/>
    <n v="0"/>
  </r>
  <r>
    <s v="P375853"/>
    <x v="935"/>
    <n v="6084"/>
    <x v="37"/>
    <x v="2"/>
    <n v="24003"/>
    <s v="10K–50K"/>
    <x v="2"/>
    <n v="4.0959000000000003"/>
    <s v="Yes"/>
    <x v="0"/>
    <n v="1001"/>
    <n v="80"/>
    <x v="2"/>
    <n v="0"/>
    <n v="0"/>
  </r>
  <r>
    <s v="P375841"/>
    <x v="936"/>
    <n v="1741"/>
    <x v="42"/>
    <x v="8"/>
    <n v="21787"/>
    <s v="10K–50K"/>
    <x v="2"/>
    <n v="4.0968"/>
    <s v="Yes"/>
    <x v="0"/>
    <n v="1002"/>
    <n v="80"/>
    <x v="2"/>
    <n v="0"/>
    <n v="0"/>
  </r>
  <r>
    <s v="P403817"/>
    <x v="937"/>
    <n v="1254"/>
    <x v="24"/>
    <x v="8"/>
    <n v="47677"/>
    <s v="10K–50K"/>
    <x v="2"/>
    <n v="3.6768999999999998"/>
    <s v="Yes"/>
    <x v="1"/>
    <n v="1006"/>
    <n v="32"/>
    <x v="0"/>
    <n v="0"/>
    <n v="0"/>
  </r>
  <r>
    <s v="P188307"/>
    <x v="938"/>
    <n v="1254"/>
    <x v="24"/>
    <x v="2"/>
    <n v="40683"/>
    <s v="10K–50K"/>
    <x v="2"/>
    <n v="4.4042000000000003"/>
    <s v="Yes"/>
    <x v="0"/>
    <n v="1007"/>
    <n v="20"/>
    <x v="0"/>
    <n v="0"/>
    <n v="0"/>
  </r>
  <r>
    <s v="P455927"/>
    <x v="939"/>
    <n v="6314"/>
    <x v="100"/>
    <x v="7"/>
    <n v="12100"/>
    <s v="10K–50K"/>
    <x v="2"/>
    <n v="4.2568999999999999"/>
    <s v="Yes"/>
    <x v="0"/>
    <n v="1012"/>
    <n v="30"/>
    <x v="0"/>
    <n v="0"/>
    <n v="0"/>
  </r>
  <r>
    <s v="P471046"/>
    <x v="940"/>
    <n v="6207"/>
    <x v="50"/>
    <x v="3"/>
    <n v="17005"/>
    <s v="10K–50K"/>
    <x v="2"/>
    <n v="4.4984999999999999"/>
    <s v="Yes"/>
    <x v="0"/>
    <n v="1017"/>
    <n v="62"/>
    <x v="2"/>
    <n v="0"/>
    <n v="0"/>
  </r>
  <r>
    <s v="P462347"/>
    <x v="941"/>
    <n v="7083"/>
    <x v="2"/>
    <x v="7"/>
    <n v="19854"/>
    <s v="10K–50K"/>
    <x v="2"/>
    <n v="4.2812000000000001"/>
    <s v="Yes"/>
    <x v="0"/>
    <n v="1017"/>
    <n v="14"/>
    <x v="1"/>
    <n v="0"/>
    <n v="0"/>
  </r>
  <r>
    <s v="P460515"/>
    <x v="942"/>
    <n v="7083"/>
    <x v="2"/>
    <x v="2"/>
    <n v="26131"/>
    <s v="10K–50K"/>
    <x v="2"/>
    <n v="4.2812000000000001"/>
    <s v="Yes"/>
    <x v="0"/>
    <n v="1017"/>
    <n v="14"/>
    <x v="1"/>
    <n v="0"/>
    <n v="0"/>
  </r>
  <r>
    <s v="P214002"/>
    <x v="943"/>
    <n v="5857"/>
    <x v="51"/>
    <x v="3"/>
    <n v="27837"/>
    <s v="10K–50K"/>
    <x v="2"/>
    <n v="4.2016999999999998"/>
    <s v="Yes"/>
    <x v="0"/>
    <n v="1031"/>
    <n v="52"/>
    <x v="2"/>
    <n v="0"/>
    <n v="0"/>
  </r>
  <r>
    <s v="P411365"/>
    <x v="944"/>
    <n v="4164"/>
    <x v="54"/>
    <x v="1"/>
    <n v="38145"/>
    <s v="10K–50K"/>
    <x v="2"/>
    <n v="4.5877999999999997"/>
    <s v="Yes"/>
    <x v="0"/>
    <n v="1031"/>
    <n v="92"/>
    <x v="2"/>
    <n v="0"/>
    <n v="0"/>
  </r>
  <r>
    <s v="P472050"/>
    <x v="945"/>
    <n v="5674"/>
    <x v="25"/>
    <x v="3"/>
    <n v="23082"/>
    <s v="10K–50K"/>
    <x v="2"/>
    <n v="4.3959000000000001"/>
    <s v="Yes"/>
    <x v="0"/>
    <n v="1033"/>
    <n v="51"/>
    <x v="2"/>
    <n v="0"/>
    <n v="0"/>
  </r>
  <r>
    <s v="P188309"/>
    <x v="946"/>
    <n v="1254"/>
    <x v="24"/>
    <x v="2"/>
    <n v="43458"/>
    <s v="10K–50K"/>
    <x v="2"/>
    <n v="4.1685999999999996"/>
    <s v="Yes"/>
    <x v="0"/>
    <n v="1038"/>
    <n v="23.5"/>
    <x v="0"/>
    <n v="0"/>
    <n v="0"/>
  </r>
  <r>
    <s v="P421276"/>
    <x v="947"/>
    <n v="5946"/>
    <x v="80"/>
    <x v="3"/>
    <n v="15906"/>
    <s v="10K–50K"/>
    <x v="2"/>
    <n v="4.5110000000000001"/>
    <s v="Yes"/>
    <x v="0"/>
    <n v="1041"/>
    <n v="76"/>
    <x v="2"/>
    <n v="0"/>
    <n v="0"/>
  </r>
  <r>
    <s v="P454838"/>
    <x v="948"/>
    <n v="6218"/>
    <x v="20"/>
    <x v="8"/>
    <n v="46025"/>
    <s v="10K–50K"/>
    <x v="2"/>
    <n v="3.8645999999999998"/>
    <s v="Yes"/>
    <x v="1"/>
    <n v="1041"/>
    <n v="55"/>
    <x v="2"/>
    <n v="0"/>
    <n v="0"/>
  </r>
  <r>
    <s v="P449175"/>
    <x v="949"/>
    <n v="7075"/>
    <x v="14"/>
    <x v="2"/>
    <n v="24132"/>
    <s v="10K–50K"/>
    <x v="2"/>
    <n v="4.3609999999999998"/>
    <s v="Yes"/>
    <x v="0"/>
    <n v="1050"/>
    <n v="30"/>
    <x v="0"/>
    <n v="0"/>
    <n v="0"/>
  </r>
  <r>
    <s v="P481831"/>
    <x v="950"/>
    <n v="5626"/>
    <x v="64"/>
    <x v="6"/>
    <n v="11386"/>
    <s v="10K–50K"/>
    <x v="2"/>
    <n v="4.6685999999999996"/>
    <s v="Yes"/>
    <x v="0"/>
    <n v="1053"/>
    <n v="42"/>
    <x v="0"/>
    <n v="0"/>
    <n v="0"/>
  </r>
  <r>
    <s v="P454384"/>
    <x v="951"/>
    <n v="5987"/>
    <x v="9"/>
    <x v="7"/>
    <n v="12937"/>
    <s v="10K–50K"/>
    <x v="2"/>
    <n v="4.0953999999999997"/>
    <s v="Yes"/>
    <x v="0"/>
    <n v="1059"/>
    <n v="22"/>
    <x v="0"/>
    <n v="0"/>
    <n v="0"/>
  </r>
  <r>
    <s v="P384539"/>
    <x v="952"/>
    <n v="5972"/>
    <x v="10"/>
    <x v="2"/>
    <n v="37998"/>
    <s v="10K–50K"/>
    <x v="2"/>
    <n v="4.2607999999999997"/>
    <s v="Yes"/>
    <x v="0"/>
    <n v="1062"/>
    <n v="24"/>
    <x v="0"/>
    <n v="0"/>
    <n v="0"/>
  </r>
  <r>
    <s v="P433444"/>
    <x v="953"/>
    <n v="3733"/>
    <x v="22"/>
    <x v="5"/>
    <n v="34965"/>
    <s v="10K–50K"/>
    <x v="2"/>
    <n v="4.6452999999999998"/>
    <s v="Yes"/>
    <x v="0"/>
    <n v="1074"/>
    <n v="37"/>
    <x v="0"/>
    <n v="0"/>
    <n v="0"/>
  </r>
  <r>
    <s v="P384780"/>
    <x v="954"/>
    <n v="5922"/>
    <x v="31"/>
    <x v="1"/>
    <n v="39408"/>
    <s v="10K–50K"/>
    <x v="2"/>
    <n v="4.0679999999999996"/>
    <s v="Yes"/>
    <x v="0"/>
    <n v="1088"/>
    <n v="56"/>
    <x v="2"/>
    <n v="0"/>
    <n v="0"/>
  </r>
  <r>
    <s v="P503191"/>
    <x v="955"/>
    <n v="6041"/>
    <x v="6"/>
    <x v="3"/>
    <n v="17810"/>
    <s v="10K–50K"/>
    <x v="2"/>
    <n v="4.5473999999999997"/>
    <s v="Yes"/>
    <x v="0"/>
    <n v="1098"/>
    <n v="22"/>
    <x v="0"/>
    <n v="0"/>
    <n v="0"/>
  </r>
  <r>
    <s v="P418624"/>
    <x v="956"/>
    <n v="6207"/>
    <x v="50"/>
    <x v="3"/>
    <n v="38003"/>
    <s v="10K–50K"/>
    <x v="2"/>
    <n v="4.4112"/>
    <s v="Yes"/>
    <x v="0"/>
    <n v="1121"/>
    <n v="72"/>
    <x v="2"/>
    <n v="0"/>
    <n v="0"/>
  </r>
  <r>
    <s v="P479841"/>
    <x v="957"/>
    <n v="4348"/>
    <x v="11"/>
    <x v="5"/>
    <n v="30022"/>
    <s v="10K–50K"/>
    <x v="2"/>
    <n v="4.7969999999999997"/>
    <s v="Yes"/>
    <x v="0"/>
    <n v="1128"/>
    <n v="69"/>
    <x v="2"/>
    <n v="0"/>
    <n v="0"/>
  </r>
  <r>
    <s v="P467602"/>
    <x v="958"/>
    <n v="6018"/>
    <x v="78"/>
    <x v="8"/>
    <n v="17890"/>
    <s v="10K–50K"/>
    <x v="2"/>
    <n v="4.5305999999999997"/>
    <s v="Yes"/>
    <x v="0"/>
    <n v="1142"/>
    <n v="68"/>
    <x v="2"/>
    <n v="0"/>
    <n v="0"/>
  </r>
  <r>
    <s v="P500777"/>
    <x v="959"/>
    <n v="4348"/>
    <x v="11"/>
    <x v="0"/>
    <n v="41928"/>
    <s v="10K–50K"/>
    <x v="2"/>
    <n v="4.5244"/>
    <s v="Yes"/>
    <x v="0"/>
    <n v="1148"/>
    <n v="25"/>
    <x v="0"/>
    <n v="0"/>
    <n v="0"/>
  </r>
  <r>
    <s v="P405096"/>
    <x v="960"/>
    <n v="5648"/>
    <x v="73"/>
    <x v="2"/>
    <n v="48796"/>
    <s v="10K–50K"/>
    <x v="2"/>
    <n v="4.3120000000000003"/>
    <s v="Yes"/>
    <x v="0"/>
    <n v="1157"/>
    <n v="12"/>
    <x v="1"/>
    <n v="0"/>
    <n v="1"/>
  </r>
  <r>
    <s v="P434336"/>
    <x v="961"/>
    <n v="6207"/>
    <x v="50"/>
    <x v="7"/>
    <n v="26453"/>
    <s v="10K–50K"/>
    <x v="2"/>
    <n v="4.3876999999999997"/>
    <s v="Yes"/>
    <x v="0"/>
    <n v="1166"/>
    <n v="28"/>
    <x v="0"/>
    <n v="0"/>
    <n v="0"/>
  </r>
  <r>
    <s v="P445951"/>
    <x v="128"/>
    <n v="6218"/>
    <x v="20"/>
    <x v="7"/>
    <n v="29687"/>
    <s v="10K–50K"/>
    <x v="2"/>
    <n v="4.2173999999999996"/>
    <s v="Yes"/>
    <x v="0"/>
    <n v="1173"/>
    <n v="30"/>
    <x v="0"/>
    <n v="0"/>
    <n v="0"/>
  </r>
  <r>
    <s v="P448937"/>
    <x v="962"/>
    <n v="6073"/>
    <x v="15"/>
    <x v="3"/>
    <n v="19213"/>
    <s v="10K–50K"/>
    <x v="2"/>
    <n v="4.0839999999999996"/>
    <s v="Yes"/>
    <x v="0"/>
    <n v="1178"/>
    <n v="65"/>
    <x v="2"/>
    <n v="0"/>
    <n v="0"/>
  </r>
  <r>
    <s v="P427397"/>
    <x v="963"/>
    <n v="4372"/>
    <x v="97"/>
    <x v="5"/>
    <n v="21773"/>
    <s v="10K–50K"/>
    <x v="2"/>
    <n v="4.5788000000000002"/>
    <s v="Yes"/>
    <x v="0"/>
    <n v="1187"/>
    <n v="54"/>
    <x v="2"/>
    <n v="0"/>
    <n v="0"/>
  </r>
  <r>
    <s v="P122718"/>
    <x v="964"/>
    <n v="1254"/>
    <x v="24"/>
    <x v="2"/>
    <n v="40899"/>
    <s v="10K–50K"/>
    <x v="2"/>
    <n v="4.6121999999999996"/>
    <s v="Yes"/>
    <x v="0"/>
    <n v="1194"/>
    <n v="26"/>
    <x v="0"/>
    <n v="0"/>
    <n v="0"/>
  </r>
  <r>
    <s v="P377570"/>
    <x v="965"/>
    <n v="5922"/>
    <x v="31"/>
    <x v="3"/>
    <n v="33244"/>
    <s v="10K–50K"/>
    <x v="2"/>
    <n v="4.5163000000000002"/>
    <s v="Yes"/>
    <x v="0"/>
    <n v="1197"/>
    <n v="28"/>
    <x v="0"/>
    <n v="0"/>
    <n v="0"/>
  </r>
  <r>
    <s v="P474953"/>
    <x v="966"/>
    <n v="1132"/>
    <x v="60"/>
    <x v="3"/>
    <n v="13825"/>
    <s v="10K–50K"/>
    <x v="2"/>
    <n v="4.3464999999999998"/>
    <s v="Yes"/>
    <x v="0"/>
    <n v="1215"/>
    <n v="145"/>
    <x v="2"/>
    <n v="0"/>
    <n v="0"/>
  </r>
  <r>
    <s v="P443350"/>
    <x v="967"/>
    <n v="6219"/>
    <x v="39"/>
    <x v="7"/>
    <n v="20995"/>
    <s v="10K–50K"/>
    <x v="2"/>
    <n v="4.5434999999999999"/>
    <s v="Yes"/>
    <x v="0"/>
    <n v="1229"/>
    <n v="15"/>
    <x v="1"/>
    <n v="0"/>
    <n v="0"/>
  </r>
  <r>
    <s v="P423148"/>
    <x v="968"/>
    <n v="6219"/>
    <x v="39"/>
    <x v="2"/>
    <n v="49959"/>
    <s v="10K–50K"/>
    <x v="2"/>
    <n v="4.5434999999999999"/>
    <s v="Yes"/>
    <x v="0"/>
    <n v="1229"/>
    <n v="49"/>
    <x v="0"/>
    <n v="0"/>
    <n v="0"/>
  </r>
  <r>
    <s v="P442858"/>
    <x v="969"/>
    <n v="4348"/>
    <x v="11"/>
    <x v="5"/>
    <n v="44288"/>
    <s v="10K–50K"/>
    <x v="2"/>
    <n v="4.4585999999999997"/>
    <s v="Yes"/>
    <x v="0"/>
    <n v="1232"/>
    <n v="29"/>
    <x v="0"/>
    <n v="0"/>
    <n v="0"/>
  </r>
  <r>
    <s v="P465368"/>
    <x v="970"/>
    <n v="5857"/>
    <x v="51"/>
    <x v="2"/>
    <n v="20852"/>
    <s v="10K–50K"/>
    <x v="2"/>
    <n v="4.1429999999999998"/>
    <s v="Yes"/>
    <x v="0"/>
    <n v="1238"/>
    <n v="22"/>
    <x v="0"/>
    <n v="0"/>
    <n v="0"/>
  </r>
  <r>
    <s v="P434545"/>
    <x v="971"/>
    <n v="5674"/>
    <x v="25"/>
    <x v="1"/>
    <n v="43324"/>
    <s v="10K–50K"/>
    <x v="2"/>
    <n v="4.2873000000000001"/>
    <s v="Yes"/>
    <x v="0"/>
    <n v="1239"/>
    <n v="60"/>
    <x v="2"/>
    <n v="0"/>
    <n v="0"/>
  </r>
  <r>
    <s v="P471535"/>
    <x v="972"/>
    <n v="7075"/>
    <x v="14"/>
    <x v="3"/>
    <n v="19491"/>
    <s v="10K–50K"/>
    <x v="2"/>
    <n v="4.4992000000000001"/>
    <s v="Yes"/>
    <x v="0"/>
    <n v="1242"/>
    <n v="45"/>
    <x v="0"/>
    <n v="0"/>
    <n v="0"/>
  </r>
  <r>
    <s v="P422430"/>
    <x v="973"/>
    <n v="1741"/>
    <x v="42"/>
    <x v="3"/>
    <n v="15564"/>
    <s v="10K–50K"/>
    <x v="2"/>
    <n v="4.5629"/>
    <s v="Yes"/>
    <x v="0"/>
    <n v="1256"/>
    <n v="48"/>
    <x v="0"/>
    <n v="0"/>
    <n v="1"/>
  </r>
  <r>
    <s v="P446421"/>
    <x v="974"/>
    <n v="3733"/>
    <x v="22"/>
    <x v="3"/>
    <n v="17465"/>
    <s v="10K–50K"/>
    <x v="2"/>
    <n v="4.2685000000000004"/>
    <s v="Yes"/>
    <x v="0"/>
    <n v="1270"/>
    <n v="40"/>
    <x v="0"/>
    <n v="0"/>
    <n v="0"/>
  </r>
  <r>
    <s v="P466142"/>
    <x v="975"/>
    <n v="5674"/>
    <x v="25"/>
    <x v="2"/>
    <n v="42708"/>
    <s v="10K–50K"/>
    <x v="2"/>
    <n v="4.5795000000000003"/>
    <s v="Yes"/>
    <x v="0"/>
    <n v="1277"/>
    <n v="35"/>
    <x v="0"/>
    <n v="0"/>
    <n v="0"/>
  </r>
  <r>
    <s v="P439055"/>
    <x v="976"/>
    <n v="6018"/>
    <x v="78"/>
    <x v="3"/>
    <n v="33910"/>
    <s v="10K–50K"/>
    <x v="2"/>
    <n v="4.5412999999999997"/>
    <s v="Yes"/>
    <x v="0"/>
    <n v="1321"/>
    <n v="98"/>
    <x v="2"/>
    <n v="0"/>
    <n v="0"/>
  </r>
  <r>
    <s v="P462336"/>
    <x v="977"/>
    <n v="7075"/>
    <x v="14"/>
    <x v="2"/>
    <n v="14738"/>
    <s v="10K–50K"/>
    <x v="2"/>
    <n v="4.4598000000000004"/>
    <s v="Yes"/>
    <x v="0"/>
    <n v="1331"/>
    <n v="38"/>
    <x v="0"/>
    <n v="0"/>
    <n v="0"/>
  </r>
  <r>
    <s v="P434360"/>
    <x v="978"/>
    <n v="3733"/>
    <x v="22"/>
    <x v="3"/>
    <n v="18198"/>
    <s v="10K–50K"/>
    <x v="2"/>
    <n v="4.3159000000000001"/>
    <s v="Yes"/>
    <x v="0"/>
    <n v="1336"/>
    <n v="52"/>
    <x v="2"/>
    <n v="0"/>
    <n v="0"/>
  </r>
  <r>
    <s v="P482739"/>
    <x v="979"/>
    <n v="5337"/>
    <x v="32"/>
    <x v="4"/>
    <n v="12870"/>
    <s v="10K–50K"/>
    <x v="2"/>
    <n v="4.4532999999999996"/>
    <s v="Yes"/>
    <x v="0"/>
    <n v="1337"/>
    <n v="50"/>
    <x v="0"/>
    <n v="0"/>
    <n v="0"/>
  </r>
  <r>
    <s v="P454018"/>
    <x v="980"/>
    <n v="6041"/>
    <x v="6"/>
    <x v="1"/>
    <n v="47060"/>
    <s v="10K–50K"/>
    <x v="2"/>
    <n v="4.3761000000000001"/>
    <s v="Yes"/>
    <x v="0"/>
    <n v="1348"/>
    <n v="49"/>
    <x v="0"/>
    <n v="0"/>
    <n v="0"/>
  </r>
  <r>
    <s v="P474938"/>
    <x v="981"/>
    <n v="4171"/>
    <x v="23"/>
    <x v="1"/>
    <n v="31478"/>
    <s v="10K–50K"/>
    <x v="2"/>
    <n v="4.3375000000000004"/>
    <s v="Yes"/>
    <x v="0"/>
    <n v="1360"/>
    <n v="52"/>
    <x v="2"/>
    <n v="0"/>
    <n v="0"/>
  </r>
  <r>
    <s v="P419222"/>
    <x v="982"/>
    <n v="7083"/>
    <x v="2"/>
    <x v="4"/>
    <n v="46738"/>
    <s v="10K–50K"/>
    <x v="2"/>
    <n v="3.3075999999999999"/>
    <s v="Yes"/>
    <x v="1"/>
    <n v="1362"/>
    <n v="34"/>
    <x v="0"/>
    <n v="0"/>
    <n v="0"/>
  </r>
  <r>
    <s v="P122882"/>
    <x v="983"/>
    <n v="1254"/>
    <x v="24"/>
    <x v="2"/>
    <n v="38875"/>
    <s v="10K–50K"/>
    <x v="2"/>
    <n v="4.3815"/>
    <s v="Yes"/>
    <x v="0"/>
    <n v="1376"/>
    <n v="20"/>
    <x v="0"/>
    <n v="0"/>
    <n v="0"/>
  </r>
  <r>
    <s v="P426501"/>
    <x v="984"/>
    <n v="6201"/>
    <x v="44"/>
    <x v="7"/>
    <n v="18102"/>
    <s v="10K–50K"/>
    <x v="2"/>
    <n v="4.0566000000000004"/>
    <s v="Yes"/>
    <x v="0"/>
    <n v="1377"/>
    <n v="100"/>
    <x v="2"/>
    <n v="0"/>
    <n v="0"/>
  </r>
  <r>
    <s v="P404338"/>
    <x v="985"/>
    <n v="5922"/>
    <x v="31"/>
    <x v="3"/>
    <n v="40417"/>
    <s v="10K–50K"/>
    <x v="2"/>
    <n v="4.1421000000000001"/>
    <s v="Yes"/>
    <x v="0"/>
    <n v="1393"/>
    <n v="45"/>
    <x v="0"/>
    <n v="0"/>
    <n v="0"/>
  </r>
  <r>
    <s v="P448203"/>
    <x v="986"/>
    <n v="5337"/>
    <x v="32"/>
    <x v="8"/>
    <n v="43729"/>
    <s v="10K–50K"/>
    <x v="2"/>
    <n v="4.3297999999999996"/>
    <s v="Yes"/>
    <x v="0"/>
    <n v="1422"/>
    <n v="64"/>
    <x v="2"/>
    <n v="0"/>
    <n v="0"/>
  </r>
  <r>
    <s v="P456418"/>
    <x v="987"/>
    <n v="5715"/>
    <x v="72"/>
    <x v="3"/>
    <n v="10482"/>
    <s v="10K–50K"/>
    <x v="2"/>
    <n v="4.3596000000000004"/>
    <s v="Yes"/>
    <x v="0"/>
    <n v="1424"/>
    <n v="50"/>
    <x v="0"/>
    <n v="0"/>
    <n v="0"/>
  </r>
  <r>
    <s v="P500472"/>
    <x v="988"/>
    <n v="6189"/>
    <x v="5"/>
    <x v="7"/>
    <n v="26404"/>
    <s v="10K–50K"/>
    <x v="2"/>
    <n v="4.4623999999999997"/>
    <s v="Yes"/>
    <x v="0"/>
    <n v="1449"/>
    <n v="21"/>
    <x v="0"/>
    <n v="0"/>
    <n v="0"/>
  </r>
  <r>
    <s v="P415619"/>
    <x v="989"/>
    <n v="1073"/>
    <x v="52"/>
    <x v="3"/>
    <n v="40209"/>
    <s v="10K–50K"/>
    <x v="2"/>
    <n v="4.3384"/>
    <s v="Yes"/>
    <x v="0"/>
    <n v="1457"/>
    <n v="130"/>
    <x v="2"/>
    <n v="0"/>
    <n v="0"/>
  </r>
  <r>
    <s v="P473322"/>
    <x v="990"/>
    <n v="5674"/>
    <x v="25"/>
    <x v="1"/>
    <n v="39989"/>
    <s v="10K–50K"/>
    <x v="2"/>
    <n v="4.5613999999999999"/>
    <s v="Yes"/>
    <x v="0"/>
    <n v="1466"/>
    <n v="60"/>
    <x v="2"/>
    <n v="0"/>
    <n v="0"/>
  </r>
  <r>
    <s v="P447592"/>
    <x v="991"/>
    <n v="5668"/>
    <x v="16"/>
    <x v="1"/>
    <n v="26675"/>
    <s v="10K–50K"/>
    <x v="2"/>
    <n v="4.4672000000000001"/>
    <s v="Yes"/>
    <x v="0"/>
    <n v="1494"/>
    <n v="68"/>
    <x v="2"/>
    <n v="0"/>
    <n v="1"/>
  </r>
  <r>
    <s v="P230538"/>
    <x v="992"/>
    <n v="3526"/>
    <x v="74"/>
    <x v="3"/>
    <n v="27905"/>
    <s v="10K–50K"/>
    <x v="2"/>
    <n v="4.5632000000000001"/>
    <s v="Yes"/>
    <x v="0"/>
    <n v="1550"/>
    <n v="17"/>
    <x v="1"/>
    <n v="0"/>
    <n v="0"/>
  </r>
  <r>
    <s v="P39274"/>
    <x v="993"/>
    <n v="3728"/>
    <x v="41"/>
    <x v="2"/>
    <n v="32125"/>
    <s v="10K–50K"/>
    <x v="2"/>
    <n v="4.3699000000000003"/>
    <s v="Yes"/>
    <x v="0"/>
    <n v="1603"/>
    <n v="39"/>
    <x v="0"/>
    <n v="0"/>
    <n v="0"/>
  </r>
  <r>
    <s v="P386197"/>
    <x v="994"/>
    <n v="3733"/>
    <x v="22"/>
    <x v="2"/>
    <n v="49081"/>
    <s v="10K–50K"/>
    <x v="2"/>
    <n v="4.4763000000000002"/>
    <s v="Yes"/>
    <x v="0"/>
    <n v="1627"/>
    <n v="27"/>
    <x v="0"/>
    <n v="0"/>
    <n v="0"/>
  </r>
  <r>
    <s v="P122774"/>
    <x v="995"/>
    <n v="1254"/>
    <x v="24"/>
    <x v="8"/>
    <n v="32398"/>
    <s v="10K–50K"/>
    <x v="2"/>
    <n v="4.0721999999999996"/>
    <s v="Yes"/>
    <x v="0"/>
    <n v="1635"/>
    <n v="37"/>
    <x v="0"/>
    <n v="0"/>
    <n v="0"/>
  </r>
  <r>
    <s v="P440925"/>
    <x v="996"/>
    <n v="3733"/>
    <x v="22"/>
    <x v="5"/>
    <n v="39378"/>
    <s v="10K–50K"/>
    <x v="2"/>
    <n v="4.4954000000000001"/>
    <s v="Yes"/>
    <x v="0"/>
    <n v="1643"/>
    <n v="32"/>
    <x v="0"/>
    <n v="0"/>
    <n v="0"/>
  </r>
  <r>
    <s v="P453253"/>
    <x v="997"/>
    <n v="6134"/>
    <x v="40"/>
    <x v="3"/>
    <n v="35156"/>
    <s v="10K–50K"/>
    <x v="2"/>
    <n v="4.2213000000000003"/>
    <s v="Yes"/>
    <x v="0"/>
    <n v="1672"/>
    <n v="38"/>
    <x v="0"/>
    <n v="0"/>
    <n v="0"/>
  </r>
  <r>
    <s v="P450917"/>
    <x v="998"/>
    <n v="3728"/>
    <x v="41"/>
    <x v="7"/>
    <n v="18585"/>
    <s v="10K–50K"/>
    <x v="2"/>
    <n v="4.5391000000000004"/>
    <s v="Yes"/>
    <x v="0"/>
    <n v="1686"/>
    <n v="16"/>
    <x v="1"/>
    <n v="0"/>
    <n v="0"/>
  </r>
  <r>
    <s v="P476414"/>
    <x v="999"/>
    <n v="6073"/>
    <x v="15"/>
    <x v="8"/>
    <n v="35885"/>
    <s v="10K–50K"/>
    <x v="2"/>
    <n v="4.6414"/>
    <s v="Yes"/>
    <x v="0"/>
    <n v="1718"/>
    <n v="65"/>
    <x v="2"/>
    <n v="0"/>
    <n v="0"/>
  </r>
  <r>
    <s v="P468351"/>
    <x v="1000"/>
    <n v="1254"/>
    <x v="24"/>
    <x v="3"/>
    <n v="38202"/>
    <s v="10K–50K"/>
    <x v="2"/>
    <n v="4.2522000000000002"/>
    <s v="Yes"/>
    <x v="0"/>
    <n v="1729"/>
    <n v="82"/>
    <x v="2"/>
    <n v="0"/>
    <n v="0"/>
  </r>
  <r>
    <s v="P448207"/>
    <x v="1001"/>
    <n v="5674"/>
    <x v="25"/>
    <x v="5"/>
    <n v="49921"/>
    <s v="10K–50K"/>
    <x v="2"/>
    <n v="4.3853999999999997"/>
    <s v="Yes"/>
    <x v="0"/>
    <n v="1785"/>
    <n v="52"/>
    <x v="2"/>
    <n v="0"/>
    <n v="0"/>
  </r>
  <r>
    <s v="P500701"/>
    <x v="1002"/>
    <n v="6089"/>
    <x v="45"/>
    <x v="8"/>
    <n v="10521"/>
    <s v="10K–50K"/>
    <x v="2"/>
    <n v="4.3493000000000004"/>
    <s v="Yes"/>
    <x v="0"/>
    <n v="1795"/>
    <n v="72"/>
    <x v="2"/>
    <n v="0"/>
    <n v="0"/>
  </r>
  <r>
    <s v="P500633"/>
    <x v="1003"/>
    <n v="4348"/>
    <x v="11"/>
    <x v="1"/>
    <n v="21533"/>
    <s v="10K–50K"/>
    <x v="2"/>
    <n v="4.7724000000000002"/>
    <s v="Yes"/>
    <x v="0"/>
    <n v="1872"/>
    <n v="80"/>
    <x v="2"/>
    <n v="0"/>
    <n v="0"/>
  </r>
  <r>
    <s v="P475908"/>
    <x v="1004"/>
    <n v="7075"/>
    <x v="14"/>
    <x v="0"/>
    <n v="13764"/>
    <s v="10K–50K"/>
    <x v="2"/>
    <n v="4.4067999999999996"/>
    <s v="Yes"/>
    <x v="0"/>
    <n v="1964"/>
    <n v="22"/>
    <x v="0"/>
    <n v="0"/>
    <n v="0"/>
  </r>
  <r>
    <s v="P164932"/>
    <x v="1005"/>
    <n v="5671"/>
    <x v="79"/>
    <x v="0"/>
    <n v="34913"/>
    <s v="10K–50K"/>
    <x v="2"/>
    <n v="4.5225"/>
    <s v="Yes"/>
    <x v="0"/>
    <n v="1981"/>
    <n v="8"/>
    <x v="1"/>
    <n v="0"/>
    <n v="0"/>
  </r>
  <r>
    <s v="P283501"/>
    <x v="1006"/>
    <n v="5922"/>
    <x v="31"/>
    <x v="3"/>
    <n v="29027"/>
    <s v="10K–50K"/>
    <x v="2"/>
    <n v="4.0523999999999996"/>
    <s v="Yes"/>
    <x v="0"/>
    <n v="2023"/>
    <n v="36"/>
    <x v="0"/>
    <n v="0"/>
    <n v="0"/>
  </r>
  <r>
    <s v="P463371"/>
    <x v="1007"/>
    <n v="6169"/>
    <x v="3"/>
    <x v="7"/>
    <n v="28957"/>
    <s v="10K–50K"/>
    <x v="2"/>
    <n v="4.3654999999999999"/>
    <s v="Yes"/>
    <x v="0"/>
    <n v="2071"/>
    <n v="18"/>
    <x v="1"/>
    <n v="0"/>
    <n v="0"/>
  </r>
  <r>
    <s v="P459299"/>
    <x v="1008"/>
    <n v="6309"/>
    <x v="62"/>
    <x v="7"/>
    <n v="14292"/>
    <s v="10K–50K"/>
    <x v="2"/>
    <n v="4.4821"/>
    <s v="Yes"/>
    <x v="0"/>
    <n v="2128"/>
    <n v="42"/>
    <x v="0"/>
    <n v="0"/>
    <n v="0"/>
  </r>
  <r>
    <s v="P456213"/>
    <x v="1009"/>
    <n v="6309"/>
    <x v="62"/>
    <x v="2"/>
    <n v="17838"/>
    <s v="10K–50K"/>
    <x v="2"/>
    <n v="4.4821"/>
    <s v="Yes"/>
    <x v="0"/>
    <n v="2128"/>
    <n v="125"/>
    <x v="2"/>
    <n v="0"/>
    <n v="0"/>
  </r>
  <r>
    <s v="P458216"/>
    <x v="1010"/>
    <n v="6316"/>
    <x v="49"/>
    <x v="7"/>
    <n v="38190"/>
    <s v="10K–50K"/>
    <x v="2"/>
    <n v="4.2460000000000004"/>
    <s v="Yes"/>
    <x v="0"/>
    <n v="2207"/>
    <n v="21"/>
    <x v="0"/>
    <n v="0"/>
    <n v="0"/>
  </r>
  <r>
    <s v="P461933"/>
    <x v="1011"/>
    <n v="6089"/>
    <x v="45"/>
    <x v="1"/>
    <n v="11269"/>
    <s v="10K–50K"/>
    <x v="2"/>
    <n v="4.0456000000000003"/>
    <s v="Yes"/>
    <x v="0"/>
    <n v="2410"/>
    <n v="195"/>
    <x v="2"/>
    <n v="0"/>
    <n v="0"/>
  </r>
  <r>
    <s v="P461160"/>
    <x v="1012"/>
    <n v="6089"/>
    <x v="45"/>
    <x v="7"/>
    <n v="23348"/>
    <s v="10K–50K"/>
    <x v="2"/>
    <n v="4.0456000000000003"/>
    <s v="Yes"/>
    <x v="0"/>
    <n v="2410"/>
    <n v="19"/>
    <x v="1"/>
    <n v="0"/>
    <n v="0"/>
  </r>
  <r>
    <s v="P440651"/>
    <x v="1013"/>
    <n v="4164"/>
    <x v="54"/>
    <x v="7"/>
    <n v="12651"/>
    <s v="10K–50K"/>
    <x v="2"/>
    <n v="4.2359999999999998"/>
    <s v="Yes"/>
    <x v="0"/>
    <n v="2449"/>
    <n v="14"/>
    <x v="1"/>
    <n v="0"/>
    <n v="0"/>
  </r>
  <r>
    <s v="P479860"/>
    <x v="1014"/>
    <n v="6289"/>
    <x v="19"/>
    <x v="3"/>
    <n v="33646"/>
    <s v="10K–50K"/>
    <x v="2"/>
    <n v="4.2923999999999998"/>
    <s v="Yes"/>
    <x v="0"/>
    <n v="2449"/>
    <n v="20"/>
    <x v="0"/>
    <n v="0"/>
    <n v="0"/>
  </r>
  <r>
    <s v="P473160"/>
    <x v="1015"/>
    <n v="6041"/>
    <x v="6"/>
    <x v="3"/>
    <n v="13964"/>
    <s v="10K–50K"/>
    <x v="2"/>
    <n v="4.4442000000000004"/>
    <s v="Yes"/>
    <x v="0"/>
    <n v="2483"/>
    <n v="65"/>
    <x v="2"/>
    <n v="0"/>
    <n v="0"/>
  </r>
  <r>
    <s v="P422510"/>
    <x v="1016"/>
    <n v="6218"/>
    <x v="20"/>
    <x v="7"/>
    <n v="31687"/>
    <s v="10K–50K"/>
    <x v="2"/>
    <n v="4.4469000000000003"/>
    <s v="Yes"/>
    <x v="0"/>
    <n v="2515"/>
    <n v="24"/>
    <x v="0"/>
    <n v="1"/>
    <n v="0"/>
  </r>
  <r>
    <s v="P456398"/>
    <x v="1017"/>
    <n v="5337"/>
    <x v="32"/>
    <x v="4"/>
    <n v="42257"/>
    <s v="10K–50K"/>
    <x v="2"/>
    <n v="4.4863999999999997"/>
    <s v="Yes"/>
    <x v="0"/>
    <n v="2936"/>
    <n v="50"/>
    <x v="0"/>
    <n v="0"/>
    <n v="0"/>
  </r>
  <r>
    <s v="P426183"/>
    <x v="1018"/>
    <n v="6084"/>
    <x v="37"/>
    <x v="3"/>
    <n v="49032"/>
    <s v="10K–50K"/>
    <x v="2"/>
    <n v="4.0807000000000002"/>
    <s v="Yes"/>
    <x v="0"/>
    <n v="2949"/>
    <n v="99"/>
    <x v="2"/>
    <n v="0"/>
    <n v="0"/>
  </r>
  <r>
    <s v="P478030"/>
    <x v="1019"/>
    <n v="6285"/>
    <x v="21"/>
    <x v="2"/>
    <n v="40474"/>
    <s v="10K–50K"/>
    <x v="2"/>
    <n v="3.6097999999999999"/>
    <s v="Yes"/>
    <x v="1"/>
    <n v="2968"/>
    <n v="5.99"/>
    <x v="1"/>
    <n v="0"/>
    <n v="0"/>
  </r>
  <r>
    <s v="P481817"/>
    <x v="1020"/>
    <n v="4171"/>
    <x v="23"/>
    <x v="3"/>
    <n v="39840"/>
    <s v="10K–50K"/>
    <x v="2"/>
    <n v="4.2396000000000003"/>
    <s v="Yes"/>
    <x v="0"/>
    <n v="3405"/>
    <n v="49"/>
    <x v="0"/>
    <n v="0"/>
    <n v="0"/>
  </r>
  <r>
    <s v="P454794"/>
    <x v="1021"/>
    <n v="6041"/>
    <x v="6"/>
    <x v="7"/>
    <n v="23723"/>
    <s v="10K–50K"/>
    <x v="2"/>
    <n v="4.0244999999999997"/>
    <s v="Yes"/>
    <x v="0"/>
    <n v="4168"/>
    <n v="22"/>
    <x v="0"/>
    <n v="0"/>
    <n v="0"/>
  </r>
  <r>
    <s v="P456412"/>
    <x v="1022"/>
    <n v="5715"/>
    <x v="72"/>
    <x v="2"/>
    <n v="38097"/>
    <s v="10K–50K"/>
    <x v="2"/>
    <n v="4.5667"/>
    <s v="Yes"/>
    <x v="0"/>
    <n v="4186"/>
    <n v="28"/>
    <x v="0"/>
    <n v="0"/>
    <n v="0"/>
  </r>
  <r>
    <s v="P453816"/>
    <x v="1023"/>
    <n v="1254"/>
    <x v="24"/>
    <x v="7"/>
    <n v="37388"/>
    <s v="10K–50K"/>
    <x v="2"/>
    <n v="4.5293999999999999"/>
    <s v="Yes"/>
    <x v="0"/>
    <n v="4375"/>
    <n v="14"/>
    <x v="1"/>
    <n v="0"/>
    <n v="0"/>
  </r>
  <r>
    <s v="P442589"/>
    <x v="1024"/>
    <n v="3902"/>
    <x v="13"/>
    <x v="5"/>
    <n v="50038"/>
    <s v="50K–1L"/>
    <x v="3"/>
    <n v="3.5165000000000002"/>
    <s v="Yes"/>
    <x v="1"/>
    <n v="455"/>
    <n v="8"/>
    <x v="1"/>
    <n v="0"/>
    <n v="0"/>
  </r>
  <r>
    <s v="P309310"/>
    <x v="1025"/>
    <n v="6073"/>
    <x v="15"/>
    <x v="2"/>
    <n v="50777"/>
    <s v="50K–1L"/>
    <x v="3"/>
    <n v="3.8452999999999999"/>
    <s v="Yes"/>
    <x v="1"/>
    <n v="950"/>
    <n v="35"/>
    <x v="0"/>
    <n v="0"/>
    <n v="0"/>
  </r>
  <r>
    <s v="P448181"/>
    <x v="1026"/>
    <n v="6136"/>
    <x v="93"/>
    <x v="11"/>
    <n v="51300"/>
    <s v="50K–1L"/>
    <x v="3"/>
    <n v="3.6156999999999999"/>
    <s v="Yes"/>
    <x v="1"/>
    <n v="281"/>
    <n v="99"/>
    <x v="2"/>
    <n v="0"/>
    <n v="0"/>
  </r>
  <r>
    <s v="P470024"/>
    <x v="1027"/>
    <n v="7083"/>
    <x v="2"/>
    <x v="1"/>
    <n v="51763"/>
    <s v="50K–1L"/>
    <x v="3"/>
    <n v="4.3619000000000003"/>
    <s v="Yes"/>
    <x v="0"/>
    <n v="713"/>
    <n v="82"/>
    <x v="2"/>
    <n v="0"/>
    <n v="0"/>
  </r>
  <r>
    <s v="P416560"/>
    <x v="1028"/>
    <n v="6195"/>
    <x v="27"/>
    <x v="2"/>
    <n v="51767"/>
    <s v="50K–1L"/>
    <x v="3"/>
    <n v="4.0202999999999998"/>
    <s v="Yes"/>
    <x v="0"/>
    <n v="639"/>
    <n v="32"/>
    <x v="0"/>
    <n v="0"/>
    <n v="0"/>
  </r>
  <r>
    <s v="P466153"/>
    <x v="1029"/>
    <n v="6247"/>
    <x v="7"/>
    <x v="3"/>
    <n v="51838"/>
    <s v="50K–1L"/>
    <x v="3"/>
    <n v="4.4612999999999996"/>
    <s v="Yes"/>
    <x v="0"/>
    <n v="646"/>
    <n v="45"/>
    <x v="0"/>
    <n v="0"/>
    <n v="0"/>
  </r>
  <r>
    <s v="P465752"/>
    <x v="1030"/>
    <n v="7083"/>
    <x v="2"/>
    <x v="7"/>
    <n v="52282"/>
    <s v="50K–1L"/>
    <x v="3"/>
    <n v="3.8050000000000002"/>
    <s v="Yes"/>
    <x v="1"/>
    <n v="159"/>
    <n v="22"/>
    <x v="0"/>
    <n v="0"/>
    <n v="0"/>
  </r>
  <r>
    <s v="P471003"/>
    <x v="1031"/>
    <n v="6195"/>
    <x v="27"/>
    <x v="2"/>
    <n v="52399"/>
    <s v="50K–1L"/>
    <x v="3"/>
    <n v="4.4309000000000003"/>
    <s v="Yes"/>
    <x v="0"/>
    <n v="608"/>
    <n v="30"/>
    <x v="0"/>
    <n v="0"/>
    <n v="0"/>
  </r>
  <r>
    <s v="P412025"/>
    <x v="1032"/>
    <n v="3728"/>
    <x v="41"/>
    <x v="8"/>
    <n v="52503"/>
    <s v="50K–1L"/>
    <x v="3"/>
    <n v="3.9668000000000001"/>
    <s v="Yes"/>
    <x v="1"/>
    <n v="391"/>
    <n v="55"/>
    <x v="2"/>
    <n v="0"/>
    <n v="0"/>
  </r>
  <r>
    <s v="P431187"/>
    <x v="1033"/>
    <n v="8001"/>
    <x v="4"/>
    <x v="2"/>
    <n v="52562"/>
    <s v="50K–1L"/>
    <x v="3"/>
    <n v="4.0340999999999996"/>
    <s v="Yes"/>
    <x v="0"/>
    <n v="881"/>
    <n v="28"/>
    <x v="0"/>
    <n v="0"/>
    <n v="0"/>
  </r>
  <r>
    <s v="P424948"/>
    <x v="1034"/>
    <n v="6073"/>
    <x v="15"/>
    <x v="8"/>
    <n v="52803"/>
    <s v="50K–1L"/>
    <x v="3"/>
    <n v="4.0286"/>
    <s v="Yes"/>
    <x v="0"/>
    <n v="1679"/>
    <n v="65"/>
    <x v="2"/>
    <n v="0"/>
    <n v="0"/>
  </r>
  <r>
    <s v="P471237"/>
    <x v="1035"/>
    <n v="4348"/>
    <x v="11"/>
    <x v="3"/>
    <n v="52868"/>
    <s v="50K–1L"/>
    <x v="3"/>
    <n v="4.5876999999999999"/>
    <s v="Yes"/>
    <x v="0"/>
    <n v="1807"/>
    <n v="46"/>
    <x v="0"/>
    <n v="0"/>
    <n v="0"/>
  </r>
  <r>
    <s v="P454378"/>
    <x v="1036"/>
    <n v="4348"/>
    <x v="11"/>
    <x v="3"/>
    <n v="52999"/>
    <s v="50K–1L"/>
    <x v="3"/>
    <n v="4.3963000000000001"/>
    <s v="Yes"/>
    <x v="0"/>
    <n v="1070"/>
    <n v="54"/>
    <x v="2"/>
    <n v="0"/>
    <n v="0"/>
  </r>
  <r>
    <s v="P455365"/>
    <x v="1037"/>
    <n v="6285"/>
    <x v="21"/>
    <x v="3"/>
    <n v="53343"/>
    <s v="50K–1L"/>
    <x v="3"/>
    <n v="4.1429"/>
    <s v="Yes"/>
    <x v="0"/>
    <n v="294"/>
    <n v="7.99"/>
    <x v="1"/>
    <n v="0"/>
    <n v="0"/>
  </r>
  <r>
    <s v="P473336"/>
    <x v="1038"/>
    <n v="6169"/>
    <x v="3"/>
    <x v="10"/>
    <n v="53522"/>
    <s v="50K–1L"/>
    <x v="3"/>
    <n v="4.5526"/>
    <s v="Yes"/>
    <x v="0"/>
    <n v="76"/>
    <n v="59"/>
    <x v="2"/>
    <n v="0"/>
    <n v="0"/>
  </r>
  <r>
    <s v="P438617"/>
    <x v="1039"/>
    <n v="3902"/>
    <x v="13"/>
    <x v="3"/>
    <n v="54075"/>
    <s v="50K–1L"/>
    <x v="3"/>
    <n v="4.5647000000000002"/>
    <s v="Yes"/>
    <x v="0"/>
    <n v="425"/>
    <n v="18"/>
    <x v="1"/>
    <n v="0"/>
    <n v="0"/>
  </r>
  <r>
    <s v="P393076"/>
    <x v="1040"/>
    <n v="5972"/>
    <x v="10"/>
    <x v="3"/>
    <n v="54167"/>
    <s v="50K–1L"/>
    <x v="3"/>
    <n v="4.3113999999999999"/>
    <s v="Yes"/>
    <x v="0"/>
    <n v="562"/>
    <n v="44"/>
    <x v="0"/>
    <n v="0"/>
    <n v="0"/>
  </r>
  <r>
    <s v="P456410"/>
    <x v="1041"/>
    <n v="6195"/>
    <x v="27"/>
    <x v="4"/>
    <n v="54584"/>
    <s v="50K–1L"/>
    <x v="3"/>
    <n v="3.8812000000000002"/>
    <s v="Yes"/>
    <x v="1"/>
    <n v="648"/>
    <n v="34"/>
    <x v="0"/>
    <n v="0"/>
    <n v="0"/>
  </r>
  <r>
    <s v="P463144"/>
    <x v="1042"/>
    <n v="6169"/>
    <x v="3"/>
    <x v="8"/>
    <n v="54679"/>
    <s v="50K–1L"/>
    <x v="3"/>
    <n v="3.8645"/>
    <s v="Yes"/>
    <x v="1"/>
    <n v="546"/>
    <n v="48"/>
    <x v="0"/>
    <n v="0"/>
    <n v="0"/>
  </r>
  <r>
    <s v="P447603"/>
    <x v="1043"/>
    <n v="5972"/>
    <x v="10"/>
    <x v="2"/>
    <n v="54752"/>
    <s v="50K–1L"/>
    <x v="3"/>
    <n v="4.4745999999999997"/>
    <s v="Yes"/>
    <x v="0"/>
    <n v="531"/>
    <n v="24"/>
    <x v="0"/>
    <n v="0"/>
    <n v="0"/>
  </r>
  <r>
    <s v="P432053"/>
    <x v="1044"/>
    <n v="6073"/>
    <x v="15"/>
    <x v="10"/>
    <n v="54878"/>
    <s v="50K–1L"/>
    <x v="3"/>
    <n v="3.8481000000000001"/>
    <s v="Yes"/>
    <x v="1"/>
    <n v="158"/>
    <n v="28"/>
    <x v="0"/>
    <n v="0"/>
    <n v="0"/>
  </r>
  <r>
    <s v="P422536"/>
    <x v="1045"/>
    <n v="3733"/>
    <x v="22"/>
    <x v="3"/>
    <n v="54899"/>
    <s v="50K–1L"/>
    <x v="3"/>
    <n v="4.4089"/>
    <s v="Yes"/>
    <x v="0"/>
    <n v="2306"/>
    <n v="40"/>
    <x v="0"/>
    <n v="0"/>
    <n v="0"/>
  </r>
  <r>
    <s v="P4010"/>
    <x v="1046"/>
    <n v="4164"/>
    <x v="54"/>
    <x v="2"/>
    <n v="54926"/>
    <s v="50K–1L"/>
    <x v="3"/>
    <n v="4.4981"/>
    <s v="Yes"/>
    <x v="0"/>
    <n v="789"/>
    <n v="46"/>
    <x v="0"/>
    <n v="0"/>
    <n v="0"/>
  </r>
  <r>
    <s v="P442857"/>
    <x v="1047"/>
    <n v="6014"/>
    <x v="17"/>
    <x v="1"/>
    <n v="54955"/>
    <s v="50K–1L"/>
    <x v="3"/>
    <n v="3.0381"/>
    <s v="Yes"/>
    <x v="1"/>
    <n v="578"/>
    <n v="20"/>
    <x v="0"/>
    <n v="0"/>
    <n v="0"/>
  </r>
  <r>
    <s v="P479362"/>
    <x v="1048"/>
    <n v="6169"/>
    <x v="3"/>
    <x v="1"/>
    <n v="55041"/>
    <s v="50K–1L"/>
    <x v="3"/>
    <n v="4.5141999999999998"/>
    <s v="Yes"/>
    <x v="0"/>
    <n v="459"/>
    <n v="54"/>
    <x v="2"/>
    <n v="0"/>
    <n v="0"/>
  </r>
  <r>
    <s v="P387261"/>
    <x v="1049"/>
    <n v="3728"/>
    <x v="41"/>
    <x v="5"/>
    <n v="55129"/>
    <s v="50K–1L"/>
    <x v="3"/>
    <n v="4.6611000000000002"/>
    <s v="Yes"/>
    <x v="0"/>
    <n v="720"/>
    <n v="60"/>
    <x v="2"/>
    <n v="0"/>
    <n v="0"/>
  </r>
  <r>
    <s v="P458755"/>
    <x v="1050"/>
    <n v="6236"/>
    <x v="38"/>
    <x v="1"/>
    <n v="55157"/>
    <s v="50K–1L"/>
    <x v="3"/>
    <n v="4.1593"/>
    <s v="Yes"/>
    <x v="0"/>
    <n v="954"/>
    <n v="85"/>
    <x v="2"/>
    <n v="0"/>
    <n v="0"/>
  </r>
  <r>
    <s v="P379707"/>
    <x v="1051"/>
    <n v="7020"/>
    <x v="70"/>
    <x v="5"/>
    <n v="55191"/>
    <s v="50K–1L"/>
    <x v="3"/>
    <n v="4.3471000000000002"/>
    <s v="Yes"/>
    <x v="0"/>
    <n v="847"/>
    <n v="68"/>
    <x v="2"/>
    <n v="0"/>
    <n v="0"/>
  </r>
  <r>
    <s v="P428416"/>
    <x v="1052"/>
    <n v="8001"/>
    <x v="4"/>
    <x v="0"/>
    <n v="55236"/>
    <s v="50K–1L"/>
    <x v="3"/>
    <n v="4.2550999999999997"/>
    <s v="Yes"/>
    <x v="0"/>
    <n v="839"/>
    <n v="12"/>
    <x v="1"/>
    <n v="0"/>
    <n v="0"/>
  </r>
  <r>
    <s v="P457005"/>
    <x v="1053"/>
    <n v="4348"/>
    <x v="11"/>
    <x v="1"/>
    <n v="55320"/>
    <s v="50K–1L"/>
    <x v="3"/>
    <n v="4.5838000000000001"/>
    <s v="Yes"/>
    <x v="0"/>
    <n v="978"/>
    <n v="60"/>
    <x v="2"/>
    <n v="0"/>
    <n v="0"/>
  </r>
  <r>
    <s v="P54509"/>
    <x v="1054"/>
    <n v="1741"/>
    <x v="42"/>
    <x v="2"/>
    <n v="55339"/>
    <s v="50K–1L"/>
    <x v="3"/>
    <n v="4.5585000000000004"/>
    <s v="Yes"/>
    <x v="0"/>
    <n v="1581"/>
    <n v="39"/>
    <x v="0"/>
    <n v="0"/>
    <n v="1"/>
  </r>
  <r>
    <s v="P480278"/>
    <x v="1055"/>
    <n v="6195"/>
    <x v="27"/>
    <x v="10"/>
    <n v="55347"/>
    <s v="50K–1L"/>
    <x v="3"/>
    <n v="4.1323999999999996"/>
    <s v="Yes"/>
    <x v="0"/>
    <n v="136"/>
    <n v="35"/>
    <x v="0"/>
    <n v="0"/>
    <n v="0"/>
  </r>
  <r>
    <s v="P434546"/>
    <x v="1056"/>
    <n v="5674"/>
    <x v="25"/>
    <x v="3"/>
    <n v="55708"/>
    <s v="50K–1L"/>
    <x v="3"/>
    <n v="3.8816999999999999"/>
    <s v="Yes"/>
    <x v="1"/>
    <n v="524"/>
    <n v="60"/>
    <x v="2"/>
    <n v="0"/>
    <n v="0"/>
  </r>
  <r>
    <s v="P405584"/>
    <x v="1057"/>
    <n v="7083"/>
    <x v="2"/>
    <x v="10"/>
    <n v="55728"/>
    <s v="50K–1L"/>
    <x v="3"/>
    <n v="4.34"/>
    <s v="Yes"/>
    <x v="0"/>
    <n v="600"/>
    <n v="16"/>
    <x v="1"/>
    <n v="0"/>
    <n v="0"/>
  </r>
  <r>
    <s v="P42205"/>
    <x v="351"/>
    <n v="5671"/>
    <x v="79"/>
    <x v="0"/>
    <n v="55765"/>
    <s v="50K–1L"/>
    <x v="3"/>
    <n v="4.5590000000000002"/>
    <s v="Yes"/>
    <x v="0"/>
    <n v="2440"/>
    <n v="8"/>
    <x v="1"/>
    <n v="0"/>
    <n v="0"/>
  </r>
  <r>
    <s v="P424988"/>
    <x v="1058"/>
    <n v="6225"/>
    <x v="57"/>
    <x v="6"/>
    <n v="55771"/>
    <s v="50K–1L"/>
    <x v="3"/>
    <n v="3.9893999999999998"/>
    <s v="Yes"/>
    <x v="1"/>
    <n v="471"/>
    <n v="50"/>
    <x v="0"/>
    <n v="0"/>
    <n v="0"/>
  </r>
  <r>
    <s v="P442759"/>
    <x v="1059"/>
    <n v="6234"/>
    <x v="1"/>
    <x v="1"/>
    <n v="55852"/>
    <s v="50K–1L"/>
    <x v="3"/>
    <n v="4.4123000000000001"/>
    <s v="Yes"/>
    <x v="0"/>
    <n v="228"/>
    <n v="8.9"/>
    <x v="1"/>
    <n v="0"/>
    <n v="0"/>
  </r>
  <r>
    <s v="P455898"/>
    <x v="1060"/>
    <n v="6234"/>
    <x v="1"/>
    <x v="1"/>
    <n v="55894"/>
    <s v="50K–1L"/>
    <x v="3"/>
    <n v="4.5243000000000002"/>
    <s v="Yes"/>
    <x v="0"/>
    <n v="206"/>
    <n v="11.1"/>
    <x v="1"/>
    <n v="0"/>
    <n v="0"/>
  </r>
  <r>
    <s v="P479318"/>
    <x v="1061"/>
    <n v="8001"/>
    <x v="4"/>
    <x v="5"/>
    <n v="56372"/>
    <s v="50K–1L"/>
    <x v="3"/>
    <n v="4.6759000000000004"/>
    <s v="Yes"/>
    <x v="0"/>
    <n v="901"/>
    <n v="44"/>
    <x v="0"/>
    <n v="0"/>
    <n v="0"/>
  </r>
  <r>
    <s v="P377561"/>
    <x v="1062"/>
    <n v="3728"/>
    <x v="41"/>
    <x v="1"/>
    <n v="56547"/>
    <s v="50K–1L"/>
    <x v="3"/>
    <n v="4.5391000000000004"/>
    <s v="Yes"/>
    <x v="0"/>
    <n v="1686"/>
    <n v="49"/>
    <x v="0"/>
    <n v="0"/>
    <n v="0"/>
  </r>
  <r>
    <s v="P442836"/>
    <x v="1063"/>
    <n v="6289"/>
    <x v="19"/>
    <x v="2"/>
    <n v="56605"/>
    <s v="50K–1L"/>
    <x v="3"/>
    <n v="4.5791000000000004"/>
    <s v="Yes"/>
    <x v="0"/>
    <n v="993"/>
    <n v="30"/>
    <x v="0"/>
    <n v="0"/>
    <n v="0"/>
  </r>
  <r>
    <s v="P409630"/>
    <x v="1064"/>
    <n v="5648"/>
    <x v="73"/>
    <x v="8"/>
    <n v="56808"/>
    <s v="50K–1L"/>
    <x v="3"/>
    <n v="4.1779000000000002"/>
    <s v="Yes"/>
    <x v="0"/>
    <n v="298"/>
    <n v="22"/>
    <x v="0"/>
    <n v="0"/>
    <n v="1"/>
  </r>
  <r>
    <s v="P114902"/>
    <x v="1065"/>
    <n v="3728"/>
    <x v="41"/>
    <x v="1"/>
    <n v="56955"/>
    <s v="50K–1L"/>
    <x v="3"/>
    <n v="4.4199000000000002"/>
    <s v="Yes"/>
    <x v="0"/>
    <n v="1529"/>
    <n v="48"/>
    <x v="0"/>
    <n v="0"/>
    <n v="0"/>
  </r>
  <r>
    <s v="P4016"/>
    <x v="1066"/>
    <n v="4164"/>
    <x v="54"/>
    <x v="2"/>
    <n v="56973"/>
    <s v="50K–1L"/>
    <x v="3"/>
    <n v="4.2347999999999999"/>
    <s v="Yes"/>
    <x v="0"/>
    <n v="2572"/>
    <n v="36"/>
    <x v="0"/>
    <n v="0"/>
    <n v="0"/>
  </r>
  <r>
    <s v="P440498"/>
    <x v="1067"/>
    <n v="8017"/>
    <x v="56"/>
    <x v="1"/>
    <n v="57039"/>
    <s v="50K–1L"/>
    <x v="3"/>
    <n v="4.0955000000000004"/>
    <s v="Yes"/>
    <x v="0"/>
    <n v="398"/>
    <n v="17"/>
    <x v="1"/>
    <n v="0"/>
    <n v="0"/>
  </r>
  <r>
    <s v="P504171"/>
    <x v="1068"/>
    <n v="6189"/>
    <x v="5"/>
    <x v="10"/>
    <n v="57316"/>
    <s v="50K–1L"/>
    <x v="3"/>
    <n v="4.6338999999999997"/>
    <s v="Yes"/>
    <x v="0"/>
    <n v="183"/>
    <n v="34"/>
    <x v="0"/>
    <n v="0"/>
    <n v="0"/>
  </r>
  <r>
    <s v="P139000"/>
    <x v="1069"/>
    <n v="1254"/>
    <x v="24"/>
    <x v="2"/>
    <n v="57395"/>
    <s v="50K–1L"/>
    <x v="3"/>
    <n v="4.3693999999999997"/>
    <s v="Yes"/>
    <x v="0"/>
    <n v="2206"/>
    <n v="23.5"/>
    <x v="0"/>
    <n v="0"/>
    <n v="0"/>
  </r>
  <r>
    <s v="P203616"/>
    <x v="1070"/>
    <n v="5857"/>
    <x v="51"/>
    <x v="5"/>
    <n v="58212"/>
    <s v="50K–1L"/>
    <x v="3"/>
    <n v="4.4021999999999997"/>
    <s v="Yes"/>
    <x v="0"/>
    <n v="1283"/>
    <n v="58"/>
    <x v="2"/>
    <n v="0"/>
    <n v="0"/>
  </r>
  <r>
    <s v="P427404"/>
    <x v="1071"/>
    <n v="6234"/>
    <x v="1"/>
    <x v="1"/>
    <n v="58355"/>
    <s v="50K–1L"/>
    <x v="3"/>
    <n v="3.8193000000000001"/>
    <s v="Yes"/>
    <x v="1"/>
    <n v="166"/>
    <n v="19.8"/>
    <x v="1"/>
    <n v="0"/>
    <n v="0"/>
  </r>
  <r>
    <s v="P384778"/>
    <x v="1072"/>
    <n v="4348"/>
    <x v="11"/>
    <x v="8"/>
    <n v="58657"/>
    <s v="50K–1L"/>
    <x v="3"/>
    <n v="3.8767999999999998"/>
    <s v="Yes"/>
    <x v="1"/>
    <n v="609"/>
    <n v="68"/>
    <x v="2"/>
    <n v="0"/>
    <n v="0"/>
  </r>
  <r>
    <s v="P416561"/>
    <x v="1073"/>
    <n v="6195"/>
    <x v="27"/>
    <x v="3"/>
    <n v="58788"/>
    <s v="50K–1L"/>
    <x v="3"/>
    <n v="4.0923999999999996"/>
    <s v="Yes"/>
    <x v="0"/>
    <n v="714"/>
    <n v="54"/>
    <x v="2"/>
    <n v="0"/>
    <n v="0"/>
  </r>
  <r>
    <s v="P461159"/>
    <x v="1074"/>
    <n v="6089"/>
    <x v="45"/>
    <x v="1"/>
    <n v="58873"/>
    <s v="50K–1L"/>
    <x v="3"/>
    <n v="4.0456000000000003"/>
    <s v="Yes"/>
    <x v="0"/>
    <n v="2410"/>
    <n v="115"/>
    <x v="2"/>
    <n v="0"/>
    <n v="0"/>
  </r>
  <r>
    <s v="P375534"/>
    <x v="1075"/>
    <n v="5972"/>
    <x v="10"/>
    <x v="3"/>
    <n v="59220"/>
    <s v="50K–1L"/>
    <x v="3"/>
    <n v="4.1963999999999997"/>
    <s v="Yes"/>
    <x v="0"/>
    <n v="988"/>
    <n v="28"/>
    <x v="0"/>
    <n v="0"/>
    <n v="0"/>
  </r>
  <r>
    <s v="P438620"/>
    <x v="1076"/>
    <n v="3902"/>
    <x v="13"/>
    <x v="3"/>
    <n v="59250"/>
    <s v="50K–1L"/>
    <x v="3"/>
    <n v="4.5182000000000002"/>
    <s v="Yes"/>
    <x v="0"/>
    <n v="467"/>
    <n v="18"/>
    <x v="1"/>
    <n v="0"/>
    <n v="0"/>
  </r>
  <r>
    <s v="P416562"/>
    <x v="1077"/>
    <n v="6195"/>
    <x v="27"/>
    <x v="8"/>
    <n v="59273"/>
    <s v="50K–1L"/>
    <x v="3"/>
    <n v="3.6371000000000002"/>
    <s v="Yes"/>
    <x v="1"/>
    <n v="653"/>
    <n v="56"/>
    <x v="2"/>
    <n v="0"/>
    <n v="0"/>
  </r>
  <r>
    <s v="P385432"/>
    <x v="1078"/>
    <n v="1254"/>
    <x v="24"/>
    <x v="1"/>
    <n v="59548"/>
    <s v="50K–1L"/>
    <x v="3"/>
    <n v="4.2233999999999998"/>
    <s v="Yes"/>
    <x v="0"/>
    <n v="1079"/>
    <n v="32"/>
    <x v="0"/>
    <n v="0"/>
    <n v="0"/>
  </r>
  <r>
    <s v="P421235"/>
    <x v="1079"/>
    <n v="2082"/>
    <x v="63"/>
    <x v="1"/>
    <n v="59652"/>
    <s v="50K–1L"/>
    <x v="3"/>
    <n v="4.2503000000000002"/>
    <s v="Yes"/>
    <x v="0"/>
    <n v="2605"/>
    <n v="90"/>
    <x v="2"/>
    <n v="0"/>
    <n v="0"/>
  </r>
  <r>
    <s v="P439643"/>
    <x v="1080"/>
    <n v="1254"/>
    <x v="24"/>
    <x v="3"/>
    <n v="59756"/>
    <s v="50K–1L"/>
    <x v="3"/>
    <n v="3.6309999999999998"/>
    <s v="Yes"/>
    <x v="1"/>
    <n v="271"/>
    <n v="41"/>
    <x v="0"/>
    <n v="0"/>
    <n v="1"/>
  </r>
  <r>
    <s v="P423254"/>
    <x v="1081"/>
    <n v="3728"/>
    <x v="41"/>
    <x v="8"/>
    <n v="60266"/>
    <s v="50K–1L"/>
    <x v="3"/>
    <n v="4.069"/>
    <s v="Yes"/>
    <x v="0"/>
    <n v="290"/>
    <n v="55"/>
    <x v="2"/>
    <n v="0"/>
    <n v="0"/>
  </r>
  <r>
    <s v="P468821"/>
    <x v="1082"/>
    <n v="5972"/>
    <x v="10"/>
    <x v="3"/>
    <n v="60505"/>
    <s v="50K–1L"/>
    <x v="3"/>
    <n v="4.5355999999999996"/>
    <s v="Yes"/>
    <x v="0"/>
    <n v="534"/>
    <n v="44"/>
    <x v="0"/>
    <n v="0"/>
    <n v="0"/>
  </r>
  <r>
    <s v="P442755"/>
    <x v="1083"/>
    <n v="6234"/>
    <x v="1"/>
    <x v="1"/>
    <n v="60746"/>
    <s v="50K–1L"/>
    <x v="3"/>
    <n v="4"/>
    <s v="Yes"/>
    <x v="0"/>
    <n v="162"/>
    <n v="10"/>
    <x v="1"/>
    <n v="0"/>
    <n v="0"/>
  </r>
  <r>
    <s v="P469510"/>
    <x v="1084"/>
    <n v="6341"/>
    <x v="12"/>
    <x v="1"/>
    <n v="60835"/>
    <s v="50K–1L"/>
    <x v="3"/>
    <n v="4.5551000000000004"/>
    <s v="Yes"/>
    <x v="0"/>
    <n v="263"/>
    <n v="62"/>
    <x v="2"/>
    <n v="0"/>
    <n v="0"/>
  </r>
  <r>
    <s v="P454383"/>
    <x v="1085"/>
    <n v="5987"/>
    <x v="9"/>
    <x v="4"/>
    <n v="60887"/>
    <s v="50K–1L"/>
    <x v="3"/>
    <n v="4.0953999999999997"/>
    <s v="Yes"/>
    <x v="0"/>
    <n v="1059"/>
    <n v="34"/>
    <x v="0"/>
    <n v="0"/>
    <n v="0"/>
  </r>
  <r>
    <s v="P450614"/>
    <x v="1086"/>
    <n v="6285"/>
    <x v="21"/>
    <x v="1"/>
    <n v="61536"/>
    <s v="50K–1L"/>
    <x v="3"/>
    <n v="3.9335"/>
    <s v="Yes"/>
    <x v="1"/>
    <n v="511"/>
    <n v="15.99"/>
    <x v="1"/>
    <n v="0"/>
    <n v="0"/>
  </r>
  <r>
    <s v="P445827"/>
    <x v="1087"/>
    <n v="4348"/>
    <x v="11"/>
    <x v="2"/>
    <n v="61862"/>
    <s v="50K–1L"/>
    <x v="3"/>
    <n v="4.1597"/>
    <s v="Yes"/>
    <x v="0"/>
    <n v="1259"/>
    <n v="33"/>
    <x v="0"/>
    <n v="0"/>
    <n v="0"/>
  </r>
  <r>
    <s v="P429250"/>
    <x v="1088"/>
    <n v="6014"/>
    <x v="17"/>
    <x v="1"/>
    <n v="62298"/>
    <s v="50K–1L"/>
    <x v="3"/>
    <n v="4.1395"/>
    <s v="Yes"/>
    <x v="0"/>
    <n v="473"/>
    <n v="48"/>
    <x v="0"/>
    <n v="0"/>
    <n v="0"/>
  </r>
  <r>
    <s v="P404322"/>
    <x v="1089"/>
    <n v="5946"/>
    <x v="80"/>
    <x v="2"/>
    <n v="62349"/>
    <s v="50K–1L"/>
    <x v="3"/>
    <n v="4.4493999999999998"/>
    <s v="Yes"/>
    <x v="0"/>
    <n v="948"/>
    <n v="44"/>
    <x v="0"/>
    <n v="0"/>
    <n v="0"/>
  </r>
  <r>
    <s v="P470065"/>
    <x v="1090"/>
    <n v="6169"/>
    <x v="3"/>
    <x v="5"/>
    <n v="62672"/>
    <s v="50K–1L"/>
    <x v="3"/>
    <n v="4.4595000000000002"/>
    <s v="Yes"/>
    <x v="0"/>
    <n v="346"/>
    <n v="38"/>
    <x v="0"/>
    <n v="0"/>
    <n v="0"/>
  </r>
  <r>
    <s v="P435975"/>
    <x v="1091"/>
    <n v="6236"/>
    <x v="38"/>
    <x v="3"/>
    <n v="62966"/>
    <s v="50K–1L"/>
    <x v="3"/>
    <n v="3.6585000000000001"/>
    <s v="Yes"/>
    <x v="1"/>
    <n v="246"/>
    <n v="30"/>
    <x v="0"/>
    <n v="0"/>
    <n v="0"/>
  </r>
  <r>
    <s v="P411403"/>
    <x v="1092"/>
    <n v="6175"/>
    <x v="59"/>
    <x v="3"/>
    <n v="62988"/>
    <s v="50K–1L"/>
    <x v="3"/>
    <n v="4.62"/>
    <s v="Yes"/>
    <x v="0"/>
    <n v="2484"/>
    <n v="20"/>
    <x v="0"/>
    <n v="0"/>
    <n v="0"/>
  </r>
  <r>
    <s v="P422007"/>
    <x v="1093"/>
    <n v="6218"/>
    <x v="20"/>
    <x v="2"/>
    <n v="63080"/>
    <s v="50K–1L"/>
    <x v="3"/>
    <n v="4.3712"/>
    <s v="Yes"/>
    <x v="0"/>
    <n v="862"/>
    <n v="30"/>
    <x v="0"/>
    <n v="0"/>
    <n v="0"/>
  </r>
  <r>
    <s v="P455676"/>
    <x v="1094"/>
    <n v="6316"/>
    <x v="49"/>
    <x v="2"/>
    <n v="63463"/>
    <s v="50K–1L"/>
    <x v="3"/>
    <n v="4.2460000000000004"/>
    <s v="Yes"/>
    <x v="0"/>
    <n v="2207"/>
    <n v="39"/>
    <x v="0"/>
    <n v="0"/>
    <n v="0"/>
  </r>
  <r>
    <s v="P416139"/>
    <x v="1095"/>
    <n v="6073"/>
    <x v="15"/>
    <x v="3"/>
    <n v="63669"/>
    <s v="50K–1L"/>
    <x v="3"/>
    <n v="4.0133000000000001"/>
    <s v="Yes"/>
    <x v="0"/>
    <n v="977"/>
    <n v="65"/>
    <x v="2"/>
    <n v="0"/>
    <n v="0"/>
  </r>
  <r>
    <s v="P455926"/>
    <x v="1096"/>
    <n v="6314"/>
    <x v="100"/>
    <x v="1"/>
    <n v="63782"/>
    <s v="50K–1L"/>
    <x v="3"/>
    <n v="4.2568999999999999"/>
    <s v="Yes"/>
    <x v="0"/>
    <n v="1012"/>
    <n v="88"/>
    <x v="2"/>
    <n v="0"/>
    <n v="0"/>
  </r>
  <r>
    <s v="P411393"/>
    <x v="1097"/>
    <n v="6175"/>
    <x v="59"/>
    <x v="3"/>
    <n v="64038"/>
    <s v="50K–1L"/>
    <x v="3"/>
    <n v="4.1768000000000001"/>
    <s v="Yes"/>
    <x v="0"/>
    <n v="933"/>
    <n v="35"/>
    <x v="0"/>
    <n v="0"/>
    <n v="0"/>
  </r>
  <r>
    <s v="P481989"/>
    <x v="1098"/>
    <n v="6189"/>
    <x v="5"/>
    <x v="4"/>
    <n v="64453"/>
    <s v="50K–1L"/>
    <x v="3"/>
    <n v="3.7610000000000001"/>
    <s v="Yes"/>
    <x v="1"/>
    <n v="1293"/>
    <n v="35"/>
    <x v="0"/>
    <n v="0"/>
    <n v="0"/>
  </r>
  <r>
    <s v="P467249"/>
    <x v="1099"/>
    <n v="6352"/>
    <x v="35"/>
    <x v="3"/>
    <n v="64620"/>
    <s v="50K–1L"/>
    <x v="3"/>
    <n v="4.0128000000000004"/>
    <s v="Yes"/>
    <x v="0"/>
    <n v="781"/>
    <n v="39"/>
    <x v="0"/>
    <n v="0"/>
    <n v="0"/>
  </r>
  <r>
    <s v="P482320"/>
    <x v="1100"/>
    <n v="5987"/>
    <x v="9"/>
    <x v="4"/>
    <n v="64624"/>
    <s v="50K–1L"/>
    <x v="3"/>
    <n v="3.9659"/>
    <s v="Yes"/>
    <x v="1"/>
    <n v="1439"/>
    <n v="22"/>
    <x v="0"/>
    <n v="0"/>
    <n v="1"/>
  </r>
  <r>
    <s v="P426707"/>
    <x v="1101"/>
    <n v="5972"/>
    <x v="10"/>
    <x v="3"/>
    <n v="64785"/>
    <s v="50K–1L"/>
    <x v="3"/>
    <n v="4.0008999999999997"/>
    <s v="Yes"/>
    <x v="0"/>
    <n v="1072"/>
    <n v="36"/>
    <x v="0"/>
    <n v="0"/>
    <n v="0"/>
  </r>
  <r>
    <s v="P448853"/>
    <x v="1102"/>
    <n v="2000"/>
    <x v="89"/>
    <x v="3"/>
    <n v="64871"/>
    <s v="50K–1L"/>
    <x v="3"/>
    <n v="3.9091"/>
    <s v="Yes"/>
    <x v="1"/>
    <n v="187"/>
    <n v="12"/>
    <x v="1"/>
    <n v="0"/>
    <n v="0"/>
  </r>
  <r>
    <s v="P411401"/>
    <x v="1103"/>
    <n v="6175"/>
    <x v="59"/>
    <x v="8"/>
    <n v="64892"/>
    <s v="50K–1L"/>
    <x v="3"/>
    <n v="4.0049000000000001"/>
    <s v="Yes"/>
    <x v="0"/>
    <n v="1024"/>
    <n v="49.5"/>
    <x v="0"/>
    <n v="0"/>
    <n v="0"/>
  </r>
  <r>
    <s v="P460512"/>
    <x v="1104"/>
    <n v="6041"/>
    <x v="6"/>
    <x v="7"/>
    <n v="65016"/>
    <s v="50K–1L"/>
    <x v="3"/>
    <n v="4.3975999999999997"/>
    <s v="Yes"/>
    <x v="0"/>
    <n v="1831"/>
    <n v="24"/>
    <x v="0"/>
    <n v="0"/>
    <n v="0"/>
  </r>
  <r>
    <s v="P455338"/>
    <x v="1105"/>
    <n v="6234"/>
    <x v="1"/>
    <x v="1"/>
    <n v="65023"/>
    <s v="50K–1L"/>
    <x v="3"/>
    <n v="4.3316999999999997"/>
    <s v="Yes"/>
    <x v="0"/>
    <n v="202"/>
    <n v="6.4"/>
    <x v="1"/>
    <n v="0"/>
    <n v="0"/>
  </r>
  <r>
    <s v="P447596"/>
    <x v="1106"/>
    <n v="6234"/>
    <x v="1"/>
    <x v="3"/>
    <n v="65051"/>
    <s v="50K–1L"/>
    <x v="3"/>
    <n v="4.1708999999999996"/>
    <s v="Yes"/>
    <x v="0"/>
    <n v="357"/>
    <n v="7.5"/>
    <x v="1"/>
    <n v="0"/>
    <n v="0"/>
  </r>
  <r>
    <s v="P375852"/>
    <x v="1107"/>
    <n v="6084"/>
    <x v="37"/>
    <x v="5"/>
    <n v="65151"/>
    <s v="50K–1L"/>
    <x v="3"/>
    <n v="4.2972000000000001"/>
    <s v="Yes"/>
    <x v="0"/>
    <n v="434"/>
    <n v="145"/>
    <x v="2"/>
    <n v="0"/>
    <n v="0"/>
  </r>
  <r>
    <s v="P436353"/>
    <x v="1108"/>
    <n v="4348"/>
    <x v="11"/>
    <x v="7"/>
    <n v="65185"/>
    <s v="50K–1L"/>
    <x v="3"/>
    <n v="4.125"/>
    <s v="Yes"/>
    <x v="0"/>
    <n v="336"/>
    <n v="26"/>
    <x v="0"/>
    <n v="0"/>
    <n v="0"/>
  </r>
  <r>
    <s v="P266126"/>
    <x v="1109"/>
    <n v="5671"/>
    <x v="79"/>
    <x v="0"/>
    <n v="65272"/>
    <s v="50K–1L"/>
    <x v="3"/>
    <n v="4.3796999999999997"/>
    <s v="Yes"/>
    <x v="0"/>
    <n v="2399"/>
    <n v="7"/>
    <x v="1"/>
    <n v="0"/>
    <n v="0"/>
  </r>
  <r>
    <s v="P217513"/>
    <x v="1110"/>
    <n v="4348"/>
    <x v="11"/>
    <x v="5"/>
    <n v="65834"/>
    <s v="50K–1L"/>
    <x v="3"/>
    <n v="4.2919"/>
    <s v="Yes"/>
    <x v="0"/>
    <n v="908"/>
    <n v="96"/>
    <x v="2"/>
    <n v="0"/>
    <n v="0"/>
  </r>
  <r>
    <s v="P443846"/>
    <x v="1111"/>
    <n v="6285"/>
    <x v="21"/>
    <x v="1"/>
    <n v="66477"/>
    <s v="50K–1L"/>
    <x v="3"/>
    <n v="4.3102999999999998"/>
    <s v="Yes"/>
    <x v="0"/>
    <n v="580"/>
    <n v="12.99"/>
    <x v="1"/>
    <n v="0"/>
    <n v="0"/>
  </r>
  <r>
    <s v="P440075"/>
    <x v="1112"/>
    <n v="6073"/>
    <x v="15"/>
    <x v="1"/>
    <n v="66551"/>
    <s v="50K–1L"/>
    <x v="3"/>
    <n v="4.2016"/>
    <s v="Yes"/>
    <x v="0"/>
    <n v="516"/>
    <n v="85"/>
    <x v="2"/>
    <n v="0"/>
    <n v="0"/>
  </r>
  <r>
    <s v="P420224"/>
    <x v="1113"/>
    <n v="4171"/>
    <x v="23"/>
    <x v="3"/>
    <n v="66634"/>
    <s v="50K–1L"/>
    <x v="3"/>
    <n v="4.2691999999999997"/>
    <s v="Yes"/>
    <x v="0"/>
    <n v="535"/>
    <n v="59"/>
    <x v="2"/>
    <n v="0"/>
    <n v="0"/>
  </r>
  <r>
    <s v="P470255"/>
    <x v="1114"/>
    <n v="5987"/>
    <x v="9"/>
    <x v="7"/>
    <n v="66960"/>
    <s v="50K–1L"/>
    <x v="3"/>
    <n v="4.2603999999999997"/>
    <s v="Yes"/>
    <x v="0"/>
    <n v="3260"/>
    <n v="22"/>
    <x v="0"/>
    <n v="0"/>
    <n v="0"/>
  </r>
  <r>
    <s v="P467655"/>
    <x v="1115"/>
    <n v="6285"/>
    <x v="21"/>
    <x v="1"/>
    <n v="67403"/>
    <s v="50K–1L"/>
    <x v="3"/>
    <n v="3.8502999999999998"/>
    <s v="Yes"/>
    <x v="1"/>
    <n v="915"/>
    <n v="9.99"/>
    <x v="1"/>
    <n v="0"/>
    <n v="0"/>
  </r>
  <r>
    <s v="P421277"/>
    <x v="1116"/>
    <n v="6018"/>
    <x v="78"/>
    <x v="1"/>
    <n v="67870"/>
    <s v="50K–1L"/>
    <x v="3"/>
    <n v="4.0259"/>
    <s v="Yes"/>
    <x v="0"/>
    <n v="1159"/>
    <n v="115"/>
    <x v="2"/>
    <n v="0"/>
    <n v="0"/>
  </r>
  <r>
    <s v="P422000"/>
    <x v="1117"/>
    <n v="6218"/>
    <x v="20"/>
    <x v="8"/>
    <n v="68043"/>
    <s v="50K–1L"/>
    <x v="3"/>
    <n v="3.9994000000000001"/>
    <s v="Yes"/>
    <x v="1"/>
    <n v="1668"/>
    <n v="36"/>
    <x v="0"/>
    <n v="0"/>
    <n v="0"/>
  </r>
  <r>
    <s v="P467976"/>
    <x v="1118"/>
    <n v="5987"/>
    <x v="9"/>
    <x v="4"/>
    <n v="68453"/>
    <s v="50K–1L"/>
    <x v="3"/>
    <n v="4.0426000000000002"/>
    <s v="Yes"/>
    <x v="0"/>
    <n v="376"/>
    <n v="35"/>
    <x v="0"/>
    <n v="0"/>
    <n v="0"/>
  </r>
  <r>
    <s v="P436387"/>
    <x v="1119"/>
    <n v="6247"/>
    <x v="7"/>
    <x v="5"/>
    <n v="68583"/>
    <s v="50K–1L"/>
    <x v="3"/>
    <n v="4.4086999999999996"/>
    <s v="Yes"/>
    <x v="0"/>
    <n v="531"/>
    <n v="49"/>
    <x v="0"/>
    <n v="0"/>
    <n v="0"/>
  </r>
  <r>
    <s v="P400203"/>
    <x v="1120"/>
    <n v="6117"/>
    <x v="33"/>
    <x v="3"/>
    <n v="68960"/>
    <s v="50K–1L"/>
    <x v="3"/>
    <n v="4.2461000000000002"/>
    <s v="Yes"/>
    <x v="0"/>
    <n v="959"/>
    <n v="74"/>
    <x v="2"/>
    <n v="0"/>
    <n v="0"/>
  </r>
  <r>
    <s v="P174502"/>
    <x v="1121"/>
    <n v="1254"/>
    <x v="24"/>
    <x v="8"/>
    <n v="68979"/>
    <s v="50K–1L"/>
    <x v="3"/>
    <n v="4.1444000000000001"/>
    <s v="Yes"/>
    <x v="0"/>
    <n v="1614"/>
    <n v="37"/>
    <x v="0"/>
    <n v="0"/>
    <n v="0"/>
  </r>
  <r>
    <s v="P455369"/>
    <x v="1122"/>
    <n v="6285"/>
    <x v="21"/>
    <x v="3"/>
    <n v="69215"/>
    <s v="50K–1L"/>
    <x v="3"/>
    <n v="3.7913000000000001"/>
    <s v="Yes"/>
    <x v="1"/>
    <n v="781"/>
    <n v="15.99"/>
    <x v="1"/>
    <n v="0"/>
    <n v="0"/>
  </r>
  <r>
    <s v="P414737"/>
    <x v="1123"/>
    <n v="5648"/>
    <x v="73"/>
    <x v="11"/>
    <n v="69366"/>
    <s v="50K–1L"/>
    <x v="3"/>
    <n v="4.1787999999999998"/>
    <s v="Yes"/>
    <x v="0"/>
    <n v="481"/>
    <n v="25"/>
    <x v="0"/>
    <n v="0"/>
    <n v="0"/>
  </r>
  <r>
    <s v="P309306"/>
    <x v="1124"/>
    <n v="6073"/>
    <x v="15"/>
    <x v="3"/>
    <n v="69459"/>
    <s v="50K–1L"/>
    <x v="3"/>
    <n v="4.3299000000000003"/>
    <s v="Yes"/>
    <x v="0"/>
    <n v="585"/>
    <n v="72"/>
    <x v="2"/>
    <n v="0"/>
    <n v="0"/>
  </r>
  <r>
    <s v="P3617"/>
    <x v="1125"/>
    <n v="3728"/>
    <x v="41"/>
    <x v="5"/>
    <n v="69468"/>
    <s v="50K–1L"/>
    <x v="3"/>
    <n v="4.5110999999999999"/>
    <s v="Yes"/>
    <x v="0"/>
    <n v="1217"/>
    <n v="52"/>
    <x v="2"/>
    <n v="0"/>
    <n v="0"/>
  </r>
  <r>
    <s v="P416564"/>
    <x v="1126"/>
    <n v="6195"/>
    <x v="27"/>
    <x v="3"/>
    <n v="69489"/>
    <s v="50K–1L"/>
    <x v="3"/>
    <n v="4.5335999999999999"/>
    <s v="Yes"/>
    <x v="0"/>
    <n v="476"/>
    <n v="34"/>
    <x v="0"/>
    <n v="0"/>
    <n v="0"/>
  </r>
  <r>
    <s v="P435386"/>
    <x v="1127"/>
    <n v="6189"/>
    <x v="5"/>
    <x v="7"/>
    <n v="69635"/>
    <s v="50K–1L"/>
    <x v="3"/>
    <n v="3.7555000000000001"/>
    <s v="Yes"/>
    <x v="1"/>
    <n v="409"/>
    <n v="21"/>
    <x v="0"/>
    <n v="0"/>
    <n v="0"/>
  </r>
  <r>
    <s v="P418872"/>
    <x v="1128"/>
    <n v="5674"/>
    <x v="25"/>
    <x v="2"/>
    <n v="69759"/>
    <s v="50K–1L"/>
    <x v="3"/>
    <n v="4.5597000000000003"/>
    <s v="Yes"/>
    <x v="0"/>
    <n v="879"/>
    <n v="35"/>
    <x v="0"/>
    <n v="0"/>
    <n v="0"/>
  </r>
  <r>
    <s v="P405599"/>
    <x v="1129"/>
    <n v="5648"/>
    <x v="73"/>
    <x v="3"/>
    <n v="70039"/>
    <s v="50K–1L"/>
    <x v="3"/>
    <n v="4.2373000000000003"/>
    <s v="Yes"/>
    <x v="0"/>
    <n v="1749"/>
    <n v="39"/>
    <x v="0"/>
    <n v="0"/>
    <n v="0"/>
  </r>
  <r>
    <s v="P504212"/>
    <x v="1130"/>
    <n v="6125"/>
    <x v="0"/>
    <x v="10"/>
    <n v="71206"/>
    <s v="50K–1L"/>
    <x v="3"/>
    <n v="4.5953999999999997"/>
    <s v="Yes"/>
    <x v="0"/>
    <n v="173"/>
    <n v="26"/>
    <x v="0"/>
    <n v="1"/>
    <n v="0"/>
  </r>
  <r>
    <s v="P454120"/>
    <x v="1131"/>
    <n v="7083"/>
    <x v="2"/>
    <x v="5"/>
    <n v="71224"/>
    <s v="50K–1L"/>
    <x v="3"/>
    <n v="4.1665000000000001"/>
    <s v="Yes"/>
    <x v="0"/>
    <n v="1105"/>
    <n v="54"/>
    <x v="2"/>
    <n v="0"/>
    <n v="0"/>
  </r>
  <r>
    <s v="P453224"/>
    <x v="1132"/>
    <n v="6195"/>
    <x v="27"/>
    <x v="1"/>
    <n v="72034"/>
    <s v="50K–1L"/>
    <x v="3"/>
    <n v="4.3964999999999996"/>
    <s v="Yes"/>
    <x v="0"/>
    <n v="966"/>
    <n v="65"/>
    <x v="2"/>
    <n v="0"/>
    <n v="0"/>
  </r>
  <r>
    <s v="P429953"/>
    <x v="1133"/>
    <n v="5987"/>
    <x v="9"/>
    <x v="4"/>
    <n v="72075"/>
    <s v="50K–1L"/>
    <x v="3"/>
    <n v="3.6587000000000001"/>
    <s v="Yes"/>
    <x v="1"/>
    <n v="501"/>
    <n v="26"/>
    <x v="0"/>
    <n v="0"/>
    <n v="0"/>
  </r>
  <r>
    <s v="P458209"/>
    <x v="1134"/>
    <n v="8001"/>
    <x v="4"/>
    <x v="3"/>
    <n v="72156"/>
    <s v="50K–1L"/>
    <x v="3"/>
    <n v="4.0612000000000004"/>
    <s v="Yes"/>
    <x v="0"/>
    <n v="1356"/>
    <n v="42"/>
    <x v="0"/>
    <n v="0"/>
    <n v="0"/>
  </r>
  <r>
    <s v="P501760"/>
    <x v="1135"/>
    <n v="6189"/>
    <x v="5"/>
    <x v="8"/>
    <n v="72173"/>
    <s v="50K–1L"/>
    <x v="3"/>
    <n v="4.5109000000000004"/>
    <s v="Yes"/>
    <x v="0"/>
    <n v="914"/>
    <n v="38"/>
    <x v="0"/>
    <n v="0"/>
    <n v="0"/>
  </r>
  <r>
    <s v="P436359"/>
    <x v="1136"/>
    <n v="6189"/>
    <x v="5"/>
    <x v="2"/>
    <n v="72289"/>
    <s v="50K–1L"/>
    <x v="3"/>
    <n v="3.8102999999999998"/>
    <s v="Yes"/>
    <x v="1"/>
    <n v="1065"/>
    <n v="34"/>
    <x v="0"/>
    <n v="0"/>
    <n v="0"/>
  </r>
  <r>
    <s v="P416815"/>
    <x v="1137"/>
    <n v="5674"/>
    <x v="25"/>
    <x v="2"/>
    <n v="72479"/>
    <s v="50K–1L"/>
    <x v="3"/>
    <n v="4.4298999999999999"/>
    <s v="Yes"/>
    <x v="0"/>
    <n v="1447"/>
    <n v="33"/>
    <x v="0"/>
    <n v="0"/>
    <n v="0"/>
  </r>
  <r>
    <s v="P427409"/>
    <x v="1138"/>
    <n v="6234"/>
    <x v="1"/>
    <x v="1"/>
    <n v="72633"/>
    <s v="50K–1L"/>
    <x v="3"/>
    <n v="3.6345000000000001"/>
    <s v="Yes"/>
    <x v="1"/>
    <n v="394"/>
    <n v="8.3000000000000007"/>
    <x v="1"/>
    <n v="0"/>
    <n v="0"/>
  </r>
  <r>
    <s v="P442871"/>
    <x v="1139"/>
    <n v="6285"/>
    <x v="21"/>
    <x v="1"/>
    <n v="72805"/>
    <s v="50K–1L"/>
    <x v="3"/>
    <n v="4.0834999999999999"/>
    <s v="Yes"/>
    <x v="0"/>
    <n v="431"/>
    <n v="12.99"/>
    <x v="1"/>
    <n v="0"/>
    <n v="0"/>
  </r>
  <r>
    <s v="P431181"/>
    <x v="1140"/>
    <n v="8008"/>
    <x v="18"/>
    <x v="6"/>
    <n v="73112"/>
    <s v="50K–1L"/>
    <x v="3"/>
    <n v="3.7120000000000002"/>
    <s v="Yes"/>
    <x v="1"/>
    <n v="1073"/>
    <n v="32"/>
    <x v="0"/>
    <n v="0"/>
    <n v="0"/>
  </r>
  <r>
    <s v="P391799"/>
    <x v="1141"/>
    <n v="4348"/>
    <x v="11"/>
    <x v="5"/>
    <n v="73168"/>
    <s v="50K–1L"/>
    <x v="3"/>
    <n v="4.1368999999999998"/>
    <s v="Yes"/>
    <x v="0"/>
    <n v="482"/>
    <n v="96"/>
    <x v="2"/>
    <n v="0"/>
    <n v="0"/>
  </r>
  <r>
    <s v="P423259"/>
    <x v="1142"/>
    <n v="6014"/>
    <x v="17"/>
    <x v="1"/>
    <n v="73240"/>
    <s v="50K–1L"/>
    <x v="3"/>
    <n v="4.2656999999999998"/>
    <s v="Yes"/>
    <x v="0"/>
    <n v="1080"/>
    <n v="52"/>
    <x v="2"/>
    <n v="0"/>
    <n v="0"/>
  </r>
  <r>
    <s v="P482264"/>
    <x v="1143"/>
    <n v="6352"/>
    <x v="35"/>
    <x v="5"/>
    <n v="73465"/>
    <s v="50K–1L"/>
    <x v="3"/>
    <n v="4.6897000000000002"/>
    <s v="Yes"/>
    <x v="0"/>
    <n v="390"/>
    <n v="35"/>
    <x v="0"/>
    <n v="0"/>
    <n v="1"/>
  </r>
  <r>
    <s v="P455236"/>
    <x v="1144"/>
    <n v="6189"/>
    <x v="5"/>
    <x v="0"/>
    <n v="73756"/>
    <s v="50K–1L"/>
    <x v="3"/>
    <n v="4.5777999999999999"/>
    <s v="Yes"/>
    <x v="0"/>
    <n v="1047"/>
    <n v="22"/>
    <x v="0"/>
    <n v="0"/>
    <n v="0"/>
  </r>
  <r>
    <s v="P415701"/>
    <x v="1145"/>
    <n v="3728"/>
    <x v="41"/>
    <x v="3"/>
    <n v="73776"/>
    <s v="50K–1L"/>
    <x v="3"/>
    <n v="4.2649999999999997"/>
    <s v="Yes"/>
    <x v="0"/>
    <n v="1830"/>
    <n v="54"/>
    <x v="2"/>
    <n v="0"/>
    <n v="0"/>
  </r>
  <r>
    <s v="P411539"/>
    <x v="1146"/>
    <n v="6014"/>
    <x v="17"/>
    <x v="3"/>
    <n v="73855"/>
    <s v="50K–1L"/>
    <x v="3"/>
    <n v="4.3232999999999997"/>
    <s v="Yes"/>
    <x v="0"/>
    <n v="1367"/>
    <n v="49"/>
    <x v="0"/>
    <n v="0"/>
    <n v="0"/>
  </r>
  <r>
    <s v="P455339"/>
    <x v="1147"/>
    <n v="6234"/>
    <x v="1"/>
    <x v="1"/>
    <n v="74003"/>
    <s v="50K–1L"/>
    <x v="3"/>
    <n v="4.3080999999999996"/>
    <s v="Yes"/>
    <x v="0"/>
    <n v="172"/>
    <n v="7.8"/>
    <x v="1"/>
    <n v="0"/>
    <n v="0"/>
  </r>
  <r>
    <s v="P460855"/>
    <x v="774"/>
    <n v="3902"/>
    <x v="13"/>
    <x v="0"/>
    <n v="74119"/>
    <s v="50K–1L"/>
    <x v="3"/>
    <n v="2.282"/>
    <s v="Yes"/>
    <x v="2"/>
    <n v="610"/>
    <n v="7"/>
    <x v="1"/>
    <n v="0"/>
    <n v="1"/>
  </r>
  <r>
    <s v="P469506"/>
    <x v="1148"/>
    <n v="6341"/>
    <x v="12"/>
    <x v="1"/>
    <n v="74161"/>
    <s v="50K–1L"/>
    <x v="3"/>
    <n v="4.2096999999999998"/>
    <s v="Yes"/>
    <x v="0"/>
    <n v="434"/>
    <n v="55"/>
    <x v="2"/>
    <n v="0"/>
    <n v="0"/>
  </r>
  <r>
    <s v="P429242"/>
    <x v="1149"/>
    <n v="5337"/>
    <x v="32"/>
    <x v="4"/>
    <n v="74272"/>
    <s v="50K–1L"/>
    <x v="3"/>
    <n v="4.6566000000000001"/>
    <s v="Yes"/>
    <x v="0"/>
    <n v="1529"/>
    <n v="30"/>
    <x v="0"/>
    <n v="0"/>
    <n v="0"/>
  </r>
  <r>
    <s v="P471546"/>
    <x v="1150"/>
    <n v="6014"/>
    <x v="17"/>
    <x v="7"/>
    <n v="74947"/>
    <s v="50K–1L"/>
    <x v="3"/>
    <n v="4.0164999999999997"/>
    <s v="Yes"/>
    <x v="0"/>
    <n v="5028"/>
    <n v="21"/>
    <x v="0"/>
    <n v="0"/>
    <n v="0"/>
  </r>
  <r>
    <s v="P232915"/>
    <x v="1151"/>
    <n v="5946"/>
    <x v="80"/>
    <x v="2"/>
    <n v="75332"/>
    <s v="50K–1L"/>
    <x v="3"/>
    <n v="4.4375"/>
    <s v="Yes"/>
    <x v="0"/>
    <n v="2990"/>
    <n v="98"/>
    <x v="2"/>
    <n v="0"/>
    <n v="0"/>
  </r>
  <r>
    <s v="P422022"/>
    <x v="1152"/>
    <n v="6218"/>
    <x v="20"/>
    <x v="1"/>
    <n v="75403"/>
    <s v="50K–1L"/>
    <x v="3"/>
    <n v="3.8477999999999999"/>
    <s v="Yes"/>
    <x v="1"/>
    <n v="913"/>
    <n v="65"/>
    <x v="2"/>
    <n v="0"/>
    <n v="0"/>
  </r>
  <r>
    <s v="P442761"/>
    <x v="1153"/>
    <n v="6073"/>
    <x v="15"/>
    <x v="3"/>
    <n v="75741"/>
    <s v="50K–1L"/>
    <x v="3"/>
    <n v="4.0758999999999999"/>
    <s v="Yes"/>
    <x v="0"/>
    <n v="843"/>
    <n v="80"/>
    <x v="2"/>
    <n v="0"/>
    <n v="0"/>
  </r>
  <r>
    <s v="P419223"/>
    <x v="1154"/>
    <n v="7083"/>
    <x v="2"/>
    <x v="8"/>
    <n v="75752"/>
    <s v="50K–1L"/>
    <x v="3"/>
    <n v="3.8963000000000001"/>
    <s v="Yes"/>
    <x v="1"/>
    <n v="1070"/>
    <n v="60"/>
    <x v="2"/>
    <n v="0"/>
    <n v="0"/>
  </r>
  <r>
    <s v="P472468"/>
    <x v="1155"/>
    <n v="6189"/>
    <x v="5"/>
    <x v="5"/>
    <n v="76226"/>
    <s v="50K–1L"/>
    <x v="3"/>
    <n v="4.5911999999999997"/>
    <s v="Yes"/>
    <x v="0"/>
    <n v="981"/>
    <n v="40"/>
    <x v="0"/>
    <n v="0"/>
    <n v="0"/>
  </r>
  <r>
    <s v="P428095"/>
    <x v="1156"/>
    <n v="5857"/>
    <x v="51"/>
    <x v="2"/>
    <n v="76269"/>
    <s v="50K–1L"/>
    <x v="3"/>
    <n v="4.1429999999999998"/>
    <s v="Yes"/>
    <x v="0"/>
    <n v="1238"/>
    <n v="40"/>
    <x v="0"/>
    <n v="0"/>
    <n v="0"/>
  </r>
  <r>
    <s v="P433887"/>
    <x v="1157"/>
    <n v="6195"/>
    <x v="27"/>
    <x v="3"/>
    <n v="76514"/>
    <s v="50K–1L"/>
    <x v="3"/>
    <n v="4.2100999999999997"/>
    <s v="Yes"/>
    <x v="0"/>
    <n v="2089"/>
    <n v="60"/>
    <x v="2"/>
    <n v="0"/>
    <n v="0"/>
  </r>
  <r>
    <s v="P455366"/>
    <x v="1158"/>
    <n v="6285"/>
    <x v="21"/>
    <x v="8"/>
    <n v="76545"/>
    <s v="50K–1L"/>
    <x v="3"/>
    <n v="3.9531999999999998"/>
    <s v="Yes"/>
    <x v="1"/>
    <n v="662"/>
    <n v="12.99"/>
    <x v="1"/>
    <n v="0"/>
    <n v="0"/>
  </r>
  <r>
    <s v="P503692"/>
    <x v="1159"/>
    <n v="6352"/>
    <x v="35"/>
    <x v="0"/>
    <n v="76840"/>
    <s v="50K–1L"/>
    <x v="3"/>
    <n v="4.1143999999999998"/>
    <s v="Yes"/>
    <x v="0"/>
    <n v="376"/>
    <n v="22"/>
    <x v="0"/>
    <n v="0"/>
    <n v="1"/>
  </r>
  <r>
    <s v="P466155"/>
    <x v="1160"/>
    <n v="6041"/>
    <x v="6"/>
    <x v="1"/>
    <n v="77027"/>
    <s v="50K–1L"/>
    <x v="3"/>
    <n v="4.6355000000000004"/>
    <s v="Yes"/>
    <x v="0"/>
    <n v="1391"/>
    <n v="89"/>
    <x v="2"/>
    <n v="0"/>
    <n v="0"/>
  </r>
  <r>
    <s v="P467248"/>
    <x v="1161"/>
    <n v="6352"/>
    <x v="35"/>
    <x v="2"/>
    <n v="77300"/>
    <s v="50K–1L"/>
    <x v="3"/>
    <n v="4.1052"/>
    <s v="Yes"/>
    <x v="0"/>
    <n v="485"/>
    <n v="34"/>
    <x v="0"/>
    <n v="0"/>
    <n v="0"/>
  </r>
  <r>
    <s v="P429529"/>
    <x v="1162"/>
    <n v="6014"/>
    <x v="17"/>
    <x v="5"/>
    <n v="77748"/>
    <s v="50K–1L"/>
    <x v="3"/>
    <n v="4.2176"/>
    <s v="Yes"/>
    <x v="0"/>
    <n v="432"/>
    <n v="7"/>
    <x v="1"/>
    <n v="0"/>
    <n v="0"/>
  </r>
  <r>
    <s v="P415237"/>
    <x v="1163"/>
    <n v="5972"/>
    <x v="10"/>
    <x v="3"/>
    <n v="77772"/>
    <s v="50K–1L"/>
    <x v="3"/>
    <n v="4.1988000000000003"/>
    <s v="Yes"/>
    <x v="0"/>
    <n v="1826"/>
    <n v="32"/>
    <x v="0"/>
    <n v="0"/>
    <n v="0"/>
  </r>
  <r>
    <s v="P12295"/>
    <x v="1164"/>
    <n v="4348"/>
    <x v="11"/>
    <x v="2"/>
    <n v="78005"/>
    <s v="50K–1L"/>
    <x v="3"/>
    <n v="4.5195999999999996"/>
    <s v="Yes"/>
    <x v="0"/>
    <n v="1070"/>
    <n v="64"/>
    <x v="2"/>
    <n v="0"/>
    <n v="0"/>
  </r>
  <r>
    <s v="P479330"/>
    <x v="1165"/>
    <n v="6125"/>
    <x v="0"/>
    <x v="5"/>
    <n v="78940"/>
    <s v="50K–1L"/>
    <x v="3"/>
    <n v="4.3623000000000003"/>
    <s v="Yes"/>
    <x v="0"/>
    <n v="472"/>
    <n v="32"/>
    <x v="0"/>
    <n v="0"/>
    <n v="0"/>
  </r>
  <r>
    <s v="P297551"/>
    <x v="1166"/>
    <n v="3733"/>
    <x v="22"/>
    <x v="5"/>
    <n v="79246"/>
    <s v="50K–1L"/>
    <x v="3"/>
    <n v="4.3970000000000002"/>
    <s v="Yes"/>
    <x v="0"/>
    <n v="1000"/>
    <n v="32"/>
    <x v="0"/>
    <n v="0"/>
    <n v="0"/>
  </r>
  <r>
    <s v="P461555"/>
    <x v="1167"/>
    <n v="6169"/>
    <x v="3"/>
    <x v="7"/>
    <n v="79524"/>
    <s v="50K–1L"/>
    <x v="3"/>
    <n v="4.3236999999999997"/>
    <s v="Yes"/>
    <x v="0"/>
    <n v="2354"/>
    <n v="18"/>
    <x v="1"/>
    <n v="0"/>
    <n v="0"/>
  </r>
  <r>
    <s v="P376726"/>
    <x v="1168"/>
    <n v="5648"/>
    <x v="73"/>
    <x v="3"/>
    <n v="79986"/>
    <s v="50K–1L"/>
    <x v="3"/>
    <n v="4.3959999999999999"/>
    <s v="Yes"/>
    <x v="0"/>
    <n v="2419"/>
    <n v="48"/>
    <x v="0"/>
    <n v="0"/>
    <n v="0"/>
  </r>
  <r>
    <s v="P454313"/>
    <x v="1169"/>
    <n v="6125"/>
    <x v="0"/>
    <x v="5"/>
    <n v="80111"/>
    <s v="50K–1L"/>
    <x v="3"/>
    <n v="4.6375000000000002"/>
    <s v="Yes"/>
    <x v="0"/>
    <n v="971"/>
    <n v="34"/>
    <x v="0"/>
    <n v="0"/>
    <n v="0"/>
  </r>
  <r>
    <s v="P446942"/>
    <x v="1170"/>
    <n v="6285"/>
    <x v="21"/>
    <x v="1"/>
    <n v="80563"/>
    <s v="50K–1L"/>
    <x v="3"/>
    <n v="4.1989999999999998"/>
    <s v="Yes"/>
    <x v="0"/>
    <n v="985"/>
    <n v="9.99"/>
    <x v="1"/>
    <n v="0"/>
    <n v="0"/>
  </r>
  <r>
    <s v="P460701"/>
    <x v="1171"/>
    <n v="3902"/>
    <x v="13"/>
    <x v="5"/>
    <n v="80684"/>
    <s v="50K–1L"/>
    <x v="3"/>
    <n v="4.1455000000000002"/>
    <s v="Yes"/>
    <x v="0"/>
    <n v="385"/>
    <n v="5.5"/>
    <x v="1"/>
    <n v="0"/>
    <n v="0"/>
  </r>
  <r>
    <s v="P39970"/>
    <x v="1172"/>
    <n v="4348"/>
    <x v="11"/>
    <x v="2"/>
    <n v="80841"/>
    <s v="50K–1L"/>
    <x v="3"/>
    <n v="4.1067"/>
    <s v="Yes"/>
    <x v="0"/>
    <n v="937"/>
    <n v="15"/>
    <x v="1"/>
    <n v="0"/>
    <n v="0"/>
  </r>
  <r>
    <s v="P449180"/>
    <x v="1173"/>
    <n v="6247"/>
    <x v="7"/>
    <x v="1"/>
    <n v="80956"/>
    <s v="50K–1L"/>
    <x v="3"/>
    <n v="4.0892999999999997"/>
    <s v="Yes"/>
    <x v="0"/>
    <n v="896"/>
    <n v="68"/>
    <x v="2"/>
    <n v="0"/>
    <n v="0"/>
  </r>
  <r>
    <s v="P173619"/>
    <x v="1174"/>
    <n v="5337"/>
    <x v="32"/>
    <x v="8"/>
    <n v="81341"/>
    <s v="50K–1L"/>
    <x v="3"/>
    <n v="4.4219999999999997"/>
    <s v="Yes"/>
    <x v="0"/>
    <n v="500"/>
    <n v="70"/>
    <x v="2"/>
    <n v="0"/>
    <n v="0"/>
  </r>
  <r>
    <s v="P42204"/>
    <x v="1175"/>
    <n v="5671"/>
    <x v="79"/>
    <x v="0"/>
    <n v="81724"/>
    <s v="50K–1L"/>
    <x v="3"/>
    <n v="4.6463000000000001"/>
    <s v="Yes"/>
    <x v="0"/>
    <n v="5199"/>
    <n v="7"/>
    <x v="1"/>
    <n v="0"/>
    <n v="0"/>
  </r>
  <r>
    <s v="P455934"/>
    <x v="1176"/>
    <n v="6169"/>
    <x v="3"/>
    <x v="2"/>
    <n v="82444"/>
    <s v="50K–1L"/>
    <x v="3"/>
    <n v="4.4774000000000003"/>
    <s v="Yes"/>
    <x v="0"/>
    <n v="620"/>
    <n v="59"/>
    <x v="2"/>
    <n v="0"/>
    <n v="0"/>
  </r>
  <r>
    <s v="P379510"/>
    <x v="1177"/>
    <n v="1741"/>
    <x v="42"/>
    <x v="1"/>
    <n v="82978"/>
    <s v="50K–1L"/>
    <x v="3"/>
    <n v="4.4032"/>
    <s v="Yes"/>
    <x v="0"/>
    <n v="1602"/>
    <n v="132"/>
    <x v="2"/>
    <n v="0"/>
    <n v="0"/>
  </r>
  <r>
    <s v="P427405"/>
    <x v="1178"/>
    <n v="6234"/>
    <x v="1"/>
    <x v="1"/>
    <n v="83357"/>
    <s v="50K–1L"/>
    <x v="3"/>
    <n v="4.3164999999999996"/>
    <s v="Yes"/>
    <x v="0"/>
    <n v="237"/>
    <n v="10.5"/>
    <x v="1"/>
    <n v="0"/>
    <n v="0"/>
  </r>
  <r>
    <s v="P403818"/>
    <x v="1179"/>
    <n v="7083"/>
    <x v="2"/>
    <x v="0"/>
    <n v="84276"/>
    <s v="50K–1L"/>
    <x v="3"/>
    <n v="3.7385999999999999"/>
    <s v="Yes"/>
    <x v="1"/>
    <n v="1901"/>
    <n v="18"/>
    <x v="1"/>
    <n v="0"/>
    <n v="0"/>
  </r>
  <r>
    <s v="P442753"/>
    <x v="1180"/>
    <n v="6234"/>
    <x v="1"/>
    <x v="1"/>
    <n v="85389"/>
    <s v="50K–1L"/>
    <x v="3"/>
    <n v="4.1984000000000004"/>
    <s v="Yes"/>
    <x v="0"/>
    <n v="247"/>
    <n v="9.4"/>
    <x v="1"/>
    <n v="0"/>
    <n v="0"/>
  </r>
  <r>
    <s v="P460516"/>
    <x v="1181"/>
    <n v="6189"/>
    <x v="5"/>
    <x v="2"/>
    <n v="87376"/>
    <s v="50K–1L"/>
    <x v="3"/>
    <n v="4.1989000000000001"/>
    <s v="Yes"/>
    <x v="0"/>
    <n v="1428"/>
    <n v="32"/>
    <x v="0"/>
    <n v="0"/>
    <n v="0"/>
  </r>
  <r>
    <s v="P455368"/>
    <x v="1182"/>
    <n v="6285"/>
    <x v="21"/>
    <x v="1"/>
    <n v="87389"/>
    <s v="50K–1L"/>
    <x v="3"/>
    <n v="3.9445999999999999"/>
    <s v="Yes"/>
    <x v="1"/>
    <n v="668"/>
    <n v="15.99"/>
    <x v="1"/>
    <n v="0"/>
    <n v="0"/>
  </r>
  <r>
    <s v="P448802"/>
    <x v="1183"/>
    <n v="6285"/>
    <x v="21"/>
    <x v="8"/>
    <n v="87730"/>
    <s v="50K–1L"/>
    <x v="3"/>
    <n v="3.7616999999999998"/>
    <s v="Yes"/>
    <x v="1"/>
    <n v="1137"/>
    <n v="12.99"/>
    <x v="1"/>
    <n v="0"/>
    <n v="0"/>
  </r>
  <r>
    <s v="P378852"/>
    <x v="1184"/>
    <n v="3733"/>
    <x v="22"/>
    <x v="3"/>
    <n v="87846"/>
    <s v="50K–1L"/>
    <x v="3"/>
    <n v="4.4009999999999998"/>
    <s v="Yes"/>
    <x v="0"/>
    <n v="3135"/>
    <n v="36"/>
    <x v="0"/>
    <n v="0"/>
    <n v="0"/>
  </r>
  <r>
    <s v="P442566"/>
    <x v="1185"/>
    <n v="7083"/>
    <x v="2"/>
    <x v="2"/>
    <n v="88374"/>
    <s v="50K–1L"/>
    <x v="3"/>
    <n v="3.7810000000000001"/>
    <s v="Yes"/>
    <x v="1"/>
    <n v="1525"/>
    <n v="36"/>
    <x v="0"/>
    <n v="0"/>
    <n v="0"/>
  </r>
  <r>
    <s v="P456566"/>
    <x v="1186"/>
    <n v="5674"/>
    <x v="25"/>
    <x v="1"/>
    <n v="88410"/>
    <s v="50K–1L"/>
    <x v="3"/>
    <n v="3.9403999999999999"/>
    <s v="Yes"/>
    <x v="1"/>
    <n v="1041"/>
    <n v="71"/>
    <x v="2"/>
    <n v="0"/>
    <n v="0"/>
  </r>
  <r>
    <s v="P416341"/>
    <x v="1187"/>
    <n v="6201"/>
    <x v="44"/>
    <x v="3"/>
    <n v="90776"/>
    <s v="50K–1L"/>
    <x v="3"/>
    <n v="4.0566000000000004"/>
    <s v="Yes"/>
    <x v="0"/>
    <n v="1377"/>
    <n v="380"/>
    <x v="2"/>
    <n v="0"/>
    <n v="0"/>
  </r>
  <r>
    <s v="P442752"/>
    <x v="1188"/>
    <n v="6234"/>
    <x v="1"/>
    <x v="1"/>
    <n v="91079"/>
    <s v="50K–1L"/>
    <x v="3"/>
    <n v="4.1803999999999997"/>
    <s v="Yes"/>
    <x v="0"/>
    <n v="255"/>
    <n v="30.9"/>
    <x v="0"/>
    <n v="0"/>
    <n v="0"/>
  </r>
  <r>
    <s v="P448852"/>
    <x v="1189"/>
    <n v="2000"/>
    <x v="89"/>
    <x v="3"/>
    <n v="91499"/>
    <s v="50K–1L"/>
    <x v="3"/>
    <n v="4.2481"/>
    <s v="Yes"/>
    <x v="0"/>
    <n v="653"/>
    <n v="12"/>
    <x v="1"/>
    <n v="0"/>
    <n v="0"/>
  </r>
  <r>
    <s v="P447780"/>
    <x v="1190"/>
    <n v="6041"/>
    <x v="6"/>
    <x v="8"/>
    <n v="91742"/>
    <s v="50K–1L"/>
    <x v="3"/>
    <n v="4.1593"/>
    <s v="Yes"/>
    <x v="0"/>
    <n v="1557"/>
    <n v="62"/>
    <x v="2"/>
    <n v="0"/>
    <n v="0"/>
  </r>
  <r>
    <s v="P381030"/>
    <x v="1191"/>
    <n v="1254"/>
    <x v="24"/>
    <x v="3"/>
    <n v="92239"/>
    <s v="50K–1L"/>
    <x v="3"/>
    <n v="3.9100999999999999"/>
    <s v="Yes"/>
    <x v="1"/>
    <n v="2124"/>
    <n v="32.5"/>
    <x v="0"/>
    <n v="0"/>
    <n v="0"/>
  </r>
  <r>
    <s v="P447210"/>
    <x v="1192"/>
    <n v="6195"/>
    <x v="27"/>
    <x v="8"/>
    <n v="92333"/>
    <s v="50K–1L"/>
    <x v="3"/>
    <n v="4.1436000000000002"/>
    <s v="Yes"/>
    <x v="0"/>
    <n v="1010"/>
    <n v="56"/>
    <x v="2"/>
    <n v="0"/>
    <n v="0"/>
  </r>
  <r>
    <s v="P459141"/>
    <x v="1193"/>
    <n v="8001"/>
    <x v="4"/>
    <x v="2"/>
    <n v="93009"/>
    <s v="50K–1L"/>
    <x v="3"/>
    <n v="4.4835000000000003"/>
    <s v="Yes"/>
    <x v="0"/>
    <n v="819"/>
    <n v="32"/>
    <x v="0"/>
    <n v="0"/>
    <n v="0"/>
  </r>
  <r>
    <s v="P484080"/>
    <x v="1194"/>
    <n v="6355"/>
    <x v="29"/>
    <x v="1"/>
    <n v="93075"/>
    <s v="50K–1L"/>
    <x v="3"/>
    <n v="3.6634000000000002"/>
    <s v="Yes"/>
    <x v="1"/>
    <n v="906"/>
    <n v="18"/>
    <x v="1"/>
    <n v="0"/>
    <n v="0"/>
  </r>
  <r>
    <s v="P469490"/>
    <x v="1195"/>
    <n v="6125"/>
    <x v="0"/>
    <x v="0"/>
    <n v="93358"/>
    <s v="50K–1L"/>
    <x v="3"/>
    <n v="4.2127999999999997"/>
    <s v="Yes"/>
    <x v="0"/>
    <n v="719"/>
    <n v="25"/>
    <x v="0"/>
    <n v="0"/>
    <n v="0"/>
  </r>
  <r>
    <s v="P432823"/>
    <x v="1196"/>
    <n v="6256"/>
    <x v="61"/>
    <x v="11"/>
    <n v="93790"/>
    <s v="50K–1L"/>
    <x v="3"/>
    <n v="4.1254"/>
    <s v="Yes"/>
    <x v="0"/>
    <n v="303"/>
    <n v="30"/>
    <x v="0"/>
    <n v="0"/>
    <n v="0"/>
  </r>
  <r>
    <s v="P457008"/>
    <x v="1197"/>
    <n v="6014"/>
    <x v="17"/>
    <x v="5"/>
    <n v="93809"/>
    <s v="50K–1L"/>
    <x v="3"/>
    <n v="4.3148999999999997"/>
    <s v="Yes"/>
    <x v="0"/>
    <n v="562"/>
    <n v="15"/>
    <x v="1"/>
    <n v="0"/>
    <n v="0"/>
  </r>
  <r>
    <s v="P232903"/>
    <x v="1198"/>
    <n v="5946"/>
    <x v="80"/>
    <x v="1"/>
    <n v="93898"/>
    <s v="50K–1L"/>
    <x v="3"/>
    <n v="4.2243000000000004"/>
    <s v="Yes"/>
    <x v="0"/>
    <n v="3152"/>
    <n v="28"/>
    <x v="0"/>
    <n v="0"/>
    <n v="0"/>
  </r>
  <r>
    <s v="P433435"/>
    <x v="1199"/>
    <n v="6175"/>
    <x v="59"/>
    <x v="3"/>
    <n v="94058"/>
    <s v="50K–1L"/>
    <x v="3"/>
    <n v="3.8460000000000001"/>
    <s v="Yes"/>
    <x v="1"/>
    <n v="1422"/>
    <n v="44"/>
    <x v="0"/>
    <n v="0"/>
    <n v="0"/>
  </r>
  <r>
    <s v="P460856"/>
    <x v="1200"/>
    <n v="3902"/>
    <x v="13"/>
    <x v="5"/>
    <n v="94157"/>
    <s v="50K–1L"/>
    <x v="3"/>
    <n v="4.1698000000000004"/>
    <s v="Yes"/>
    <x v="0"/>
    <n v="371"/>
    <n v="3.5"/>
    <x v="1"/>
    <n v="0"/>
    <n v="0"/>
  </r>
  <r>
    <s v="P423688"/>
    <x v="1201"/>
    <n v="6219"/>
    <x v="39"/>
    <x v="2"/>
    <n v="95311"/>
    <s v="50K–1L"/>
    <x v="3"/>
    <n v="4.6959999999999997"/>
    <s v="Yes"/>
    <x v="0"/>
    <n v="4598"/>
    <n v="65"/>
    <x v="2"/>
    <n v="0"/>
    <n v="0"/>
  </r>
  <r>
    <s v="P466164"/>
    <x v="1202"/>
    <n v="6169"/>
    <x v="3"/>
    <x v="1"/>
    <n v="95527"/>
    <s v="50K–1L"/>
    <x v="3"/>
    <n v="4.3983999999999996"/>
    <s v="Yes"/>
    <x v="0"/>
    <n v="989"/>
    <n v="69"/>
    <x v="2"/>
    <n v="0"/>
    <n v="0"/>
  </r>
  <r>
    <s v="P122900"/>
    <x v="1203"/>
    <n v="1254"/>
    <x v="24"/>
    <x v="3"/>
    <n v="95864"/>
    <s v="50K–1L"/>
    <x v="3"/>
    <n v="4.4382999999999999"/>
    <s v="Yes"/>
    <x v="0"/>
    <n v="3977"/>
    <n v="32.5"/>
    <x v="0"/>
    <n v="0"/>
    <n v="0"/>
  </r>
  <r>
    <s v="P281835"/>
    <x v="1204"/>
    <n v="5996"/>
    <x v="82"/>
    <x v="10"/>
    <n v="95949"/>
    <s v="50K–1L"/>
    <x v="3"/>
    <n v="3.9986999999999999"/>
    <s v="Yes"/>
    <x v="1"/>
    <n v="779"/>
    <n v="159"/>
    <x v="2"/>
    <n v="0"/>
    <n v="0"/>
  </r>
  <r>
    <s v="P420699"/>
    <x v="1205"/>
    <n v="6041"/>
    <x v="6"/>
    <x v="5"/>
    <n v="96300"/>
    <s v="50K–1L"/>
    <x v="3"/>
    <n v="4.0507"/>
    <s v="Yes"/>
    <x v="0"/>
    <n v="651"/>
    <n v="70"/>
    <x v="2"/>
    <n v="0"/>
    <n v="0"/>
  </r>
  <r>
    <s v="P418346"/>
    <x v="1206"/>
    <n v="6073"/>
    <x v="15"/>
    <x v="1"/>
    <n v="97114"/>
    <s v="50K–1L"/>
    <x v="3"/>
    <n v="4.1036000000000001"/>
    <s v="Yes"/>
    <x v="0"/>
    <n v="1785"/>
    <n v="85"/>
    <x v="2"/>
    <n v="0"/>
    <n v="0"/>
  </r>
  <r>
    <s v="P416816"/>
    <x v="1207"/>
    <n v="5674"/>
    <x v="25"/>
    <x v="2"/>
    <n v="98160"/>
    <s v="50K–1L"/>
    <x v="3"/>
    <n v="4.3017000000000003"/>
    <s v="Yes"/>
    <x v="0"/>
    <n v="1674"/>
    <n v="35"/>
    <x v="0"/>
    <n v="0"/>
    <n v="0"/>
  </r>
  <r>
    <s v="P297517"/>
    <x v="1208"/>
    <n v="3733"/>
    <x v="22"/>
    <x v="1"/>
    <n v="98392"/>
    <s v="50K–1L"/>
    <x v="3"/>
    <n v="3.9348999999999998"/>
    <s v="Yes"/>
    <x v="1"/>
    <n v="1706"/>
    <n v="20"/>
    <x v="0"/>
    <n v="0"/>
    <n v="0"/>
  </r>
  <r>
    <s v="P440934"/>
    <x v="1209"/>
    <n v="6041"/>
    <x v="6"/>
    <x v="7"/>
    <n v="98580"/>
    <s v="50K–1L"/>
    <x v="3"/>
    <n v="3.6444000000000001"/>
    <s v="Yes"/>
    <x v="1"/>
    <n v="807"/>
    <n v="24"/>
    <x v="0"/>
    <n v="0"/>
    <n v="0"/>
  </r>
  <r>
    <s v="P297516"/>
    <x v="1210"/>
    <n v="3733"/>
    <x v="22"/>
    <x v="2"/>
    <n v="98621"/>
    <s v="50K–1L"/>
    <x v="3"/>
    <n v="4.2888000000000002"/>
    <s v="Yes"/>
    <x v="0"/>
    <n v="3286"/>
    <n v="27"/>
    <x v="0"/>
    <n v="0"/>
    <n v="0"/>
  </r>
  <r>
    <s v="P500763"/>
    <x v="639"/>
    <n v="3902"/>
    <x v="13"/>
    <x v="0"/>
    <n v="1006"/>
    <s v="1K–5K"/>
    <x v="4"/>
    <n v="3.6667000000000001"/>
    <s v="Yes"/>
    <x v="1"/>
    <n v="3"/>
    <n v="5"/>
    <x v="1"/>
    <n v="0"/>
    <n v="1"/>
  </r>
  <r>
    <s v="P503560"/>
    <x v="1211"/>
    <n v="6272"/>
    <x v="46"/>
    <x v="11"/>
    <n v="1011"/>
    <s v="1K–5K"/>
    <x v="4"/>
    <n v="5"/>
    <s v="Yes"/>
    <x v="0"/>
    <n v="7"/>
    <n v="30"/>
    <x v="0"/>
    <n v="0"/>
    <n v="0"/>
  </r>
  <r>
    <s v="P505054"/>
    <x v="1212"/>
    <n v="5333"/>
    <x v="108"/>
    <x v="5"/>
    <n v="1024"/>
    <s v="1K–5K"/>
    <x v="4"/>
    <n v="4.7134"/>
    <s v="Yes"/>
    <x v="0"/>
    <n v="471"/>
    <n v="39"/>
    <x v="0"/>
    <n v="1"/>
    <n v="0"/>
  </r>
  <r>
    <s v="P504411"/>
    <x v="1213"/>
    <n v="4372"/>
    <x v="97"/>
    <x v="0"/>
    <n v="1030"/>
    <s v="1K–5K"/>
    <x v="4"/>
    <n v="4"/>
    <s v="Yes"/>
    <x v="0"/>
    <n v="2"/>
    <n v="30"/>
    <x v="0"/>
    <n v="1"/>
    <n v="0"/>
  </r>
  <r>
    <s v="P504861"/>
    <x v="1214"/>
    <n v="4028"/>
    <x v="109"/>
    <x v="2"/>
    <n v="1031"/>
    <s v="1K–5K"/>
    <x v="4"/>
    <m/>
    <s v="No"/>
    <x v="3"/>
    <n v="0"/>
    <n v="29"/>
    <x v="0"/>
    <n v="1"/>
    <n v="0"/>
  </r>
  <r>
    <s v="P474858"/>
    <x v="1215"/>
    <n v="6314"/>
    <x v="100"/>
    <x v="3"/>
    <n v="1033"/>
    <s v="1K–5K"/>
    <x v="4"/>
    <m/>
    <s v="No"/>
    <x v="3"/>
    <n v="0"/>
    <n v="38"/>
    <x v="0"/>
    <n v="0"/>
    <n v="0"/>
  </r>
  <r>
    <s v="P504417"/>
    <x v="1216"/>
    <n v="3902"/>
    <x v="13"/>
    <x v="1"/>
    <n v="1039"/>
    <s v="1K–5K"/>
    <x v="4"/>
    <n v="5"/>
    <s v="Yes"/>
    <x v="0"/>
    <n v="1"/>
    <n v="20"/>
    <x v="0"/>
    <n v="1"/>
    <n v="0"/>
  </r>
  <r>
    <s v="P500094"/>
    <x v="1217"/>
    <n v="6743"/>
    <x v="110"/>
    <x v="3"/>
    <n v="1039"/>
    <s v="1K–5K"/>
    <x v="4"/>
    <n v="4.1245000000000003"/>
    <s v="Yes"/>
    <x v="0"/>
    <n v="241"/>
    <n v="25"/>
    <x v="0"/>
    <n v="0"/>
    <n v="0"/>
  </r>
  <r>
    <s v="P504016"/>
    <x v="1218"/>
    <n v="6749"/>
    <x v="111"/>
    <x v="3"/>
    <n v="1039"/>
    <s v="1K–5K"/>
    <x v="4"/>
    <n v="4.9486999999999997"/>
    <s v="Yes"/>
    <x v="0"/>
    <n v="78"/>
    <n v="66"/>
    <x v="2"/>
    <n v="1"/>
    <n v="0"/>
  </r>
  <r>
    <s v="P502381"/>
    <x v="1219"/>
    <n v="6307"/>
    <x v="77"/>
    <x v="5"/>
    <n v="1048"/>
    <s v="1K–5K"/>
    <x v="4"/>
    <m/>
    <s v="No"/>
    <x v="3"/>
    <n v="0"/>
    <n v="120"/>
    <x v="2"/>
    <n v="0"/>
    <n v="0"/>
  </r>
  <r>
    <s v="P502986"/>
    <x v="1220"/>
    <n v="3902"/>
    <x v="13"/>
    <x v="9"/>
    <n v="1060"/>
    <s v="1K–5K"/>
    <x v="4"/>
    <n v="4.8914999999999997"/>
    <s v="Yes"/>
    <x v="0"/>
    <n v="129"/>
    <n v="22"/>
    <x v="0"/>
    <n v="1"/>
    <n v="0"/>
  </r>
  <r>
    <s v="P481668"/>
    <x v="1221"/>
    <n v="1254"/>
    <x v="24"/>
    <x v="1"/>
    <n v="1064"/>
    <s v="1K–5K"/>
    <x v="4"/>
    <n v="3"/>
    <s v="Yes"/>
    <x v="1"/>
    <n v="5"/>
    <n v="35"/>
    <x v="0"/>
    <n v="0"/>
    <n v="0"/>
  </r>
  <r>
    <s v="P481085"/>
    <x v="1222"/>
    <n v="6329"/>
    <x v="112"/>
    <x v="1"/>
    <n v="1068"/>
    <s v="1K–5K"/>
    <x v="4"/>
    <m/>
    <s v="No"/>
    <x v="3"/>
    <n v="0"/>
    <n v="90"/>
    <x v="2"/>
    <n v="0"/>
    <n v="0"/>
  </r>
  <r>
    <s v="P502474"/>
    <x v="1223"/>
    <n v="6307"/>
    <x v="77"/>
    <x v="1"/>
    <n v="1085"/>
    <s v="1K–5K"/>
    <x v="4"/>
    <m/>
    <s v="No"/>
    <x v="3"/>
    <n v="0"/>
    <n v="130"/>
    <x v="2"/>
    <n v="0"/>
    <n v="0"/>
  </r>
  <r>
    <s v="P504221"/>
    <x v="1224"/>
    <n v="6001"/>
    <x v="76"/>
    <x v="11"/>
    <n v="1085"/>
    <s v="1K–5K"/>
    <x v="4"/>
    <n v="5"/>
    <s v="Yes"/>
    <x v="0"/>
    <n v="2"/>
    <n v="395"/>
    <x v="2"/>
    <n v="1"/>
    <n v="0"/>
  </r>
  <r>
    <s v="P504888"/>
    <x v="1225"/>
    <n v="7075"/>
    <x v="14"/>
    <x v="10"/>
    <n v="1088"/>
    <s v="1K–5K"/>
    <x v="4"/>
    <n v="3.5"/>
    <s v="Yes"/>
    <x v="1"/>
    <n v="2"/>
    <n v="27"/>
    <x v="0"/>
    <n v="1"/>
    <n v="0"/>
  </r>
  <r>
    <s v="P504446"/>
    <x v="1226"/>
    <n v="6475"/>
    <x v="113"/>
    <x v="3"/>
    <n v="1098"/>
    <s v="1K–5K"/>
    <x v="4"/>
    <n v="4.7222"/>
    <s v="Yes"/>
    <x v="0"/>
    <n v="54"/>
    <n v="125"/>
    <x v="2"/>
    <n v="1"/>
    <n v="0"/>
  </r>
  <r>
    <s v="P504986"/>
    <x v="1227"/>
    <n v="5337"/>
    <x v="32"/>
    <x v="4"/>
    <n v="1107"/>
    <s v="1K–5K"/>
    <x v="4"/>
    <n v="4.6125999999999996"/>
    <s v="Yes"/>
    <x v="0"/>
    <n v="555"/>
    <n v="38"/>
    <x v="0"/>
    <n v="1"/>
    <n v="0"/>
  </r>
  <r>
    <s v="P501004"/>
    <x v="1228"/>
    <n v="6329"/>
    <x v="112"/>
    <x v="11"/>
    <n v="1119"/>
    <s v="1K–5K"/>
    <x v="4"/>
    <n v="4.6315999999999997"/>
    <s v="Yes"/>
    <x v="0"/>
    <n v="38"/>
    <n v="70"/>
    <x v="2"/>
    <n v="0"/>
    <n v="0"/>
  </r>
  <r>
    <s v="P474036"/>
    <x v="1229"/>
    <n v="6302"/>
    <x v="114"/>
    <x v="3"/>
    <n v="1128"/>
    <s v="1K–5K"/>
    <x v="4"/>
    <n v="3.3332999999999999"/>
    <s v="Yes"/>
    <x v="1"/>
    <n v="9"/>
    <n v="75"/>
    <x v="2"/>
    <n v="0"/>
    <n v="0"/>
  </r>
  <r>
    <s v="P502656"/>
    <x v="1230"/>
    <n v="6175"/>
    <x v="59"/>
    <x v="3"/>
    <n v="1132"/>
    <s v="1K–5K"/>
    <x v="4"/>
    <n v="4.0934999999999997"/>
    <s v="Yes"/>
    <x v="0"/>
    <n v="920"/>
    <n v="72"/>
    <x v="2"/>
    <n v="0"/>
    <n v="0"/>
  </r>
  <r>
    <s v="P469121"/>
    <x v="1231"/>
    <n v="6318"/>
    <x v="107"/>
    <x v="2"/>
    <n v="1136"/>
    <s v="1K–5K"/>
    <x v="4"/>
    <n v="4.2"/>
    <s v="Yes"/>
    <x v="0"/>
    <n v="10"/>
    <n v="65"/>
    <x v="2"/>
    <n v="0"/>
    <n v="0"/>
  </r>
  <r>
    <s v="P481082"/>
    <x v="1232"/>
    <n v="6089"/>
    <x v="45"/>
    <x v="8"/>
    <n v="1136"/>
    <s v="1K–5K"/>
    <x v="4"/>
    <n v="3.5"/>
    <s v="Yes"/>
    <x v="1"/>
    <n v="4"/>
    <n v="76"/>
    <x v="2"/>
    <n v="0"/>
    <n v="0"/>
  </r>
  <r>
    <s v="P501751"/>
    <x v="1233"/>
    <n v="1741"/>
    <x v="42"/>
    <x v="2"/>
    <n v="1139"/>
    <s v="1K–5K"/>
    <x v="4"/>
    <m/>
    <s v="No"/>
    <x v="3"/>
    <n v="0"/>
    <n v="120"/>
    <x v="2"/>
    <n v="0"/>
    <n v="0"/>
  </r>
  <r>
    <s v="P481397"/>
    <x v="1234"/>
    <n v="6089"/>
    <x v="45"/>
    <x v="3"/>
    <n v="1140"/>
    <s v="1K–5K"/>
    <x v="4"/>
    <n v="5"/>
    <s v="Yes"/>
    <x v="0"/>
    <n v="1"/>
    <n v="98"/>
    <x v="2"/>
    <n v="0"/>
    <n v="0"/>
  </r>
  <r>
    <s v="P467757"/>
    <x v="1235"/>
    <n v="2082"/>
    <x v="63"/>
    <x v="2"/>
    <n v="1143"/>
    <s v="1K–5K"/>
    <x v="4"/>
    <n v="3.25"/>
    <s v="Yes"/>
    <x v="1"/>
    <n v="4"/>
    <n v="37"/>
    <x v="0"/>
    <n v="0"/>
    <n v="0"/>
  </r>
  <r>
    <s v="P448545"/>
    <x v="1236"/>
    <n v="6302"/>
    <x v="114"/>
    <x v="2"/>
    <n v="1146"/>
    <s v="1K–5K"/>
    <x v="4"/>
    <n v="3.7"/>
    <s v="Yes"/>
    <x v="1"/>
    <n v="10"/>
    <n v="75"/>
    <x v="2"/>
    <n v="0"/>
    <n v="0"/>
  </r>
  <r>
    <s v="P469801"/>
    <x v="1237"/>
    <n v="5879"/>
    <x v="115"/>
    <x v="2"/>
    <n v="1149"/>
    <s v="1K–5K"/>
    <x v="4"/>
    <n v="5"/>
    <s v="Yes"/>
    <x v="0"/>
    <n v="1"/>
    <n v="25"/>
    <x v="0"/>
    <n v="0"/>
    <n v="0"/>
  </r>
  <r>
    <s v="P504199"/>
    <x v="1238"/>
    <n v="6749"/>
    <x v="111"/>
    <x v="1"/>
    <n v="1159"/>
    <s v="1K–5K"/>
    <x v="4"/>
    <n v="4.8845999999999998"/>
    <s v="Yes"/>
    <x v="0"/>
    <n v="52"/>
    <n v="74"/>
    <x v="2"/>
    <n v="1"/>
    <n v="0"/>
  </r>
  <r>
    <s v="P503635"/>
    <x v="1239"/>
    <n v="6149"/>
    <x v="69"/>
    <x v="4"/>
    <n v="1160"/>
    <s v="1K–5K"/>
    <x v="4"/>
    <n v="4.25"/>
    <s v="Yes"/>
    <x v="0"/>
    <n v="4"/>
    <n v="36"/>
    <x v="0"/>
    <n v="0"/>
    <n v="0"/>
  </r>
  <r>
    <s v="P481742"/>
    <x v="1240"/>
    <n v="6358"/>
    <x v="81"/>
    <x v="3"/>
    <n v="1162"/>
    <s v="1K–5K"/>
    <x v="4"/>
    <n v="4.7142999999999997"/>
    <s v="Yes"/>
    <x v="0"/>
    <n v="42"/>
    <n v="99"/>
    <x v="2"/>
    <n v="0"/>
    <n v="0"/>
  </r>
  <r>
    <s v="P478269"/>
    <x v="1241"/>
    <n v="7081"/>
    <x v="116"/>
    <x v="10"/>
    <n v="1169"/>
    <s v="1K–5K"/>
    <x v="4"/>
    <m/>
    <s v="No"/>
    <x v="3"/>
    <n v="0"/>
    <n v="75"/>
    <x v="2"/>
    <n v="0"/>
    <n v="1"/>
  </r>
  <r>
    <s v="P504291"/>
    <x v="1242"/>
    <n v="5337"/>
    <x v="32"/>
    <x v="10"/>
    <n v="1171"/>
    <s v="1K–5K"/>
    <x v="4"/>
    <m/>
    <s v="No"/>
    <x v="3"/>
    <n v="0"/>
    <n v="52"/>
    <x v="2"/>
    <n v="1"/>
    <n v="0"/>
  </r>
  <r>
    <s v="P504465"/>
    <x v="1243"/>
    <n v="1741"/>
    <x v="42"/>
    <x v="10"/>
    <n v="1173"/>
    <s v="1K–5K"/>
    <x v="4"/>
    <m/>
    <s v="No"/>
    <x v="3"/>
    <n v="0"/>
    <n v="165"/>
    <x v="2"/>
    <n v="1"/>
    <n v="0"/>
  </r>
  <r>
    <s v="P504277"/>
    <x v="1244"/>
    <n v="6499"/>
    <x v="117"/>
    <x v="3"/>
    <n v="1182"/>
    <s v="1K–5K"/>
    <x v="4"/>
    <n v="4.6566999999999998"/>
    <s v="Yes"/>
    <x v="0"/>
    <n v="134"/>
    <n v="68"/>
    <x v="2"/>
    <n v="1"/>
    <n v="0"/>
  </r>
  <r>
    <s v="P504302"/>
    <x v="1245"/>
    <n v="5337"/>
    <x v="32"/>
    <x v="10"/>
    <n v="1191"/>
    <s v="1K–5K"/>
    <x v="4"/>
    <m/>
    <s v="No"/>
    <x v="3"/>
    <n v="0"/>
    <n v="64"/>
    <x v="2"/>
    <n v="1"/>
    <n v="0"/>
  </r>
  <r>
    <s v="P469448"/>
    <x v="1246"/>
    <n v="2082"/>
    <x v="63"/>
    <x v="2"/>
    <n v="1195"/>
    <s v="1K–5K"/>
    <x v="4"/>
    <n v="2.5293999999999999"/>
    <s v="Yes"/>
    <x v="2"/>
    <n v="17"/>
    <n v="30"/>
    <x v="0"/>
    <n v="0"/>
    <n v="0"/>
  </r>
  <r>
    <s v="P376946"/>
    <x v="1247"/>
    <n v="1254"/>
    <x v="24"/>
    <x v="3"/>
    <n v="1195"/>
    <s v="1K–5K"/>
    <x v="4"/>
    <n v="3.4"/>
    <s v="Yes"/>
    <x v="1"/>
    <n v="15"/>
    <n v="72"/>
    <x v="2"/>
    <n v="0"/>
    <n v="0"/>
  </r>
  <r>
    <s v="P500113"/>
    <x v="1248"/>
    <n v="6743"/>
    <x v="110"/>
    <x v="2"/>
    <n v="1205"/>
    <s v="1K–5K"/>
    <x v="4"/>
    <n v="4.0503999999999998"/>
    <s v="Yes"/>
    <x v="0"/>
    <n v="119"/>
    <n v="16"/>
    <x v="1"/>
    <n v="0"/>
    <n v="0"/>
  </r>
  <r>
    <s v="P481970"/>
    <x v="1249"/>
    <n v="1073"/>
    <x v="52"/>
    <x v="3"/>
    <n v="1208"/>
    <s v="1K–5K"/>
    <x v="4"/>
    <n v="3.5"/>
    <s v="Yes"/>
    <x v="1"/>
    <n v="6"/>
    <n v="85"/>
    <x v="2"/>
    <n v="0"/>
    <n v="0"/>
  </r>
  <r>
    <s v="P476894"/>
    <x v="1250"/>
    <n v="7055"/>
    <x v="118"/>
    <x v="1"/>
    <n v="1215"/>
    <s v="1K–5K"/>
    <x v="4"/>
    <n v="4.4691000000000001"/>
    <s v="Yes"/>
    <x v="0"/>
    <n v="81"/>
    <n v="35"/>
    <x v="0"/>
    <n v="0"/>
    <n v="0"/>
  </r>
  <r>
    <s v="P482258"/>
    <x v="1251"/>
    <n v="7091"/>
    <x v="71"/>
    <x v="4"/>
    <n v="1237"/>
    <s v="1K–5K"/>
    <x v="4"/>
    <n v="3.5"/>
    <s v="Yes"/>
    <x v="1"/>
    <n v="6"/>
    <n v="36"/>
    <x v="0"/>
    <n v="0"/>
    <n v="0"/>
  </r>
  <r>
    <s v="P500718"/>
    <x v="1252"/>
    <n v="1254"/>
    <x v="24"/>
    <x v="3"/>
    <n v="1237"/>
    <s v="1K–5K"/>
    <x v="4"/>
    <n v="4.1779999999999999"/>
    <s v="Yes"/>
    <x v="0"/>
    <n v="1899"/>
    <n v="68"/>
    <x v="2"/>
    <n v="0"/>
    <n v="0"/>
  </r>
  <r>
    <s v="P500155"/>
    <x v="1253"/>
    <n v="5946"/>
    <x v="80"/>
    <x v="10"/>
    <n v="1243"/>
    <s v="1K–5K"/>
    <x v="4"/>
    <n v="5"/>
    <s v="Yes"/>
    <x v="0"/>
    <n v="1"/>
    <n v="115"/>
    <x v="2"/>
    <n v="0"/>
    <n v="0"/>
  </r>
  <r>
    <s v="P481081"/>
    <x v="1254"/>
    <n v="6089"/>
    <x v="45"/>
    <x v="3"/>
    <n v="1255"/>
    <s v="1K–5K"/>
    <x v="4"/>
    <n v="3.75"/>
    <s v="Yes"/>
    <x v="1"/>
    <n v="4"/>
    <n v="102"/>
    <x v="2"/>
    <n v="0"/>
    <n v="0"/>
  </r>
  <r>
    <s v="P475187"/>
    <x v="1255"/>
    <n v="6373"/>
    <x v="83"/>
    <x v="1"/>
    <n v="1258"/>
    <s v="1K–5K"/>
    <x v="4"/>
    <n v="4.1578999999999997"/>
    <s v="Yes"/>
    <x v="0"/>
    <n v="38"/>
    <n v="84"/>
    <x v="2"/>
    <n v="0"/>
    <n v="0"/>
  </r>
  <r>
    <s v="P476726"/>
    <x v="1256"/>
    <n v="5857"/>
    <x v="51"/>
    <x v="2"/>
    <n v="1293"/>
    <s v="1K–5K"/>
    <x v="4"/>
    <n v="4.3600000000000003"/>
    <s v="Yes"/>
    <x v="0"/>
    <n v="125"/>
    <n v="38"/>
    <x v="0"/>
    <n v="0"/>
    <n v="0"/>
  </r>
  <r>
    <s v="P505332"/>
    <x v="1257"/>
    <n v="1073"/>
    <x v="52"/>
    <x v="2"/>
    <n v="1294"/>
    <s v="1K–5K"/>
    <x v="4"/>
    <n v="5"/>
    <s v="Yes"/>
    <x v="0"/>
    <n v="1"/>
    <n v="35"/>
    <x v="0"/>
    <n v="1"/>
    <n v="0"/>
  </r>
  <r>
    <s v="P472022"/>
    <x v="1258"/>
    <n v="6349"/>
    <x v="104"/>
    <x v="3"/>
    <n v="1300"/>
    <s v="1K–5K"/>
    <x v="4"/>
    <n v="4.5"/>
    <s v="Yes"/>
    <x v="0"/>
    <n v="40"/>
    <n v="48"/>
    <x v="0"/>
    <n v="0"/>
    <n v="0"/>
  </r>
  <r>
    <s v="P500098"/>
    <x v="1259"/>
    <n v="6743"/>
    <x v="110"/>
    <x v="2"/>
    <n v="1308"/>
    <s v="1K–5K"/>
    <x v="4"/>
    <n v="3.4032"/>
    <s v="Yes"/>
    <x v="1"/>
    <n v="248"/>
    <n v="16"/>
    <x v="1"/>
    <n v="0"/>
    <n v="0"/>
  </r>
  <r>
    <s v="P500124"/>
    <x v="1260"/>
    <n v="5946"/>
    <x v="80"/>
    <x v="10"/>
    <n v="1311"/>
    <s v="1K–5K"/>
    <x v="4"/>
    <n v="4"/>
    <s v="Yes"/>
    <x v="0"/>
    <n v="4"/>
    <n v="49"/>
    <x v="0"/>
    <n v="0"/>
    <n v="0"/>
  </r>
  <r>
    <s v="P500464"/>
    <x v="1261"/>
    <n v="6001"/>
    <x v="76"/>
    <x v="11"/>
    <n v="1312"/>
    <s v="1K–5K"/>
    <x v="4"/>
    <n v="1"/>
    <s v="Yes"/>
    <x v="2"/>
    <n v="2"/>
    <n v="399"/>
    <x v="2"/>
    <n v="0"/>
    <n v="0"/>
  </r>
  <r>
    <s v="P504464"/>
    <x v="1262"/>
    <n v="6218"/>
    <x v="20"/>
    <x v="10"/>
    <n v="1314"/>
    <s v="1K–5K"/>
    <x v="4"/>
    <n v="5"/>
    <s v="Yes"/>
    <x v="0"/>
    <n v="1"/>
    <n v="30"/>
    <x v="0"/>
    <n v="1"/>
    <n v="0"/>
  </r>
  <r>
    <s v="P502758"/>
    <x v="1263"/>
    <n v="6358"/>
    <x v="81"/>
    <x v="8"/>
    <n v="1322"/>
    <s v="1K–5K"/>
    <x v="4"/>
    <n v="4.55"/>
    <s v="Yes"/>
    <x v="0"/>
    <n v="40"/>
    <n v="65"/>
    <x v="2"/>
    <n v="0"/>
    <n v="0"/>
  </r>
  <r>
    <s v="P504023"/>
    <x v="1264"/>
    <n v="6749"/>
    <x v="111"/>
    <x v="1"/>
    <n v="1323"/>
    <s v="1K–5K"/>
    <x v="4"/>
    <n v="4.5713999999999997"/>
    <s v="Yes"/>
    <x v="0"/>
    <n v="28"/>
    <n v="52"/>
    <x v="2"/>
    <n v="1"/>
    <n v="0"/>
  </r>
  <r>
    <s v="P475184"/>
    <x v="1265"/>
    <n v="6373"/>
    <x v="83"/>
    <x v="1"/>
    <n v="1327"/>
    <s v="1K–5K"/>
    <x v="4"/>
    <n v="4.2182000000000004"/>
    <s v="Yes"/>
    <x v="0"/>
    <n v="55"/>
    <n v="68"/>
    <x v="2"/>
    <n v="0"/>
    <n v="0"/>
  </r>
  <r>
    <s v="P504026"/>
    <x v="1266"/>
    <n v="6749"/>
    <x v="111"/>
    <x v="3"/>
    <n v="1333"/>
    <s v="1K–5K"/>
    <x v="4"/>
    <n v="4.9009"/>
    <s v="Yes"/>
    <x v="0"/>
    <n v="111"/>
    <n v="40"/>
    <x v="0"/>
    <n v="1"/>
    <n v="0"/>
  </r>
  <r>
    <s v="P483089"/>
    <x v="1267"/>
    <n v="6272"/>
    <x v="46"/>
    <x v="10"/>
    <n v="1349"/>
    <s v="1K–5K"/>
    <x v="4"/>
    <n v="3.5"/>
    <s v="Yes"/>
    <x v="1"/>
    <n v="2"/>
    <n v="249"/>
    <x v="2"/>
    <n v="0"/>
    <n v="0"/>
  </r>
  <r>
    <s v="P473269"/>
    <x v="1268"/>
    <n v="6136"/>
    <x v="93"/>
    <x v="11"/>
    <n v="1352"/>
    <s v="1K–5K"/>
    <x v="4"/>
    <m/>
    <s v="No"/>
    <x v="3"/>
    <n v="0"/>
    <n v="29"/>
    <x v="0"/>
    <n v="0"/>
    <n v="0"/>
  </r>
  <r>
    <s v="P501187"/>
    <x v="1269"/>
    <n v="6371"/>
    <x v="119"/>
    <x v="2"/>
    <n v="1360"/>
    <s v="1K–5K"/>
    <x v="4"/>
    <n v="4.4249000000000001"/>
    <s v="Yes"/>
    <x v="0"/>
    <n v="506"/>
    <n v="28"/>
    <x v="0"/>
    <n v="0"/>
    <n v="0"/>
  </r>
  <r>
    <s v="P464237"/>
    <x v="1270"/>
    <n v="6334"/>
    <x v="120"/>
    <x v="8"/>
    <n v="1366"/>
    <s v="1K–5K"/>
    <x v="4"/>
    <n v="3.8812000000000002"/>
    <s v="Yes"/>
    <x v="1"/>
    <n v="101"/>
    <n v="64"/>
    <x v="2"/>
    <n v="0"/>
    <n v="0"/>
  </r>
  <r>
    <s v="P503052"/>
    <x v="1271"/>
    <n v="7050"/>
    <x v="58"/>
    <x v="9"/>
    <n v="1375"/>
    <s v="1K–5K"/>
    <x v="4"/>
    <n v="4.2643000000000004"/>
    <s v="Yes"/>
    <x v="0"/>
    <n v="401"/>
    <n v="15"/>
    <x v="1"/>
    <n v="0"/>
    <n v="0"/>
  </r>
  <r>
    <s v="P504515"/>
    <x v="1272"/>
    <n v="6750"/>
    <x v="121"/>
    <x v="3"/>
    <n v="1375"/>
    <s v="1K–5K"/>
    <x v="4"/>
    <n v="3.8"/>
    <s v="Yes"/>
    <x v="1"/>
    <n v="10"/>
    <n v="58"/>
    <x v="2"/>
    <n v="1"/>
    <n v="0"/>
  </r>
  <r>
    <s v="P500420"/>
    <x v="1273"/>
    <n v="6356"/>
    <x v="53"/>
    <x v="3"/>
    <n v="1389"/>
    <s v="1K–5K"/>
    <x v="4"/>
    <n v="4.3196000000000003"/>
    <s v="Yes"/>
    <x v="0"/>
    <n v="194"/>
    <n v="180"/>
    <x v="2"/>
    <n v="0"/>
    <n v="0"/>
  </r>
  <r>
    <s v="P500482"/>
    <x v="1274"/>
    <n v="7020"/>
    <x v="70"/>
    <x v="10"/>
    <n v="1395"/>
    <s v="1K–5K"/>
    <x v="4"/>
    <n v="4"/>
    <s v="Yes"/>
    <x v="0"/>
    <n v="3"/>
    <n v="75"/>
    <x v="2"/>
    <n v="0"/>
    <n v="0"/>
  </r>
  <r>
    <s v="P482318"/>
    <x v="1275"/>
    <n v="5626"/>
    <x v="64"/>
    <x v="6"/>
    <n v="1397"/>
    <s v="1K–5K"/>
    <x v="4"/>
    <n v="2.75"/>
    <s v="Yes"/>
    <x v="2"/>
    <n v="16"/>
    <n v="29"/>
    <x v="0"/>
    <n v="0"/>
    <n v="0"/>
  </r>
  <r>
    <s v="P501178"/>
    <x v="1276"/>
    <n v="6371"/>
    <x v="119"/>
    <x v="1"/>
    <n v="1403"/>
    <s v="1K–5K"/>
    <x v="4"/>
    <n v="4.4206000000000003"/>
    <s v="Yes"/>
    <x v="0"/>
    <n v="359"/>
    <n v="45"/>
    <x v="0"/>
    <n v="0"/>
    <n v="0"/>
  </r>
  <r>
    <s v="P464250"/>
    <x v="1277"/>
    <n v="6309"/>
    <x v="62"/>
    <x v="3"/>
    <n v="1403"/>
    <s v="1K–5K"/>
    <x v="4"/>
    <n v="3.8260999999999998"/>
    <s v="Yes"/>
    <x v="1"/>
    <n v="23"/>
    <n v="65"/>
    <x v="2"/>
    <n v="0"/>
    <n v="0"/>
  </r>
  <r>
    <s v="P448564"/>
    <x v="1278"/>
    <n v="1254"/>
    <x v="24"/>
    <x v="3"/>
    <n v="1410"/>
    <s v="1K–5K"/>
    <x v="4"/>
    <n v="3.6875"/>
    <s v="Yes"/>
    <x v="1"/>
    <n v="16"/>
    <n v="74"/>
    <x v="2"/>
    <n v="0"/>
    <n v="0"/>
  </r>
  <r>
    <s v="P500116"/>
    <x v="1279"/>
    <n v="6743"/>
    <x v="110"/>
    <x v="2"/>
    <n v="1413"/>
    <s v="1K–5K"/>
    <x v="4"/>
    <n v="4.75"/>
    <s v="Yes"/>
    <x v="0"/>
    <n v="8"/>
    <n v="16"/>
    <x v="1"/>
    <n v="0"/>
    <n v="0"/>
  </r>
  <r>
    <s v="P501003"/>
    <x v="1280"/>
    <n v="4164"/>
    <x v="54"/>
    <x v="3"/>
    <n v="1415"/>
    <s v="1K–5K"/>
    <x v="4"/>
    <n v="3"/>
    <s v="Yes"/>
    <x v="1"/>
    <n v="8"/>
    <n v="49"/>
    <x v="0"/>
    <n v="0"/>
    <n v="0"/>
  </r>
  <r>
    <s v="P504509"/>
    <x v="1281"/>
    <n v="6750"/>
    <x v="121"/>
    <x v="0"/>
    <n v="1420"/>
    <s v="1K–5K"/>
    <x v="4"/>
    <n v="4.6666999999999996"/>
    <s v="Yes"/>
    <x v="0"/>
    <n v="12"/>
    <n v="26"/>
    <x v="0"/>
    <n v="1"/>
    <n v="0"/>
  </r>
  <r>
    <s v="P449601"/>
    <x v="1282"/>
    <n v="6302"/>
    <x v="114"/>
    <x v="3"/>
    <n v="1420"/>
    <s v="1K–5K"/>
    <x v="4"/>
    <n v="3.9333"/>
    <s v="Yes"/>
    <x v="1"/>
    <n v="15"/>
    <n v="215"/>
    <x v="2"/>
    <n v="0"/>
    <n v="0"/>
  </r>
  <r>
    <s v="P448563"/>
    <x v="1283"/>
    <n v="1254"/>
    <x v="24"/>
    <x v="3"/>
    <n v="1423"/>
    <s v="1K–5K"/>
    <x v="4"/>
    <n v="3.3264999999999998"/>
    <s v="Yes"/>
    <x v="1"/>
    <n v="49"/>
    <n v="74"/>
    <x v="2"/>
    <n v="0"/>
    <n v="0"/>
  </r>
  <r>
    <s v="P405285"/>
    <x v="1284"/>
    <n v="1254"/>
    <x v="24"/>
    <x v="3"/>
    <n v="1428"/>
    <s v="1K–5K"/>
    <x v="4"/>
    <n v="4.5"/>
    <s v="Yes"/>
    <x v="0"/>
    <n v="6"/>
    <n v="64"/>
    <x v="2"/>
    <n v="0"/>
    <n v="0"/>
  </r>
  <r>
    <s v="P500114"/>
    <x v="1285"/>
    <n v="6743"/>
    <x v="110"/>
    <x v="3"/>
    <n v="1442"/>
    <s v="1K–5K"/>
    <x v="4"/>
    <n v="4.0658000000000003"/>
    <s v="Yes"/>
    <x v="0"/>
    <n v="243"/>
    <n v="35"/>
    <x v="0"/>
    <n v="0"/>
    <n v="0"/>
  </r>
  <r>
    <s v="P470548"/>
    <x v="1286"/>
    <n v="5648"/>
    <x v="73"/>
    <x v="1"/>
    <n v="1445"/>
    <s v="1K–5K"/>
    <x v="4"/>
    <n v="5"/>
    <s v="Yes"/>
    <x v="0"/>
    <n v="3"/>
    <n v="39"/>
    <x v="0"/>
    <n v="0"/>
    <n v="0"/>
  </r>
  <r>
    <s v="P502047"/>
    <x v="1287"/>
    <n v="5857"/>
    <x v="51"/>
    <x v="10"/>
    <n v="1448"/>
    <s v="1K–5K"/>
    <x v="4"/>
    <n v="4.5"/>
    <s v="Yes"/>
    <x v="0"/>
    <n v="2"/>
    <n v="66"/>
    <x v="2"/>
    <n v="0"/>
    <n v="0"/>
  </r>
  <r>
    <s v="P481084"/>
    <x v="1288"/>
    <n v="6089"/>
    <x v="45"/>
    <x v="3"/>
    <n v="1449"/>
    <s v="1K–5K"/>
    <x v="4"/>
    <n v="4.3201999999999998"/>
    <s v="Yes"/>
    <x v="0"/>
    <n v="2783"/>
    <n v="64"/>
    <x v="2"/>
    <n v="0"/>
    <n v="0"/>
  </r>
  <r>
    <s v="P482025"/>
    <x v="1289"/>
    <n v="1741"/>
    <x v="42"/>
    <x v="3"/>
    <n v="1453"/>
    <s v="1K–5K"/>
    <x v="4"/>
    <n v="4.8030999999999997"/>
    <s v="Yes"/>
    <x v="0"/>
    <n v="127"/>
    <n v="270"/>
    <x v="2"/>
    <n v="0"/>
    <n v="0"/>
  </r>
  <r>
    <s v="P482755"/>
    <x v="1290"/>
    <n v="6373"/>
    <x v="83"/>
    <x v="5"/>
    <n v="1460"/>
    <s v="1K–5K"/>
    <x v="4"/>
    <n v="4.3333000000000004"/>
    <s v="Yes"/>
    <x v="0"/>
    <n v="36"/>
    <n v="36"/>
    <x v="0"/>
    <n v="0"/>
    <n v="0"/>
  </r>
  <r>
    <s v="P476570"/>
    <x v="1291"/>
    <n v="4372"/>
    <x v="97"/>
    <x v="3"/>
    <n v="1466"/>
    <s v="1K–5K"/>
    <x v="4"/>
    <n v="3.7273000000000001"/>
    <s v="Yes"/>
    <x v="1"/>
    <n v="11"/>
    <n v="75"/>
    <x v="2"/>
    <n v="0"/>
    <n v="0"/>
  </r>
  <r>
    <s v="P473133"/>
    <x v="1292"/>
    <n v="8012"/>
    <x v="122"/>
    <x v="1"/>
    <n v="1467"/>
    <s v="1K–5K"/>
    <x v="4"/>
    <n v="4.5999999999999996"/>
    <s v="Yes"/>
    <x v="0"/>
    <n v="195"/>
    <n v="27"/>
    <x v="0"/>
    <n v="0"/>
    <n v="0"/>
  </r>
  <r>
    <s v="P480354"/>
    <x v="1293"/>
    <n v="7020"/>
    <x v="70"/>
    <x v="10"/>
    <n v="1476"/>
    <s v="1K–5K"/>
    <x v="4"/>
    <n v="3"/>
    <s v="Yes"/>
    <x v="1"/>
    <n v="1"/>
    <n v="98"/>
    <x v="2"/>
    <n v="0"/>
    <n v="0"/>
  </r>
  <r>
    <s v="P464235"/>
    <x v="1294"/>
    <n v="6334"/>
    <x v="120"/>
    <x v="1"/>
    <n v="1478"/>
    <s v="1K–5K"/>
    <x v="4"/>
    <n v="4.4768999999999997"/>
    <s v="Yes"/>
    <x v="0"/>
    <n v="260"/>
    <n v="72"/>
    <x v="2"/>
    <n v="0"/>
    <n v="0"/>
  </r>
  <r>
    <s v="P503652"/>
    <x v="1295"/>
    <n v="6373"/>
    <x v="83"/>
    <x v="3"/>
    <n v="1482"/>
    <s v="1K–5K"/>
    <x v="4"/>
    <n v="4.4181999999999997"/>
    <s v="Yes"/>
    <x v="0"/>
    <n v="110"/>
    <n v="58"/>
    <x v="2"/>
    <n v="1"/>
    <n v="0"/>
  </r>
  <r>
    <s v="P467756"/>
    <x v="1296"/>
    <n v="2082"/>
    <x v="63"/>
    <x v="2"/>
    <n v="1484"/>
    <s v="1K–5K"/>
    <x v="4"/>
    <n v="3.375"/>
    <s v="Yes"/>
    <x v="1"/>
    <n v="8"/>
    <n v="30"/>
    <x v="0"/>
    <n v="0"/>
    <n v="0"/>
  </r>
  <r>
    <s v="P504309"/>
    <x v="1297"/>
    <n v="6367"/>
    <x v="123"/>
    <x v="1"/>
    <n v="1484"/>
    <s v="1K–5K"/>
    <x v="4"/>
    <n v="4.4603999999999999"/>
    <s v="Yes"/>
    <x v="0"/>
    <n v="265"/>
    <n v="46"/>
    <x v="0"/>
    <n v="1"/>
    <n v="0"/>
  </r>
  <r>
    <s v="P448551"/>
    <x v="1298"/>
    <n v="6302"/>
    <x v="114"/>
    <x v="3"/>
    <n v="1490"/>
    <s v="1K–5K"/>
    <x v="4"/>
    <n v="4.4286000000000003"/>
    <s v="Yes"/>
    <x v="0"/>
    <n v="7"/>
    <n v="205"/>
    <x v="2"/>
    <n v="0"/>
    <n v="0"/>
  </r>
  <r>
    <s v="P501189"/>
    <x v="1299"/>
    <n v="6371"/>
    <x v="119"/>
    <x v="1"/>
    <n v="1501"/>
    <s v="1K–5K"/>
    <x v="4"/>
    <n v="4.2211999999999996"/>
    <s v="Yes"/>
    <x v="0"/>
    <n v="443"/>
    <n v="25"/>
    <x v="0"/>
    <n v="0"/>
    <n v="0"/>
  </r>
  <r>
    <s v="P475143"/>
    <x v="1300"/>
    <n v="7055"/>
    <x v="118"/>
    <x v="10"/>
    <n v="1520"/>
    <s v="1K–5K"/>
    <x v="4"/>
    <n v="3.7639"/>
    <s v="Yes"/>
    <x v="1"/>
    <n v="72"/>
    <n v="29"/>
    <x v="0"/>
    <n v="0"/>
    <n v="0"/>
  </r>
  <r>
    <s v="P405825"/>
    <x v="1301"/>
    <n v="1254"/>
    <x v="24"/>
    <x v="3"/>
    <n v="1535"/>
    <s v="1K–5K"/>
    <x v="4"/>
    <n v="4.125"/>
    <s v="Yes"/>
    <x v="0"/>
    <n v="8"/>
    <n v="61"/>
    <x v="2"/>
    <n v="0"/>
    <n v="0"/>
  </r>
  <r>
    <s v="P502831"/>
    <x v="1302"/>
    <n v="7037"/>
    <x v="48"/>
    <x v="11"/>
    <n v="1536"/>
    <s v="1K–5K"/>
    <x v="4"/>
    <n v="4.9230999999999998"/>
    <s v="Yes"/>
    <x v="0"/>
    <n v="13"/>
    <n v="279"/>
    <x v="2"/>
    <n v="0"/>
    <n v="0"/>
  </r>
  <r>
    <s v="P500096"/>
    <x v="1303"/>
    <n v="6743"/>
    <x v="110"/>
    <x v="3"/>
    <n v="1550"/>
    <s v="1K–5K"/>
    <x v="4"/>
    <n v="3.75"/>
    <s v="Yes"/>
    <x v="1"/>
    <n v="20"/>
    <n v="25"/>
    <x v="0"/>
    <n v="0"/>
    <n v="0"/>
  </r>
  <r>
    <s v="P504059"/>
    <x v="1304"/>
    <n v="6749"/>
    <x v="111"/>
    <x v="1"/>
    <n v="1554"/>
    <s v="1K–5K"/>
    <x v="4"/>
    <n v="4.9032"/>
    <s v="Yes"/>
    <x v="0"/>
    <n v="62"/>
    <n v="96"/>
    <x v="2"/>
    <n v="1"/>
    <n v="0"/>
  </r>
  <r>
    <s v="P482021"/>
    <x v="1305"/>
    <n v="6218"/>
    <x v="20"/>
    <x v="2"/>
    <n v="1558"/>
    <s v="1K–5K"/>
    <x v="4"/>
    <n v="4.3333000000000004"/>
    <s v="Yes"/>
    <x v="0"/>
    <n v="6"/>
    <n v="20"/>
    <x v="0"/>
    <n v="0"/>
    <n v="0"/>
  </r>
  <r>
    <s v="P476554"/>
    <x v="1306"/>
    <n v="6375"/>
    <x v="124"/>
    <x v="9"/>
    <n v="1560"/>
    <s v="1K–5K"/>
    <x v="4"/>
    <n v="4.1882999999999999"/>
    <s v="Yes"/>
    <x v="0"/>
    <n v="154"/>
    <n v="45"/>
    <x v="0"/>
    <n v="0"/>
    <n v="0"/>
  </r>
  <r>
    <s v="P469449"/>
    <x v="1307"/>
    <n v="2082"/>
    <x v="63"/>
    <x v="2"/>
    <n v="1562"/>
    <s v="1K–5K"/>
    <x v="4"/>
    <n v="3.3332999999999999"/>
    <s v="Yes"/>
    <x v="1"/>
    <n v="24"/>
    <n v="30"/>
    <x v="0"/>
    <n v="0"/>
    <n v="0"/>
  </r>
  <r>
    <s v="P474323"/>
    <x v="1308"/>
    <n v="6309"/>
    <x v="62"/>
    <x v="10"/>
    <n v="1575"/>
    <s v="1K–5K"/>
    <x v="4"/>
    <n v="4.5"/>
    <s v="Yes"/>
    <x v="0"/>
    <n v="2"/>
    <n v="85"/>
    <x v="2"/>
    <n v="0"/>
    <n v="0"/>
  </r>
  <r>
    <s v="P505274"/>
    <x v="1309"/>
    <n v="6234"/>
    <x v="1"/>
    <x v="2"/>
    <n v="1580"/>
    <s v="1K–5K"/>
    <x v="4"/>
    <n v="4.3333000000000004"/>
    <s v="Yes"/>
    <x v="0"/>
    <n v="6"/>
    <n v="12.5"/>
    <x v="1"/>
    <n v="1"/>
    <n v="0"/>
  </r>
  <r>
    <s v="P483458"/>
    <x v="1310"/>
    <n v="6476"/>
    <x v="125"/>
    <x v="11"/>
    <n v="1586"/>
    <s v="1K–5K"/>
    <x v="4"/>
    <n v="3.6667000000000001"/>
    <s v="Yes"/>
    <x v="1"/>
    <n v="3"/>
    <n v="6"/>
    <x v="1"/>
    <n v="0"/>
    <n v="0"/>
  </r>
  <r>
    <s v="P504840"/>
    <x v="1311"/>
    <n v="6295"/>
    <x v="28"/>
    <x v="10"/>
    <n v="1592"/>
    <s v="1K–5K"/>
    <x v="4"/>
    <n v="3.25"/>
    <s v="Yes"/>
    <x v="1"/>
    <n v="4"/>
    <n v="18"/>
    <x v="1"/>
    <n v="0"/>
    <n v="0"/>
  </r>
  <r>
    <s v="P503991"/>
    <x v="1312"/>
    <n v="6749"/>
    <x v="111"/>
    <x v="3"/>
    <n v="1595"/>
    <s v="1K–5K"/>
    <x v="4"/>
    <n v="4.9009"/>
    <s v="Yes"/>
    <x v="0"/>
    <n v="111"/>
    <n v="72"/>
    <x v="2"/>
    <n v="1"/>
    <n v="0"/>
  </r>
  <r>
    <s v="P479946"/>
    <x v="1313"/>
    <n v="2082"/>
    <x v="63"/>
    <x v="6"/>
    <n v="1606"/>
    <s v="1K–5K"/>
    <x v="4"/>
    <n v="5"/>
    <s v="Yes"/>
    <x v="0"/>
    <n v="4"/>
    <n v="42"/>
    <x v="0"/>
    <n v="0"/>
    <n v="1"/>
  </r>
  <r>
    <s v="P483141"/>
    <x v="1314"/>
    <n v="6272"/>
    <x v="46"/>
    <x v="8"/>
    <n v="1607"/>
    <s v="1K–5K"/>
    <x v="4"/>
    <n v="4"/>
    <s v="Yes"/>
    <x v="0"/>
    <n v="5"/>
    <n v="99"/>
    <x v="2"/>
    <n v="0"/>
    <n v="0"/>
  </r>
  <r>
    <s v="P476677"/>
    <x v="1315"/>
    <n v="6329"/>
    <x v="112"/>
    <x v="3"/>
    <n v="1609"/>
    <s v="1K–5K"/>
    <x v="4"/>
    <n v="4.4400000000000004"/>
    <s v="Yes"/>
    <x v="0"/>
    <n v="25"/>
    <n v="120"/>
    <x v="2"/>
    <n v="0"/>
    <n v="0"/>
  </r>
  <r>
    <s v="P469193"/>
    <x v="1316"/>
    <n v="6226"/>
    <x v="84"/>
    <x v="9"/>
    <n v="1614"/>
    <s v="1K–5K"/>
    <x v="4"/>
    <n v="1.25"/>
    <s v="Yes"/>
    <x v="2"/>
    <n v="4"/>
    <n v="75"/>
    <x v="2"/>
    <n v="0"/>
    <n v="0"/>
  </r>
  <r>
    <s v="P481834"/>
    <x v="1317"/>
    <n v="6307"/>
    <x v="77"/>
    <x v="3"/>
    <n v="1615"/>
    <s v="1K–5K"/>
    <x v="4"/>
    <n v="4.8"/>
    <s v="Yes"/>
    <x v="0"/>
    <n v="60"/>
    <n v="260"/>
    <x v="2"/>
    <n v="0"/>
    <n v="0"/>
  </r>
  <r>
    <s v="P462386"/>
    <x v="1318"/>
    <n v="8017"/>
    <x v="56"/>
    <x v="1"/>
    <n v="1635"/>
    <s v="1K–5K"/>
    <x v="4"/>
    <n v="3.75"/>
    <s v="Yes"/>
    <x v="1"/>
    <n v="4"/>
    <n v="17"/>
    <x v="1"/>
    <n v="0"/>
    <n v="0"/>
  </r>
  <r>
    <s v="P502395"/>
    <x v="1319"/>
    <n v="6307"/>
    <x v="77"/>
    <x v="1"/>
    <n v="1645"/>
    <s v="1K–5K"/>
    <x v="4"/>
    <n v="4.6971999999999996"/>
    <s v="Yes"/>
    <x v="0"/>
    <n v="142"/>
    <n v="210"/>
    <x v="2"/>
    <n v="0"/>
    <n v="0"/>
  </r>
  <r>
    <s v="P460756"/>
    <x v="1320"/>
    <n v="8017"/>
    <x v="56"/>
    <x v="3"/>
    <n v="1647"/>
    <s v="1K–5K"/>
    <x v="4"/>
    <n v="3.2"/>
    <s v="Yes"/>
    <x v="1"/>
    <n v="15"/>
    <n v="26"/>
    <x v="0"/>
    <n v="0"/>
    <n v="0"/>
  </r>
  <r>
    <s v="P409227"/>
    <x v="1321"/>
    <n v="2082"/>
    <x v="63"/>
    <x v="3"/>
    <n v="1652"/>
    <s v="1K–5K"/>
    <x v="4"/>
    <n v="4.8571"/>
    <s v="Yes"/>
    <x v="0"/>
    <n v="7"/>
    <n v="58"/>
    <x v="2"/>
    <n v="0"/>
    <n v="0"/>
  </r>
  <r>
    <s v="P504644"/>
    <x v="1322"/>
    <n v="6756"/>
    <x v="126"/>
    <x v="10"/>
    <n v="1660"/>
    <s v="1K–5K"/>
    <x v="4"/>
    <n v="4.3396999999999997"/>
    <s v="Yes"/>
    <x v="0"/>
    <n v="209"/>
    <n v="169.99"/>
    <x v="2"/>
    <n v="1"/>
    <n v="0"/>
  </r>
  <r>
    <s v="P501188"/>
    <x v="1323"/>
    <n v="6371"/>
    <x v="119"/>
    <x v="5"/>
    <n v="1673"/>
    <s v="1K–5K"/>
    <x v="4"/>
    <n v="4.5728999999999997"/>
    <s v="Yes"/>
    <x v="0"/>
    <n v="494"/>
    <n v="38"/>
    <x v="0"/>
    <n v="0"/>
    <n v="0"/>
  </r>
  <r>
    <s v="P448544"/>
    <x v="1324"/>
    <n v="6302"/>
    <x v="114"/>
    <x v="3"/>
    <n v="1685"/>
    <s v="1K–5K"/>
    <x v="4"/>
    <n v="5"/>
    <s v="Yes"/>
    <x v="0"/>
    <n v="9"/>
    <n v="225"/>
    <x v="2"/>
    <n v="0"/>
    <n v="0"/>
  </r>
  <r>
    <s v="P482675"/>
    <x v="1325"/>
    <n v="6329"/>
    <x v="112"/>
    <x v="1"/>
    <n v="1695"/>
    <s v="1K–5K"/>
    <x v="4"/>
    <n v="4.6832000000000003"/>
    <s v="Yes"/>
    <x v="0"/>
    <n v="101"/>
    <n v="65"/>
    <x v="2"/>
    <n v="0"/>
    <n v="0"/>
  </r>
  <r>
    <s v="P505208"/>
    <x v="1326"/>
    <n v="5987"/>
    <x v="9"/>
    <x v="10"/>
    <n v="1702"/>
    <s v="1K–5K"/>
    <x v="4"/>
    <n v="5"/>
    <s v="Yes"/>
    <x v="0"/>
    <n v="1"/>
    <n v="30"/>
    <x v="0"/>
    <n v="1"/>
    <n v="0"/>
  </r>
  <r>
    <s v="P451748"/>
    <x v="1327"/>
    <n v="6303"/>
    <x v="127"/>
    <x v="1"/>
    <n v="1702"/>
    <s v="1K–5K"/>
    <x v="4"/>
    <n v="4.1590999999999996"/>
    <s v="Yes"/>
    <x v="0"/>
    <n v="132"/>
    <n v="75"/>
    <x v="2"/>
    <n v="0"/>
    <n v="0"/>
  </r>
  <r>
    <s v="P448549"/>
    <x v="1328"/>
    <n v="6302"/>
    <x v="114"/>
    <x v="1"/>
    <n v="1709"/>
    <s v="1K–5K"/>
    <x v="4"/>
    <n v="3.5556000000000001"/>
    <s v="Yes"/>
    <x v="1"/>
    <n v="9"/>
    <n v="310"/>
    <x v="2"/>
    <n v="0"/>
    <n v="0"/>
  </r>
  <r>
    <s v="P504040"/>
    <x v="1329"/>
    <n v="6749"/>
    <x v="111"/>
    <x v="5"/>
    <n v="1713"/>
    <s v="1K–5K"/>
    <x v="4"/>
    <n v="4.8518999999999997"/>
    <s v="Yes"/>
    <x v="0"/>
    <n v="27"/>
    <n v="54"/>
    <x v="2"/>
    <n v="1"/>
    <n v="0"/>
  </r>
  <r>
    <s v="P503552"/>
    <x v="1330"/>
    <n v="6272"/>
    <x v="46"/>
    <x v="1"/>
    <n v="1715"/>
    <s v="1K–5K"/>
    <x v="4"/>
    <n v="5"/>
    <s v="Yes"/>
    <x v="0"/>
    <n v="8"/>
    <n v="45"/>
    <x v="0"/>
    <n v="0"/>
    <n v="0"/>
  </r>
  <r>
    <s v="P454375"/>
    <x v="1331"/>
    <n v="6302"/>
    <x v="114"/>
    <x v="1"/>
    <n v="1720"/>
    <s v="1K–5K"/>
    <x v="4"/>
    <n v="3.5"/>
    <s v="Yes"/>
    <x v="1"/>
    <n v="14"/>
    <n v="55"/>
    <x v="2"/>
    <n v="0"/>
    <n v="0"/>
  </r>
  <r>
    <s v="P468410"/>
    <x v="1332"/>
    <n v="6084"/>
    <x v="37"/>
    <x v="3"/>
    <n v="1721"/>
    <s v="1K–5K"/>
    <x v="4"/>
    <n v="4"/>
    <s v="Yes"/>
    <x v="0"/>
    <n v="6"/>
    <n v="205"/>
    <x v="2"/>
    <n v="0"/>
    <n v="0"/>
  </r>
  <r>
    <s v="P503820"/>
    <x v="1333"/>
    <n v="6219"/>
    <x v="39"/>
    <x v="10"/>
    <n v="1723"/>
    <s v="1K–5K"/>
    <x v="4"/>
    <n v="4.8333000000000004"/>
    <s v="Yes"/>
    <x v="0"/>
    <n v="30"/>
    <n v="49.5"/>
    <x v="0"/>
    <n v="0"/>
    <n v="0"/>
  </r>
  <r>
    <s v="P474940"/>
    <x v="1334"/>
    <n v="1254"/>
    <x v="24"/>
    <x v="1"/>
    <n v="1728"/>
    <s v="1K–5K"/>
    <x v="4"/>
    <n v="3.5823999999999998"/>
    <s v="Yes"/>
    <x v="1"/>
    <n v="91"/>
    <n v="21"/>
    <x v="0"/>
    <n v="0"/>
    <n v="0"/>
  </r>
  <r>
    <s v="P500106"/>
    <x v="1335"/>
    <n v="6743"/>
    <x v="110"/>
    <x v="3"/>
    <n v="1733"/>
    <s v="1K–5K"/>
    <x v="4"/>
    <n v="4"/>
    <s v="Yes"/>
    <x v="0"/>
    <n v="13"/>
    <n v="30"/>
    <x v="0"/>
    <n v="0"/>
    <n v="0"/>
  </r>
  <r>
    <s v="P477150"/>
    <x v="1336"/>
    <n v="6302"/>
    <x v="114"/>
    <x v="8"/>
    <n v="1735"/>
    <s v="1K–5K"/>
    <x v="4"/>
    <n v="4.3333000000000004"/>
    <s v="Yes"/>
    <x v="0"/>
    <n v="6"/>
    <n v="210"/>
    <x v="2"/>
    <n v="0"/>
    <n v="0"/>
  </r>
  <r>
    <s v="P504852"/>
    <x v="1337"/>
    <n v="7075"/>
    <x v="14"/>
    <x v="10"/>
    <n v="1736"/>
    <s v="1K–5K"/>
    <x v="4"/>
    <m/>
    <s v="No"/>
    <x v="3"/>
    <n v="0"/>
    <n v="38"/>
    <x v="0"/>
    <n v="1"/>
    <n v="0"/>
  </r>
  <r>
    <s v="P483691"/>
    <x v="1338"/>
    <n v="5626"/>
    <x v="64"/>
    <x v="6"/>
    <n v="1740"/>
    <s v="1K–5K"/>
    <x v="4"/>
    <n v="5"/>
    <s v="Yes"/>
    <x v="0"/>
    <n v="1"/>
    <n v="29"/>
    <x v="0"/>
    <n v="0"/>
    <n v="0"/>
  </r>
  <r>
    <s v="P469452"/>
    <x v="1339"/>
    <n v="1254"/>
    <x v="24"/>
    <x v="5"/>
    <n v="1746"/>
    <s v="1K–5K"/>
    <x v="4"/>
    <n v="3.75"/>
    <s v="Yes"/>
    <x v="1"/>
    <n v="8"/>
    <n v="33"/>
    <x v="0"/>
    <n v="0"/>
    <n v="0"/>
  </r>
  <r>
    <s v="P474838"/>
    <x v="1340"/>
    <n v="7050"/>
    <x v="58"/>
    <x v="9"/>
    <n v="1748"/>
    <s v="1K–5K"/>
    <x v="4"/>
    <n v="4.8635999999999999"/>
    <s v="Yes"/>
    <x v="0"/>
    <n v="88"/>
    <n v="26"/>
    <x v="0"/>
    <n v="0"/>
    <n v="0"/>
  </r>
  <r>
    <s v="P475084"/>
    <x v="1341"/>
    <n v="2082"/>
    <x v="63"/>
    <x v="3"/>
    <n v="1758"/>
    <s v="1K–5K"/>
    <x v="4"/>
    <n v="4.3414999999999999"/>
    <s v="Yes"/>
    <x v="0"/>
    <n v="205"/>
    <n v="93"/>
    <x v="2"/>
    <n v="0"/>
    <n v="0"/>
  </r>
  <r>
    <s v="P501175"/>
    <x v="1342"/>
    <n v="6307"/>
    <x v="77"/>
    <x v="5"/>
    <n v="1769"/>
    <s v="1K–5K"/>
    <x v="4"/>
    <n v="5"/>
    <s v="Yes"/>
    <x v="0"/>
    <n v="1"/>
    <n v="68"/>
    <x v="2"/>
    <n v="0"/>
    <n v="0"/>
  </r>
  <r>
    <s v="P502827"/>
    <x v="1343"/>
    <n v="7037"/>
    <x v="48"/>
    <x v="11"/>
    <n v="1769"/>
    <s v="1K–5K"/>
    <x v="4"/>
    <n v="4.8"/>
    <s v="Yes"/>
    <x v="0"/>
    <n v="15"/>
    <n v="279"/>
    <x v="2"/>
    <n v="0"/>
    <n v="0"/>
  </r>
  <r>
    <s v="P505023"/>
    <x v="1344"/>
    <n v="5333"/>
    <x v="108"/>
    <x v="5"/>
    <n v="1773"/>
    <s v="1K–5K"/>
    <x v="4"/>
    <n v="4.766"/>
    <s v="Yes"/>
    <x v="0"/>
    <n v="705"/>
    <n v="39"/>
    <x v="0"/>
    <n v="1"/>
    <n v="0"/>
  </r>
  <r>
    <s v="P503894"/>
    <x v="1345"/>
    <n v="6295"/>
    <x v="28"/>
    <x v="8"/>
    <n v="1784"/>
    <s v="1K–5K"/>
    <x v="4"/>
    <n v="3.5"/>
    <s v="Yes"/>
    <x v="1"/>
    <n v="4"/>
    <n v="26"/>
    <x v="0"/>
    <n v="0"/>
    <n v="0"/>
  </r>
  <r>
    <s v="P464245"/>
    <x v="1346"/>
    <n v="6334"/>
    <x v="120"/>
    <x v="2"/>
    <n v="1784"/>
    <s v="1K–5K"/>
    <x v="4"/>
    <n v="4.4983000000000004"/>
    <s v="Yes"/>
    <x v="0"/>
    <n v="301"/>
    <n v="42"/>
    <x v="0"/>
    <n v="0"/>
    <n v="0"/>
  </r>
  <r>
    <s v="P483058"/>
    <x v="1347"/>
    <n v="6309"/>
    <x v="62"/>
    <x v="2"/>
    <n v="1797"/>
    <s v="1K–5K"/>
    <x v="4"/>
    <n v="4.6666999999999996"/>
    <s v="Yes"/>
    <x v="0"/>
    <n v="6"/>
    <n v="45"/>
    <x v="0"/>
    <n v="0"/>
    <n v="0"/>
  </r>
  <r>
    <s v="P502200"/>
    <x v="1348"/>
    <n v="5946"/>
    <x v="80"/>
    <x v="1"/>
    <n v="1808"/>
    <s v="1K–5K"/>
    <x v="4"/>
    <n v="4.7640000000000002"/>
    <s v="Yes"/>
    <x v="0"/>
    <n v="89"/>
    <n v="78"/>
    <x v="2"/>
    <n v="0"/>
    <n v="0"/>
  </r>
  <r>
    <s v="P469832"/>
    <x v="1349"/>
    <n v="5879"/>
    <x v="115"/>
    <x v="2"/>
    <n v="1812"/>
    <s v="1K–5K"/>
    <x v="4"/>
    <n v="4.4000000000000004"/>
    <s v="Yes"/>
    <x v="0"/>
    <n v="55"/>
    <n v="52"/>
    <x v="2"/>
    <n v="0"/>
    <n v="0"/>
  </r>
  <r>
    <s v="P501316"/>
    <x v="1350"/>
    <n v="6373"/>
    <x v="83"/>
    <x v="3"/>
    <n v="1817"/>
    <s v="1K–5K"/>
    <x v="4"/>
    <n v="4.0416999999999996"/>
    <s v="Yes"/>
    <x v="0"/>
    <n v="72"/>
    <n v="68"/>
    <x v="2"/>
    <n v="0"/>
    <n v="0"/>
  </r>
  <r>
    <s v="P476538"/>
    <x v="1351"/>
    <n v="6375"/>
    <x v="124"/>
    <x v="9"/>
    <n v="1820"/>
    <s v="1K–5K"/>
    <x v="4"/>
    <n v="4.4356"/>
    <s v="Yes"/>
    <x v="0"/>
    <n v="163"/>
    <n v="55"/>
    <x v="2"/>
    <n v="0"/>
    <n v="0"/>
  </r>
  <r>
    <s v="P442747"/>
    <x v="1352"/>
    <n v="5626"/>
    <x v="64"/>
    <x v="6"/>
    <n v="1821"/>
    <s v="1K–5K"/>
    <x v="4"/>
    <n v="3.3102999999999998"/>
    <s v="Yes"/>
    <x v="1"/>
    <n v="58"/>
    <n v="44"/>
    <x v="0"/>
    <n v="0"/>
    <n v="0"/>
  </r>
  <r>
    <s v="P500502"/>
    <x v="1353"/>
    <n v="7100"/>
    <x v="128"/>
    <x v="2"/>
    <n v="1826"/>
    <s v="1K–5K"/>
    <x v="4"/>
    <n v="4.8571"/>
    <s v="Yes"/>
    <x v="0"/>
    <n v="7"/>
    <n v="48"/>
    <x v="0"/>
    <n v="0"/>
    <n v="0"/>
  </r>
  <r>
    <s v="P451750"/>
    <x v="1354"/>
    <n v="6303"/>
    <x v="127"/>
    <x v="8"/>
    <n v="1832"/>
    <s v="1K–5K"/>
    <x v="4"/>
    <n v="4.5"/>
    <s v="Yes"/>
    <x v="0"/>
    <n v="6"/>
    <n v="65"/>
    <x v="2"/>
    <n v="0"/>
    <n v="0"/>
  </r>
  <r>
    <s v="P482529"/>
    <x v="1355"/>
    <n v="6089"/>
    <x v="45"/>
    <x v="3"/>
    <n v="1834"/>
    <s v="1K–5K"/>
    <x v="4"/>
    <n v="4.0556000000000001"/>
    <s v="Yes"/>
    <x v="0"/>
    <n v="216"/>
    <n v="130"/>
    <x v="2"/>
    <n v="0"/>
    <n v="0"/>
  </r>
  <r>
    <s v="P470248"/>
    <x v="1356"/>
    <n v="7100"/>
    <x v="128"/>
    <x v="1"/>
    <n v="1842"/>
    <s v="1K–5K"/>
    <x v="4"/>
    <n v="4.5556000000000001"/>
    <s v="Yes"/>
    <x v="0"/>
    <n v="18"/>
    <n v="70"/>
    <x v="2"/>
    <n v="0"/>
    <n v="0"/>
  </r>
  <r>
    <s v="P461937"/>
    <x v="1357"/>
    <n v="7037"/>
    <x v="48"/>
    <x v="1"/>
    <n v="1850"/>
    <s v="1K–5K"/>
    <x v="4"/>
    <n v="1.8462000000000001"/>
    <s v="Yes"/>
    <x v="2"/>
    <n v="13"/>
    <n v="59"/>
    <x v="2"/>
    <n v="0"/>
    <n v="0"/>
  </r>
  <r>
    <s v="P501153"/>
    <x v="1358"/>
    <n v="6089"/>
    <x v="45"/>
    <x v="10"/>
    <n v="1854"/>
    <s v="1K–5K"/>
    <x v="4"/>
    <n v="4"/>
    <s v="Yes"/>
    <x v="0"/>
    <n v="1"/>
    <n v="72"/>
    <x v="2"/>
    <n v="0"/>
    <n v="0"/>
  </r>
  <r>
    <s v="P476447"/>
    <x v="1359"/>
    <n v="6375"/>
    <x v="124"/>
    <x v="9"/>
    <n v="1867"/>
    <s v="1K–5K"/>
    <x v="4"/>
    <n v="4.2651000000000003"/>
    <s v="Yes"/>
    <x v="0"/>
    <n v="166"/>
    <n v="45"/>
    <x v="0"/>
    <n v="0"/>
    <n v="0"/>
  </r>
  <r>
    <s v="P480289"/>
    <x v="1360"/>
    <n v="1254"/>
    <x v="24"/>
    <x v="2"/>
    <n v="1874"/>
    <s v="1K–5K"/>
    <x v="4"/>
    <n v="4"/>
    <s v="Yes"/>
    <x v="0"/>
    <n v="5"/>
    <n v="11"/>
    <x v="1"/>
    <n v="0"/>
    <n v="0"/>
  </r>
  <r>
    <s v="P423167"/>
    <x v="1361"/>
    <n v="5337"/>
    <x v="32"/>
    <x v="4"/>
    <n v="1874"/>
    <s v="1K–5K"/>
    <x v="4"/>
    <n v="5"/>
    <s v="Yes"/>
    <x v="0"/>
    <n v="2"/>
    <n v="270"/>
    <x v="2"/>
    <n v="0"/>
    <n v="0"/>
  </r>
  <r>
    <s v="P504517"/>
    <x v="1362"/>
    <n v="6750"/>
    <x v="121"/>
    <x v="8"/>
    <n v="1880"/>
    <s v="1K–5K"/>
    <x v="4"/>
    <n v="4.8666999999999998"/>
    <s v="Yes"/>
    <x v="0"/>
    <n v="15"/>
    <n v="68"/>
    <x v="2"/>
    <n v="1"/>
    <n v="0"/>
  </r>
  <r>
    <s v="P442860"/>
    <x v="1363"/>
    <n v="6018"/>
    <x v="78"/>
    <x v="3"/>
    <n v="1897"/>
    <s v="1K–5K"/>
    <x v="4"/>
    <n v="3.2"/>
    <s v="Yes"/>
    <x v="1"/>
    <n v="30"/>
    <n v="40"/>
    <x v="0"/>
    <n v="0"/>
    <n v="0"/>
  </r>
  <r>
    <s v="P423166"/>
    <x v="1364"/>
    <n v="5337"/>
    <x v="32"/>
    <x v="1"/>
    <n v="1898"/>
    <s v="1K–5K"/>
    <x v="4"/>
    <n v="4.4000000000000004"/>
    <s v="Yes"/>
    <x v="0"/>
    <n v="5"/>
    <n v="310"/>
    <x v="2"/>
    <n v="0"/>
    <n v="0"/>
  </r>
  <r>
    <s v="P435209"/>
    <x v="1365"/>
    <n v="4372"/>
    <x v="97"/>
    <x v="1"/>
    <n v="1903"/>
    <s v="1K–5K"/>
    <x v="4"/>
    <n v="4.4478"/>
    <s v="Yes"/>
    <x v="0"/>
    <n v="297"/>
    <n v="72"/>
    <x v="2"/>
    <n v="0"/>
    <n v="0"/>
  </r>
  <r>
    <s v="P481368"/>
    <x v="1366"/>
    <n v="6475"/>
    <x v="113"/>
    <x v="9"/>
    <n v="1919"/>
    <s v="1K–5K"/>
    <x v="4"/>
    <n v="4.6364000000000001"/>
    <s v="Yes"/>
    <x v="0"/>
    <n v="22"/>
    <n v="70"/>
    <x v="2"/>
    <n v="0"/>
    <n v="0"/>
  </r>
  <r>
    <s v="P475186"/>
    <x v="1367"/>
    <n v="6373"/>
    <x v="83"/>
    <x v="8"/>
    <n v="1921"/>
    <s v="1K–5K"/>
    <x v="4"/>
    <n v="4.2390999999999996"/>
    <s v="Yes"/>
    <x v="0"/>
    <n v="46"/>
    <n v="52"/>
    <x v="2"/>
    <n v="0"/>
    <n v="0"/>
  </r>
  <r>
    <s v="P504850"/>
    <x v="1368"/>
    <n v="4171"/>
    <x v="23"/>
    <x v="10"/>
    <n v="1926"/>
    <s v="1K–5K"/>
    <x v="4"/>
    <n v="4"/>
    <s v="Yes"/>
    <x v="0"/>
    <n v="1"/>
    <n v="139"/>
    <x v="2"/>
    <n v="1"/>
    <n v="0"/>
  </r>
  <r>
    <s v="P503933"/>
    <x v="1369"/>
    <n v="5674"/>
    <x v="25"/>
    <x v="10"/>
    <n v="1927"/>
    <s v="1K–5K"/>
    <x v="4"/>
    <n v="3.4"/>
    <s v="Yes"/>
    <x v="1"/>
    <n v="5"/>
    <n v="65"/>
    <x v="2"/>
    <n v="0"/>
    <n v="0"/>
  </r>
  <r>
    <s v="P483460"/>
    <x v="1370"/>
    <n v="6476"/>
    <x v="125"/>
    <x v="11"/>
    <n v="1932"/>
    <s v="1K–5K"/>
    <x v="4"/>
    <n v="5"/>
    <s v="Yes"/>
    <x v="0"/>
    <n v="2"/>
    <n v="12"/>
    <x v="1"/>
    <n v="0"/>
    <n v="0"/>
  </r>
  <r>
    <s v="P482510"/>
    <x v="1371"/>
    <n v="6356"/>
    <x v="53"/>
    <x v="3"/>
    <n v="1933"/>
    <s v="1K–5K"/>
    <x v="4"/>
    <n v="4.6500000000000004"/>
    <s v="Yes"/>
    <x v="0"/>
    <n v="100"/>
    <n v="290"/>
    <x v="2"/>
    <n v="0"/>
    <n v="0"/>
  </r>
  <r>
    <s v="P504283"/>
    <x v="1372"/>
    <n v="6367"/>
    <x v="123"/>
    <x v="4"/>
    <n v="1939"/>
    <s v="1K–5K"/>
    <x v="4"/>
    <n v="3"/>
    <s v="Yes"/>
    <x v="1"/>
    <n v="4"/>
    <n v="18"/>
    <x v="1"/>
    <n v="1"/>
    <n v="0"/>
  </r>
  <r>
    <s v="P504056"/>
    <x v="1373"/>
    <n v="5857"/>
    <x v="51"/>
    <x v="3"/>
    <n v="1944"/>
    <s v="1K–5K"/>
    <x v="4"/>
    <n v="4.7676999999999996"/>
    <s v="Yes"/>
    <x v="0"/>
    <n v="155"/>
    <n v="55"/>
    <x v="2"/>
    <n v="1"/>
    <n v="0"/>
  </r>
  <r>
    <s v="P504073"/>
    <x v="1374"/>
    <n v="6488"/>
    <x v="129"/>
    <x v="3"/>
    <n v="1949"/>
    <s v="1K–5K"/>
    <x v="4"/>
    <n v="4.8360000000000003"/>
    <s v="Yes"/>
    <x v="0"/>
    <n v="189"/>
    <n v="44"/>
    <x v="0"/>
    <n v="1"/>
    <n v="0"/>
  </r>
  <r>
    <s v="P433620"/>
    <x v="1375"/>
    <n v="5337"/>
    <x v="32"/>
    <x v="3"/>
    <n v="1957"/>
    <s v="1K–5K"/>
    <x v="4"/>
    <n v="3.25"/>
    <s v="Yes"/>
    <x v="1"/>
    <n v="12"/>
    <n v="50"/>
    <x v="0"/>
    <n v="0"/>
    <n v="0"/>
  </r>
  <r>
    <s v="P410809"/>
    <x v="1376"/>
    <n v="6018"/>
    <x v="78"/>
    <x v="8"/>
    <n v="1957"/>
    <s v="1K–5K"/>
    <x v="4"/>
    <n v="3.2581000000000002"/>
    <s v="Yes"/>
    <x v="1"/>
    <n v="31"/>
    <n v="72"/>
    <x v="2"/>
    <n v="0"/>
    <n v="0"/>
  </r>
  <r>
    <s v="P474369"/>
    <x v="1377"/>
    <n v="3733"/>
    <x v="22"/>
    <x v="2"/>
    <n v="1959"/>
    <s v="1K–5K"/>
    <x v="4"/>
    <n v="3.5"/>
    <s v="Yes"/>
    <x v="1"/>
    <n v="8"/>
    <n v="27"/>
    <x v="0"/>
    <n v="0"/>
    <n v="0"/>
  </r>
  <r>
    <s v="P502195"/>
    <x v="1378"/>
    <n v="5946"/>
    <x v="80"/>
    <x v="10"/>
    <n v="1959"/>
    <s v="1K–5K"/>
    <x v="4"/>
    <n v="5"/>
    <s v="Yes"/>
    <x v="0"/>
    <n v="3"/>
    <n v="49"/>
    <x v="0"/>
    <n v="0"/>
    <n v="0"/>
  </r>
  <r>
    <s v="P467107"/>
    <x v="1379"/>
    <n v="6272"/>
    <x v="46"/>
    <x v="11"/>
    <n v="1960"/>
    <s v="1K–5K"/>
    <x v="4"/>
    <n v="4.5"/>
    <s v="Yes"/>
    <x v="0"/>
    <n v="10"/>
    <n v="75"/>
    <x v="2"/>
    <n v="0"/>
    <n v="0"/>
  </r>
  <r>
    <s v="P504315"/>
    <x v="1380"/>
    <n v="6367"/>
    <x v="123"/>
    <x v="2"/>
    <n v="1962"/>
    <s v="1K–5K"/>
    <x v="4"/>
    <n v="4.6848000000000001"/>
    <s v="Yes"/>
    <x v="0"/>
    <n v="184"/>
    <n v="15"/>
    <x v="1"/>
    <n v="0"/>
    <n v="0"/>
  </r>
  <r>
    <s v="P448565"/>
    <x v="1381"/>
    <n v="1254"/>
    <x v="24"/>
    <x v="3"/>
    <n v="1968"/>
    <s v="1K–5K"/>
    <x v="4"/>
    <n v="3"/>
    <s v="Yes"/>
    <x v="1"/>
    <n v="11"/>
    <n v="74"/>
    <x v="2"/>
    <n v="0"/>
    <n v="0"/>
  </r>
  <r>
    <s v="P482747"/>
    <x v="1382"/>
    <n v="5987"/>
    <x v="9"/>
    <x v="4"/>
    <n v="1971"/>
    <s v="1K–5K"/>
    <x v="4"/>
    <n v="2.5"/>
    <s v="Yes"/>
    <x v="2"/>
    <n v="2"/>
    <n v="34"/>
    <x v="0"/>
    <n v="0"/>
    <n v="0"/>
  </r>
  <r>
    <s v="P503876"/>
    <x v="1383"/>
    <n v="5674"/>
    <x v="25"/>
    <x v="10"/>
    <n v="1997"/>
    <s v="1K–5K"/>
    <x v="4"/>
    <n v="3.75"/>
    <s v="Yes"/>
    <x v="1"/>
    <n v="4"/>
    <n v="62"/>
    <x v="2"/>
    <n v="1"/>
    <n v="0"/>
  </r>
  <r>
    <s v="P448550"/>
    <x v="1384"/>
    <n v="6302"/>
    <x v="114"/>
    <x v="3"/>
    <n v="2000"/>
    <s v="1K–5K"/>
    <x v="4"/>
    <n v="5"/>
    <s v="Yes"/>
    <x v="0"/>
    <n v="5"/>
    <n v="240"/>
    <x v="2"/>
    <n v="0"/>
    <n v="0"/>
  </r>
  <r>
    <s v="P476736"/>
    <x v="1385"/>
    <n v="7020"/>
    <x v="70"/>
    <x v="1"/>
    <n v="2010"/>
    <s v="1K–5K"/>
    <x v="4"/>
    <n v="4.7272999999999996"/>
    <s v="Yes"/>
    <x v="0"/>
    <n v="44"/>
    <n v="146"/>
    <x v="2"/>
    <n v="0"/>
    <n v="0"/>
  </r>
  <r>
    <s v="P478020"/>
    <x v="1386"/>
    <n v="8012"/>
    <x v="122"/>
    <x v="2"/>
    <n v="2017"/>
    <s v="1K–5K"/>
    <x v="4"/>
    <n v="4.5522"/>
    <s v="Yes"/>
    <x v="0"/>
    <n v="67"/>
    <n v="19"/>
    <x v="1"/>
    <n v="0"/>
    <n v="0"/>
  </r>
  <r>
    <s v="P455010"/>
    <x v="1387"/>
    <n v="6309"/>
    <x v="62"/>
    <x v="9"/>
    <n v="2036"/>
    <s v="1K–5K"/>
    <x v="4"/>
    <n v="3.2381000000000002"/>
    <s v="Yes"/>
    <x v="1"/>
    <n v="21"/>
    <n v="30"/>
    <x v="0"/>
    <n v="0"/>
    <n v="1"/>
  </r>
  <r>
    <s v="P481138"/>
    <x v="1388"/>
    <n v="6001"/>
    <x v="76"/>
    <x v="11"/>
    <n v="2054"/>
    <s v="1K–5K"/>
    <x v="4"/>
    <n v="2"/>
    <s v="Yes"/>
    <x v="2"/>
    <n v="12"/>
    <n v="159"/>
    <x v="2"/>
    <n v="0"/>
    <n v="0"/>
  </r>
  <r>
    <s v="P505049"/>
    <x v="1389"/>
    <n v="6289"/>
    <x v="19"/>
    <x v="8"/>
    <n v="2065"/>
    <s v="1K–5K"/>
    <x v="4"/>
    <n v="4.7984"/>
    <s v="Yes"/>
    <x v="0"/>
    <n v="258"/>
    <n v="54"/>
    <x v="2"/>
    <n v="1"/>
    <n v="0"/>
  </r>
  <r>
    <s v="P502235"/>
    <x v="1390"/>
    <n v="6356"/>
    <x v="53"/>
    <x v="10"/>
    <n v="2080"/>
    <s v="1K–5K"/>
    <x v="4"/>
    <n v="4"/>
    <s v="Yes"/>
    <x v="0"/>
    <n v="3"/>
    <n v="305"/>
    <x v="2"/>
    <n v="0"/>
    <n v="0"/>
  </r>
  <r>
    <s v="P429508"/>
    <x v="1391"/>
    <n v="7091"/>
    <x v="71"/>
    <x v="6"/>
    <n v="2101"/>
    <s v="1K–5K"/>
    <x v="4"/>
    <n v="4.3478000000000003"/>
    <s v="Yes"/>
    <x v="0"/>
    <n v="23"/>
    <n v="46"/>
    <x v="0"/>
    <n v="0"/>
    <n v="1"/>
  </r>
  <r>
    <s v="P481371"/>
    <x v="1392"/>
    <n v="6475"/>
    <x v="113"/>
    <x v="2"/>
    <n v="2102"/>
    <s v="1K–5K"/>
    <x v="4"/>
    <n v="4.4682000000000004"/>
    <s v="Yes"/>
    <x v="0"/>
    <n v="173"/>
    <n v="45"/>
    <x v="0"/>
    <n v="0"/>
    <n v="0"/>
  </r>
  <r>
    <s v="P481077"/>
    <x v="1393"/>
    <n v="1073"/>
    <x v="52"/>
    <x v="3"/>
    <n v="2108"/>
    <s v="1K–5K"/>
    <x v="4"/>
    <n v="4"/>
    <s v="Yes"/>
    <x v="0"/>
    <n v="3"/>
    <n v="80"/>
    <x v="2"/>
    <n v="0"/>
    <n v="0"/>
  </r>
  <r>
    <s v="P462375"/>
    <x v="1394"/>
    <n v="8017"/>
    <x v="56"/>
    <x v="1"/>
    <n v="2112"/>
    <s v="1K–5K"/>
    <x v="4"/>
    <n v="3.5"/>
    <s v="Yes"/>
    <x v="1"/>
    <n v="6"/>
    <n v="30"/>
    <x v="0"/>
    <n v="0"/>
    <n v="0"/>
  </r>
  <r>
    <s v="P402993"/>
    <x v="1395"/>
    <n v="6001"/>
    <x v="76"/>
    <x v="11"/>
    <n v="2112"/>
    <s v="1K–5K"/>
    <x v="4"/>
    <n v="3.6667000000000001"/>
    <s v="Yes"/>
    <x v="1"/>
    <n v="9"/>
    <n v="429"/>
    <x v="2"/>
    <n v="0"/>
    <n v="1"/>
  </r>
  <r>
    <s v="P468409"/>
    <x v="1396"/>
    <n v="6084"/>
    <x v="37"/>
    <x v="3"/>
    <n v="2114"/>
    <s v="1K–5K"/>
    <x v="4"/>
    <n v="4.2647000000000004"/>
    <s v="Yes"/>
    <x v="0"/>
    <n v="831"/>
    <n v="170"/>
    <x v="2"/>
    <n v="0"/>
    <n v="0"/>
  </r>
  <r>
    <s v="P462377"/>
    <x v="1397"/>
    <n v="8017"/>
    <x v="56"/>
    <x v="10"/>
    <n v="2124"/>
    <s v="1K–5K"/>
    <x v="4"/>
    <m/>
    <s v="No"/>
    <x v="3"/>
    <n v="0"/>
    <n v="46"/>
    <x v="0"/>
    <n v="0"/>
    <n v="0"/>
  </r>
  <r>
    <s v="P469112"/>
    <x v="1398"/>
    <n v="5946"/>
    <x v="80"/>
    <x v="3"/>
    <n v="2129"/>
    <s v="1K–5K"/>
    <x v="4"/>
    <n v="4.7142999999999997"/>
    <s v="Yes"/>
    <x v="0"/>
    <n v="91"/>
    <n v="140"/>
    <x v="2"/>
    <n v="0"/>
    <n v="0"/>
  </r>
  <r>
    <s v="P475193"/>
    <x v="1399"/>
    <n v="6373"/>
    <x v="83"/>
    <x v="1"/>
    <n v="2136"/>
    <s v="1K–5K"/>
    <x v="4"/>
    <n v="4.2979000000000003"/>
    <s v="Yes"/>
    <x v="0"/>
    <n v="47"/>
    <n v="68"/>
    <x v="2"/>
    <n v="0"/>
    <n v="0"/>
  </r>
  <r>
    <s v="P475204"/>
    <x v="1400"/>
    <n v="6373"/>
    <x v="83"/>
    <x v="1"/>
    <n v="2137"/>
    <s v="1K–5K"/>
    <x v="4"/>
    <n v="4.1489000000000003"/>
    <s v="Yes"/>
    <x v="0"/>
    <n v="47"/>
    <n v="48"/>
    <x v="0"/>
    <n v="0"/>
    <n v="0"/>
  </r>
  <r>
    <s v="P462379"/>
    <x v="1401"/>
    <n v="8017"/>
    <x v="56"/>
    <x v="2"/>
    <n v="2138"/>
    <s v="1K–5K"/>
    <x v="4"/>
    <n v="4"/>
    <s v="Yes"/>
    <x v="0"/>
    <n v="6"/>
    <n v="14"/>
    <x v="1"/>
    <n v="0"/>
    <n v="0"/>
  </r>
  <r>
    <s v="P442545"/>
    <x v="1402"/>
    <n v="6283"/>
    <x v="55"/>
    <x v="2"/>
    <n v="2138"/>
    <s v="1K–5K"/>
    <x v="4"/>
    <n v="4.25"/>
    <s v="Yes"/>
    <x v="0"/>
    <n v="12"/>
    <n v="38"/>
    <x v="0"/>
    <n v="0"/>
    <n v="0"/>
  </r>
  <r>
    <s v="P501243"/>
    <x v="1403"/>
    <n v="6309"/>
    <x v="62"/>
    <x v="1"/>
    <n v="2143"/>
    <s v="1K–5K"/>
    <x v="4"/>
    <n v="4.0598000000000001"/>
    <s v="Yes"/>
    <x v="0"/>
    <n v="251"/>
    <n v="98"/>
    <x v="2"/>
    <n v="0"/>
    <n v="0"/>
  </r>
  <r>
    <s v="P427640"/>
    <x v="1404"/>
    <n v="6089"/>
    <x v="45"/>
    <x v="8"/>
    <n v="2157"/>
    <s v="1K–5K"/>
    <x v="4"/>
    <n v="4.2727000000000004"/>
    <s v="Yes"/>
    <x v="0"/>
    <n v="11"/>
    <n v="46"/>
    <x v="0"/>
    <n v="0"/>
    <n v="0"/>
  </r>
  <r>
    <s v="P481354"/>
    <x v="1405"/>
    <n v="6475"/>
    <x v="113"/>
    <x v="3"/>
    <n v="2168"/>
    <s v="1K–5K"/>
    <x v="4"/>
    <n v="4.3676000000000004"/>
    <s v="Yes"/>
    <x v="0"/>
    <n v="204"/>
    <n v="95"/>
    <x v="2"/>
    <n v="0"/>
    <n v="0"/>
  </r>
  <r>
    <s v="P470247"/>
    <x v="1406"/>
    <n v="7100"/>
    <x v="128"/>
    <x v="1"/>
    <n v="2170"/>
    <s v="1K–5K"/>
    <x v="4"/>
    <n v="4.8182"/>
    <s v="Yes"/>
    <x v="0"/>
    <n v="33"/>
    <n v="70"/>
    <x v="2"/>
    <n v="0"/>
    <n v="0"/>
  </r>
  <r>
    <s v="P474111"/>
    <x v="1407"/>
    <n v="6358"/>
    <x v="81"/>
    <x v="3"/>
    <n v="2182"/>
    <s v="1K–5K"/>
    <x v="4"/>
    <n v="4.6538000000000004"/>
    <s v="Yes"/>
    <x v="0"/>
    <n v="52"/>
    <n v="69"/>
    <x v="2"/>
    <n v="0"/>
    <n v="0"/>
  </r>
  <r>
    <s v="P450934"/>
    <x v="1408"/>
    <n v="1132"/>
    <x v="60"/>
    <x v="3"/>
    <n v="2188"/>
    <s v="1K–5K"/>
    <x v="4"/>
    <n v="4.2857000000000003"/>
    <s v="Yes"/>
    <x v="0"/>
    <n v="14"/>
    <n v="170"/>
    <x v="2"/>
    <n v="0"/>
    <n v="0"/>
  </r>
  <r>
    <s v="P449410"/>
    <x v="1409"/>
    <n v="7020"/>
    <x v="70"/>
    <x v="8"/>
    <n v="2191"/>
    <s v="1K–5K"/>
    <x v="4"/>
    <n v="3.4167000000000001"/>
    <s v="Yes"/>
    <x v="1"/>
    <n v="12"/>
    <n v="260"/>
    <x v="2"/>
    <n v="0"/>
    <n v="0"/>
  </r>
  <r>
    <s v="P500705"/>
    <x v="1410"/>
    <n v="6329"/>
    <x v="112"/>
    <x v="2"/>
    <n v="2193"/>
    <s v="1K–5K"/>
    <x v="4"/>
    <n v="4.7680999999999996"/>
    <s v="Yes"/>
    <x v="0"/>
    <n v="69"/>
    <n v="48"/>
    <x v="0"/>
    <n v="0"/>
    <n v="0"/>
  </r>
  <r>
    <s v="P430143"/>
    <x v="1411"/>
    <n v="6175"/>
    <x v="59"/>
    <x v="7"/>
    <n v="2196"/>
    <s v="1K–5K"/>
    <x v="4"/>
    <n v="4.1666999999999996"/>
    <s v="Yes"/>
    <x v="0"/>
    <n v="12"/>
    <n v="15"/>
    <x v="1"/>
    <n v="0"/>
    <n v="0"/>
  </r>
  <r>
    <s v="P480610"/>
    <x v="1412"/>
    <n v="6175"/>
    <x v="59"/>
    <x v="1"/>
    <n v="2199"/>
    <s v="1K–5K"/>
    <x v="4"/>
    <n v="4.5"/>
    <s v="Yes"/>
    <x v="0"/>
    <n v="6"/>
    <n v="59"/>
    <x v="2"/>
    <n v="0"/>
    <n v="0"/>
  </r>
  <r>
    <s v="P460757"/>
    <x v="1413"/>
    <n v="8017"/>
    <x v="56"/>
    <x v="5"/>
    <n v="2200"/>
    <s v="1K–5K"/>
    <x v="4"/>
    <n v="3.5"/>
    <s v="Yes"/>
    <x v="1"/>
    <n v="4"/>
    <n v="22"/>
    <x v="0"/>
    <n v="0"/>
    <n v="0"/>
  </r>
  <r>
    <s v="P481971"/>
    <x v="1414"/>
    <n v="1073"/>
    <x v="52"/>
    <x v="3"/>
    <n v="2201"/>
    <s v="1K–5K"/>
    <x v="4"/>
    <n v="5"/>
    <s v="Yes"/>
    <x v="0"/>
    <n v="3"/>
    <n v="85"/>
    <x v="2"/>
    <n v="0"/>
    <n v="0"/>
  </r>
  <r>
    <s v="P464233"/>
    <x v="1415"/>
    <n v="6302"/>
    <x v="114"/>
    <x v="3"/>
    <n v="2202"/>
    <s v="1K–5K"/>
    <x v="4"/>
    <n v="4.2407000000000004"/>
    <s v="Yes"/>
    <x v="0"/>
    <n v="810"/>
    <n v="75"/>
    <x v="2"/>
    <n v="0"/>
    <n v="1"/>
  </r>
  <r>
    <s v="P482260"/>
    <x v="1416"/>
    <n v="6349"/>
    <x v="104"/>
    <x v="3"/>
    <n v="2203"/>
    <s v="1K–5K"/>
    <x v="4"/>
    <n v="4.8548"/>
    <s v="Yes"/>
    <x v="0"/>
    <n v="186"/>
    <n v="68"/>
    <x v="2"/>
    <n v="0"/>
    <n v="0"/>
  </r>
  <r>
    <s v="P481342"/>
    <x v="1417"/>
    <n v="6349"/>
    <x v="104"/>
    <x v="10"/>
    <n v="2206"/>
    <s v="1K–5K"/>
    <x v="4"/>
    <n v="5"/>
    <s v="Yes"/>
    <x v="0"/>
    <n v="2"/>
    <n v="42"/>
    <x v="0"/>
    <n v="0"/>
    <n v="0"/>
  </r>
  <r>
    <s v="P457468"/>
    <x v="1418"/>
    <n v="5648"/>
    <x v="73"/>
    <x v="6"/>
    <n v="2207"/>
    <s v="1K–5K"/>
    <x v="4"/>
    <n v="3.0417000000000001"/>
    <s v="Yes"/>
    <x v="1"/>
    <n v="24"/>
    <n v="39"/>
    <x v="0"/>
    <n v="0"/>
    <n v="0"/>
  </r>
  <r>
    <s v="P416588"/>
    <x v="1419"/>
    <n v="6187"/>
    <x v="130"/>
    <x v="5"/>
    <n v="2226"/>
    <s v="1K–5K"/>
    <x v="4"/>
    <n v="3.25"/>
    <s v="Yes"/>
    <x v="1"/>
    <n v="4"/>
    <n v="15"/>
    <x v="1"/>
    <n v="0"/>
    <n v="1"/>
  </r>
  <r>
    <s v="P450935"/>
    <x v="1420"/>
    <n v="1132"/>
    <x v="60"/>
    <x v="3"/>
    <n v="2226"/>
    <s v="1K–5K"/>
    <x v="4"/>
    <n v="3.6667000000000001"/>
    <s v="Yes"/>
    <x v="1"/>
    <n v="3"/>
    <n v="200"/>
    <x v="2"/>
    <n v="0"/>
    <n v="0"/>
  </r>
  <r>
    <s v="P475195"/>
    <x v="1421"/>
    <n v="6373"/>
    <x v="83"/>
    <x v="3"/>
    <n v="2230"/>
    <s v="1K–5K"/>
    <x v="4"/>
    <n v="3.9630000000000001"/>
    <s v="Yes"/>
    <x v="1"/>
    <n v="54"/>
    <n v="64"/>
    <x v="2"/>
    <n v="0"/>
    <n v="0"/>
  </r>
  <r>
    <s v="P448548"/>
    <x v="1422"/>
    <n v="6302"/>
    <x v="114"/>
    <x v="1"/>
    <n v="2233"/>
    <s v="1K–5K"/>
    <x v="4"/>
    <n v="4.3635999999999999"/>
    <s v="Yes"/>
    <x v="0"/>
    <n v="11"/>
    <n v="300"/>
    <x v="2"/>
    <n v="0"/>
    <n v="0"/>
  </r>
  <r>
    <s v="P471064"/>
    <x v="1423"/>
    <n v="3728"/>
    <x v="41"/>
    <x v="4"/>
    <n v="2240"/>
    <s v="1K–5K"/>
    <x v="4"/>
    <n v="2.4864999999999999"/>
    <s v="Yes"/>
    <x v="2"/>
    <n v="37"/>
    <n v="38"/>
    <x v="0"/>
    <n v="0"/>
    <n v="0"/>
  </r>
  <r>
    <s v="P468406"/>
    <x v="1424"/>
    <n v="5337"/>
    <x v="32"/>
    <x v="1"/>
    <n v="2248"/>
    <s v="1K–5K"/>
    <x v="4"/>
    <m/>
    <s v="No"/>
    <x v="3"/>
    <n v="0"/>
    <n v="100"/>
    <x v="2"/>
    <n v="0"/>
    <n v="0"/>
  </r>
  <r>
    <s v="P504424"/>
    <x v="1425"/>
    <n v="3902"/>
    <x v="13"/>
    <x v="1"/>
    <n v="2254"/>
    <s v="1K–5K"/>
    <x v="4"/>
    <n v="5"/>
    <s v="Yes"/>
    <x v="0"/>
    <n v="1"/>
    <n v="17"/>
    <x v="1"/>
    <n v="1"/>
    <n v="0"/>
  </r>
  <r>
    <s v="P473185"/>
    <x v="1426"/>
    <n v="3728"/>
    <x v="41"/>
    <x v="2"/>
    <n v="2272"/>
    <s v="1K–5K"/>
    <x v="4"/>
    <n v="4"/>
    <s v="Yes"/>
    <x v="0"/>
    <n v="14"/>
    <n v="32"/>
    <x v="0"/>
    <n v="0"/>
    <n v="0"/>
  </r>
  <r>
    <s v="P444987"/>
    <x v="1427"/>
    <n v="1073"/>
    <x v="52"/>
    <x v="1"/>
    <n v="2275"/>
    <s v="1K–5K"/>
    <x v="4"/>
    <n v="4.4286000000000003"/>
    <s v="Yes"/>
    <x v="0"/>
    <n v="7"/>
    <n v="110"/>
    <x v="2"/>
    <n v="0"/>
    <n v="0"/>
  </r>
  <r>
    <s v="P459300"/>
    <x v="1428"/>
    <n v="6309"/>
    <x v="62"/>
    <x v="7"/>
    <n v="2276"/>
    <s v="1K–5K"/>
    <x v="4"/>
    <n v="3.9910000000000001"/>
    <s v="Yes"/>
    <x v="1"/>
    <n v="1110"/>
    <n v="12"/>
    <x v="1"/>
    <n v="0"/>
    <n v="0"/>
  </r>
  <r>
    <s v="P448558"/>
    <x v="1429"/>
    <n v="6302"/>
    <x v="114"/>
    <x v="3"/>
    <n v="2288"/>
    <s v="1K–5K"/>
    <x v="4"/>
    <n v="3.3182"/>
    <s v="Yes"/>
    <x v="1"/>
    <n v="22"/>
    <n v="225"/>
    <x v="2"/>
    <n v="0"/>
    <n v="0"/>
  </r>
  <r>
    <s v="P474967"/>
    <x v="1430"/>
    <n v="6001"/>
    <x v="76"/>
    <x v="3"/>
    <n v="2299"/>
    <s v="1K–5K"/>
    <x v="4"/>
    <n v="4.5625"/>
    <s v="Yes"/>
    <x v="0"/>
    <n v="16"/>
    <n v="69"/>
    <x v="2"/>
    <n v="0"/>
    <n v="0"/>
  </r>
  <r>
    <s v="P502640"/>
    <x v="1431"/>
    <n v="4372"/>
    <x v="97"/>
    <x v="2"/>
    <n v="2309"/>
    <s v="1K–5K"/>
    <x v="4"/>
    <n v="4.8620999999999999"/>
    <s v="Yes"/>
    <x v="0"/>
    <n v="58"/>
    <n v="79"/>
    <x v="2"/>
    <n v="0"/>
    <n v="0"/>
  </r>
  <r>
    <s v="P483693"/>
    <x v="1432"/>
    <n v="6307"/>
    <x v="77"/>
    <x v="3"/>
    <n v="2324"/>
    <s v="1K–5K"/>
    <x v="4"/>
    <n v="5"/>
    <s v="Yes"/>
    <x v="0"/>
    <n v="3"/>
    <n v="80"/>
    <x v="2"/>
    <n v="0"/>
    <n v="0"/>
  </r>
  <r>
    <s v="P504018"/>
    <x v="1433"/>
    <n v="6356"/>
    <x v="53"/>
    <x v="10"/>
    <n v="2331"/>
    <s v="1K–5K"/>
    <x v="4"/>
    <n v="5"/>
    <s v="Yes"/>
    <x v="0"/>
    <n v="2"/>
    <n v="185"/>
    <x v="2"/>
    <n v="1"/>
    <n v="0"/>
  </r>
  <r>
    <s v="P462383"/>
    <x v="1434"/>
    <n v="8017"/>
    <x v="56"/>
    <x v="5"/>
    <n v="2333"/>
    <s v="1K–5K"/>
    <x v="4"/>
    <n v="4.5"/>
    <s v="Yes"/>
    <x v="0"/>
    <n v="4"/>
    <n v="18"/>
    <x v="1"/>
    <n v="0"/>
    <n v="1"/>
  </r>
  <r>
    <s v="P476432"/>
    <x v="1435"/>
    <n v="1073"/>
    <x v="52"/>
    <x v="2"/>
    <n v="2344"/>
    <s v="1K–5K"/>
    <x v="4"/>
    <n v="4.4545000000000003"/>
    <s v="Yes"/>
    <x v="0"/>
    <n v="11"/>
    <n v="65"/>
    <x v="2"/>
    <n v="0"/>
    <n v="0"/>
  </r>
  <r>
    <s v="P380001"/>
    <x v="1436"/>
    <n v="6089"/>
    <x v="45"/>
    <x v="3"/>
    <n v="2348"/>
    <s v="1K–5K"/>
    <x v="4"/>
    <n v="4.2173999999999996"/>
    <s v="Yes"/>
    <x v="0"/>
    <n v="23"/>
    <n v="59"/>
    <x v="2"/>
    <n v="0"/>
    <n v="0"/>
  </r>
  <r>
    <s v="P505211"/>
    <x v="1437"/>
    <n v="5987"/>
    <x v="9"/>
    <x v="4"/>
    <n v="2352"/>
    <s v="1K–5K"/>
    <x v="4"/>
    <n v="4.4757999999999996"/>
    <s v="Yes"/>
    <x v="0"/>
    <n v="124"/>
    <n v="36"/>
    <x v="0"/>
    <n v="1"/>
    <n v="0"/>
  </r>
  <r>
    <s v="P458962"/>
    <x v="1438"/>
    <n v="6309"/>
    <x v="62"/>
    <x v="2"/>
    <n v="2373"/>
    <s v="1K–5K"/>
    <x v="4"/>
    <n v="3.9333"/>
    <s v="Yes"/>
    <x v="1"/>
    <n v="15"/>
    <n v="75"/>
    <x v="2"/>
    <n v="0"/>
    <n v="0"/>
  </r>
  <r>
    <s v="P470246"/>
    <x v="1439"/>
    <n v="7100"/>
    <x v="128"/>
    <x v="1"/>
    <n v="2391"/>
    <s v="1K–5K"/>
    <x v="4"/>
    <n v="4.7142999999999997"/>
    <s v="Yes"/>
    <x v="0"/>
    <n v="21"/>
    <n v="70"/>
    <x v="2"/>
    <n v="0"/>
    <n v="0"/>
  </r>
  <r>
    <s v="P476674"/>
    <x v="1440"/>
    <n v="6329"/>
    <x v="112"/>
    <x v="2"/>
    <n v="2393"/>
    <s v="1K–5K"/>
    <x v="4"/>
    <n v="4.7887000000000004"/>
    <s v="Yes"/>
    <x v="0"/>
    <n v="71"/>
    <n v="38"/>
    <x v="0"/>
    <n v="0"/>
    <n v="0"/>
  </r>
  <r>
    <s v="P458961"/>
    <x v="1441"/>
    <n v="6309"/>
    <x v="62"/>
    <x v="2"/>
    <n v="2395"/>
    <s v="1K–5K"/>
    <x v="4"/>
    <n v="4.3888999999999996"/>
    <s v="Yes"/>
    <x v="0"/>
    <n v="18"/>
    <n v="48"/>
    <x v="0"/>
    <n v="0"/>
    <n v="1"/>
  </r>
  <r>
    <s v="P456434"/>
    <x v="1442"/>
    <n v="5648"/>
    <x v="73"/>
    <x v="3"/>
    <n v="2400"/>
    <s v="1K–5K"/>
    <x v="4"/>
    <n v="4.25"/>
    <s v="Yes"/>
    <x v="0"/>
    <n v="8"/>
    <n v="14"/>
    <x v="1"/>
    <n v="0"/>
    <n v="0"/>
  </r>
  <r>
    <s v="P480606"/>
    <x v="1443"/>
    <n v="6309"/>
    <x v="62"/>
    <x v="2"/>
    <n v="2403"/>
    <s v="1K–5K"/>
    <x v="4"/>
    <n v="4.0194000000000001"/>
    <s v="Yes"/>
    <x v="0"/>
    <n v="413"/>
    <n v="35"/>
    <x v="0"/>
    <n v="0"/>
    <n v="0"/>
  </r>
  <r>
    <s v="P309409"/>
    <x v="1444"/>
    <n v="1254"/>
    <x v="24"/>
    <x v="3"/>
    <n v="2408"/>
    <s v="1K–5K"/>
    <x v="4"/>
    <n v="3.7143000000000002"/>
    <s v="Yes"/>
    <x v="1"/>
    <n v="42"/>
    <n v="74"/>
    <x v="2"/>
    <n v="0"/>
    <n v="0"/>
  </r>
  <r>
    <s v="P443810"/>
    <x v="1445"/>
    <n v="6272"/>
    <x v="46"/>
    <x v="1"/>
    <n v="2415"/>
    <s v="1K–5K"/>
    <x v="4"/>
    <n v="3.1175999999999999"/>
    <s v="Yes"/>
    <x v="1"/>
    <n v="17"/>
    <n v="75"/>
    <x v="2"/>
    <n v="0"/>
    <n v="0"/>
  </r>
  <r>
    <s v="P504987"/>
    <x v="1446"/>
    <n v="7091"/>
    <x v="71"/>
    <x v="4"/>
    <n v="2419"/>
    <s v="1K–5K"/>
    <x v="4"/>
    <n v="5"/>
    <s v="Yes"/>
    <x v="0"/>
    <n v="2"/>
    <n v="30"/>
    <x v="0"/>
    <n v="1"/>
    <n v="0"/>
  </r>
  <r>
    <s v="P482058"/>
    <x v="1447"/>
    <n v="3733"/>
    <x v="22"/>
    <x v="3"/>
    <n v="2424"/>
    <s v="1K–5K"/>
    <x v="4"/>
    <n v="4.0999999999999996"/>
    <s v="Yes"/>
    <x v="0"/>
    <n v="10"/>
    <n v="40"/>
    <x v="0"/>
    <n v="0"/>
    <n v="0"/>
  </r>
  <r>
    <s v="P503999"/>
    <x v="1448"/>
    <n v="1073"/>
    <x v="52"/>
    <x v="1"/>
    <n v="2435"/>
    <s v="1K–5K"/>
    <x v="4"/>
    <n v="4.4527000000000001"/>
    <s v="Yes"/>
    <x v="0"/>
    <n v="497"/>
    <n v="100"/>
    <x v="2"/>
    <n v="1"/>
    <n v="0"/>
  </r>
  <r>
    <s v="P476678"/>
    <x v="1449"/>
    <n v="6329"/>
    <x v="112"/>
    <x v="3"/>
    <n v="2438"/>
    <s v="1K–5K"/>
    <x v="4"/>
    <n v="4.6052999999999997"/>
    <s v="Yes"/>
    <x v="0"/>
    <n v="76"/>
    <n v="70"/>
    <x v="2"/>
    <n v="0"/>
    <n v="0"/>
  </r>
  <r>
    <s v="P481062"/>
    <x v="1450"/>
    <n v="1254"/>
    <x v="24"/>
    <x v="10"/>
    <n v="2441"/>
    <s v="1K–5K"/>
    <x v="4"/>
    <n v="3"/>
    <s v="Yes"/>
    <x v="1"/>
    <n v="4"/>
    <n v="24.5"/>
    <x v="0"/>
    <n v="0"/>
    <n v="0"/>
  </r>
  <r>
    <s v="P448542"/>
    <x v="1451"/>
    <n v="6302"/>
    <x v="114"/>
    <x v="5"/>
    <n v="2446"/>
    <s v="1K–5K"/>
    <x v="4"/>
    <n v="4.125"/>
    <s v="Yes"/>
    <x v="0"/>
    <n v="16"/>
    <n v="150"/>
    <x v="2"/>
    <n v="0"/>
    <n v="0"/>
  </r>
  <r>
    <s v="P405589"/>
    <x v="1452"/>
    <n v="2082"/>
    <x v="63"/>
    <x v="3"/>
    <n v="2459"/>
    <s v="1K–5K"/>
    <x v="4"/>
    <n v="3.7726999999999999"/>
    <s v="Yes"/>
    <x v="1"/>
    <n v="22"/>
    <n v="59"/>
    <x v="2"/>
    <n v="0"/>
    <n v="0"/>
  </r>
  <r>
    <s v="P475197"/>
    <x v="1453"/>
    <n v="6373"/>
    <x v="83"/>
    <x v="2"/>
    <n v="2470"/>
    <s v="1K–5K"/>
    <x v="4"/>
    <n v="4.0545"/>
    <s v="Yes"/>
    <x v="0"/>
    <n v="55"/>
    <n v="36"/>
    <x v="0"/>
    <n v="0"/>
    <n v="0"/>
  </r>
  <r>
    <s v="P472024"/>
    <x v="1454"/>
    <n v="6349"/>
    <x v="104"/>
    <x v="5"/>
    <n v="2472"/>
    <s v="1K–5K"/>
    <x v="4"/>
    <n v="4.7419000000000002"/>
    <s v="Yes"/>
    <x v="0"/>
    <n v="62"/>
    <n v="48"/>
    <x v="0"/>
    <n v="0"/>
    <n v="0"/>
  </r>
  <r>
    <s v="P464242"/>
    <x v="1455"/>
    <n v="6334"/>
    <x v="120"/>
    <x v="1"/>
    <n v="2472"/>
    <s v="1K–5K"/>
    <x v="4"/>
    <n v="4.5082000000000004"/>
    <s v="Yes"/>
    <x v="0"/>
    <n v="122"/>
    <n v="72"/>
    <x v="2"/>
    <n v="0"/>
    <n v="0"/>
  </r>
  <r>
    <s v="P472341"/>
    <x v="1456"/>
    <n v="7020"/>
    <x v="70"/>
    <x v="3"/>
    <n v="2480"/>
    <s v="1K–5K"/>
    <x v="4"/>
    <n v="4.58"/>
    <s v="Yes"/>
    <x v="0"/>
    <n v="50"/>
    <n v="130"/>
    <x v="2"/>
    <n v="0"/>
    <n v="0"/>
  </r>
  <r>
    <s v="P447788"/>
    <x v="1457"/>
    <n v="6302"/>
    <x v="114"/>
    <x v="1"/>
    <n v="2487"/>
    <s v="1K–5K"/>
    <x v="4"/>
    <n v="3.7778"/>
    <s v="Yes"/>
    <x v="1"/>
    <n v="18"/>
    <n v="255"/>
    <x v="2"/>
    <n v="0"/>
    <n v="1"/>
  </r>
  <r>
    <s v="P455229"/>
    <x v="1458"/>
    <n v="5337"/>
    <x v="32"/>
    <x v="1"/>
    <n v="2501"/>
    <s v="1K–5K"/>
    <x v="4"/>
    <n v="3"/>
    <s v="Yes"/>
    <x v="1"/>
    <n v="2"/>
    <n v="185"/>
    <x v="2"/>
    <n v="0"/>
    <n v="0"/>
  </r>
  <r>
    <s v="P468390"/>
    <x v="1459"/>
    <n v="6226"/>
    <x v="84"/>
    <x v="9"/>
    <n v="2514"/>
    <s v="1K–5K"/>
    <x v="4"/>
    <n v="5"/>
    <s v="Yes"/>
    <x v="0"/>
    <n v="3"/>
    <n v="38"/>
    <x v="0"/>
    <n v="0"/>
    <n v="0"/>
  </r>
  <r>
    <s v="P501518"/>
    <x v="1460"/>
    <n v="6256"/>
    <x v="61"/>
    <x v="1"/>
    <n v="2516"/>
    <s v="1K–5K"/>
    <x v="4"/>
    <n v="4.0875000000000004"/>
    <s v="Yes"/>
    <x v="0"/>
    <n v="160"/>
    <n v="60"/>
    <x v="2"/>
    <n v="0"/>
    <n v="0"/>
  </r>
  <r>
    <s v="P448557"/>
    <x v="253"/>
    <n v="6302"/>
    <x v="114"/>
    <x v="1"/>
    <n v="2524"/>
    <s v="1K–5K"/>
    <x v="4"/>
    <n v="4.125"/>
    <s v="Yes"/>
    <x v="0"/>
    <n v="16"/>
    <n v="255"/>
    <x v="2"/>
    <n v="0"/>
    <n v="0"/>
  </r>
  <r>
    <s v="P479974"/>
    <x v="1461"/>
    <n v="8017"/>
    <x v="56"/>
    <x v="8"/>
    <n v="2532"/>
    <s v="1K–5K"/>
    <x v="4"/>
    <n v="3.2856999999999998"/>
    <s v="Yes"/>
    <x v="1"/>
    <n v="7"/>
    <n v="24"/>
    <x v="0"/>
    <n v="0"/>
    <n v="0"/>
  </r>
  <r>
    <s v="P483692"/>
    <x v="1462"/>
    <n v="6307"/>
    <x v="77"/>
    <x v="3"/>
    <n v="2534"/>
    <s v="1K–5K"/>
    <x v="4"/>
    <n v="4.5019"/>
    <s v="Yes"/>
    <x v="0"/>
    <n v="257"/>
    <n v="120"/>
    <x v="2"/>
    <n v="0"/>
    <n v="0"/>
  </r>
  <r>
    <s v="P481973"/>
    <x v="1463"/>
    <n v="6302"/>
    <x v="114"/>
    <x v="1"/>
    <n v="2538"/>
    <s v="1K–5K"/>
    <x v="4"/>
    <n v="4.8666999999999998"/>
    <s v="Yes"/>
    <x v="0"/>
    <n v="30"/>
    <n v="145"/>
    <x v="2"/>
    <n v="0"/>
    <n v="0"/>
  </r>
  <r>
    <s v="P475200"/>
    <x v="1464"/>
    <n v="6373"/>
    <x v="83"/>
    <x v="10"/>
    <n v="2541"/>
    <s v="1K–5K"/>
    <x v="4"/>
    <n v="3.8292999999999999"/>
    <s v="Yes"/>
    <x v="1"/>
    <n v="41"/>
    <n v="66"/>
    <x v="2"/>
    <n v="0"/>
    <n v="0"/>
  </r>
  <r>
    <s v="P475907"/>
    <x v="1465"/>
    <n v="6356"/>
    <x v="53"/>
    <x v="1"/>
    <n v="2556"/>
    <s v="1K–5K"/>
    <x v="4"/>
    <n v="3.9876999999999998"/>
    <s v="Yes"/>
    <x v="1"/>
    <n v="81"/>
    <n v="390"/>
    <x v="2"/>
    <n v="0"/>
    <n v="0"/>
  </r>
  <r>
    <s v="P501164"/>
    <x v="1466"/>
    <n v="1254"/>
    <x v="24"/>
    <x v="10"/>
    <n v="2557"/>
    <s v="1K–5K"/>
    <x v="4"/>
    <m/>
    <s v="No"/>
    <x v="3"/>
    <n v="0"/>
    <n v="42"/>
    <x v="0"/>
    <n v="0"/>
    <n v="0"/>
  </r>
  <r>
    <s v="P482661"/>
    <x v="1467"/>
    <n v="6356"/>
    <x v="53"/>
    <x v="1"/>
    <n v="2564"/>
    <s v="1K–5K"/>
    <x v="4"/>
    <n v="4.5"/>
    <s v="Yes"/>
    <x v="0"/>
    <n v="4"/>
    <n v="93"/>
    <x v="2"/>
    <n v="0"/>
    <n v="0"/>
  </r>
  <r>
    <s v="P445822"/>
    <x v="1468"/>
    <n v="6219"/>
    <x v="39"/>
    <x v="2"/>
    <n v="2582"/>
    <s v="1K–5K"/>
    <x v="4"/>
    <n v="4"/>
    <s v="Yes"/>
    <x v="0"/>
    <n v="11"/>
    <n v="42"/>
    <x v="0"/>
    <n v="0"/>
    <n v="0"/>
  </r>
  <r>
    <s v="P476553"/>
    <x v="1469"/>
    <n v="6375"/>
    <x v="124"/>
    <x v="9"/>
    <n v="2584"/>
    <s v="1K–5K"/>
    <x v="4"/>
    <n v="4.1543999999999999"/>
    <s v="Yes"/>
    <x v="0"/>
    <n v="149"/>
    <n v="45"/>
    <x v="0"/>
    <n v="0"/>
    <n v="0"/>
  </r>
  <r>
    <s v="P504506"/>
    <x v="1470"/>
    <n v="6041"/>
    <x v="6"/>
    <x v="1"/>
    <n v="2589"/>
    <s v="1K–5K"/>
    <x v="4"/>
    <n v="4.8387000000000002"/>
    <s v="Yes"/>
    <x v="0"/>
    <n v="124"/>
    <n v="98"/>
    <x v="2"/>
    <n v="1"/>
    <n v="0"/>
  </r>
  <r>
    <s v="P475196"/>
    <x v="1471"/>
    <n v="6373"/>
    <x v="83"/>
    <x v="5"/>
    <n v="2603"/>
    <s v="1K–5K"/>
    <x v="4"/>
    <n v="4.25"/>
    <s v="Yes"/>
    <x v="0"/>
    <n v="44"/>
    <n v="36"/>
    <x v="0"/>
    <n v="0"/>
    <n v="0"/>
  </r>
  <r>
    <s v="P480346"/>
    <x v="1472"/>
    <n v="7100"/>
    <x v="128"/>
    <x v="2"/>
    <n v="2610"/>
    <s v="1K–5K"/>
    <x v="4"/>
    <n v="4.7142999999999997"/>
    <s v="Yes"/>
    <x v="0"/>
    <n v="14"/>
    <n v="38"/>
    <x v="0"/>
    <n v="0"/>
    <n v="0"/>
  </r>
  <r>
    <s v="P456210"/>
    <x v="1473"/>
    <n v="6309"/>
    <x v="62"/>
    <x v="1"/>
    <n v="2613"/>
    <s v="1K–5K"/>
    <x v="4"/>
    <n v="3.5356999999999998"/>
    <s v="Yes"/>
    <x v="1"/>
    <n v="28"/>
    <n v="125"/>
    <x v="2"/>
    <n v="0"/>
    <n v="0"/>
  </r>
  <r>
    <s v="P503747"/>
    <x v="1474"/>
    <n v="1254"/>
    <x v="24"/>
    <x v="2"/>
    <n v="2618"/>
    <s v="1K–5K"/>
    <x v="4"/>
    <n v="4.5521000000000003"/>
    <s v="Yes"/>
    <x v="0"/>
    <n v="259"/>
    <n v="38"/>
    <x v="0"/>
    <n v="0"/>
    <n v="0"/>
  </r>
  <r>
    <s v="P472068"/>
    <x v="1475"/>
    <n v="3902"/>
    <x v="13"/>
    <x v="9"/>
    <n v="2624"/>
    <s v="1K–5K"/>
    <x v="4"/>
    <n v="4.0769000000000002"/>
    <s v="Yes"/>
    <x v="0"/>
    <n v="13"/>
    <n v="15"/>
    <x v="1"/>
    <n v="0"/>
    <n v="0"/>
  </r>
  <r>
    <s v="P481164"/>
    <x v="1476"/>
    <n v="5337"/>
    <x v="32"/>
    <x v="3"/>
    <n v="2628"/>
    <s v="1K–5K"/>
    <x v="4"/>
    <n v="4.5518000000000001"/>
    <s v="Yes"/>
    <x v="0"/>
    <n v="926"/>
    <n v="50"/>
    <x v="0"/>
    <n v="0"/>
    <n v="0"/>
  </r>
  <r>
    <s v="P423169"/>
    <x v="1477"/>
    <n v="5337"/>
    <x v="32"/>
    <x v="3"/>
    <n v="2632"/>
    <s v="1K–5K"/>
    <x v="4"/>
    <n v="3.75"/>
    <s v="Yes"/>
    <x v="1"/>
    <n v="12"/>
    <n v="290"/>
    <x v="2"/>
    <n v="0"/>
    <n v="0"/>
  </r>
  <r>
    <s v="P502237"/>
    <x v="1478"/>
    <n v="6272"/>
    <x v="46"/>
    <x v="10"/>
    <n v="2634"/>
    <s v="1K–5K"/>
    <x v="4"/>
    <n v="4.3333000000000004"/>
    <s v="Yes"/>
    <x v="0"/>
    <n v="6"/>
    <n v="199"/>
    <x v="2"/>
    <n v="0"/>
    <n v="0"/>
  </r>
  <r>
    <s v="P463106"/>
    <x v="1479"/>
    <n v="5337"/>
    <x v="32"/>
    <x v="8"/>
    <n v="2649"/>
    <s v="1K–5K"/>
    <x v="4"/>
    <n v="4"/>
    <s v="Yes"/>
    <x v="0"/>
    <n v="5"/>
    <n v="85"/>
    <x v="2"/>
    <n v="0"/>
    <n v="0"/>
  </r>
  <r>
    <s v="P479703"/>
    <x v="1480"/>
    <n v="5946"/>
    <x v="80"/>
    <x v="1"/>
    <n v="2655"/>
    <s v="1K–5K"/>
    <x v="4"/>
    <n v="4.6708999999999996"/>
    <s v="Yes"/>
    <x v="0"/>
    <n v="79"/>
    <n v="44"/>
    <x v="0"/>
    <n v="0"/>
    <n v="0"/>
  </r>
  <r>
    <s v="P433446"/>
    <x v="1481"/>
    <n v="3733"/>
    <x v="22"/>
    <x v="7"/>
    <n v="2661"/>
    <s v="1K–5K"/>
    <x v="4"/>
    <n v="4.0713999999999997"/>
    <s v="Yes"/>
    <x v="0"/>
    <n v="14"/>
    <n v="24"/>
    <x v="0"/>
    <n v="0"/>
    <n v="0"/>
  </r>
  <r>
    <s v="P443812"/>
    <x v="1482"/>
    <n v="6272"/>
    <x v="46"/>
    <x v="1"/>
    <n v="2668"/>
    <s v="1K–5K"/>
    <x v="4"/>
    <n v="3.1667000000000001"/>
    <s v="Yes"/>
    <x v="1"/>
    <n v="12"/>
    <n v="85"/>
    <x v="2"/>
    <n v="0"/>
    <n v="0"/>
  </r>
  <r>
    <s v="P467608"/>
    <x v="1483"/>
    <n v="1254"/>
    <x v="24"/>
    <x v="1"/>
    <n v="2689"/>
    <s v="1K–5K"/>
    <x v="4"/>
    <n v="4.75"/>
    <s v="Yes"/>
    <x v="0"/>
    <n v="8"/>
    <n v="74"/>
    <x v="2"/>
    <n v="0"/>
    <n v="0"/>
  </r>
  <r>
    <s v="P467945"/>
    <x v="1484"/>
    <n v="1073"/>
    <x v="52"/>
    <x v="3"/>
    <n v="2700"/>
    <s v="1K–5K"/>
    <x v="4"/>
    <n v="4.5457000000000001"/>
    <s v="Yes"/>
    <x v="0"/>
    <n v="678"/>
    <n v="130"/>
    <x v="2"/>
    <n v="0"/>
    <n v="0"/>
  </r>
  <r>
    <s v="P468196"/>
    <x v="1485"/>
    <n v="8017"/>
    <x v="56"/>
    <x v="10"/>
    <n v="2710"/>
    <s v="1K–5K"/>
    <x v="4"/>
    <n v="2.5"/>
    <s v="Yes"/>
    <x v="2"/>
    <n v="4"/>
    <n v="49"/>
    <x v="0"/>
    <n v="0"/>
    <n v="0"/>
  </r>
  <r>
    <s v="P455421"/>
    <x v="1486"/>
    <n v="5337"/>
    <x v="32"/>
    <x v="2"/>
    <n v="2716"/>
    <s v="1K–5K"/>
    <x v="4"/>
    <n v="4.0869999999999997"/>
    <s v="Yes"/>
    <x v="0"/>
    <n v="23"/>
    <n v="36"/>
    <x v="0"/>
    <n v="0"/>
    <n v="0"/>
  </r>
  <r>
    <s v="P383051"/>
    <x v="1487"/>
    <n v="4372"/>
    <x v="97"/>
    <x v="3"/>
    <n v="2722"/>
    <s v="1K–5K"/>
    <x v="4"/>
    <n v="4.0114000000000001"/>
    <s v="Yes"/>
    <x v="0"/>
    <n v="88"/>
    <n v="132"/>
    <x v="2"/>
    <n v="0"/>
    <n v="0"/>
  </r>
  <r>
    <s v="P469110"/>
    <x v="1488"/>
    <n v="5946"/>
    <x v="80"/>
    <x v="1"/>
    <n v="2724"/>
    <s v="1K–5K"/>
    <x v="4"/>
    <n v="4.8765000000000001"/>
    <s v="Yes"/>
    <x v="0"/>
    <n v="81"/>
    <n v="110"/>
    <x v="2"/>
    <n v="0"/>
    <n v="0"/>
  </r>
  <r>
    <s v="P448713"/>
    <x v="1489"/>
    <n v="6302"/>
    <x v="114"/>
    <x v="1"/>
    <n v="2729"/>
    <s v="1K–5K"/>
    <x v="4"/>
    <n v="4.125"/>
    <s v="Yes"/>
    <x v="0"/>
    <n v="8"/>
    <n v="55"/>
    <x v="2"/>
    <n v="0"/>
    <n v="0"/>
  </r>
  <r>
    <s v="P461165"/>
    <x v="1490"/>
    <n v="6309"/>
    <x v="62"/>
    <x v="8"/>
    <n v="2741"/>
    <s v="1K–5K"/>
    <x v="4"/>
    <n v="4.2026000000000003"/>
    <s v="Yes"/>
    <x v="0"/>
    <n v="627"/>
    <n v="55"/>
    <x v="2"/>
    <n v="0"/>
    <n v="0"/>
  </r>
  <r>
    <s v="P408273"/>
    <x v="1491"/>
    <n v="6089"/>
    <x v="45"/>
    <x v="2"/>
    <n v="2742"/>
    <s v="1K–5K"/>
    <x v="4"/>
    <n v="3.9230999999999998"/>
    <s v="Yes"/>
    <x v="1"/>
    <n v="26"/>
    <n v="33"/>
    <x v="0"/>
    <n v="0"/>
    <n v="0"/>
  </r>
  <r>
    <s v="P475189"/>
    <x v="1492"/>
    <n v="6373"/>
    <x v="83"/>
    <x v="2"/>
    <n v="2757"/>
    <s v="1K–5K"/>
    <x v="4"/>
    <n v="4.1342999999999996"/>
    <s v="Yes"/>
    <x v="0"/>
    <n v="67"/>
    <n v="46"/>
    <x v="0"/>
    <n v="0"/>
    <n v="0"/>
  </r>
  <r>
    <s v="P502848"/>
    <x v="1493"/>
    <n v="7037"/>
    <x v="48"/>
    <x v="11"/>
    <n v="2761"/>
    <s v="1K–5K"/>
    <x v="4"/>
    <n v="4.8113000000000001"/>
    <s v="Yes"/>
    <x v="0"/>
    <n v="53"/>
    <n v="129"/>
    <x v="2"/>
    <n v="0"/>
    <n v="0"/>
  </r>
  <r>
    <s v="P474371"/>
    <x v="1494"/>
    <n v="5857"/>
    <x v="51"/>
    <x v="2"/>
    <n v="2764"/>
    <s v="1K–5K"/>
    <x v="4"/>
    <n v="4.3208000000000002"/>
    <s v="Yes"/>
    <x v="0"/>
    <n v="159"/>
    <n v="38"/>
    <x v="0"/>
    <n v="0"/>
    <n v="0"/>
  </r>
  <r>
    <s v="P502709"/>
    <x v="1495"/>
    <n v="8017"/>
    <x v="56"/>
    <x v="10"/>
    <n v="2768"/>
    <s v="1K–5K"/>
    <x v="4"/>
    <n v="4.5"/>
    <s v="Yes"/>
    <x v="0"/>
    <n v="2"/>
    <n v="20"/>
    <x v="0"/>
    <n v="0"/>
    <n v="1"/>
  </r>
  <r>
    <s v="P500880"/>
    <x v="1496"/>
    <n v="7091"/>
    <x v="71"/>
    <x v="4"/>
    <n v="2772"/>
    <s v="1K–5K"/>
    <x v="4"/>
    <n v="5"/>
    <s v="Yes"/>
    <x v="0"/>
    <n v="4"/>
    <n v="32"/>
    <x v="0"/>
    <n v="0"/>
    <n v="0"/>
  </r>
  <r>
    <s v="P459130"/>
    <x v="1497"/>
    <n v="6318"/>
    <x v="107"/>
    <x v="1"/>
    <n v="2777"/>
    <s v="1K–5K"/>
    <x v="4"/>
    <n v="4.7850000000000001"/>
    <s v="Yes"/>
    <x v="0"/>
    <n v="321"/>
    <n v="245"/>
    <x v="2"/>
    <n v="0"/>
    <n v="0"/>
  </r>
  <r>
    <s v="P501199"/>
    <x v="1498"/>
    <n v="6371"/>
    <x v="119"/>
    <x v="8"/>
    <n v="2784"/>
    <s v="1K–5K"/>
    <x v="4"/>
    <n v="4.4301000000000004"/>
    <s v="Yes"/>
    <x v="0"/>
    <n v="365"/>
    <n v="30"/>
    <x v="0"/>
    <n v="0"/>
    <n v="1"/>
  </r>
  <r>
    <s v="P483076"/>
    <x v="813"/>
    <n v="6073"/>
    <x v="15"/>
    <x v="3"/>
    <n v="2817"/>
    <s v="1K–5K"/>
    <x v="4"/>
    <n v="4.6660000000000004"/>
    <s v="Yes"/>
    <x v="0"/>
    <n v="527"/>
    <n v="22"/>
    <x v="0"/>
    <n v="1"/>
    <n v="0"/>
  </r>
  <r>
    <s v="P474125"/>
    <x v="1499"/>
    <n v="6358"/>
    <x v="81"/>
    <x v="10"/>
    <n v="2820"/>
    <s v="1K–5K"/>
    <x v="4"/>
    <n v="4.68"/>
    <s v="Yes"/>
    <x v="0"/>
    <n v="25"/>
    <n v="79"/>
    <x v="2"/>
    <n v="0"/>
    <n v="0"/>
  </r>
  <r>
    <s v="P449177"/>
    <x v="1500"/>
    <n v="6219"/>
    <x v="39"/>
    <x v="1"/>
    <n v="2823"/>
    <s v="1K–5K"/>
    <x v="4"/>
    <n v="4.3311000000000002"/>
    <s v="Yes"/>
    <x v="0"/>
    <n v="148"/>
    <n v="155"/>
    <x v="2"/>
    <n v="0"/>
    <n v="0"/>
  </r>
  <r>
    <s v="P480191"/>
    <x v="1501"/>
    <n v="6358"/>
    <x v="81"/>
    <x v="3"/>
    <n v="2824"/>
    <s v="1K–5K"/>
    <x v="4"/>
    <n v="4.7708000000000004"/>
    <s v="Yes"/>
    <x v="0"/>
    <n v="48"/>
    <n v="99"/>
    <x v="2"/>
    <n v="0"/>
    <n v="0"/>
  </r>
  <r>
    <s v="P422848"/>
    <x v="1502"/>
    <n v="7020"/>
    <x v="70"/>
    <x v="3"/>
    <n v="2825"/>
    <s v="1K–5K"/>
    <x v="4"/>
    <n v="4.1429"/>
    <s v="Yes"/>
    <x v="0"/>
    <n v="21"/>
    <n v="230"/>
    <x v="2"/>
    <n v="0"/>
    <n v="0"/>
  </r>
  <r>
    <s v="P476675"/>
    <x v="1503"/>
    <n v="6329"/>
    <x v="112"/>
    <x v="1"/>
    <n v="2833"/>
    <s v="1K–5K"/>
    <x v="4"/>
    <n v="4.6376999999999997"/>
    <s v="Yes"/>
    <x v="0"/>
    <n v="69"/>
    <n v="68"/>
    <x v="2"/>
    <n v="0"/>
    <n v="0"/>
  </r>
  <r>
    <s v="P503000"/>
    <x v="1504"/>
    <n v="3902"/>
    <x v="13"/>
    <x v="9"/>
    <n v="2842"/>
    <s v="1K–5K"/>
    <x v="4"/>
    <n v="5"/>
    <s v="Yes"/>
    <x v="0"/>
    <n v="2"/>
    <n v="18"/>
    <x v="1"/>
    <n v="1"/>
    <n v="0"/>
  </r>
  <r>
    <s v="P450587"/>
    <x v="1505"/>
    <n v="8012"/>
    <x v="122"/>
    <x v="1"/>
    <n v="2843"/>
    <s v="1K–5K"/>
    <x v="4"/>
    <n v="4.6704999999999997"/>
    <s v="Yes"/>
    <x v="0"/>
    <n v="88"/>
    <n v="39"/>
    <x v="0"/>
    <n v="0"/>
    <n v="0"/>
  </r>
  <r>
    <s v="P456401"/>
    <x v="1506"/>
    <n v="5626"/>
    <x v="64"/>
    <x v="6"/>
    <n v="2845"/>
    <s v="1K–5K"/>
    <x v="4"/>
    <n v="3.4782999999999999"/>
    <s v="Yes"/>
    <x v="1"/>
    <n v="23"/>
    <n v="46"/>
    <x v="0"/>
    <n v="0"/>
    <n v="0"/>
  </r>
  <r>
    <s v="P476680"/>
    <x v="1507"/>
    <n v="6329"/>
    <x v="112"/>
    <x v="11"/>
    <n v="2856"/>
    <s v="1K–5K"/>
    <x v="4"/>
    <n v="4.5208000000000004"/>
    <s v="Yes"/>
    <x v="0"/>
    <n v="48"/>
    <n v="35"/>
    <x v="0"/>
    <n v="0"/>
    <n v="0"/>
  </r>
  <r>
    <s v="P464234"/>
    <x v="1508"/>
    <n v="6334"/>
    <x v="120"/>
    <x v="1"/>
    <n v="2860"/>
    <s v="1K–5K"/>
    <x v="4"/>
    <n v="4.5019"/>
    <s v="Yes"/>
    <x v="0"/>
    <n v="267"/>
    <n v="72"/>
    <x v="2"/>
    <n v="0"/>
    <n v="0"/>
  </r>
  <r>
    <s v="P471784"/>
    <x v="1509"/>
    <n v="8017"/>
    <x v="56"/>
    <x v="2"/>
    <n v="2867"/>
    <s v="1K–5K"/>
    <x v="4"/>
    <n v="4"/>
    <s v="Yes"/>
    <x v="0"/>
    <n v="3"/>
    <n v="14"/>
    <x v="1"/>
    <n v="0"/>
    <n v="1"/>
  </r>
  <r>
    <s v="P483090"/>
    <x v="1510"/>
    <n v="3902"/>
    <x v="13"/>
    <x v="3"/>
    <n v="2887"/>
    <s v="1K–5K"/>
    <x v="4"/>
    <n v="2.9375"/>
    <s v="Yes"/>
    <x v="2"/>
    <n v="16"/>
    <n v="18"/>
    <x v="1"/>
    <n v="0"/>
    <n v="0"/>
  </r>
  <r>
    <s v="P502761"/>
    <x v="1511"/>
    <n v="1741"/>
    <x v="42"/>
    <x v="3"/>
    <n v="2887"/>
    <s v="1K–5K"/>
    <x v="4"/>
    <n v="4.7126999999999999"/>
    <s v="Yes"/>
    <x v="0"/>
    <n v="463"/>
    <n v="95"/>
    <x v="2"/>
    <n v="0"/>
    <n v="0"/>
  </r>
  <r>
    <s v="P480630"/>
    <x v="1512"/>
    <n v="6247"/>
    <x v="7"/>
    <x v="5"/>
    <n v="2900"/>
    <s v="1K–5K"/>
    <x v="4"/>
    <n v="4.0262000000000002"/>
    <s v="Yes"/>
    <x v="0"/>
    <n v="4427"/>
    <n v="26"/>
    <x v="0"/>
    <n v="0"/>
    <n v="0"/>
  </r>
  <r>
    <s v="P454315"/>
    <x v="1513"/>
    <n v="6226"/>
    <x v="84"/>
    <x v="2"/>
    <n v="2902"/>
    <s v="1K–5K"/>
    <x v="4"/>
    <n v="4.4043000000000001"/>
    <s v="Yes"/>
    <x v="0"/>
    <n v="47"/>
    <n v="32"/>
    <x v="0"/>
    <n v="0"/>
    <n v="0"/>
  </r>
  <r>
    <s v="P446102"/>
    <x v="1514"/>
    <n v="6089"/>
    <x v="45"/>
    <x v="7"/>
    <n v="2904"/>
    <s v="1K–5K"/>
    <x v="4"/>
    <n v="4.4545000000000003"/>
    <s v="Yes"/>
    <x v="0"/>
    <n v="11"/>
    <n v="36"/>
    <x v="0"/>
    <n v="0"/>
    <n v="0"/>
  </r>
  <r>
    <s v="P475906"/>
    <x v="1515"/>
    <n v="6356"/>
    <x v="53"/>
    <x v="8"/>
    <n v="2922"/>
    <s v="1K–5K"/>
    <x v="4"/>
    <n v="4.2267000000000001"/>
    <s v="Yes"/>
    <x v="0"/>
    <n v="75"/>
    <n v="220"/>
    <x v="2"/>
    <n v="0"/>
    <n v="0"/>
  </r>
  <r>
    <s v="P471045"/>
    <x v="1516"/>
    <n v="5946"/>
    <x v="80"/>
    <x v="4"/>
    <n v="2924"/>
    <s v="1K–5K"/>
    <x v="4"/>
    <n v="4.4149000000000003"/>
    <s v="Yes"/>
    <x v="0"/>
    <n v="94"/>
    <n v="54"/>
    <x v="2"/>
    <n v="0"/>
    <n v="0"/>
  </r>
  <r>
    <s v="P482746"/>
    <x v="1517"/>
    <n v="5987"/>
    <x v="9"/>
    <x v="4"/>
    <n v="2927"/>
    <s v="1K–5K"/>
    <x v="4"/>
    <n v="4.0909000000000004"/>
    <s v="Yes"/>
    <x v="0"/>
    <n v="11"/>
    <n v="36"/>
    <x v="0"/>
    <n v="0"/>
    <n v="0"/>
  </r>
  <r>
    <s v="P416589"/>
    <x v="1518"/>
    <n v="6187"/>
    <x v="130"/>
    <x v="5"/>
    <n v="2931"/>
    <s v="1K–5K"/>
    <x v="4"/>
    <n v="4.5"/>
    <s v="Yes"/>
    <x v="0"/>
    <n v="8"/>
    <n v="12"/>
    <x v="1"/>
    <n v="0"/>
    <n v="1"/>
  </r>
  <r>
    <s v="P462381"/>
    <x v="1519"/>
    <n v="8017"/>
    <x v="56"/>
    <x v="8"/>
    <n v="2932"/>
    <s v="1K–5K"/>
    <x v="4"/>
    <n v="4.1111000000000004"/>
    <s v="Yes"/>
    <x v="0"/>
    <n v="9"/>
    <n v="20"/>
    <x v="0"/>
    <n v="0"/>
    <n v="1"/>
  </r>
  <r>
    <s v="P467649"/>
    <x v="1520"/>
    <n v="3902"/>
    <x v="13"/>
    <x v="5"/>
    <n v="2950"/>
    <s v="1K–5K"/>
    <x v="4"/>
    <n v="1.8571"/>
    <s v="Yes"/>
    <x v="2"/>
    <n v="7"/>
    <n v="12"/>
    <x v="1"/>
    <n v="0"/>
    <n v="0"/>
  </r>
  <r>
    <s v="P500060"/>
    <x v="1521"/>
    <n v="5987"/>
    <x v="9"/>
    <x v="4"/>
    <n v="2951"/>
    <s v="1K–5K"/>
    <x v="4"/>
    <n v="3"/>
    <s v="Yes"/>
    <x v="1"/>
    <n v="4"/>
    <n v="24"/>
    <x v="0"/>
    <n v="0"/>
    <n v="0"/>
  </r>
  <r>
    <s v="P457854"/>
    <x v="1522"/>
    <n v="5337"/>
    <x v="32"/>
    <x v="3"/>
    <n v="2959"/>
    <s v="1K–5K"/>
    <x v="4"/>
    <n v="4.5263"/>
    <s v="Yes"/>
    <x v="0"/>
    <n v="19"/>
    <n v="140"/>
    <x v="2"/>
    <n v="0"/>
    <n v="0"/>
  </r>
  <r>
    <s v="P462378"/>
    <x v="1523"/>
    <n v="8017"/>
    <x v="56"/>
    <x v="10"/>
    <n v="2962"/>
    <s v="1K–5K"/>
    <x v="4"/>
    <n v="4.3"/>
    <s v="Yes"/>
    <x v="0"/>
    <n v="10"/>
    <n v="30"/>
    <x v="0"/>
    <n v="0"/>
    <n v="0"/>
  </r>
  <r>
    <s v="P463110"/>
    <x v="1524"/>
    <n v="6307"/>
    <x v="77"/>
    <x v="5"/>
    <n v="2963"/>
    <s v="1K–5K"/>
    <x v="4"/>
    <n v="4.5"/>
    <s v="Yes"/>
    <x v="0"/>
    <n v="10"/>
    <n v="45"/>
    <x v="0"/>
    <n v="0"/>
    <n v="0"/>
  </r>
  <r>
    <s v="P429675"/>
    <x v="1525"/>
    <n v="1073"/>
    <x v="52"/>
    <x v="3"/>
    <n v="2966"/>
    <s v="1K–5K"/>
    <x v="4"/>
    <n v="3.7692000000000001"/>
    <s v="Yes"/>
    <x v="1"/>
    <n v="13"/>
    <n v="45"/>
    <x v="0"/>
    <n v="0"/>
    <n v="0"/>
  </r>
  <r>
    <s v="P503690"/>
    <x v="1526"/>
    <n v="3728"/>
    <x v="41"/>
    <x v="3"/>
    <n v="2975"/>
    <s v="1K–5K"/>
    <x v="4"/>
    <n v="4.7488999999999999"/>
    <s v="Yes"/>
    <x v="0"/>
    <n v="219"/>
    <n v="58"/>
    <x v="2"/>
    <n v="0"/>
    <n v="0"/>
  </r>
  <r>
    <s v="P475083"/>
    <x v="1527"/>
    <n v="2082"/>
    <x v="63"/>
    <x v="1"/>
    <n v="2986"/>
    <s v="1K–5K"/>
    <x v="4"/>
    <n v="3"/>
    <s v="Yes"/>
    <x v="1"/>
    <n v="2"/>
    <n v="100"/>
    <x v="2"/>
    <n v="0"/>
    <n v="0"/>
  </r>
  <r>
    <s v="P460578"/>
    <x v="1528"/>
    <n v="6309"/>
    <x v="62"/>
    <x v="3"/>
    <n v="2987"/>
    <s v="1K–5K"/>
    <x v="4"/>
    <n v="4.2846000000000002"/>
    <s v="Yes"/>
    <x v="0"/>
    <n v="738"/>
    <n v="98"/>
    <x v="2"/>
    <n v="0"/>
    <n v="0"/>
  </r>
  <r>
    <s v="P504447"/>
    <x v="1529"/>
    <n v="3902"/>
    <x v="13"/>
    <x v="6"/>
    <n v="2988"/>
    <s v="1K–5K"/>
    <x v="4"/>
    <n v="3.25"/>
    <s v="Yes"/>
    <x v="1"/>
    <n v="8"/>
    <n v="16"/>
    <x v="1"/>
    <n v="1"/>
    <n v="0"/>
  </r>
  <r>
    <s v="P443550"/>
    <x v="1530"/>
    <n v="3733"/>
    <x v="22"/>
    <x v="3"/>
    <n v="3001"/>
    <s v="1K–5K"/>
    <x v="4"/>
    <n v="4.0345000000000004"/>
    <s v="Yes"/>
    <x v="0"/>
    <n v="29"/>
    <n v="71"/>
    <x v="2"/>
    <n v="0"/>
    <n v="0"/>
  </r>
  <r>
    <s v="P483708"/>
    <x v="1531"/>
    <n v="6307"/>
    <x v="77"/>
    <x v="3"/>
    <n v="3008"/>
    <s v="1K–5K"/>
    <x v="4"/>
    <n v="4.5019"/>
    <s v="Yes"/>
    <x v="0"/>
    <n v="257"/>
    <n v="28"/>
    <x v="0"/>
    <n v="0"/>
    <n v="0"/>
  </r>
  <r>
    <s v="P483457"/>
    <x v="1532"/>
    <n v="6476"/>
    <x v="125"/>
    <x v="3"/>
    <n v="3023"/>
    <s v="1K–5K"/>
    <x v="4"/>
    <n v="4.6954000000000002"/>
    <s v="Yes"/>
    <x v="0"/>
    <n v="151"/>
    <n v="24"/>
    <x v="0"/>
    <n v="0"/>
    <n v="0"/>
  </r>
  <r>
    <s v="P375854"/>
    <x v="1533"/>
    <n v="6084"/>
    <x v="37"/>
    <x v="3"/>
    <n v="3031"/>
    <s v="1K–5K"/>
    <x v="4"/>
    <n v="4.4667000000000003"/>
    <s v="Yes"/>
    <x v="0"/>
    <n v="60"/>
    <n v="400"/>
    <x v="2"/>
    <n v="0"/>
    <n v="0"/>
  </r>
  <r>
    <s v="P474115"/>
    <x v="1534"/>
    <n v="6358"/>
    <x v="81"/>
    <x v="1"/>
    <n v="3033"/>
    <s v="1K–5K"/>
    <x v="4"/>
    <n v="4.8085000000000004"/>
    <s v="Yes"/>
    <x v="0"/>
    <n v="47"/>
    <n v="99"/>
    <x v="2"/>
    <n v="0"/>
    <n v="0"/>
  </r>
  <r>
    <s v="P477202"/>
    <x v="1535"/>
    <n v="6226"/>
    <x v="84"/>
    <x v="9"/>
    <n v="3042"/>
    <s v="1K–5K"/>
    <x v="4"/>
    <n v="4.5932000000000004"/>
    <s v="Yes"/>
    <x v="0"/>
    <n v="59"/>
    <n v="42"/>
    <x v="0"/>
    <n v="0"/>
    <n v="0"/>
  </r>
  <r>
    <s v="P446629"/>
    <x v="1536"/>
    <n v="6114"/>
    <x v="65"/>
    <x v="11"/>
    <n v="3044"/>
    <s v="1K–5K"/>
    <x v="4"/>
    <n v="4.2857000000000003"/>
    <s v="Yes"/>
    <x v="0"/>
    <n v="77"/>
    <n v="149"/>
    <x v="2"/>
    <n v="0"/>
    <n v="0"/>
  </r>
  <r>
    <s v="P442001"/>
    <x v="1537"/>
    <n v="4372"/>
    <x v="97"/>
    <x v="3"/>
    <n v="3056"/>
    <s v="1K–5K"/>
    <x v="4"/>
    <n v="3.8140000000000001"/>
    <s v="Yes"/>
    <x v="1"/>
    <n v="43"/>
    <n v="72"/>
    <x v="2"/>
    <n v="0"/>
    <n v="0"/>
  </r>
  <r>
    <s v="P501550"/>
    <x v="1538"/>
    <n v="3728"/>
    <x v="41"/>
    <x v="10"/>
    <n v="3080"/>
    <s v="1K–5K"/>
    <x v="4"/>
    <n v="2.75"/>
    <s v="Yes"/>
    <x v="2"/>
    <n v="4"/>
    <n v="35"/>
    <x v="0"/>
    <n v="0"/>
    <n v="0"/>
  </r>
  <r>
    <s v="P504017"/>
    <x v="1539"/>
    <n v="6089"/>
    <x v="45"/>
    <x v="10"/>
    <n v="3091"/>
    <s v="1K–5K"/>
    <x v="4"/>
    <m/>
    <s v="No"/>
    <x v="3"/>
    <n v="0"/>
    <n v="115"/>
    <x v="2"/>
    <n v="1"/>
    <n v="0"/>
  </r>
  <r>
    <s v="P390987"/>
    <x v="1540"/>
    <n v="1254"/>
    <x v="24"/>
    <x v="11"/>
    <n v="3095"/>
    <s v="1K–5K"/>
    <x v="4"/>
    <n v="4.5385"/>
    <s v="Yes"/>
    <x v="0"/>
    <n v="13"/>
    <n v="32"/>
    <x v="0"/>
    <n v="0"/>
    <n v="0"/>
  </r>
  <r>
    <s v="P456992"/>
    <x v="1541"/>
    <n v="1254"/>
    <x v="24"/>
    <x v="3"/>
    <n v="3096"/>
    <s v="1K–5K"/>
    <x v="4"/>
    <n v="3.8824000000000001"/>
    <s v="Yes"/>
    <x v="1"/>
    <n v="17"/>
    <n v="56"/>
    <x v="2"/>
    <n v="0"/>
    <n v="1"/>
  </r>
  <r>
    <s v="P462748"/>
    <x v="1542"/>
    <n v="7020"/>
    <x v="70"/>
    <x v="7"/>
    <n v="3104"/>
    <s v="1K–5K"/>
    <x v="4"/>
    <n v="4.2058999999999997"/>
    <s v="Yes"/>
    <x v="0"/>
    <n v="170"/>
    <n v="46"/>
    <x v="0"/>
    <n v="0"/>
    <n v="0"/>
  </r>
  <r>
    <s v="P476676"/>
    <x v="1543"/>
    <n v="6329"/>
    <x v="112"/>
    <x v="1"/>
    <n v="3104"/>
    <s v="1K–5K"/>
    <x v="4"/>
    <n v="4.9622999999999999"/>
    <s v="Yes"/>
    <x v="0"/>
    <n v="53"/>
    <n v="110"/>
    <x v="2"/>
    <n v="0"/>
    <n v="0"/>
  </r>
  <r>
    <s v="P469200"/>
    <x v="1544"/>
    <n v="6302"/>
    <x v="114"/>
    <x v="1"/>
    <n v="3108"/>
    <s v="1K–5K"/>
    <x v="4"/>
    <n v="3.5"/>
    <s v="Yes"/>
    <x v="1"/>
    <n v="24"/>
    <n v="145"/>
    <x v="2"/>
    <n v="0"/>
    <n v="0"/>
  </r>
  <r>
    <s v="P479734"/>
    <x v="1545"/>
    <n v="1254"/>
    <x v="24"/>
    <x v="8"/>
    <n v="3109"/>
    <s v="1K–5K"/>
    <x v="4"/>
    <n v="4.24"/>
    <s v="Yes"/>
    <x v="0"/>
    <n v="2017"/>
    <n v="57"/>
    <x v="2"/>
    <n v="0"/>
    <n v="0"/>
  </r>
  <r>
    <s v="P502608"/>
    <x v="1546"/>
    <n v="2082"/>
    <x v="63"/>
    <x v="10"/>
    <n v="3113"/>
    <s v="1K–5K"/>
    <x v="4"/>
    <m/>
    <s v="No"/>
    <x v="3"/>
    <n v="0"/>
    <n v="99"/>
    <x v="2"/>
    <n v="0"/>
    <n v="1"/>
  </r>
  <r>
    <s v="P479903"/>
    <x v="1547"/>
    <n v="6117"/>
    <x v="33"/>
    <x v="3"/>
    <n v="3119"/>
    <s v="1K–5K"/>
    <x v="4"/>
    <n v="4.4169"/>
    <s v="Yes"/>
    <x v="0"/>
    <n v="343"/>
    <n v="60"/>
    <x v="2"/>
    <n v="0"/>
    <n v="0"/>
  </r>
  <r>
    <s v="P502448"/>
    <x v="1548"/>
    <n v="6307"/>
    <x v="77"/>
    <x v="8"/>
    <n v="3126"/>
    <s v="1K–5K"/>
    <x v="4"/>
    <n v="4.3333000000000004"/>
    <s v="Yes"/>
    <x v="0"/>
    <n v="3"/>
    <n v="140"/>
    <x v="2"/>
    <n v="0"/>
    <n v="0"/>
  </r>
  <r>
    <s v="P443377"/>
    <x v="1549"/>
    <n v="5337"/>
    <x v="32"/>
    <x v="4"/>
    <n v="3128"/>
    <s v="1K–5K"/>
    <x v="4"/>
    <n v="3.5"/>
    <s v="Yes"/>
    <x v="1"/>
    <n v="16"/>
    <n v="75"/>
    <x v="2"/>
    <n v="0"/>
    <n v="0"/>
  </r>
  <r>
    <s v="P468672"/>
    <x v="1550"/>
    <n v="6295"/>
    <x v="28"/>
    <x v="1"/>
    <n v="3131"/>
    <s v="1K–5K"/>
    <x v="4"/>
    <n v="4.5347"/>
    <s v="Yes"/>
    <x v="0"/>
    <n v="101"/>
    <n v="18"/>
    <x v="1"/>
    <n v="0"/>
    <n v="0"/>
  </r>
  <r>
    <s v="P481363"/>
    <x v="1551"/>
    <n v="6475"/>
    <x v="113"/>
    <x v="2"/>
    <n v="3144"/>
    <s v="1K–5K"/>
    <x v="4"/>
    <n v="4.6364000000000001"/>
    <s v="Yes"/>
    <x v="0"/>
    <n v="176"/>
    <n v="45"/>
    <x v="0"/>
    <n v="0"/>
    <n v="0"/>
  </r>
  <r>
    <s v="P448546"/>
    <x v="1552"/>
    <n v="6302"/>
    <x v="114"/>
    <x v="2"/>
    <n v="3148"/>
    <s v="1K–5K"/>
    <x v="4"/>
    <n v="4.7778"/>
    <s v="Yes"/>
    <x v="0"/>
    <n v="9"/>
    <n v="75"/>
    <x v="2"/>
    <n v="0"/>
    <n v="0"/>
  </r>
  <r>
    <s v="P468143"/>
    <x v="1553"/>
    <n v="6309"/>
    <x v="62"/>
    <x v="3"/>
    <n v="3159"/>
    <s v="1K–5K"/>
    <x v="4"/>
    <n v="3.5676000000000001"/>
    <s v="Yes"/>
    <x v="1"/>
    <n v="37"/>
    <n v="98"/>
    <x v="2"/>
    <n v="0"/>
    <n v="0"/>
  </r>
  <r>
    <s v="P405286"/>
    <x v="1554"/>
    <n v="1254"/>
    <x v="24"/>
    <x v="3"/>
    <n v="3174"/>
    <s v="1K–5K"/>
    <x v="4"/>
    <n v="4.3143000000000002"/>
    <s v="Yes"/>
    <x v="0"/>
    <n v="35"/>
    <n v="64"/>
    <x v="2"/>
    <n v="0"/>
    <n v="0"/>
  </r>
  <r>
    <s v="P500716"/>
    <x v="1555"/>
    <n v="6018"/>
    <x v="78"/>
    <x v="10"/>
    <n v="3206"/>
    <s v="1K–5K"/>
    <x v="4"/>
    <n v="4.8022999999999998"/>
    <s v="Yes"/>
    <x v="0"/>
    <n v="258"/>
    <n v="88"/>
    <x v="2"/>
    <n v="0"/>
    <n v="0"/>
  </r>
  <r>
    <s v="P433971"/>
    <x v="1556"/>
    <n v="8012"/>
    <x v="122"/>
    <x v="3"/>
    <n v="3211"/>
    <s v="1K–5K"/>
    <x v="4"/>
    <n v="4.1905000000000001"/>
    <s v="Yes"/>
    <x v="0"/>
    <n v="168"/>
    <n v="35"/>
    <x v="0"/>
    <n v="0"/>
    <n v="0"/>
  </r>
  <r>
    <s v="P470245"/>
    <x v="1557"/>
    <n v="7100"/>
    <x v="128"/>
    <x v="1"/>
    <n v="3223"/>
    <s v="1K–5K"/>
    <x v="4"/>
    <n v="4.5"/>
    <s v="Yes"/>
    <x v="0"/>
    <n v="34"/>
    <n v="70"/>
    <x v="2"/>
    <n v="0"/>
    <n v="0"/>
  </r>
  <r>
    <s v="P502197"/>
    <x v="1558"/>
    <n v="5946"/>
    <x v="80"/>
    <x v="3"/>
    <n v="3226"/>
    <s v="1K–5K"/>
    <x v="4"/>
    <n v="4.8255999999999997"/>
    <s v="Yes"/>
    <x v="0"/>
    <n v="86"/>
    <n v="76"/>
    <x v="2"/>
    <n v="0"/>
    <n v="0"/>
  </r>
  <r>
    <s v="P459301"/>
    <x v="1559"/>
    <n v="6309"/>
    <x v="62"/>
    <x v="7"/>
    <n v="3228"/>
    <s v="1K–5K"/>
    <x v="4"/>
    <n v="4.2549999999999999"/>
    <s v="Yes"/>
    <x v="0"/>
    <n v="1196"/>
    <n v="45"/>
    <x v="0"/>
    <n v="0"/>
    <n v="0"/>
  </r>
  <r>
    <s v="P504429"/>
    <x v="1560"/>
    <n v="3902"/>
    <x v="13"/>
    <x v="1"/>
    <n v="3242"/>
    <s v="1K–5K"/>
    <x v="4"/>
    <n v="4.8445"/>
    <s v="Yes"/>
    <x v="0"/>
    <n v="238"/>
    <n v="20"/>
    <x v="0"/>
    <n v="1"/>
    <n v="0"/>
  </r>
  <r>
    <s v="P468408"/>
    <x v="1561"/>
    <n v="6084"/>
    <x v="37"/>
    <x v="8"/>
    <n v="3246"/>
    <s v="1K–5K"/>
    <x v="4"/>
    <n v="4.3226000000000004"/>
    <s v="Yes"/>
    <x v="0"/>
    <n v="747"/>
    <n v="145"/>
    <x v="2"/>
    <n v="0"/>
    <n v="0"/>
  </r>
  <r>
    <s v="P383054"/>
    <x v="1562"/>
    <n v="4372"/>
    <x v="97"/>
    <x v="1"/>
    <n v="3259"/>
    <s v="1K–5K"/>
    <x v="4"/>
    <n v="4.1852"/>
    <s v="Yes"/>
    <x v="0"/>
    <n v="54"/>
    <n v="152"/>
    <x v="2"/>
    <n v="0"/>
    <n v="0"/>
  </r>
  <r>
    <s v="P474107"/>
    <x v="1563"/>
    <n v="6358"/>
    <x v="81"/>
    <x v="8"/>
    <n v="3261"/>
    <s v="1K–5K"/>
    <x v="4"/>
    <n v="4.6889000000000003"/>
    <s v="Yes"/>
    <x v="0"/>
    <n v="45"/>
    <n v="65"/>
    <x v="2"/>
    <n v="0"/>
    <n v="0"/>
  </r>
  <r>
    <s v="P470041"/>
    <x v="1564"/>
    <n v="1741"/>
    <x v="42"/>
    <x v="10"/>
    <n v="3271"/>
    <s v="1K–5K"/>
    <x v="4"/>
    <n v="4.2382999999999997"/>
    <s v="Yes"/>
    <x v="0"/>
    <n v="1045"/>
    <n v="65"/>
    <x v="2"/>
    <n v="0"/>
    <n v="0"/>
  </r>
  <r>
    <s v="P502997"/>
    <x v="1565"/>
    <n v="6209"/>
    <x v="8"/>
    <x v="1"/>
    <n v="3297"/>
    <s v="1K–5K"/>
    <x v="4"/>
    <n v="3.6667000000000001"/>
    <s v="Yes"/>
    <x v="1"/>
    <n v="120"/>
    <n v="34"/>
    <x v="0"/>
    <n v="0"/>
    <n v="0"/>
  </r>
  <r>
    <s v="P500109"/>
    <x v="1566"/>
    <n v="6743"/>
    <x v="110"/>
    <x v="8"/>
    <n v="3298"/>
    <s v="1K–5K"/>
    <x v="4"/>
    <n v="4.1379000000000001"/>
    <s v="Yes"/>
    <x v="0"/>
    <n v="116"/>
    <n v="18"/>
    <x v="1"/>
    <n v="0"/>
    <n v="0"/>
  </r>
  <r>
    <s v="P448553"/>
    <x v="1567"/>
    <n v="6302"/>
    <x v="114"/>
    <x v="3"/>
    <n v="3298"/>
    <s v="1K–5K"/>
    <x v="4"/>
    <n v="4.3182"/>
    <s v="Yes"/>
    <x v="0"/>
    <n v="22"/>
    <n v="240"/>
    <x v="2"/>
    <n v="0"/>
    <n v="0"/>
  </r>
  <r>
    <s v="P420638"/>
    <x v="1568"/>
    <n v="6018"/>
    <x v="78"/>
    <x v="3"/>
    <n v="3317"/>
    <s v="1K–5K"/>
    <x v="4"/>
    <n v="4.3243"/>
    <s v="Yes"/>
    <x v="0"/>
    <n v="37"/>
    <n v="96"/>
    <x v="2"/>
    <n v="0"/>
    <n v="0"/>
  </r>
  <r>
    <s v="P430405"/>
    <x v="1569"/>
    <n v="6201"/>
    <x v="44"/>
    <x v="7"/>
    <n v="3320"/>
    <s v="1K–5K"/>
    <x v="4"/>
    <n v="4.3"/>
    <s v="Yes"/>
    <x v="0"/>
    <n v="10"/>
    <n v="100"/>
    <x v="2"/>
    <n v="0"/>
    <n v="0"/>
  </r>
  <r>
    <s v="P501170"/>
    <x v="1570"/>
    <n v="6371"/>
    <x v="119"/>
    <x v="3"/>
    <n v="3322"/>
    <s v="1K–5K"/>
    <x v="4"/>
    <n v="4.1776"/>
    <s v="Yes"/>
    <x v="0"/>
    <n v="490"/>
    <n v="36"/>
    <x v="0"/>
    <n v="0"/>
    <n v="0"/>
  </r>
  <r>
    <s v="P474114"/>
    <x v="1571"/>
    <n v="6358"/>
    <x v="81"/>
    <x v="10"/>
    <n v="3322"/>
    <s v="1K–5K"/>
    <x v="4"/>
    <n v="4.5263"/>
    <s v="Yes"/>
    <x v="0"/>
    <n v="19"/>
    <n v="89"/>
    <x v="2"/>
    <n v="0"/>
    <n v="0"/>
  </r>
  <r>
    <s v="P395507"/>
    <x v="1572"/>
    <n v="5644"/>
    <x v="26"/>
    <x v="3"/>
    <n v="3331"/>
    <s v="1K–5K"/>
    <x v="4"/>
    <n v="4.5"/>
    <s v="Yes"/>
    <x v="0"/>
    <n v="2"/>
    <n v="110"/>
    <x v="2"/>
    <n v="0"/>
    <n v="0"/>
  </r>
  <r>
    <s v="P438630"/>
    <x v="1573"/>
    <n v="6272"/>
    <x v="46"/>
    <x v="11"/>
    <n v="3334"/>
    <s v="1K–5K"/>
    <x v="4"/>
    <n v="4.1429"/>
    <s v="Yes"/>
    <x v="0"/>
    <n v="7"/>
    <n v="49"/>
    <x v="0"/>
    <n v="0"/>
    <n v="0"/>
  </r>
  <r>
    <s v="P478274"/>
    <x v="1574"/>
    <n v="6309"/>
    <x v="62"/>
    <x v="10"/>
    <n v="3354"/>
    <s v="1K–5K"/>
    <x v="4"/>
    <n v="3.5556000000000001"/>
    <s v="Yes"/>
    <x v="1"/>
    <n v="27"/>
    <n v="48"/>
    <x v="0"/>
    <n v="0"/>
    <n v="0"/>
  </r>
  <r>
    <s v="P449411"/>
    <x v="1575"/>
    <n v="5648"/>
    <x v="73"/>
    <x v="7"/>
    <n v="3357"/>
    <s v="1K–5K"/>
    <x v="4"/>
    <n v="3.4285999999999999"/>
    <s v="Yes"/>
    <x v="1"/>
    <n v="14"/>
    <n v="9"/>
    <x v="1"/>
    <n v="0"/>
    <n v="1"/>
  </r>
  <r>
    <s v="P468411"/>
    <x v="1576"/>
    <n v="6084"/>
    <x v="37"/>
    <x v="3"/>
    <n v="3361"/>
    <s v="1K–5K"/>
    <x v="4"/>
    <n v="4.1878000000000002"/>
    <s v="Yes"/>
    <x v="0"/>
    <n v="442"/>
    <n v="255"/>
    <x v="2"/>
    <n v="0"/>
    <n v="0"/>
  </r>
  <r>
    <s v="P481703"/>
    <x v="1577"/>
    <n v="4348"/>
    <x v="11"/>
    <x v="3"/>
    <n v="3371"/>
    <s v="1K–5K"/>
    <x v="4"/>
    <n v="4.0065"/>
    <s v="Yes"/>
    <x v="0"/>
    <n v="153"/>
    <n v="95"/>
    <x v="2"/>
    <n v="0"/>
    <n v="0"/>
  </r>
  <r>
    <s v="P467028"/>
    <x v="1578"/>
    <n v="5946"/>
    <x v="80"/>
    <x v="10"/>
    <n v="3372"/>
    <s v="1K–5K"/>
    <x v="4"/>
    <n v="4.9066999999999998"/>
    <s v="Yes"/>
    <x v="0"/>
    <n v="75"/>
    <n v="72"/>
    <x v="2"/>
    <n v="0"/>
    <n v="0"/>
  </r>
  <r>
    <s v="P454937"/>
    <x v="1579"/>
    <n v="6302"/>
    <x v="114"/>
    <x v="7"/>
    <n v="3397"/>
    <s v="1K–5K"/>
    <x v="4"/>
    <n v="3.3683999999999998"/>
    <s v="Yes"/>
    <x v="1"/>
    <n v="38"/>
    <n v="130"/>
    <x v="2"/>
    <n v="0"/>
    <n v="0"/>
  </r>
  <r>
    <s v="P442537"/>
    <x v="1580"/>
    <n v="6283"/>
    <x v="55"/>
    <x v="8"/>
    <n v="3406"/>
    <s v="1K–5K"/>
    <x v="4"/>
    <n v="3.8824000000000001"/>
    <s v="Yes"/>
    <x v="1"/>
    <n v="17"/>
    <n v="82"/>
    <x v="2"/>
    <n v="0"/>
    <n v="0"/>
  </r>
  <r>
    <s v="P457273"/>
    <x v="1581"/>
    <n v="2366"/>
    <x v="66"/>
    <x v="8"/>
    <n v="3415"/>
    <s v="1K–5K"/>
    <x v="4"/>
    <n v="3.6"/>
    <s v="Yes"/>
    <x v="1"/>
    <n v="10"/>
    <n v="60"/>
    <x v="2"/>
    <n v="0"/>
    <n v="0"/>
  </r>
  <r>
    <s v="P482313"/>
    <x v="1582"/>
    <n v="3902"/>
    <x v="13"/>
    <x v="11"/>
    <n v="3419"/>
    <s v="1K–5K"/>
    <x v="4"/>
    <n v="4.1429"/>
    <s v="Yes"/>
    <x v="0"/>
    <n v="7"/>
    <n v="8"/>
    <x v="1"/>
    <n v="0"/>
    <n v="0"/>
  </r>
  <r>
    <s v="P504313"/>
    <x v="1583"/>
    <n v="6169"/>
    <x v="3"/>
    <x v="8"/>
    <n v="3420"/>
    <s v="1K–5K"/>
    <x v="4"/>
    <n v="4.8"/>
    <s v="Yes"/>
    <x v="0"/>
    <n v="45"/>
    <n v="48"/>
    <x v="0"/>
    <n v="1"/>
    <n v="0"/>
  </r>
  <r>
    <s v="P457272"/>
    <x v="1584"/>
    <n v="1132"/>
    <x v="60"/>
    <x v="8"/>
    <n v="3420"/>
    <s v="1K–5K"/>
    <x v="4"/>
    <n v="3.7856999999999998"/>
    <s v="Yes"/>
    <x v="1"/>
    <n v="14"/>
    <n v="110"/>
    <x v="2"/>
    <n v="0"/>
    <n v="0"/>
  </r>
  <r>
    <s v="P464240"/>
    <x v="1585"/>
    <n v="6334"/>
    <x v="120"/>
    <x v="1"/>
    <n v="3425"/>
    <s v="1K–5K"/>
    <x v="4"/>
    <n v="4.4095000000000004"/>
    <s v="Yes"/>
    <x v="0"/>
    <n v="105"/>
    <n v="42"/>
    <x v="0"/>
    <n v="0"/>
    <n v="0"/>
  </r>
  <r>
    <s v="P501264"/>
    <x v="1586"/>
    <n v="6201"/>
    <x v="44"/>
    <x v="10"/>
    <n v="3433"/>
    <s v="1K–5K"/>
    <x v="4"/>
    <n v="3"/>
    <s v="Yes"/>
    <x v="1"/>
    <n v="2"/>
    <n v="200"/>
    <x v="2"/>
    <n v="0"/>
    <n v="0"/>
  </r>
  <r>
    <s v="P472023"/>
    <x v="1587"/>
    <n v="6349"/>
    <x v="104"/>
    <x v="2"/>
    <n v="3446"/>
    <s v="1K–5K"/>
    <x v="4"/>
    <n v="4.7929000000000004"/>
    <s v="Yes"/>
    <x v="0"/>
    <n v="198"/>
    <n v="38"/>
    <x v="0"/>
    <n v="0"/>
    <n v="0"/>
  </r>
  <r>
    <s v="P379009"/>
    <x v="1588"/>
    <n v="1741"/>
    <x v="42"/>
    <x v="3"/>
    <n v="3448"/>
    <s v="1K–5K"/>
    <x v="4"/>
    <n v="3.8108"/>
    <s v="Yes"/>
    <x v="1"/>
    <n v="37"/>
    <n v="135"/>
    <x v="2"/>
    <n v="0"/>
    <n v="0"/>
  </r>
  <r>
    <s v="P409920"/>
    <x v="1589"/>
    <n v="1254"/>
    <x v="24"/>
    <x v="2"/>
    <n v="3470"/>
    <s v="1K–5K"/>
    <x v="4"/>
    <n v="3.6429"/>
    <s v="Yes"/>
    <x v="1"/>
    <n v="42"/>
    <n v="32"/>
    <x v="0"/>
    <n v="0"/>
    <n v="0"/>
  </r>
  <r>
    <s v="P504044"/>
    <x v="1590"/>
    <n v="5922"/>
    <x v="31"/>
    <x v="3"/>
    <n v="3498"/>
    <s v="1K–5K"/>
    <x v="4"/>
    <n v="4.7518000000000002"/>
    <s v="Yes"/>
    <x v="0"/>
    <n v="278"/>
    <n v="54"/>
    <x v="2"/>
    <n v="0"/>
    <n v="0"/>
  </r>
  <r>
    <s v="P502046"/>
    <x v="1591"/>
    <n v="3733"/>
    <x v="22"/>
    <x v="3"/>
    <n v="3509"/>
    <s v="1K–5K"/>
    <x v="4"/>
    <n v="4.5965999999999996"/>
    <s v="Yes"/>
    <x v="0"/>
    <n v="119"/>
    <n v="36"/>
    <x v="0"/>
    <n v="0"/>
    <n v="0"/>
  </r>
  <r>
    <s v="P422260"/>
    <x v="1592"/>
    <n v="6218"/>
    <x v="20"/>
    <x v="3"/>
    <n v="3510"/>
    <s v="1K–5K"/>
    <x v="4"/>
    <n v="3.6"/>
    <s v="Yes"/>
    <x v="1"/>
    <n v="15"/>
    <n v="95"/>
    <x v="2"/>
    <n v="0"/>
    <n v="0"/>
  </r>
  <r>
    <s v="P480162"/>
    <x v="1593"/>
    <n v="1073"/>
    <x v="52"/>
    <x v="3"/>
    <n v="3512"/>
    <s v="1K–5K"/>
    <x v="4"/>
    <n v="4.6416000000000004"/>
    <s v="Yes"/>
    <x v="0"/>
    <n v="611"/>
    <n v="60"/>
    <x v="2"/>
    <n v="0"/>
    <n v="0"/>
  </r>
  <r>
    <s v="P480176"/>
    <x v="1594"/>
    <n v="6218"/>
    <x v="20"/>
    <x v="2"/>
    <n v="3514"/>
    <s v="1K–5K"/>
    <x v="4"/>
    <n v="5"/>
    <s v="Yes"/>
    <x v="0"/>
    <n v="3"/>
    <n v="18"/>
    <x v="1"/>
    <n v="0"/>
    <n v="0"/>
  </r>
  <r>
    <s v="P443549"/>
    <x v="1595"/>
    <n v="3733"/>
    <x v="22"/>
    <x v="3"/>
    <n v="3524"/>
    <s v="1K–5K"/>
    <x v="4"/>
    <n v="4.2667000000000002"/>
    <s v="Yes"/>
    <x v="0"/>
    <n v="15"/>
    <n v="71"/>
    <x v="2"/>
    <n v="0"/>
    <n v="0"/>
  </r>
  <r>
    <s v="P469833"/>
    <x v="1596"/>
    <n v="5879"/>
    <x v="115"/>
    <x v="3"/>
    <n v="3526"/>
    <s v="1K–5K"/>
    <x v="4"/>
    <n v="4.7691999999999997"/>
    <s v="Yes"/>
    <x v="0"/>
    <n v="52"/>
    <n v="65"/>
    <x v="2"/>
    <n v="0"/>
    <n v="0"/>
  </r>
  <r>
    <s v="P447790"/>
    <x v="1597"/>
    <n v="6302"/>
    <x v="114"/>
    <x v="1"/>
    <n v="3528"/>
    <s v="1K–5K"/>
    <x v="4"/>
    <n v="3.6326999999999998"/>
    <s v="Yes"/>
    <x v="1"/>
    <n v="49"/>
    <n v="150"/>
    <x v="2"/>
    <n v="0"/>
    <n v="0"/>
  </r>
  <r>
    <s v="P447789"/>
    <x v="1598"/>
    <n v="6302"/>
    <x v="114"/>
    <x v="4"/>
    <n v="3538"/>
    <s v="1K–5K"/>
    <x v="4"/>
    <n v="2.7164000000000001"/>
    <s v="Yes"/>
    <x v="2"/>
    <n v="67"/>
    <n v="150"/>
    <x v="2"/>
    <n v="0"/>
    <n v="0"/>
  </r>
  <r>
    <s v="P503915"/>
    <x v="1599"/>
    <n v="4348"/>
    <x v="11"/>
    <x v="5"/>
    <n v="3539"/>
    <s v="1K–5K"/>
    <x v="4"/>
    <n v="5"/>
    <s v="Yes"/>
    <x v="0"/>
    <n v="1"/>
    <n v="28"/>
    <x v="0"/>
    <n v="1"/>
    <n v="0"/>
  </r>
  <r>
    <s v="P483694"/>
    <x v="1600"/>
    <n v="6307"/>
    <x v="77"/>
    <x v="3"/>
    <n v="3539"/>
    <s v="1K–5K"/>
    <x v="4"/>
    <n v="5"/>
    <s v="Yes"/>
    <x v="0"/>
    <n v="4"/>
    <n v="68"/>
    <x v="2"/>
    <n v="0"/>
    <n v="0"/>
  </r>
  <r>
    <s v="P467650"/>
    <x v="1601"/>
    <n v="3902"/>
    <x v="13"/>
    <x v="6"/>
    <n v="3544"/>
    <s v="1K–5K"/>
    <x v="4"/>
    <n v="3.4839000000000002"/>
    <s v="Yes"/>
    <x v="1"/>
    <n v="31"/>
    <n v="18"/>
    <x v="1"/>
    <n v="0"/>
    <n v="0"/>
  </r>
  <r>
    <s v="P475183"/>
    <x v="1602"/>
    <n v="6373"/>
    <x v="83"/>
    <x v="2"/>
    <n v="3585"/>
    <s v="1K–5K"/>
    <x v="4"/>
    <n v="4.32"/>
    <s v="Yes"/>
    <x v="0"/>
    <n v="50"/>
    <n v="34"/>
    <x v="0"/>
    <n v="0"/>
    <n v="0"/>
  </r>
  <r>
    <s v="P500856"/>
    <x v="1603"/>
    <n v="6209"/>
    <x v="8"/>
    <x v="10"/>
    <n v="3592"/>
    <s v="1K–5K"/>
    <x v="4"/>
    <n v="4.2222"/>
    <s v="Yes"/>
    <x v="0"/>
    <n v="18"/>
    <n v="48"/>
    <x v="0"/>
    <n v="0"/>
    <n v="0"/>
  </r>
  <r>
    <s v="P433974"/>
    <x v="1604"/>
    <n v="8012"/>
    <x v="122"/>
    <x v="1"/>
    <n v="3597"/>
    <s v="1K–5K"/>
    <x v="4"/>
    <n v="4.5758000000000001"/>
    <s v="Yes"/>
    <x v="0"/>
    <n v="99"/>
    <n v="39"/>
    <x v="0"/>
    <n v="0"/>
    <n v="0"/>
  </r>
  <r>
    <s v="P467970"/>
    <x v="1605"/>
    <n v="6114"/>
    <x v="65"/>
    <x v="11"/>
    <n v="3602"/>
    <s v="1K–5K"/>
    <x v="4"/>
    <n v="4.7069000000000001"/>
    <s v="Yes"/>
    <x v="0"/>
    <n v="58"/>
    <n v="179"/>
    <x v="2"/>
    <n v="0"/>
    <n v="0"/>
  </r>
  <r>
    <s v="P442546"/>
    <x v="1606"/>
    <n v="6283"/>
    <x v="55"/>
    <x v="2"/>
    <n v="3612"/>
    <s v="1K–5K"/>
    <x v="4"/>
    <n v="4.5454999999999997"/>
    <s v="Yes"/>
    <x v="0"/>
    <n v="77"/>
    <n v="38"/>
    <x v="0"/>
    <n v="0"/>
    <n v="0"/>
  </r>
  <r>
    <s v="P481833"/>
    <x v="1607"/>
    <n v="6307"/>
    <x v="77"/>
    <x v="3"/>
    <n v="3616"/>
    <s v="1K–5K"/>
    <x v="4"/>
    <n v="4.4766000000000004"/>
    <s v="Yes"/>
    <x v="0"/>
    <n v="342"/>
    <n v="260"/>
    <x v="2"/>
    <n v="0"/>
    <n v="0"/>
  </r>
  <r>
    <s v="P481975"/>
    <x v="1608"/>
    <n v="5668"/>
    <x v="16"/>
    <x v="10"/>
    <n v="3622"/>
    <s v="1K–5K"/>
    <x v="4"/>
    <n v="4.6295999999999999"/>
    <s v="Yes"/>
    <x v="0"/>
    <n v="27"/>
    <n v="92"/>
    <x v="2"/>
    <n v="0"/>
    <n v="0"/>
  </r>
  <r>
    <s v="P503892"/>
    <x v="1609"/>
    <n v="6195"/>
    <x v="27"/>
    <x v="10"/>
    <n v="3629"/>
    <s v="1K–5K"/>
    <x v="4"/>
    <n v="3.6667000000000001"/>
    <s v="Yes"/>
    <x v="1"/>
    <n v="3"/>
    <n v="74"/>
    <x v="2"/>
    <n v="1"/>
    <n v="0"/>
  </r>
  <r>
    <s v="P442267"/>
    <x v="1610"/>
    <n v="7091"/>
    <x v="71"/>
    <x v="6"/>
    <n v="3650"/>
    <s v="1K–5K"/>
    <x v="4"/>
    <n v="4"/>
    <s v="Yes"/>
    <x v="0"/>
    <n v="27"/>
    <n v="48"/>
    <x v="0"/>
    <n v="0"/>
    <n v="0"/>
  </r>
  <r>
    <s v="P504815"/>
    <x v="1611"/>
    <n v="6751"/>
    <x v="47"/>
    <x v="1"/>
    <n v="3669"/>
    <s v="1K–5K"/>
    <x v="4"/>
    <n v="3.7778"/>
    <s v="Yes"/>
    <x v="1"/>
    <n v="9"/>
    <n v="35"/>
    <x v="0"/>
    <n v="1"/>
    <n v="0"/>
  </r>
  <r>
    <s v="P475926"/>
    <x v="1612"/>
    <n v="6302"/>
    <x v="114"/>
    <x v="10"/>
    <n v="3701"/>
    <s v="1K–5K"/>
    <x v="4"/>
    <n v="3.1111"/>
    <s v="Yes"/>
    <x v="1"/>
    <n v="9"/>
    <n v="185"/>
    <x v="2"/>
    <n v="0"/>
    <n v="0"/>
  </r>
  <r>
    <s v="P467755"/>
    <x v="1613"/>
    <n v="2082"/>
    <x v="63"/>
    <x v="2"/>
    <n v="3710"/>
    <s v="1K–5K"/>
    <x v="4"/>
    <n v="3.8462000000000001"/>
    <s v="Yes"/>
    <x v="1"/>
    <n v="13"/>
    <n v="30"/>
    <x v="0"/>
    <n v="0"/>
    <n v="0"/>
  </r>
  <r>
    <s v="P500318"/>
    <x v="1614"/>
    <n v="6335"/>
    <x v="103"/>
    <x v="1"/>
    <n v="3724"/>
    <s v="1K–5K"/>
    <x v="4"/>
    <n v="4.4409000000000001"/>
    <s v="Yes"/>
    <x v="0"/>
    <n v="127"/>
    <n v="58"/>
    <x v="2"/>
    <n v="0"/>
    <n v="0"/>
  </r>
  <r>
    <s v="P481401"/>
    <x v="1615"/>
    <n v="6475"/>
    <x v="113"/>
    <x v="3"/>
    <n v="3733"/>
    <s v="1K–5K"/>
    <x v="4"/>
    <n v="4.4570999999999996"/>
    <s v="Yes"/>
    <x v="0"/>
    <n v="35"/>
    <n v="45"/>
    <x v="0"/>
    <n v="0"/>
    <n v="0"/>
  </r>
  <r>
    <s v="P480604"/>
    <x v="1616"/>
    <n v="5972"/>
    <x v="10"/>
    <x v="10"/>
    <n v="3738"/>
    <s v="1K–5K"/>
    <x v="4"/>
    <n v="4"/>
    <s v="Yes"/>
    <x v="0"/>
    <n v="4"/>
    <n v="30"/>
    <x v="0"/>
    <n v="0"/>
    <n v="0"/>
  </r>
  <r>
    <s v="P500729"/>
    <x v="1617"/>
    <n v="3902"/>
    <x v="13"/>
    <x v="10"/>
    <n v="3742"/>
    <s v="1K–5K"/>
    <x v="4"/>
    <n v="4.3333000000000004"/>
    <s v="Yes"/>
    <x v="0"/>
    <n v="6"/>
    <n v="20"/>
    <x v="0"/>
    <n v="0"/>
    <n v="0"/>
  </r>
  <r>
    <s v="P443376"/>
    <x v="1618"/>
    <n v="5337"/>
    <x v="32"/>
    <x v="3"/>
    <n v="3749"/>
    <s v="1K–5K"/>
    <x v="4"/>
    <n v="3.2726999999999999"/>
    <s v="Yes"/>
    <x v="1"/>
    <n v="22"/>
    <n v="110"/>
    <x v="2"/>
    <n v="0"/>
    <n v="0"/>
  </r>
  <r>
    <s v="P483700"/>
    <x v="1619"/>
    <n v="6488"/>
    <x v="129"/>
    <x v="8"/>
    <n v="3752"/>
    <s v="1K–5K"/>
    <x v="4"/>
    <n v="4.3739999999999997"/>
    <s v="Yes"/>
    <x v="0"/>
    <n v="123"/>
    <n v="42"/>
    <x v="0"/>
    <n v="0"/>
    <n v="0"/>
  </r>
  <r>
    <s v="P482068"/>
    <x v="1620"/>
    <n v="6294"/>
    <x v="101"/>
    <x v="1"/>
    <n v="3758"/>
    <s v="1K–5K"/>
    <x v="4"/>
    <n v="4.7544000000000004"/>
    <s v="Yes"/>
    <x v="0"/>
    <n v="57"/>
    <n v="70"/>
    <x v="2"/>
    <n v="0"/>
    <n v="0"/>
  </r>
  <r>
    <s v="P478021"/>
    <x v="1621"/>
    <n v="8012"/>
    <x v="122"/>
    <x v="1"/>
    <n v="3771"/>
    <s v="1K–5K"/>
    <x v="4"/>
    <n v="4.7656000000000001"/>
    <s v="Yes"/>
    <x v="0"/>
    <n v="64"/>
    <n v="39"/>
    <x v="0"/>
    <n v="0"/>
    <n v="0"/>
  </r>
  <r>
    <s v="P447608"/>
    <x v="1622"/>
    <n v="1741"/>
    <x v="42"/>
    <x v="5"/>
    <n v="3771"/>
    <s v="1K–5K"/>
    <x v="4"/>
    <n v="3.5185"/>
    <s v="Yes"/>
    <x v="1"/>
    <n v="27"/>
    <n v="45"/>
    <x v="0"/>
    <n v="0"/>
    <n v="0"/>
  </r>
  <r>
    <s v="P477761"/>
    <x v="1623"/>
    <n v="6130"/>
    <x v="30"/>
    <x v="9"/>
    <n v="3771"/>
    <s v="1K–5K"/>
    <x v="4"/>
    <n v="4"/>
    <s v="Yes"/>
    <x v="0"/>
    <n v="8"/>
    <n v="55"/>
    <x v="2"/>
    <n v="0"/>
    <n v="0"/>
  </r>
  <r>
    <s v="P479696"/>
    <x v="1624"/>
    <n v="4164"/>
    <x v="54"/>
    <x v="10"/>
    <n v="3779"/>
    <s v="1K–5K"/>
    <x v="4"/>
    <n v="5"/>
    <s v="Yes"/>
    <x v="0"/>
    <n v="2"/>
    <n v="52"/>
    <x v="2"/>
    <n v="0"/>
    <n v="0"/>
  </r>
  <r>
    <s v="P474121"/>
    <x v="1625"/>
    <n v="6358"/>
    <x v="81"/>
    <x v="3"/>
    <n v="3783"/>
    <s v="1K–5K"/>
    <x v="4"/>
    <n v="4.6848000000000001"/>
    <s v="Yes"/>
    <x v="0"/>
    <n v="92"/>
    <n v="82"/>
    <x v="2"/>
    <n v="0"/>
    <n v="0"/>
  </r>
  <r>
    <s v="P504786"/>
    <x v="1626"/>
    <n v="6751"/>
    <x v="47"/>
    <x v="2"/>
    <n v="3786"/>
    <s v="1K–5K"/>
    <x v="4"/>
    <n v="3.7143000000000002"/>
    <s v="Yes"/>
    <x v="1"/>
    <n v="21"/>
    <n v="26"/>
    <x v="0"/>
    <n v="1"/>
    <n v="0"/>
  </r>
  <r>
    <s v="P450210"/>
    <x v="1627"/>
    <n v="4348"/>
    <x v="11"/>
    <x v="1"/>
    <n v="3789"/>
    <s v="1K–5K"/>
    <x v="4"/>
    <n v="3.9714"/>
    <s v="Yes"/>
    <x v="1"/>
    <n v="70"/>
    <n v="28"/>
    <x v="0"/>
    <n v="0"/>
    <n v="0"/>
  </r>
  <r>
    <s v="P482754"/>
    <x v="1628"/>
    <n v="6373"/>
    <x v="83"/>
    <x v="4"/>
    <n v="3802"/>
    <s v="1K–5K"/>
    <x v="4"/>
    <n v="4.3548"/>
    <s v="Yes"/>
    <x v="0"/>
    <n v="62"/>
    <n v="38"/>
    <x v="0"/>
    <n v="0"/>
    <n v="0"/>
  </r>
  <r>
    <s v="P468396"/>
    <x v="1629"/>
    <n v="3733"/>
    <x v="22"/>
    <x v="1"/>
    <n v="3806"/>
    <s v="1K–5K"/>
    <x v="4"/>
    <n v="4.4356"/>
    <s v="Yes"/>
    <x v="0"/>
    <n v="225"/>
    <n v="61"/>
    <x v="2"/>
    <n v="0"/>
    <n v="0"/>
  </r>
  <r>
    <s v="P464244"/>
    <x v="1630"/>
    <n v="6334"/>
    <x v="120"/>
    <x v="2"/>
    <n v="3840"/>
    <s v="1K–5K"/>
    <x v="4"/>
    <n v="4.5980999999999996"/>
    <s v="Yes"/>
    <x v="0"/>
    <n v="107"/>
    <n v="38"/>
    <x v="0"/>
    <n v="0"/>
    <n v="0"/>
  </r>
  <r>
    <s v="P482741"/>
    <x v="1631"/>
    <n v="5337"/>
    <x v="32"/>
    <x v="4"/>
    <n v="3841"/>
    <s v="1K–5K"/>
    <x v="4"/>
    <n v="4.3071999999999999"/>
    <s v="Yes"/>
    <x v="0"/>
    <n v="485"/>
    <n v="38"/>
    <x v="0"/>
    <n v="0"/>
    <n v="0"/>
  </r>
  <r>
    <s v="P483696"/>
    <x v="1632"/>
    <n v="6488"/>
    <x v="129"/>
    <x v="2"/>
    <n v="3860"/>
    <s v="1K–5K"/>
    <x v="4"/>
    <n v="4.6936999999999998"/>
    <s v="Yes"/>
    <x v="0"/>
    <n v="111"/>
    <n v="32"/>
    <x v="0"/>
    <n v="0"/>
    <n v="0"/>
  </r>
  <r>
    <s v="P428103"/>
    <x v="1633"/>
    <n v="6084"/>
    <x v="37"/>
    <x v="3"/>
    <n v="3863"/>
    <s v="1K–5K"/>
    <x v="4"/>
    <n v="4.5454999999999997"/>
    <s v="Yes"/>
    <x v="0"/>
    <n v="11"/>
    <n v="315"/>
    <x v="2"/>
    <n v="0"/>
    <n v="0"/>
  </r>
  <r>
    <s v="P456211"/>
    <x v="1634"/>
    <n v="6309"/>
    <x v="62"/>
    <x v="9"/>
    <n v="3866"/>
    <s v="1K–5K"/>
    <x v="4"/>
    <n v="3.9910000000000001"/>
    <s v="Yes"/>
    <x v="1"/>
    <n v="1110"/>
    <n v="60"/>
    <x v="2"/>
    <n v="0"/>
    <n v="0"/>
  </r>
  <r>
    <s v="P447504"/>
    <x v="1635"/>
    <n v="6018"/>
    <x v="78"/>
    <x v="1"/>
    <n v="3877"/>
    <s v="1K–5K"/>
    <x v="4"/>
    <n v="3.97"/>
    <s v="Yes"/>
    <x v="1"/>
    <n v="100"/>
    <n v="85"/>
    <x v="2"/>
    <n v="0"/>
    <n v="0"/>
  </r>
  <r>
    <s v="P481347"/>
    <x v="1636"/>
    <n v="6341"/>
    <x v="12"/>
    <x v="10"/>
    <n v="3884"/>
    <s v="1K–5K"/>
    <x v="4"/>
    <n v="3.4375"/>
    <s v="Yes"/>
    <x v="1"/>
    <n v="16"/>
    <n v="75"/>
    <x v="2"/>
    <n v="0"/>
    <n v="0"/>
  </r>
  <r>
    <s v="P455919"/>
    <x v="1637"/>
    <n v="5715"/>
    <x v="72"/>
    <x v="3"/>
    <n v="3897"/>
    <s v="1K–5K"/>
    <x v="4"/>
    <n v="4.0517000000000003"/>
    <s v="Yes"/>
    <x v="0"/>
    <n v="58"/>
    <n v="45"/>
    <x v="0"/>
    <n v="0"/>
    <n v="0"/>
  </r>
  <r>
    <s v="P503814"/>
    <x v="1638"/>
    <n v="6219"/>
    <x v="39"/>
    <x v="1"/>
    <n v="3898"/>
    <s v="1K–5K"/>
    <x v="4"/>
    <n v="4.8080999999999996"/>
    <s v="Yes"/>
    <x v="0"/>
    <n v="344"/>
    <n v="92"/>
    <x v="2"/>
    <n v="0"/>
    <n v="0"/>
  </r>
  <r>
    <s v="P472058"/>
    <x v="309"/>
    <n v="3902"/>
    <x v="13"/>
    <x v="9"/>
    <n v="3924"/>
    <s v="1K–5K"/>
    <x v="4"/>
    <n v="4"/>
    <s v="Yes"/>
    <x v="0"/>
    <n v="2"/>
    <n v="35"/>
    <x v="0"/>
    <n v="0"/>
    <n v="0"/>
  </r>
  <r>
    <s v="P451745"/>
    <x v="1639"/>
    <n v="6303"/>
    <x v="127"/>
    <x v="1"/>
    <n v="3924"/>
    <s v="1K–5K"/>
    <x v="4"/>
    <n v="4.125"/>
    <s v="Yes"/>
    <x v="0"/>
    <n v="24"/>
    <n v="46"/>
    <x v="0"/>
    <n v="0"/>
    <n v="0"/>
  </r>
  <r>
    <s v="P480150"/>
    <x v="1640"/>
    <n v="6283"/>
    <x v="55"/>
    <x v="1"/>
    <n v="3928"/>
    <s v="1K–5K"/>
    <x v="4"/>
    <n v="5"/>
    <s v="Yes"/>
    <x v="0"/>
    <n v="16"/>
    <n v="105"/>
    <x v="2"/>
    <n v="0"/>
    <n v="0"/>
  </r>
  <r>
    <s v="P474964"/>
    <x v="1641"/>
    <n v="8017"/>
    <x v="56"/>
    <x v="3"/>
    <n v="3932"/>
    <s v="1K–5K"/>
    <x v="4"/>
    <n v="4.2857000000000003"/>
    <s v="Yes"/>
    <x v="0"/>
    <n v="14"/>
    <n v="9"/>
    <x v="1"/>
    <n v="0"/>
    <n v="0"/>
  </r>
  <r>
    <s v="P480608"/>
    <x v="1642"/>
    <n v="5879"/>
    <x v="115"/>
    <x v="8"/>
    <n v="3935"/>
    <s v="1K–5K"/>
    <x v="4"/>
    <n v="4.4718999999999998"/>
    <s v="Yes"/>
    <x v="0"/>
    <n v="89"/>
    <n v="68"/>
    <x v="2"/>
    <n v="0"/>
    <n v="0"/>
  </r>
  <r>
    <s v="P501236"/>
    <x v="1643"/>
    <n v="1132"/>
    <x v="60"/>
    <x v="1"/>
    <n v="3942"/>
    <s v="1K–5K"/>
    <x v="4"/>
    <n v="4.6196000000000002"/>
    <s v="Yes"/>
    <x v="0"/>
    <n v="418"/>
    <n v="240"/>
    <x v="2"/>
    <n v="0"/>
    <n v="0"/>
  </r>
  <r>
    <s v="P502192"/>
    <x v="1644"/>
    <n v="6289"/>
    <x v="19"/>
    <x v="10"/>
    <n v="3945"/>
    <s v="1K–5K"/>
    <x v="4"/>
    <n v="4"/>
    <s v="Yes"/>
    <x v="0"/>
    <n v="1"/>
    <n v="35"/>
    <x v="0"/>
    <n v="0"/>
    <n v="0"/>
  </r>
  <r>
    <s v="P500002"/>
    <x v="1645"/>
    <n v="6335"/>
    <x v="103"/>
    <x v="10"/>
    <n v="3952"/>
    <s v="1K–5K"/>
    <x v="4"/>
    <n v="4.2782"/>
    <s v="Yes"/>
    <x v="0"/>
    <n v="133"/>
    <n v="64"/>
    <x v="2"/>
    <n v="0"/>
    <n v="0"/>
  </r>
  <r>
    <s v="P504848"/>
    <x v="1646"/>
    <n v="4171"/>
    <x v="23"/>
    <x v="10"/>
    <n v="3970"/>
    <s v="1K–5K"/>
    <x v="4"/>
    <n v="4.25"/>
    <s v="Yes"/>
    <x v="0"/>
    <n v="4"/>
    <n v="84"/>
    <x v="2"/>
    <n v="1"/>
    <n v="0"/>
  </r>
  <r>
    <s v="P455332"/>
    <x v="1647"/>
    <n v="5644"/>
    <x v="26"/>
    <x v="3"/>
    <n v="3974"/>
    <s v="1K–5K"/>
    <x v="4"/>
    <n v="4.3333000000000004"/>
    <s v="Yes"/>
    <x v="0"/>
    <n v="18"/>
    <n v="66"/>
    <x v="2"/>
    <n v="0"/>
    <n v="0"/>
  </r>
  <r>
    <s v="P469111"/>
    <x v="1648"/>
    <n v="5946"/>
    <x v="80"/>
    <x v="8"/>
    <n v="3993"/>
    <s v="1K–5K"/>
    <x v="4"/>
    <n v="4.6353999999999997"/>
    <s v="Yes"/>
    <x v="0"/>
    <n v="96"/>
    <n v="140"/>
    <x v="2"/>
    <n v="0"/>
    <n v="0"/>
  </r>
  <r>
    <s v="P503226"/>
    <x v="1649"/>
    <n v="4348"/>
    <x v="11"/>
    <x v="0"/>
    <n v="3996"/>
    <s v="1K–5K"/>
    <x v="4"/>
    <n v="3.8571"/>
    <s v="Yes"/>
    <x v="1"/>
    <n v="7"/>
    <n v="36"/>
    <x v="0"/>
    <n v="0"/>
    <n v="0"/>
  </r>
  <r>
    <s v="P463951"/>
    <x v="1650"/>
    <n v="5337"/>
    <x v="32"/>
    <x v="7"/>
    <n v="4039"/>
    <s v="1K–5K"/>
    <x v="4"/>
    <n v="3.7143000000000002"/>
    <s v="Yes"/>
    <x v="1"/>
    <n v="7"/>
    <n v="30"/>
    <x v="0"/>
    <n v="0"/>
    <n v="0"/>
  </r>
  <r>
    <s v="P504594"/>
    <x v="1651"/>
    <n v="6367"/>
    <x v="123"/>
    <x v="10"/>
    <n v="4044"/>
    <s v="1K–5K"/>
    <x v="4"/>
    <n v="5"/>
    <s v="Yes"/>
    <x v="0"/>
    <n v="4"/>
    <n v="66"/>
    <x v="2"/>
    <n v="0"/>
    <n v="0"/>
  </r>
  <r>
    <s v="P462747"/>
    <x v="1652"/>
    <n v="7020"/>
    <x v="70"/>
    <x v="7"/>
    <n v="4047"/>
    <s v="1K–5K"/>
    <x v="4"/>
    <n v="3.9476"/>
    <s v="Yes"/>
    <x v="1"/>
    <n v="267"/>
    <n v="46"/>
    <x v="0"/>
    <n v="0"/>
    <n v="0"/>
  </r>
  <r>
    <s v="P438629"/>
    <x v="1653"/>
    <n v="6272"/>
    <x v="46"/>
    <x v="3"/>
    <n v="4050"/>
    <s v="1K–5K"/>
    <x v="4"/>
    <n v="4.1818"/>
    <s v="Yes"/>
    <x v="0"/>
    <n v="11"/>
    <n v="70"/>
    <x v="2"/>
    <n v="0"/>
    <n v="0"/>
  </r>
  <r>
    <s v="P457696"/>
    <x v="1654"/>
    <n v="5946"/>
    <x v="80"/>
    <x v="2"/>
    <n v="4060"/>
    <s v="1K–5K"/>
    <x v="4"/>
    <n v="4.1875"/>
    <s v="Yes"/>
    <x v="0"/>
    <n v="144"/>
    <n v="44"/>
    <x v="0"/>
    <n v="0"/>
    <n v="0"/>
  </r>
  <r>
    <s v="P473723"/>
    <x v="1655"/>
    <n v="6294"/>
    <x v="101"/>
    <x v="3"/>
    <n v="4072"/>
    <s v="1K–5K"/>
    <x v="4"/>
    <n v="4.5395000000000003"/>
    <s v="Yes"/>
    <x v="0"/>
    <n v="76"/>
    <n v="68"/>
    <x v="2"/>
    <n v="0"/>
    <n v="0"/>
  </r>
  <r>
    <s v="P442748"/>
    <x v="1656"/>
    <n v="7020"/>
    <x v="70"/>
    <x v="5"/>
    <n v="4076"/>
    <s v="1K–5K"/>
    <x v="4"/>
    <n v="4.375"/>
    <s v="Yes"/>
    <x v="0"/>
    <n v="32"/>
    <n v="95"/>
    <x v="2"/>
    <n v="0"/>
    <n v="0"/>
  </r>
  <r>
    <s v="P472448"/>
    <x v="1657"/>
    <n v="6272"/>
    <x v="46"/>
    <x v="1"/>
    <n v="4079"/>
    <s v="1K–5K"/>
    <x v="4"/>
    <n v="4.6353999999999997"/>
    <s v="Yes"/>
    <x v="0"/>
    <n v="181"/>
    <n v="69"/>
    <x v="2"/>
    <n v="0"/>
    <n v="0"/>
  </r>
  <r>
    <s v="P468850"/>
    <x v="1658"/>
    <n v="7100"/>
    <x v="128"/>
    <x v="3"/>
    <n v="4096"/>
    <s v="1K–5K"/>
    <x v="4"/>
    <n v="4.7"/>
    <s v="Yes"/>
    <x v="0"/>
    <n v="120"/>
    <n v="85"/>
    <x v="2"/>
    <n v="0"/>
    <n v="0"/>
  </r>
  <r>
    <s v="P472343"/>
    <x v="1659"/>
    <n v="7020"/>
    <x v="70"/>
    <x v="2"/>
    <n v="4114"/>
    <s v="1K–5K"/>
    <x v="4"/>
    <n v="4.5416999999999996"/>
    <s v="Yes"/>
    <x v="0"/>
    <n v="48"/>
    <n v="88"/>
    <x v="2"/>
    <n v="0"/>
    <n v="0"/>
  </r>
  <r>
    <s v="P402992"/>
    <x v="339"/>
    <n v="6001"/>
    <x v="76"/>
    <x v="11"/>
    <n v="4122"/>
    <s v="1K–5K"/>
    <x v="4"/>
    <n v="3.4380999999999999"/>
    <s v="Yes"/>
    <x v="1"/>
    <n v="105"/>
    <n v="429"/>
    <x v="2"/>
    <n v="0"/>
    <n v="1"/>
  </r>
  <r>
    <s v="P503935"/>
    <x v="1660"/>
    <n v="6295"/>
    <x v="28"/>
    <x v="2"/>
    <n v="4123"/>
    <s v="1K–5K"/>
    <x v="4"/>
    <n v="4.4443999999999999"/>
    <s v="Yes"/>
    <x v="0"/>
    <n v="9"/>
    <n v="14"/>
    <x v="1"/>
    <n v="0"/>
    <n v="0"/>
  </r>
  <r>
    <s v="P470506"/>
    <x v="1661"/>
    <n v="6356"/>
    <x v="53"/>
    <x v="2"/>
    <n v="4123"/>
    <s v="1K–5K"/>
    <x v="4"/>
    <n v="4.4825999999999997"/>
    <s v="Yes"/>
    <x v="0"/>
    <n v="661"/>
    <n v="70"/>
    <x v="2"/>
    <n v="0"/>
    <n v="0"/>
  </r>
  <r>
    <s v="P433440"/>
    <x v="1662"/>
    <n v="6225"/>
    <x v="57"/>
    <x v="6"/>
    <n v="4124"/>
    <s v="1K–5K"/>
    <x v="4"/>
    <n v="3.8182"/>
    <s v="Yes"/>
    <x v="1"/>
    <n v="33"/>
    <n v="69"/>
    <x v="2"/>
    <n v="0"/>
    <n v="0"/>
  </r>
  <r>
    <s v="P469806"/>
    <x v="1663"/>
    <n v="1132"/>
    <x v="60"/>
    <x v="8"/>
    <n v="4148"/>
    <s v="1K–5K"/>
    <x v="4"/>
    <n v="3.7332999999999998"/>
    <s v="Yes"/>
    <x v="1"/>
    <n v="15"/>
    <n v="130"/>
    <x v="2"/>
    <n v="0"/>
    <n v="1"/>
  </r>
  <r>
    <s v="P502216"/>
    <x v="1664"/>
    <n v="6314"/>
    <x v="100"/>
    <x v="11"/>
    <n v="4154"/>
    <s v="1K–5K"/>
    <x v="4"/>
    <n v="3.75"/>
    <s v="Yes"/>
    <x v="1"/>
    <n v="4"/>
    <n v="1900"/>
    <x v="2"/>
    <n v="0"/>
    <n v="0"/>
  </r>
  <r>
    <s v="P481341"/>
    <x v="1665"/>
    <n v="5668"/>
    <x v="16"/>
    <x v="3"/>
    <n v="4205"/>
    <s v="1K–5K"/>
    <x v="4"/>
    <n v="4.5609999999999999"/>
    <s v="Yes"/>
    <x v="0"/>
    <n v="82"/>
    <n v="72"/>
    <x v="2"/>
    <n v="0"/>
    <n v="0"/>
  </r>
  <r>
    <s v="P501185"/>
    <x v="1666"/>
    <n v="6294"/>
    <x v="101"/>
    <x v="0"/>
    <n v="4219"/>
    <s v="1K–5K"/>
    <x v="4"/>
    <n v="4.6551999999999998"/>
    <s v="Yes"/>
    <x v="0"/>
    <n v="29"/>
    <n v="28"/>
    <x v="0"/>
    <n v="0"/>
    <n v="0"/>
  </r>
  <r>
    <s v="P476436"/>
    <x v="1667"/>
    <n v="6114"/>
    <x v="65"/>
    <x v="11"/>
    <n v="4221"/>
    <s v="1K–5K"/>
    <x v="4"/>
    <n v="4.8205"/>
    <s v="Yes"/>
    <x v="0"/>
    <n v="39"/>
    <n v="179"/>
    <x v="2"/>
    <n v="0"/>
    <n v="0"/>
  </r>
  <r>
    <s v="P446111"/>
    <x v="1668"/>
    <n v="2082"/>
    <x v="63"/>
    <x v="1"/>
    <n v="4239"/>
    <s v="1K–5K"/>
    <x v="4"/>
    <n v="3.5714000000000001"/>
    <s v="Yes"/>
    <x v="1"/>
    <n v="14"/>
    <n v="90"/>
    <x v="2"/>
    <n v="0"/>
    <n v="0"/>
  </r>
  <r>
    <s v="P483128"/>
    <x v="1669"/>
    <n v="6334"/>
    <x v="120"/>
    <x v="1"/>
    <n v="4241"/>
    <s v="1K–5K"/>
    <x v="4"/>
    <n v="4.3285"/>
    <s v="Yes"/>
    <x v="0"/>
    <n v="137"/>
    <n v="48"/>
    <x v="0"/>
    <n v="0"/>
    <n v="0"/>
  </r>
  <r>
    <s v="P501171"/>
    <x v="1670"/>
    <n v="6371"/>
    <x v="119"/>
    <x v="5"/>
    <n v="4247"/>
    <s v="1K–5K"/>
    <x v="4"/>
    <n v="4.5949999999999998"/>
    <s v="Yes"/>
    <x v="0"/>
    <n v="484"/>
    <n v="38"/>
    <x v="0"/>
    <n v="0"/>
    <n v="1"/>
  </r>
  <r>
    <s v="P502756"/>
    <x v="1671"/>
    <n v="6285"/>
    <x v="21"/>
    <x v="3"/>
    <n v="4253"/>
    <s v="1K–5K"/>
    <x v="4"/>
    <n v="4.1935000000000002"/>
    <s v="Yes"/>
    <x v="0"/>
    <n v="62"/>
    <n v="19.989999999999998"/>
    <x v="1"/>
    <n v="0"/>
    <n v="0"/>
  </r>
  <r>
    <s v="P474830"/>
    <x v="1672"/>
    <n v="7037"/>
    <x v="48"/>
    <x v="11"/>
    <n v="4264"/>
    <s v="1K–5K"/>
    <x v="4"/>
    <n v="3.55"/>
    <s v="Yes"/>
    <x v="1"/>
    <n v="20"/>
    <n v="69"/>
    <x v="2"/>
    <n v="0"/>
    <n v="0"/>
  </r>
  <r>
    <s v="P410657"/>
    <x v="1673"/>
    <n v="2082"/>
    <x v="63"/>
    <x v="5"/>
    <n v="4267"/>
    <s v="1K–5K"/>
    <x v="4"/>
    <n v="4.25"/>
    <s v="Yes"/>
    <x v="0"/>
    <n v="16"/>
    <n v="79"/>
    <x v="2"/>
    <n v="0"/>
    <n v="0"/>
  </r>
  <r>
    <s v="P475188"/>
    <x v="1674"/>
    <n v="6373"/>
    <x v="83"/>
    <x v="1"/>
    <n v="4283"/>
    <s v="1K–5K"/>
    <x v="4"/>
    <n v="4.2104999999999997"/>
    <s v="Yes"/>
    <x v="0"/>
    <n v="76"/>
    <n v="58"/>
    <x v="2"/>
    <n v="0"/>
    <n v="0"/>
  </r>
  <r>
    <s v="P476459"/>
    <x v="1675"/>
    <n v="6375"/>
    <x v="124"/>
    <x v="9"/>
    <n v="4285"/>
    <s v="1K–5K"/>
    <x v="4"/>
    <n v="4.2042000000000002"/>
    <s v="Yes"/>
    <x v="0"/>
    <n v="191"/>
    <n v="30"/>
    <x v="0"/>
    <n v="0"/>
    <n v="0"/>
  </r>
  <r>
    <s v="P440923"/>
    <x v="1676"/>
    <n v="1073"/>
    <x v="52"/>
    <x v="8"/>
    <n v="4285"/>
    <s v="1K–5K"/>
    <x v="4"/>
    <n v="3.4666999999999999"/>
    <s v="Yes"/>
    <x v="1"/>
    <n v="30"/>
    <n v="75"/>
    <x v="2"/>
    <n v="0"/>
    <n v="0"/>
  </r>
  <r>
    <s v="P504064"/>
    <x v="1677"/>
    <n v="6014"/>
    <x v="17"/>
    <x v="5"/>
    <n v="4288"/>
    <s v="1K–5K"/>
    <x v="4"/>
    <n v="4.6323999999999996"/>
    <s v="Yes"/>
    <x v="0"/>
    <n v="340"/>
    <n v="15"/>
    <x v="1"/>
    <n v="1"/>
    <n v="0"/>
  </r>
  <r>
    <s v="P483453"/>
    <x v="1678"/>
    <n v="6476"/>
    <x v="125"/>
    <x v="10"/>
    <n v="4292"/>
    <s v="1K–5K"/>
    <x v="4"/>
    <n v="4.55"/>
    <s v="Yes"/>
    <x v="0"/>
    <n v="180"/>
    <n v="68"/>
    <x v="2"/>
    <n v="0"/>
    <n v="0"/>
  </r>
  <r>
    <s v="P473267"/>
    <x v="1679"/>
    <n v="1254"/>
    <x v="24"/>
    <x v="1"/>
    <n v="4293"/>
    <s v="1K–5K"/>
    <x v="4"/>
    <n v="4.194"/>
    <s v="Yes"/>
    <x v="0"/>
    <n v="1670"/>
    <n v="71"/>
    <x v="2"/>
    <n v="0"/>
    <n v="0"/>
  </r>
  <r>
    <s v="P454090"/>
    <x v="1680"/>
    <n v="6226"/>
    <x v="84"/>
    <x v="3"/>
    <n v="4295"/>
    <s v="1K–5K"/>
    <x v="4"/>
    <n v="3.4666999999999999"/>
    <s v="Yes"/>
    <x v="1"/>
    <n v="75"/>
    <n v="58"/>
    <x v="2"/>
    <n v="0"/>
    <n v="0"/>
  </r>
  <r>
    <s v="P456421"/>
    <x v="1681"/>
    <n v="5715"/>
    <x v="72"/>
    <x v="8"/>
    <n v="4302"/>
    <s v="1K–5K"/>
    <x v="4"/>
    <n v="4.0063000000000004"/>
    <s v="Yes"/>
    <x v="0"/>
    <n v="158"/>
    <n v="61"/>
    <x v="2"/>
    <n v="0"/>
    <n v="0"/>
  </r>
  <r>
    <s v="P470049"/>
    <x v="1682"/>
    <n v="5857"/>
    <x v="51"/>
    <x v="2"/>
    <n v="4303"/>
    <s v="1K–5K"/>
    <x v="4"/>
    <n v="4.5999999999999996"/>
    <s v="Yes"/>
    <x v="0"/>
    <n v="40"/>
    <n v="38"/>
    <x v="0"/>
    <n v="0"/>
    <n v="0"/>
  </r>
  <r>
    <s v="P471029"/>
    <x v="1683"/>
    <n v="6309"/>
    <x v="62"/>
    <x v="3"/>
    <n v="4306"/>
    <s v="1K–5K"/>
    <x v="4"/>
    <n v="4.0637999999999996"/>
    <s v="Yes"/>
    <x v="0"/>
    <n v="815"/>
    <n v="58"/>
    <x v="2"/>
    <n v="0"/>
    <n v="0"/>
  </r>
  <r>
    <s v="P454377"/>
    <x v="1684"/>
    <n v="5648"/>
    <x v="73"/>
    <x v="7"/>
    <n v="4343"/>
    <s v="1K–5K"/>
    <x v="4"/>
    <n v="3.7894999999999999"/>
    <s v="Yes"/>
    <x v="1"/>
    <n v="19"/>
    <n v="12"/>
    <x v="1"/>
    <n v="0"/>
    <n v="0"/>
  </r>
  <r>
    <s v="P421249"/>
    <x v="1685"/>
    <n v="6201"/>
    <x v="44"/>
    <x v="3"/>
    <n v="4347"/>
    <s v="1K–5K"/>
    <x v="4"/>
    <n v="4.2257999999999996"/>
    <s v="Yes"/>
    <x v="0"/>
    <n v="62"/>
    <n v="320"/>
    <x v="2"/>
    <n v="0"/>
    <n v="0"/>
  </r>
  <r>
    <s v="P476860"/>
    <x v="1686"/>
    <n v="6274"/>
    <x v="90"/>
    <x v="9"/>
    <n v="4350"/>
    <s v="1K–5K"/>
    <x v="4"/>
    <n v="4.4737"/>
    <s v="Yes"/>
    <x v="0"/>
    <n v="19"/>
    <n v="77"/>
    <x v="2"/>
    <n v="0"/>
    <n v="0"/>
  </r>
  <r>
    <s v="P423145"/>
    <x v="1687"/>
    <n v="6219"/>
    <x v="39"/>
    <x v="8"/>
    <n v="4351"/>
    <s v="1K–5K"/>
    <x v="4"/>
    <n v="3.7273000000000001"/>
    <s v="Yes"/>
    <x v="1"/>
    <n v="22"/>
    <n v="79"/>
    <x v="2"/>
    <n v="0"/>
    <n v="0"/>
  </r>
  <r>
    <s v="P448715"/>
    <x v="1688"/>
    <n v="6302"/>
    <x v="114"/>
    <x v="2"/>
    <n v="4371"/>
    <s v="1K–5K"/>
    <x v="4"/>
    <n v="4.4828000000000001"/>
    <s v="Yes"/>
    <x v="0"/>
    <n v="29"/>
    <n v="75"/>
    <x v="2"/>
    <n v="0"/>
    <n v="0"/>
  </r>
  <r>
    <s v="P500757"/>
    <x v="1689"/>
    <n v="6209"/>
    <x v="8"/>
    <x v="1"/>
    <n v="4415"/>
    <s v="1K–5K"/>
    <x v="4"/>
    <n v="3.9965000000000002"/>
    <s v="Yes"/>
    <x v="1"/>
    <n v="1128"/>
    <n v="24"/>
    <x v="0"/>
    <n v="0"/>
    <n v="0"/>
  </r>
  <r>
    <s v="P504289"/>
    <x v="1690"/>
    <n v="4348"/>
    <x v="11"/>
    <x v="10"/>
    <n v="4428"/>
    <s v="1K–5K"/>
    <x v="4"/>
    <n v="3.5"/>
    <s v="Yes"/>
    <x v="1"/>
    <n v="2"/>
    <n v="28"/>
    <x v="0"/>
    <n v="1"/>
    <n v="0"/>
  </r>
  <r>
    <s v="P483701"/>
    <x v="1691"/>
    <n v="6488"/>
    <x v="129"/>
    <x v="10"/>
    <n v="4435"/>
    <s v="1K–5K"/>
    <x v="4"/>
    <n v="4.5740999999999996"/>
    <s v="Yes"/>
    <x v="0"/>
    <n v="108"/>
    <n v="50"/>
    <x v="0"/>
    <n v="0"/>
    <n v="0"/>
  </r>
  <r>
    <s v="P503912"/>
    <x v="1692"/>
    <n v="5668"/>
    <x v="16"/>
    <x v="10"/>
    <n v="4442"/>
    <s v="1K–5K"/>
    <x v="4"/>
    <n v="3.4285999999999999"/>
    <s v="Yes"/>
    <x v="1"/>
    <n v="7"/>
    <n v="85"/>
    <x v="2"/>
    <n v="0"/>
    <n v="0"/>
  </r>
  <r>
    <s v="P474078"/>
    <x v="1693"/>
    <n v="3728"/>
    <x v="41"/>
    <x v="7"/>
    <n v="4443"/>
    <s v="1K–5K"/>
    <x v="4"/>
    <n v="4.2767999999999997"/>
    <s v="Yes"/>
    <x v="0"/>
    <n v="625"/>
    <n v="20"/>
    <x v="0"/>
    <n v="0"/>
    <n v="1"/>
  </r>
  <r>
    <s v="P503992"/>
    <x v="1694"/>
    <n v="6749"/>
    <x v="111"/>
    <x v="2"/>
    <n v="4444"/>
    <s v="1K–5K"/>
    <x v="4"/>
    <n v="4.8838999999999997"/>
    <s v="Yes"/>
    <x v="0"/>
    <n v="224"/>
    <n v="58"/>
    <x v="2"/>
    <n v="1"/>
    <n v="0"/>
  </r>
  <r>
    <s v="P504452"/>
    <x v="1695"/>
    <n v="5644"/>
    <x v="26"/>
    <x v="7"/>
    <n v="4452"/>
    <s v="1K–5K"/>
    <x v="4"/>
    <n v="3.4285999999999999"/>
    <s v="Yes"/>
    <x v="1"/>
    <n v="7"/>
    <n v="25"/>
    <x v="0"/>
    <n v="0"/>
    <n v="0"/>
  </r>
  <r>
    <s v="P503944"/>
    <x v="1696"/>
    <n v="6226"/>
    <x v="84"/>
    <x v="1"/>
    <n v="4454"/>
    <s v="1K–5K"/>
    <x v="4"/>
    <n v="3.5"/>
    <s v="Yes"/>
    <x v="1"/>
    <n v="4"/>
    <n v="15"/>
    <x v="1"/>
    <n v="0"/>
    <n v="0"/>
  </r>
  <r>
    <s v="P454771"/>
    <x v="1697"/>
    <n v="6216"/>
    <x v="131"/>
    <x v="2"/>
    <n v="4469"/>
    <s v="1K–5K"/>
    <x v="4"/>
    <n v="4.5349000000000004"/>
    <s v="Yes"/>
    <x v="0"/>
    <n v="86"/>
    <n v="14"/>
    <x v="1"/>
    <n v="0"/>
    <n v="1"/>
  </r>
  <r>
    <s v="P467129"/>
    <x v="1698"/>
    <n v="4164"/>
    <x v="54"/>
    <x v="10"/>
    <n v="4471"/>
    <s v="1K–5K"/>
    <x v="4"/>
    <n v="3.5333000000000001"/>
    <s v="Yes"/>
    <x v="1"/>
    <n v="15"/>
    <n v="36"/>
    <x v="0"/>
    <n v="0"/>
    <n v="0"/>
  </r>
  <r>
    <s v="P483145"/>
    <x v="1699"/>
    <n v="3902"/>
    <x v="13"/>
    <x v="5"/>
    <n v="4478"/>
    <s v="1K–5K"/>
    <x v="4"/>
    <n v="4.5"/>
    <s v="Yes"/>
    <x v="0"/>
    <n v="6"/>
    <n v="16"/>
    <x v="1"/>
    <n v="0"/>
    <n v="0"/>
  </r>
  <r>
    <s v="P501421"/>
    <x v="1700"/>
    <n v="6377"/>
    <x v="88"/>
    <x v="2"/>
    <n v="4482"/>
    <s v="1K–5K"/>
    <x v="4"/>
    <n v="4.6881000000000004"/>
    <s v="Yes"/>
    <x v="0"/>
    <n v="109"/>
    <n v="30"/>
    <x v="0"/>
    <n v="0"/>
    <n v="1"/>
  </r>
  <r>
    <s v="P479701"/>
    <x v="1701"/>
    <n v="5946"/>
    <x v="80"/>
    <x v="1"/>
    <n v="4497"/>
    <s v="1K–5K"/>
    <x v="4"/>
    <n v="4.7011000000000003"/>
    <s v="Yes"/>
    <x v="0"/>
    <n v="87"/>
    <n v="68"/>
    <x v="2"/>
    <n v="0"/>
    <n v="0"/>
  </r>
  <r>
    <s v="P447787"/>
    <x v="1702"/>
    <n v="6302"/>
    <x v="114"/>
    <x v="1"/>
    <n v="4523"/>
    <s v="1K–5K"/>
    <x v="4"/>
    <n v="3.3683999999999998"/>
    <s v="Yes"/>
    <x v="1"/>
    <n v="38"/>
    <n v="370"/>
    <x v="2"/>
    <n v="0"/>
    <n v="0"/>
  </r>
  <r>
    <s v="P447785"/>
    <x v="1703"/>
    <n v="6302"/>
    <x v="114"/>
    <x v="8"/>
    <n v="4529"/>
    <s v="1K–5K"/>
    <x v="4"/>
    <n v="3.8220999999999998"/>
    <s v="Yes"/>
    <x v="1"/>
    <n v="253"/>
    <n v="145"/>
    <x v="2"/>
    <n v="0"/>
    <n v="0"/>
  </r>
  <r>
    <s v="P468149"/>
    <x v="1704"/>
    <n v="7050"/>
    <x v="58"/>
    <x v="9"/>
    <n v="4531"/>
    <s v="1K–5K"/>
    <x v="4"/>
    <n v="4.2055999999999996"/>
    <s v="Yes"/>
    <x v="0"/>
    <n v="107"/>
    <n v="30"/>
    <x v="0"/>
    <n v="0"/>
    <n v="0"/>
  </r>
  <r>
    <s v="P232920"/>
    <x v="1705"/>
    <n v="5946"/>
    <x v="80"/>
    <x v="8"/>
    <n v="4556"/>
    <s v="1K–5K"/>
    <x v="4"/>
    <n v="3.9142999999999999"/>
    <s v="Yes"/>
    <x v="1"/>
    <n v="70"/>
    <n v="140"/>
    <x v="2"/>
    <n v="0"/>
    <n v="0"/>
  </r>
  <r>
    <s v="P449150"/>
    <x v="1706"/>
    <n v="5746"/>
    <x v="132"/>
    <x v="3"/>
    <n v="4568"/>
    <s v="1K–5K"/>
    <x v="4"/>
    <n v="4.5556000000000001"/>
    <s v="Yes"/>
    <x v="0"/>
    <n v="27"/>
    <n v="45"/>
    <x v="0"/>
    <n v="0"/>
    <n v="0"/>
  </r>
  <r>
    <s v="P383308"/>
    <x v="1707"/>
    <n v="5946"/>
    <x v="80"/>
    <x v="8"/>
    <n v="4568"/>
    <s v="1K–5K"/>
    <x v="4"/>
    <n v="3.7450999999999999"/>
    <s v="Yes"/>
    <x v="1"/>
    <n v="51"/>
    <n v="98"/>
    <x v="2"/>
    <n v="0"/>
    <n v="0"/>
  </r>
  <r>
    <s v="P503216"/>
    <x v="1708"/>
    <n v="6368"/>
    <x v="86"/>
    <x v="10"/>
    <n v="4569"/>
    <s v="1K–5K"/>
    <x v="4"/>
    <n v="4.6666999999999996"/>
    <s v="Yes"/>
    <x v="0"/>
    <n v="15"/>
    <n v="39"/>
    <x v="0"/>
    <n v="0"/>
    <n v="0"/>
  </r>
  <r>
    <s v="P482321"/>
    <x v="1709"/>
    <n v="5987"/>
    <x v="9"/>
    <x v="4"/>
    <n v="4572"/>
    <s v="1K–5K"/>
    <x v="4"/>
    <n v="3.9472999999999998"/>
    <s v="Yes"/>
    <x v="1"/>
    <n v="455"/>
    <n v="22"/>
    <x v="0"/>
    <n v="0"/>
    <n v="0"/>
  </r>
  <r>
    <s v="P417107"/>
    <x v="1710"/>
    <n v="6201"/>
    <x v="44"/>
    <x v="3"/>
    <n v="4580"/>
    <s v="1K–5K"/>
    <x v="4"/>
    <n v="4.0704000000000002"/>
    <s v="Yes"/>
    <x v="0"/>
    <n v="71"/>
    <n v="320"/>
    <x v="2"/>
    <n v="0"/>
    <n v="0"/>
  </r>
  <r>
    <s v="P479904"/>
    <x v="1711"/>
    <n v="6117"/>
    <x v="33"/>
    <x v="3"/>
    <n v="4593"/>
    <s v="1K–5K"/>
    <x v="4"/>
    <n v="4.2461000000000002"/>
    <s v="Yes"/>
    <x v="0"/>
    <n v="959"/>
    <n v="15"/>
    <x v="1"/>
    <n v="0"/>
    <n v="0"/>
  </r>
  <r>
    <s v="P456208"/>
    <x v="1712"/>
    <n v="6309"/>
    <x v="62"/>
    <x v="1"/>
    <n v="4597"/>
    <s v="1K–5K"/>
    <x v="4"/>
    <n v="4.2549999999999999"/>
    <s v="Yes"/>
    <x v="0"/>
    <n v="1196"/>
    <n v="125"/>
    <x v="2"/>
    <n v="0"/>
    <n v="0"/>
  </r>
  <r>
    <s v="P467614"/>
    <x v="1713"/>
    <n v="4372"/>
    <x v="97"/>
    <x v="1"/>
    <n v="4599"/>
    <s v="1K–5K"/>
    <x v="4"/>
    <n v="4.6959"/>
    <s v="Yes"/>
    <x v="0"/>
    <n v="148"/>
    <n v="120"/>
    <x v="2"/>
    <n v="0"/>
    <n v="0"/>
  </r>
  <r>
    <s v="P423163"/>
    <x v="1714"/>
    <n v="5337"/>
    <x v="32"/>
    <x v="3"/>
    <n v="4608"/>
    <s v="1K–5K"/>
    <x v="4"/>
    <n v="4.9375"/>
    <s v="Yes"/>
    <x v="0"/>
    <n v="16"/>
    <n v="110"/>
    <x v="2"/>
    <n v="0"/>
    <n v="0"/>
  </r>
  <r>
    <s v="P427513"/>
    <x v="1715"/>
    <n v="6089"/>
    <x v="45"/>
    <x v="1"/>
    <n v="4615"/>
    <s v="1K–5K"/>
    <x v="4"/>
    <n v="4"/>
    <s v="Yes"/>
    <x v="0"/>
    <n v="13"/>
    <n v="86"/>
    <x v="2"/>
    <n v="0"/>
    <n v="0"/>
  </r>
  <r>
    <s v="P422649"/>
    <x v="1716"/>
    <n v="6089"/>
    <x v="45"/>
    <x v="3"/>
    <n v="4621"/>
    <s v="1K–5K"/>
    <x v="4"/>
    <n v="4.1852"/>
    <s v="Yes"/>
    <x v="0"/>
    <n v="27"/>
    <n v="110"/>
    <x v="2"/>
    <n v="0"/>
    <n v="0"/>
  </r>
  <r>
    <s v="P433619"/>
    <x v="1717"/>
    <n v="5337"/>
    <x v="32"/>
    <x v="2"/>
    <n v="4643"/>
    <s v="1K–5K"/>
    <x v="4"/>
    <n v="4.2381000000000002"/>
    <s v="Yes"/>
    <x v="0"/>
    <n v="21"/>
    <n v="36"/>
    <x v="0"/>
    <n v="0"/>
    <n v="0"/>
  </r>
  <r>
    <s v="P428422"/>
    <x v="1718"/>
    <n v="5337"/>
    <x v="32"/>
    <x v="2"/>
    <n v="4649"/>
    <s v="1K–5K"/>
    <x v="4"/>
    <n v="3.9697"/>
    <s v="Yes"/>
    <x v="1"/>
    <n v="33"/>
    <n v="20"/>
    <x v="0"/>
    <n v="0"/>
    <n v="0"/>
  </r>
  <r>
    <s v="P440496"/>
    <x v="1719"/>
    <n v="8017"/>
    <x v="56"/>
    <x v="2"/>
    <n v="4679"/>
    <s v="1K–5K"/>
    <x v="4"/>
    <n v="3.9512"/>
    <s v="Yes"/>
    <x v="1"/>
    <n v="41"/>
    <n v="19"/>
    <x v="1"/>
    <n v="0"/>
    <n v="0"/>
  </r>
  <r>
    <s v="P481837"/>
    <x v="1720"/>
    <n v="6225"/>
    <x v="57"/>
    <x v="6"/>
    <n v="4679"/>
    <s v="1K–5K"/>
    <x v="4"/>
    <n v="4.4443999999999999"/>
    <s v="Yes"/>
    <x v="0"/>
    <n v="18"/>
    <n v="49"/>
    <x v="0"/>
    <n v="0"/>
    <n v="0"/>
  </r>
  <r>
    <s v="P454936"/>
    <x v="1721"/>
    <n v="6302"/>
    <x v="114"/>
    <x v="7"/>
    <n v="4691"/>
    <s v="1K–5K"/>
    <x v="4"/>
    <n v="3.9386000000000001"/>
    <s v="Yes"/>
    <x v="1"/>
    <n v="879"/>
    <n v="110"/>
    <x v="2"/>
    <n v="0"/>
    <n v="0"/>
  </r>
  <r>
    <s v="P480274"/>
    <x v="1722"/>
    <n v="6018"/>
    <x v="78"/>
    <x v="2"/>
    <n v="4693"/>
    <s v="1K–5K"/>
    <x v="4"/>
    <n v="4.7938999999999998"/>
    <s v="Yes"/>
    <x v="0"/>
    <n v="165"/>
    <n v="40"/>
    <x v="0"/>
    <n v="0"/>
    <n v="0"/>
  </r>
  <r>
    <s v="P476681"/>
    <x v="1723"/>
    <n v="6329"/>
    <x v="112"/>
    <x v="11"/>
    <n v="4697"/>
    <s v="1K–5K"/>
    <x v="4"/>
    <n v="4.6757"/>
    <s v="Yes"/>
    <x v="0"/>
    <n v="37"/>
    <n v="95"/>
    <x v="2"/>
    <n v="0"/>
    <n v="1"/>
  </r>
  <r>
    <s v="P500782"/>
    <x v="1724"/>
    <n v="5987"/>
    <x v="9"/>
    <x v="10"/>
    <n v="4707"/>
    <s v="1K–5K"/>
    <x v="4"/>
    <n v="1.8"/>
    <s v="Yes"/>
    <x v="2"/>
    <n v="5"/>
    <n v="29"/>
    <x v="0"/>
    <n v="0"/>
    <n v="0"/>
  </r>
  <r>
    <s v="P483698"/>
    <x v="1725"/>
    <n v="6488"/>
    <x v="129"/>
    <x v="3"/>
    <n v="4721"/>
    <s v="1K–5K"/>
    <x v="4"/>
    <n v="4.5892999999999997"/>
    <s v="Yes"/>
    <x v="0"/>
    <n v="112"/>
    <n v="44"/>
    <x v="0"/>
    <n v="0"/>
    <n v="0"/>
  </r>
  <r>
    <s v="P424987"/>
    <x v="1726"/>
    <n v="6225"/>
    <x v="57"/>
    <x v="6"/>
    <n v="4731"/>
    <s v="1K–5K"/>
    <x v="4"/>
    <n v="3.5"/>
    <s v="Yes"/>
    <x v="1"/>
    <n v="24"/>
    <n v="52"/>
    <x v="2"/>
    <n v="0"/>
    <n v="0"/>
  </r>
  <r>
    <s v="P447781"/>
    <x v="1727"/>
    <n v="6302"/>
    <x v="114"/>
    <x v="3"/>
    <n v="4738"/>
    <s v="1K–5K"/>
    <x v="4"/>
    <n v="4.2407000000000004"/>
    <s v="Yes"/>
    <x v="0"/>
    <n v="810"/>
    <n v="225"/>
    <x v="2"/>
    <n v="0"/>
    <n v="0"/>
  </r>
  <r>
    <s v="P469523"/>
    <x v="1728"/>
    <n v="6341"/>
    <x v="12"/>
    <x v="3"/>
    <n v="4739"/>
    <s v="1K–5K"/>
    <x v="4"/>
    <n v="3.4"/>
    <s v="Yes"/>
    <x v="1"/>
    <n v="25"/>
    <n v="37"/>
    <x v="0"/>
    <n v="0"/>
    <n v="0"/>
  </r>
  <r>
    <s v="P438642"/>
    <x v="1729"/>
    <n v="6272"/>
    <x v="46"/>
    <x v="2"/>
    <n v="4747"/>
    <s v="1K–5K"/>
    <x v="4"/>
    <n v="3.5556000000000001"/>
    <s v="Yes"/>
    <x v="1"/>
    <n v="18"/>
    <n v="39"/>
    <x v="0"/>
    <n v="0"/>
    <n v="0"/>
  </r>
  <r>
    <s v="P481832"/>
    <x v="1730"/>
    <n v="5626"/>
    <x v="64"/>
    <x v="6"/>
    <n v="4749"/>
    <s v="1K–5K"/>
    <x v="4"/>
    <n v="4.3238000000000003"/>
    <s v="Yes"/>
    <x v="0"/>
    <n v="386"/>
    <n v="29"/>
    <x v="0"/>
    <n v="0"/>
    <n v="0"/>
  </r>
  <r>
    <s v="P483078"/>
    <x v="1731"/>
    <n v="7091"/>
    <x v="71"/>
    <x v="4"/>
    <n v="4752"/>
    <s v="1K–5K"/>
    <x v="4"/>
    <n v="3.2856999999999998"/>
    <s v="Yes"/>
    <x v="1"/>
    <n v="7"/>
    <n v="28"/>
    <x v="0"/>
    <n v="0"/>
    <n v="0"/>
  </r>
  <r>
    <s v="P467111"/>
    <x v="1732"/>
    <n v="6219"/>
    <x v="39"/>
    <x v="3"/>
    <n v="4762"/>
    <s v="1K–5K"/>
    <x v="4"/>
    <n v="4.3981000000000003"/>
    <s v="Yes"/>
    <x v="0"/>
    <n v="314"/>
    <n v="86"/>
    <x v="2"/>
    <n v="0"/>
    <n v="0"/>
  </r>
  <r>
    <s v="P476009"/>
    <x v="1733"/>
    <n v="6367"/>
    <x v="123"/>
    <x v="1"/>
    <n v="4769"/>
    <s v="1K–5K"/>
    <x v="4"/>
    <n v="4.6687000000000003"/>
    <s v="Yes"/>
    <x v="0"/>
    <n v="166"/>
    <n v="74"/>
    <x v="2"/>
    <n v="0"/>
    <n v="0"/>
  </r>
  <r>
    <s v="P469451"/>
    <x v="1734"/>
    <n v="1254"/>
    <x v="24"/>
    <x v="2"/>
    <n v="4781"/>
    <s v="1K–5K"/>
    <x v="4"/>
    <n v="4.5651999999999999"/>
    <s v="Yes"/>
    <x v="0"/>
    <n v="23"/>
    <n v="26.5"/>
    <x v="0"/>
    <n v="0"/>
    <n v="0"/>
  </r>
  <r>
    <s v="P482009"/>
    <x v="1735"/>
    <n v="8008"/>
    <x v="18"/>
    <x v="6"/>
    <n v="4790"/>
    <s v="1K–5K"/>
    <x v="4"/>
    <n v="3.4"/>
    <s v="Yes"/>
    <x v="1"/>
    <n v="5"/>
    <n v="10"/>
    <x v="1"/>
    <n v="0"/>
    <n v="0"/>
  </r>
  <r>
    <s v="P444225"/>
    <x v="1736"/>
    <n v="4372"/>
    <x v="97"/>
    <x v="2"/>
    <n v="4790"/>
    <s v="1K–5K"/>
    <x v="4"/>
    <n v="4.2211999999999996"/>
    <s v="Yes"/>
    <x v="0"/>
    <n v="104"/>
    <n v="36"/>
    <x v="0"/>
    <n v="0"/>
    <n v="0"/>
  </r>
  <r>
    <s v="P474080"/>
    <x v="1737"/>
    <n v="3728"/>
    <x v="41"/>
    <x v="5"/>
    <n v="4791"/>
    <s v="1K–5K"/>
    <x v="4"/>
    <n v="4.25"/>
    <s v="Yes"/>
    <x v="0"/>
    <n v="12"/>
    <n v="55"/>
    <x v="2"/>
    <n v="0"/>
    <n v="0"/>
  </r>
  <r>
    <s v="P375354"/>
    <x v="1738"/>
    <n v="1073"/>
    <x v="52"/>
    <x v="3"/>
    <n v="4799"/>
    <s v="1K–5K"/>
    <x v="4"/>
    <n v="4.4545000000000003"/>
    <s v="Yes"/>
    <x v="0"/>
    <n v="44"/>
    <n v="175"/>
    <x v="2"/>
    <n v="0"/>
    <n v="0"/>
  </r>
  <r>
    <s v="P421271"/>
    <x v="1739"/>
    <n v="5946"/>
    <x v="80"/>
    <x v="8"/>
    <n v="4822"/>
    <s v="1K–5K"/>
    <x v="4"/>
    <n v="3.0667"/>
    <s v="Yes"/>
    <x v="1"/>
    <n v="90"/>
    <n v="76"/>
    <x v="2"/>
    <n v="0"/>
    <n v="0"/>
  </r>
  <r>
    <s v="P469831"/>
    <x v="1740"/>
    <n v="5879"/>
    <x v="115"/>
    <x v="8"/>
    <n v="4836"/>
    <s v="1K–5K"/>
    <x v="4"/>
    <n v="4.5303000000000004"/>
    <s v="Yes"/>
    <x v="0"/>
    <n v="66"/>
    <n v="82"/>
    <x v="2"/>
    <n v="0"/>
    <n v="0"/>
  </r>
  <r>
    <s v="P454029"/>
    <x v="1741"/>
    <n v="1741"/>
    <x v="42"/>
    <x v="5"/>
    <n v="4838"/>
    <s v="1K–5K"/>
    <x v="4"/>
    <n v="4.7222"/>
    <s v="Yes"/>
    <x v="0"/>
    <n v="18"/>
    <n v="68"/>
    <x v="2"/>
    <n v="0"/>
    <n v="0"/>
  </r>
  <r>
    <s v="P471000"/>
    <x v="1742"/>
    <n v="6018"/>
    <x v="78"/>
    <x v="3"/>
    <n v="4845"/>
    <s v="1K–5K"/>
    <x v="4"/>
    <n v="4.6981999999999999"/>
    <s v="Yes"/>
    <x v="0"/>
    <n v="169"/>
    <n v="65"/>
    <x v="2"/>
    <n v="0"/>
    <n v="0"/>
  </r>
  <r>
    <s v="P472810"/>
    <x v="1743"/>
    <n v="6219"/>
    <x v="39"/>
    <x v="1"/>
    <n v="4851"/>
    <s v="1K–5K"/>
    <x v="4"/>
    <n v="4.7824999999999998"/>
    <s v="Yes"/>
    <x v="0"/>
    <n v="354"/>
    <n v="145"/>
    <x v="2"/>
    <n v="0"/>
    <n v="0"/>
  </r>
  <r>
    <s v="P457279"/>
    <x v="1744"/>
    <n v="5648"/>
    <x v="73"/>
    <x v="7"/>
    <n v="4857"/>
    <s v="1K–5K"/>
    <x v="4"/>
    <n v="4.6666999999999996"/>
    <s v="Yes"/>
    <x v="0"/>
    <n v="3"/>
    <n v="14"/>
    <x v="1"/>
    <n v="0"/>
    <n v="0"/>
  </r>
  <r>
    <s v="P503997"/>
    <x v="1745"/>
    <n v="8001"/>
    <x v="4"/>
    <x v="10"/>
    <n v="4870"/>
    <s v="1K–5K"/>
    <x v="4"/>
    <n v="4.7778"/>
    <s v="Yes"/>
    <x v="0"/>
    <n v="9"/>
    <n v="46"/>
    <x v="0"/>
    <n v="0"/>
    <n v="0"/>
  </r>
  <r>
    <s v="P474068"/>
    <x v="1746"/>
    <n v="6207"/>
    <x v="50"/>
    <x v="3"/>
    <n v="4877"/>
    <s v="1K–5K"/>
    <x v="4"/>
    <n v="4.5026999999999999"/>
    <s v="Yes"/>
    <x v="0"/>
    <n v="183"/>
    <n v="44"/>
    <x v="0"/>
    <n v="0"/>
    <n v="0"/>
  </r>
  <r>
    <s v="P436343"/>
    <x v="1747"/>
    <n v="7037"/>
    <x v="48"/>
    <x v="5"/>
    <n v="4878"/>
    <s v="1K–5K"/>
    <x v="4"/>
    <n v="3.8182"/>
    <s v="Yes"/>
    <x v="1"/>
    <n v="11"/>
    <n v="20"/>
    <x v="0"/>
    <n v="0"/>
    <n v="1"/>
  </r>
  <r>
    <s v="P504240"/>
    <x v="1748"/>
    <n v="6352"/>
    <x v="35"/>
    <x v="3"/>
    <n v="4881"/>
    <s v="1K–5K"/>
    <x v="4"/>
    <n v="4.1988000000000003"/>
    <s v="Yes"/>
    <x v="0"/>
    <n v="166"/>
    <n v="26"/>
    <x v="0"/>
    <n v="1"/>
    <n v="0"/>
  </r>
  <r>
    <s v="P472342"/>
    <x v="1749"/>
    <n v="7020"/>
    <x v="70"/>
    <x v="5"/>
    <n v="4881"/>
    <s v="1K–5K"/>
    <x v="4"/>
    <n v="4.75"/>
    <s v="Yes"/>
    <x v="0"/>
    <n v="4"/>
    <n v="68"/>
    <x v="2"/>
    <n v="0"/>
    <n v="0"/>
  </r>
  <r>
    <s v="P410755"/>
    <x v="1750"/>
    <n v="6084"/>
    <x v="37"/>
    <x v="3"/>
    <n v="4899"/>
    <s v="1K–5K"/>
    <x v="4"/>
    <n v="4.1345999999999998"/>
    <s v="Yes"/>
    <x v="0"/>
    <n v="104"/>
    <n v="225"/>
    <x v="2"/>
    <n v="0"/>
    <n v="0"/>
  </r>
  <r>
    <s v="P481336"/>
    <x v="1751"/>
    <n v="6475"/>
    <x v="113"/>
    <x v="5"/>
    <n v="4918"/>
    <s v="1K–5K"/>
    <x v="4"/>
    <n v="4.6298000000000004"/>
    <s v="Yes"/>
    <x v="0"/>
    <n v="181"/>
    <n v="75"/>
    <x v="2"/>
    <n v="0"/>
    <n v="0"/>
  </r>
  <r>
    <s v="P456997"/>
    <x v="1752"/>
    <n v="6302"/>
    <x v="114"/>
    <x v="1"/>
    <n v="4921"/>
    <s v="1K–5K"/>
    <x v="4"/>
    <n v="4.7020999999999997"/>
    <s v="Yes"/>
    <x v="0"/>
    <n v="47"/>
    <n v="310"/>
    <x v="2"/>
    <n v="0"/>
    <n v="0"/>
  </r>
  <r>
    <s v="P438638"/>
    <x v="1753"/>
    <n v="6272"/>
    <x v="46"/>
    <x v="11"/>
    <n v="4925"/>
    <s v="1K–5K"/>
    <x v="4"/>
    <n v="2.5"/>
    <s v="Yes"/>
    <x v="2"/>
    <n v="8"/>
    <n v="39"/>
    <x v="0"/>
    <n v="0"/>
    <n v="0"/>
  </r>
  <r>
    <s v="P440493"/>
    <x v="1754"/>
    <n v="8017"/>
    <x v="56"/>
    <x v="3"/>
    <n v="4935"/>
    <s v="1K–5K"/>
    <x v="4"/>
    <n v="3.6452"/>
    <s v="Yes"/>
    <x v="1"/>
    <n v="31"/>
    <n v="28"/>
    <x v="0"/>
    <n v="0"/>
    <n v="0"/>
  </r>
  <r>
    <s v="P389097"/>
    <x v="1755"/>
    <n v="7050"/>
    <x v="58"/>
    <x v="9"/>
    <n v="4938"/>
    <s v="1K–5K"/>
    <x v="4"/>
    <n v="3.7778"/>
    <s v="Yes"/>
    <x v="1"/>
    <n v="18"/>
    <n v="60"/>
    <x v="2"/>
    <n v="0"/>
    <n v="0"/>
  </r>
  <r>
    <s v="P474122"/>
    <x v="1756"/>
    <n v="6358"/>
    <x v="81"/>
    <x v="3"/>
    <n v="4940"/>
    <s v="1K–5K"/>
    <x v="4"/>
    <n v="4.7812999999999999"/>
    <s v="Yes"/>
    <x v="0"/>
    <n v="64"/>
    <n v="119"/>
    <x v="2"/>
    <n v="0"/>
    <n v="0"/>
  </r>
  <r>
    <s v="P383182"/>
    <x v="1757"/>
    <n v="6001"/>
    <x v="76"/>
    <x v="11"/>
    <n v="4948"/>
    <s v="1K–5K"/>
    <x v="4"/>
    <n v="2.7143000000000002"/>
    <s v="Yes"/>
    <x v="2"/>
    <n v="14"/>
    <n v="159"/>
    <x v="2"/>
    <n v="0"/>
    <n v="0"/>
  </r>
  <r>
    <s v="P469118"/>
    <x v="1758"/>
    <n v="6219"/>
    <x v="39"/>
    <x v="5"/>
    <n v="4950"/>
    <s v="1K–5K"/>
    <x v="4"/>
    <n v="4.6879"/>
    <s v="Yes"/>
    <x v="0"/>
    <n v="298"/>
    <n v="69"/>
    <x v="2"/>
    <n v="0"/>
    <n v="0"/>
  </r>
  <r>
    <s v="P463791"/>
    <x v="1759"/>
    <n v="6272"/>
    <x v="46"/>
    <x v="11"/>
    <n v="4954"/>
    <s v="1K–5K"/>
    <x v="4"/>
    <n v="4.2727000000000004"/>
    <s v="Yes"/>
    <x v="0"/>
    <n v="11"/>
    <n v="59"/>
    <x v="2"/>
    <n v="0"/>
    <n v="0"/>
  </r>
  <r>
    <s v="P479839"/>
    <x v="1760"/>
    <n v="6089"/>
    <x v="45"/>
    <x v="3"/>
    <n v="4961"/>
    <s v="1K–5K"/>
    <x v="4"/>
    <n v="4.3201999999999998"/>
    <s v="Yes"/>
    <x v="0"/>
    <n v="2783"/>
    <n v="98"/>
    <x v="2"/>
    <n v="0"/>
    <n v="0"/>
  </r>
  <r>
    <s v="P468671"/>
    <x v="1761"/>
    <n v="6295"/>
    <x v="28"/>
    <x v="2"/>
    <n v="4981"/>
    <s v="1K–5K"/>
    <x v="4"/>
    <n v="4.2161999999999997"/>
    <s v="Yes"/>
    <x v="0"/>
    <n v="37"/>
    <n v="12"/>
    <x v="1"/>
    <n v="0"/>
    <n v="0"/>
  </r>
  <r>
    <s v="P438640"/>
    <x v="1762"/>
    <n v="6272"/>
    <x v="46"/>
    <x v="1"/>
    <n v="5003"/>
    <s v="5K–10K"/>
    <x v="5"/>
    <n v="3.7"/>
    <s v="Yes"/>
    <x v="1"/>
    <n v="10"/>
    <n v="95"/>
    <x v="2"/>
    <n v="0"/>
    <n v="0"/>
  </r>
  <r>
    <s v="P501574"/>
    <x v="1763"/>
    <n v="6352"/>
    <x v="35"/>
    <x v="10"/>
    <n v="5017"/>
    <s v="5K–10K"/>
    <x v="5"/>
    <m/>
    <s v="No"/>
    <x v="3"/>
    <n v="0"/>
    <n v="45"/>
    <x v="0"/>
    <n v="0"/>
    <n v="0"/>
  </r>
  <r>
    <s v="P504441"/>
    <x v="1764"/>
    <n v="3902"/>
    <x v="13"/>
    <x v="5"/>
    <n v="5029"/>
    <s v="5K–10K"/>
    <x v="5"/>
    <n v="4.0909000000000004"/>
    <s v="Yes"/>
    <x v="0"/>
    <n v="11"/>
    <n v="8"/>
    <x v="1"/>
    <n v="1"/>
    <n v="0"/>
  </r>
  <r>
    <s v="P481334"/>
    <x v="1765"/>
    <n v="6117"/>
    <x v="33"/>
    <x v="5"/>
    <n v="5029"/>
    <s v="5K–10K"/>
    <x v="5"/>
    <n v="3.4167000000000001"/>
    <s v="Yes"/>
    <x v="1"/>
    <n v="12"/>
    <n v="54"/>
    <x v="2"/>
    <n v="0"/>
    <n v="0"/>
  </r>
  <r>
    <s v="P454376"/>
    <x v="1766"/>
    <n v="5648"/>
    <x v="73"/>
    <x v="2"/>
    <n v="5032"/>
    <s v="5K–10K"/>
    <x v="5"/>
    <n v="3.8982999999999999"/>
    <s v="Yes"/>
    <x v="1"/>
    <n v="59"/>
    <n v="12"/>
    <x v="1"/>
    <n v="0"/>
    <n v="0"/>
  </r>
  <r>
    <s v="P480300"/>
    <x v="1767"/>
    <n v="6329"/>
    <x v="112"/>
    <x v="10"/>
    <n v="5049"/>
    <s v="5K–10K"/>
    <x v="5"/>
    <n v="4.5404999999999998"/>
    <s v="Yes"/>
    <x v="0"/>
    <n v="37"/>
    <n v="275"/>
    <x v="2"/>
    <n v="0"/>
    <n v="0"/>
  </r>
  <r>
    <s v="P449541"/>
    <x v="1768"/>
    <n v="6218"/>
    <x v="20"/>
    <x v="3"/>
    <n v="5068"/>
    <s v="5K–10K"/>
    <x v="5"/>
    <n v="4.3300999999999998"/>
    <s v="Yes"/>
    <x v="0"/>
    <n v="206"/>
    <n v="75"/>
    <x v="2"/>
    <n v="0"/>
    <n v="0"/>
  </r>
  <r>
    <s v="P502710"/>
    <x v="1769"/>
    <n v="6285"/>
    <x v="21"/>
    <x v="1"/>
    <n v="5072"/>
    <s v="5K–10K"/>
    <x v="5"/>
    <n v="3.8971"/>
    <s v="Yes"/>
    <x v="1"/>
    <n v="68"/>
    <n v="17.989999999999998"/>
    <x v="1"/>
    <n v="0"/>
    <n v="0"/>
  </r>
  <r>
    <s v="P474118"/>
    <x v="1770"/>
    <n v="6358"/>
    <x v="81"/>
    <x v="8"/>
    <n v="5072"/>
    <s v="5K–10K"/>
    <x v="5"/>
    <n v="4.4249999999999998"/>
    <s v="Yes"/>
    <x v="0"/>
    <n v="40"/>
    <n v="72"/>
    <x v="2"/>
    <n v="0"/>
    <n v="0"/>
  </r>
  <r>
    <s v="P476679"/>
    <x v="1771"/>
    <n v="6329"/>
    <x v="112"/>
    <x v="11"/>
    <n v="5082"/>
    <s v="5K–10K"/>
    <x v="5"/>
    <n v="4.8795000000000002"/>
    <s v="Yes"/>
    <x v="0"/>
    <n v="83"/>
    <n v="65"/>
    <x v="2"/>
    <n v="0"/>
    <n v="0"/>
  </r>
  <r>
    <s v="P406941"/>
    <x v="1772"/>
    <n v="2082"/>
    <x v="63"/>
    <x v="3"/>
    <n v="5083"/>
    <s v="5K–10K"/>
    <x v="5"/>
    <n v="3.7467000000000001"/>
    <s v="Yes"/>
    <x v="1"/>
    <n v="75"/>
    <n v="59"/>
    <x v="2"/>
    <n v="0"/>
    <n v="0"/>
  </r>
  <r>
    <s v="P392472"/>
    <x v="1773"/>
    <n v="1254"/>
    <x v="24"/>
    <x v="2"/>
    <n v="5092"/>
    <s v="5K–10K"/>
    <x v="5"/>
    <n v="4.0254000000000003"/>
    <s v="Yes"/>
    <x v="0"/>
    <n v="118"/>
    <n v="23.5"/>
    <x v="0"/>
    <n v="0"/>
    <n v="0"/>
  </r>
  <r>
    <s v="P504615"/>
    <x v="1774"/>
    <n v="6041"/>
    <x v="6"/>
    <x v="7"/>
    <n v="5097"/>
    <s v="5K–10K"/>
    <x v="5"/>
    <n v="4.1478000000000002"/>
    <s v="Yes"/>
    <x v="0"/>
    <n v="2361"/>
    <n v="18"/>
    <x v="1"/>
    <n v="1"/>
    <n v="0"/>
  </r>
  <r>
    <s v="P423164"/>
    <x v="1775"/>
    <n v="5337"/>
    <x v="32"/>
    <x v="2"/>
    <n v="5098"/>
    <s v="5K–10K"/>
    <x v="5"/>
    <n v="4.3042999999999996"/>
    <s v="Yes"/>
    <x v="0"/>
    <n v="23"/>
    <n v="65"/>
    <x v="2"/>
    <n v="0"/>
    <n v="0"/>
  </r>
  <r>
    <s v="P475159"/>
    <x v="1776"/>
    <n v="5857"/>
    <x v="51"/>
    <x v="1"/>
    <n v="5110"/>
    <s v="5K–10K"/>
    <x v="5"/>
    <n v="4.3985000000000003"/>
    <s v="Yes"/>
    <x v="0"/>
    <n v="271"/>
    <n v="60"/>
    <x v="2"/>
    <n v="0"/>
    <n v="0"/>
  </r>
  <r>
    <s v="P442263"/>
    <x v="1777"/>
    <n v="4372"/>
    <x v="97"/>
    <x v="0"/>
    <n v="5114"/>
    <s v="5K–10K"/>
    <x v="5"/>
    <n v="2.8946999999999998"/>
    <s v="Yes"/>
    <x v="2"/>
    <n v="38"/>
    <n v="39"/>
    <x v="0"/>
    <n v="0"/>
    <n v="0"/>
  </r>
  <r>
    <s v="P470545"/>
    <x v="1778"/>
    <n v="6225"/>
    <x v="57"/>
    <x v="6"/>
    <n v="5117"/>
    <s v="5K–10K"/>
    <x v="5"/>
    <n v="4.4286000000000003"/>
    <s v="Yes"/>
    <x v="0"/>
    <n v="21"/>
    <n v="49"/>
    <x v="0"/>
    <n v="0"/>
    <n v="0"/>
  </r>
  <r>
    <s v="P449164"/>
    <x v="1779"/>
    <n v="6018"/>
    <x v="78"/>
    <x v="3"/>
    <n v="5118"/>
    <s v="5K–10K"/>
    <x v="5"/>
    <n v="3.8889"/>
    <s v="Yes"/>
    <x v="1"/>
    <n v="18"/>
    <n v="84"/>
    <x v="2"/>
    <n v="0"/>
    <n v="0"/>
  </r>
  <r>
    <s v="P448710"/>
    <x v="1780"/>
    <n v="4372"/>
    <x v="97"/>
    <x v="2"/>
    <n v="5136"/>
    <s v="5K–10K"/>
    <x v="5"/>
    <n v="4.2537000000000003"/>
    <s v="Yes"/>
    <x v="0"/>
    <n v="67"/>
    <n v="38"/>
    <x v="0"/>
    <n v="0"/>
    <n v="0"/>
  </r>
  <r>
    <s v="P457520"/>
    <x v="1781"/>
    <n v="3728"/>
    <x v="41"/>
    <x v="3"/>
    <n v="5148"/>
    <s v="5K–10K"/>
    <x v="5"/>
    <n v="3.3871000000000002"/>
    <s v="Yes"/>
    <x v="1"/>
    <n v="31"/>
    <n v="88"/>
    <x v="2"/>
    <n v="0"/>
    <n v="0"/>
  </r>
  <r>
    <s v="P451727"/>
    <x v="1782"/>
    <n v="6236"/>
    <x v="38"/>
    <x v="3"/>
    <n v="5165"/>
    <s v="5K–10K"/>
    <x v="5"/>
    <n v="2.875"/>
    <s v="Yes"/>
    <x v="2"/>
    <n v="8"/>
    <n v="45"/>
    <x v="0"/>
    <n v="0"/>
    <n v="0"/>
  </r>
  <r>
    <s v="P404168"/>
    <x v="1783"/>
    <n v="6018"/>
    <x v="78"/>
    <x v="3"/>
    <n v="5169"/>
    <s v="5K–10K"/>
    <x v="5"/>
    <n v="4.1818"/>
    <s v="Yes"/>
    <x v="0"/>
    <n v="77"/>
    <n v="85"/>
    <x v="2"/>
    <n v="0"/>
    <n v="0"/>
  </r>
  <r>
    <s v="P500614"/>
    <x v="1784"/>
    <n v="6368"/>
    <x v="86"/>
    <x v="2"/>
    <n v="5176"/>
    <s v="5K–10K"/>
    <x v="5"/>
    <n v="4.7009999999999996"/>
    <s v="Yes"/>
    <x v="0"/>
    <n v="97"/>
    <n v="28"/>
    <x v="0"/>
    <n v="0"/>
    <n v="0"/>
  </r>
  <r>
    <s v="P481162"/>
    <x v="1785"/>
    <n v="5337"/>
    <x v="32"/>
    <x v="3"/>
    <n v="5184"/>
    <s v="5K–10K"/>
    <x v="5"/>
    <n v="4.5465"/>
    <s v="Yes"/>
    <x v="0"/>
    <n v="452"/>
    <n v="50"/>
    <x v="0"/>
    <n v="0"/>
    <n v="0"/>
  </r>
  <r>
    <s v="P479706"/>
    <x v="1786"/>
    <n v="3728"/>
    <x v="41"/>
    <x v="1"/>
    <n v="5185"/>
    <s v="5K–10K"/>
    <x v="5"/>
    <n v="4.5803000000000003"/>
    <s v="Yes"/>
    <x v="0"/>
    <n v="467"/>
    <n v="65"/>
    <x v="2"/>
    <n v="0"/>
    <n v="0"/>
  </r>
  <r>
    <s v="P453824"/>
    <x v="1787"/>
    <n v="3728"/>
    <x v="41"/>
    <x v="3"/>
    <n v="5199"/>
    <s v="5K–10K"/>
    <x v="5"/>
    <n v="4.4112"/>
    <s v="Yes"/>
    <x v="0"/>
    <n v="676"/>
    <n v="75"/>
    <x v="2"/>
    <n v="0"/>
    <n v="0"/>
  </r>
  <r>
    <s v="P482024"/>
    <x v="1788"/>
    <n v="6201"/>
    <x v="44"/>
    <x v="3"/>
    <n v="5212"/>
    <s v="5K–10K"/>
    <x v="5"/>
    <n v="4.6439000000000004"/>
    <s v="Yes"/>
    <x v="0"/>
    <n v="424"/>
    <n v="125"/>
    <x v="2"/>
    <n v="0"/>
    <n v="0"/>
  </r>
  <r>
    <s v="P467106"/>
    <x v="1789"/>
    <n v="6272"/>
    <x v="46"/>
    <x v="11"/>
    <n v="5219"/>
    <s v="5K–10K"/>
    <x v="5"/>
    <n v="4.4762000000000004"/>
    <s v="Yes"/>
    <x v="0"/>
    <n v="21"/>
    <n v="85"/>
    <x v="2"/>
    <n v="0"/>
    <n v="0"/>
  </r>
  <r>
    <s v="P482259"/>
    <x v="1790"/>
    <n v="7091"/>
    <x v="71"/>
    <x v="4"/>
    <n v="5254"/>
    <s v="5K–10K"/>
    <x v="5"/>
    <n v="4.5556000000000001"/>
    <s v="Yes"/>
    <x v="0"/>
    <n v="9"/>
    <n v="48"/>
    <x v="0"/>
    <n v="0"/>
    <n v="0"/>
  </r>
  <r>
    <s v="P422253"/>
    <x v="1791"/>
    <n v="6218"/>
    <x v="20"/>
    <x v="2"/>
    <n v="5263"/>
    <s v="5K–10K"/>
    <x v="5"/>
    <n v="3.5758000000000001"/>
    <s v="Yes"/>
    <x v="1"/>
    <n v="33"/>
    <n v="25"/>
    <x v="0"/>
    <n v="0"/>
    <n v="0"/>
  </r>
  <r>
    <s v="P500412"/>
    <x v="1792"/>
    <n v="6331"/>
    <x v="133"/>
    <x v="6"/>
    <n v="5266"/>
    <s v="5K–10K"/>
    <x v="5"/>
    <n v="4.8213999999999997"/>
    <s v="Yes"/>
    <x v="0"/>
    <n v="28"/>
    <n v="25"/>
    <x v="0"/>
    <n v="0"/>
    <n v="0"/>
  </r>
  <r>
    <s v="P431418"/>
    <x v="1793"/>
    <n v="8008"/>
    <x v="18"/>
    <x v="6"/>
    <n v="5272"/>
    <s v="5K–10K"/>
    <x v="5"/>
    <n v="3.5"/>
    <s v="Yes"/>
    <x v="1"/>
    <n v="24"/>
    <n v="24"/>
    <x v="0"/>
    <n v="0"/>
    <n v="0"/>
  </r>
  <r>
    <s v="P422428"/>
    <x v="1794"/>
    <n v="1741"/>
    <x v="42"/>
    <x v="3"/>
    <n v="5273"/>
    <s v="5K–10K"/>
    <x v="5"/>
    <n v="4.2691999999999997"/>
    <s v="Yes"/>
    <x v="0"/>
    <n v="78"/>
    <n v="57"/>
    <x v="2"/>
    <n v="0"/>
    <n v="0"/>
  </r>
  <r>
    <s v="P502326"/>
    <x v="1795"/>
    <n v="6219"/>
    <x v="39"/>
    <x v="4"/>
    <n v="5274"/>
    <s v="5K–10K"/>
    <x v="5"/>
    <n v="4.8189000000000002"/>
    <s v="Yes"/>
    <x v="0"/>
    <n v="265"/>
    <n v="79"/>
    <x v="2"/>
    <n v="0"/>
    <n v="0"/>
  </r>
  <r>
    <s v="P440317"/>
    <x v="1796"/>
    <n v="3728"/>
    <x v="41"/>
    <x v="3"/>
    <n v="5285"/>
    <s v="5K–10K"/>
    <x v="5"/>
    <n v="3.6238999999999999"/>
    <s v="Yes"/>
    <x v="1"/>
    <n v="109"/>
    <n v="72"/>
    <x v="2"/>
    <n v="0"/>
    <n v="1"/>
  </r>
  <r>
    <s v="P444990"/>
    <x v="1797"/>
    <n v="8008"/>
    <x v="18"/>
    <x v="6"/>
    <n v="5294"/>
    <s v="5K–10K"/>
    <x v="5"/>
    <n v="2.3845999999999998"/>
    <s v="Yes"/>
    <x v="2"/>
    <n v="26"/>
    <n v="22"/>
    <x v="0"/>
    <n v="0"/>
    <n v="0"/>
  </r>
  <r>
    <s v="P480174"/>
    <x v="1798"/>
    <n v="6117"/>
    <x v="33"/>
    <x v="10"/>
    <n v="5295"/>
    <s v="5K–10K"/>
    <x v="5"/>
    <n v="4.5"/>
    <s v="Yes"/>
    <x v="0"/>
    <n v="6"/>
    <n v="32"/>
    <x v="0"/>
    <n v="0"/>
    <n v="0"/>
  </r>
  <r>
    <s v="P438648"/>
    <x v="1799"/>
    <n v="6272"/>
    <x v="46"/>
    <x v="3"/>
    <n v="5300"/>
    <s v="5K–10K"/>
    <x v="5"/>
    <n v="3.8462000000000001"/>
    <s v="Yes"/>
    <x v="1"/>
    <n v="39"/>
    <n v="129"/>
    <x v="2"/>
    <n v="0"/>
    <n v="0"/>
  </r>
  <r>
    <s v="P479478"/>
    <x v="1800"/>
    <n v="3902"/>
    <x v="13"/>
    <x v="9"/>
    <n v="5302"/>
    <s v="5K–10K"/>
    <x v="5"/>
    <n v="4.8571"/>
    <s v="Yes"/>
    <x v="0"/>
    <n v="7"/>
    <n v="28"/>
    <x v="0"/>
    <n v="0"/>
    <n v="0"/>
  </r>
  <r>
    <s v="P504790"/>
    <x v="1801"/>
    <n v="6751"/>
    <x v="47"/>
    <x v="2"/>
    <n v="5305"/>
    <s v="5K–10K"/>
    <x v="5"/>
    <n v="3.625"/>
    <s v="Yes"/>
    <x v="1"/>
    <n v="8"/>
    <n v="21"/>
    <x v="0"/>
    <n v="1"/>
    <n v="0"/>
  </r>
  <r>
    <s v="P454799"/>
    <x v="1802"/>
    <n v="6226"/>
    <x v="84"/>
    <x v="7"/>
    <n v="5313"/>
    <s v="5K–10K"/>
    <x v="5"/>
    <n v="4.5749000000000004"/>
    <s v="Yes"/>
    <x v="0"/>
    <n v="494"/>
    <n v="25"/>
    <x v="0"/>
    <n v="0"/>
    <n v="0"/>
  </r>
  <r>
    <s v="P483455"/>
    <x v="1803"/>
    <n v="6476"/>
    <x v="125"/>
    <x v="11"/>
    <n v="5333"/>
    <s v="5K–10K"/>
    <x v="5"/>
    <n v="4.6452"/>
    <s v="Yes"/>
    <x v="0"/>
    <n v="155"/>
    <n v="42"/>
    <x v="0"/>
    <n v="0"/>
    <n v="0"/>
  </r>
  <r>
    <s v="P474968"/>
    <x v="1804"/>
    <n v="6001"/>
    <x v="76"/>
    <x v="3"/>
    <n v="5336"/>
    <s v="5K–10K"/>
    <x v="5"/>
    <n v="4.3182"/>
    <s v="Yes"/>
    <x v="0"/>
    <n v="22"/>
    <n v="39"/>
    <x v="0"/>
    <n v="0"/>
    <n v="0"/>
  </r>
  <r>
    <s v="P467969"/>
    <x v="1805"/>
    <n v="6114"/>
    <x v="65"/>
    <x v="11"/>
    <n v="5350"/>
    <s v="5K–10K"/>
    <x v="5"/>
    <n v="4.6666999999999996"/>
    <s v="Yes"/>
    <x v="0"/>
    <n v="60"/>
    <n v="299"/>
    <x v="2"/>
    <n v="0"/>
    <n v="0"/>
  </r>
  <r>
    <s v="P450290"/>
    <x v="1806"/>
    <n v="6201"/>
    <x v="44"/>
    <x v="1"/>
    <n v="5356"/>
    <s v="5K–10K"/>
    <x v="5"/>
    <n v="4.375"/>
    <s v="Yes"/>
    <x v="0"/>
    <n v="152"/>
    <n v="410"/>
    <x v="2"/>
    <n v="0"/>
    <n v="0"/>
  </r>
  <r>
    <s v="P504881"/>
    <x v="1807"/>
    <n v="4171"/>
    <x v="23"/>
    <x v="10"/>
    <n v="5361"/>
    <s v="5K–10K"/>
    <x v="5"/>
    <n v="5"/>
    <s v="Yes"/>
    <x v="0"/>
    <n v="4"/>
    <n v="82"/>
    <x v="2"/>
    <n v="1"/>
    <n v="0"/>
  </r>
  <r>
    <s v="P428423"/>
    <x v="1808"/>
    <n v="5337"/>
    <x v="32"/>
    <x v="2"/>
    <n v="5363"/>
    <s v="5K–10K"/>
    <x v="5"/>
    <n v="4.1764999999999999"/>
    <s v="Yes"/>
    <x v="0"/>
    <n v="34"/>
    <n v="20"/>
    <x v="0"/>
    <n v="0"/>
    <n v="0"/>
  </r>
  <r>
    <s v="P482681"/>
    <x v="1809"/>
    <n v="6175"/>
    <x v="59"/>
    <x v="2"/>
    <n v="5368"/>
    <s v="5K–10K"/>
    <x v="5"/>
    <n v="4.6741000000000001"/>
    <s v="Yes"/>
    <x v="0"/>
    <n v="359"/>
    <n v="42"/>
    <x v="0"/>
    <n v="0"/>
    <n v="0"/>
  </r>
  <r>
    <s v="P453713"/>
    <x v="1810"/>
    <n v="7050"/>
    <x v="58"/>
    <x v="9"/>
    <n v="5372"/>
    <s v="5K–10K"/>
    <x v="5"/>
    <n v="4.3455000000000004"/>
    <s v="Yes"/>
    <x v="0"/>
    <n v="220"/>
    <n v="12"/>
    <x v="1"/>
    <n v="0"/>
    <n v="0"/>
  </r>
  <r>
    <s v="P446639"/>
    <x v="1811"/>
    <n v="6256"/>
    <x v="61"/>
    <x v="9"/>
    <n v="5375"/>
    <s v="5K–10K"/>
    <x v="5"/>
    <n v="3.8275999999999999"/>
    <s v="Yes"/>
    <x v="1"/>
    <n v="29"/>
    <n v="36"/>
    <x v="0"/>
    <n v="0"/>
    <n v="0"/>
  </r>
  <r>
    <s v="P500055"/>
    <x v="1812"/>
    <n v="6207"/>
    <x v="50"/>
    <x v="3"/>
    <n v="5384"/>
    <s v="5K–10K"/>
    <x v="5"/>
    <n v="4.6763000000000003"/>
    <s v="Yes"/>
    <x v="0"/>
    <n v="207"/>
    <n v="48"/>
    <x v="0"/>
    <n v="0"/>
    <n v="0"/>
  </r>
  <r>
    <s v="P462384"/>
    <x v="1813"/>
    <n v="8017"/>
    <x v="56"/>
    <x v="10"/>
    <n v="5387"/>
    <s v="5K–10K"/>
    <x v="5"/>
    <n v="3"/>
    <s v="Yes"/>
    <x v="1"/>
    <n v="5"/>
    <n v="21"/>
    <x v="0"/>
    <n v="0"/>
    <n v="0"/>
  </r>
  <r>
    <s v="P467123"/>
    <x v="1814"/>
    <n v="6335"/>
    <x v="103"/>
    <x v="3"/>
    <n v="5411"/>
    <s v="5K–10K"/>
    <x v="5"/>
    <n v="4.1435000000000004"/>
    <s v="Yes"/>
    <x v="0"/>
    <n v="467"/>
    <n v="55"/>
    <x v="2"/>
    <n v="0"/>
    <n v="0"/>
  </r>
  <r>
    <s v="P430338"/>
    <x v="1815"/>
    <n v="2082"/>
    <x v="63"/>
    <x v="3"/>
    <n v="5420"/>
    <s v="5K–10K"/>
    <x v="5"/>
    <n v="4.0416999999999996"/>
    <s v="Yes"/>
    <x v="0"/>
    <n v="24"/>
    <n v="93"/>
    <x v="2"/>
    <n v="0"/>
    <n v="0"/>
  </r>
  <r>
    <s v="P476683"/>
    <x v="1816"/>
    <n v="6329"/>
    <x v="112"/>
    <x v="11"/>
    <n v="5438"/>
    <s v="5K–10K"/>
    <x v="5"/>
    <n v="4.4733000000000001"/>
    <s v="Yes"/>
    <x v="0"/>
    <n v="131"/>
    <n v="75"/>
    <x v="2"/>
    <n v="0"/>
    <n v="0"/>
  </r>
  <r>
    <s v="P479973"/>
    <x v="1817"/>
    <n v="8017"/>
    <x v="56"/>
    <x v="3"/>
    <n v="5440"/>
    <s v="5K–10K"/>
    <x v="5"/>
    <n v="3.6"/>
    <s v="Yes"/>
    <x v="1"/>
    <n v="10"/>
    <n v="7"/>
    <x v="1"/>
    <n v="0"/>
    <n v="0"/>
  </r>
  <r>
    <s v="P480355"/>
    <x v="1818"/>
    <n v="6041"/>
    <x v="6"/>
    <x v="3"/>
    <n v="5440"/>
    <s v="5K–10K"/>
    <x v="5"/>
    <n v="5"/>
    <s v="Yes"/>
    <x v="0"/>
    <n v="2"/>
    <n v="110"/>
    <x v="2"/>
    <n v="1"/>
    <n v="0"/>
  </r>
  <r>
    <s v="P502322"/>
    <x v="1819"/>
    <n v="6357"/>
    <x v="92"/>
    <x v="10"/>
    <n v="5447"/>
    <s v="5K–10K"/>
    <x v="5"/>
    <n v="4.7849000000000004"/>
    <s v="Yes"/>
    <x v="0"/>
    <n v="93"/>
    <n v="36"/>
    <x v="0"/>
    <n v="0"/>
    <n v="1"/>
  </r>
  <r>
    <s v="P504595"/>
    <x v="1820"/>
    <n v="6041"/>
    <x v="6"/>
    <x v="7"/>
    <n v="5450"/>
    <s v="5K–10K"/>
    <x v="5"/>
    <n v="4.5018000000000002"/>
    <s v="Yes"/>
    <x v="0"/>
    <n v="2449"/>
    <n v="18"/>
    <x v="1"/>
    <n v="1"/>
    <n v="0"/>
  </r>
  <r>
    <s v="P433469"/>
    <x v="1821"/>
    <n v="6018"/>
    <x v="78"/>
    <x v="1"/>
    <n v="5451"/>
    <s v="5K–10K"/>
    <x v="5"/>
    <n v="4.1025999999999998"/>
    <s v="Yes"/>
    <x v="0"/>
    <n v="39"/>
    <n v="98"/>
    <x v="2"/>
    <n v="0"/>
    <n v="0"/>
  </r>
  <r>
    <s v="P482061"/>
    <x v="1822"/>
    <n v="3728"/>
    <x v="41"/>
    <x v="4"/>
    <n v="5462"/>
    <s v="5K–10K"/>
    <x v="5"/>
    <n v="4.4745999999999997"/>
    <s v="Yes"/>
    <x v="0"/>
    <n v="276"/>
    <n v="38"/>
    <x v="0"/>
    <n v="0"/>
    <n v="0"/>
  </r>
  <r>
    <s v="P456417"/>
    <x v="1823"/>
    <n v="5715"/>
    <x v="72"/>
    <x v="3"/>
    <n v="5462"/>
    <s v="5K–10K"/>
    <x v="5"/>
    <n v="4.3552999999999997"/>
    <s v="Yes"/>
    <x v="0"/>
    <n v="622"/>
    <n v="54"/>
    <x v="2"/>
    <n v="0"/>
    <n v="0"/>
  </r>
  <r>
    <s v="P459129"/>
    <x v="1824"/>
    <n v="6318"/>
    <x v="107"/>
    <x v="8"/>
    <n v="5462"/>
    <s v="5K–10K"/>
    <x v="5"/>
    <n v="4.8171999999999997"/>
    <s v="Yes"/>
    <x v="0"/>
    <n v="268"/>
    <n v="215"/>
    <x v="2"/>
    <n v="0"/>
    <n v="0"/>
  </r>
  <r>
    <s v="P473820"/>
    <x v="1825"/>
    <n v="6089"/>
    <x v="45"/>
    <x v="1"/>
    <n v="5480"/>
    <s v="5K–10K"/>
    <x v="5"/>
    <n v="4.3110999999999997"/>
    <s v="Yes"/>
    <x v="0"/>
    <n v="1096"/>
    <n v="82"/>
    <x v="2"/>
    <n v="0"/>
    <n v="0"/>
  </r>
  <r>
    <s v="P474839"/>
    <x v="1826"/>
    <n v="7050"/>
    <x v="58"/>
    <x v="9"/>
    <n v="5494"/>
    <s v="5K–10K"/>
    <x v="5"/>
    <n v="4.4000000000000004"/>
    <s v="Yes"/>
    <x v="0"/>
    <n v="90"/>
    <n v="50"/>
    <x v="0"/>
    <n v="0"/>
    <n v="0"/>
  </r>
  <r>
    <s v="P417604"/>
    <x v="1827"/>
    <n v="1073"/>
    <x v="52"/>
    <x v="1"/>
    <n v="5499"/>
    <s v="5K–10K"/>
    <x v="5"/>
    <n v="4.3437999999999999"/>
    <s v="Yes"/>
    <x v="0"/>
    <n v="32"/>
    <n v="80"/>
    <x v="2"/>
    <n v="0"/>
    <n v="0"/>
  </r>
  <r>
    <s v="P464238"/>
    <x v="1828"/>
    <n v="6334"/>
    <x v="120"/>
    <x v="3"/>
    <n v="5504"/>
    <s v="5K–10K"/>
    <x v="5"/>
    <n v="4.6744000000000003"/>
    <s v="Yes"/>
    <x v="0"/>
    <n v="519"/>
    <n v="79"/>
    <x v="2"/>
    <n v="0"/>
    <n v="0"/>
  </r>
  <r>
    <s v="P447607"/>
    <x v="1829"/>
    <n v="1741"/>
    <x v="42"/>
    <x v="3"/>
    <n v="5507"/>
    <s v="5K–10K"/>
    <x v="5"/>
    <n v="3.5516999999999999"/>
    <s v="Yes"/>
    <x v="1"/>
    <n v="29"/>
    <n v="30"/>
    <x v="0"/>
    <n v="0"/>
    <n v="1"/>
  </r>
  <r>
    <s v="P122876"/>
    <x v="1830"/>
    <n v="1254"/>
    <x v="24"/>
    <x v="2"/>
    <n v="5508"/>
    <s v="5K–10K"/>
    <x v="5"/>
    <n v="4.3849999999999998"/>
    <s v="Yes"/>
    <x v="0"/>
    <n v="226"/>
    <n v="20"/>
    <x v="0"/>
    <n v="0"/>
    <n v="0"/>
  </r>
  <r>
    <s v="P474844"/>
    <x v="1831"/>
    <n v="1741"/>
    <x v="42"/>
    <x v="8"/>
    <n v="5509"/>
    <s v="5K–10K"/>
    <x v="5"/>
    <n v="4.6093999999999999"/>
    <s v="Yes"/>
    <x v="0"/>
    <n v="128"/>
    <n v="135"/>
    <x v="2"/>
    <n v="0"/>
    <n v="0"/>
  </r>
  <r>
    <s v="P447409"/>
    <x v="1832"/>
    <n v="5648"/>
    <x v="73"/>
    <x v="7"/>
    <n v="5514"/>
    <s v="5K–10K"/>
    <x v="5"/>
    <n v="4.1111000000000004"/>
    <s v="Yes"/>
    <x v="0"/>
    <n v="36"/>
    <n v="14"/>
    <x v="1"/>
    <n v="0"/>
    <n v="0"/>
  </r>
  <r>
    <s v="P429526"/>
    <x v="1833"/>
    <n v="4164"/>
    <x v="54"/>
    <x v="3"/>
    <n v="5518"/>
    <s v="5K–10K"/>
    <x v="5"/>
    <n v="4.4272"/>
    <s v="Yes"/>
    <x v="0"/>
    <n v="103"/>
    <n v="85"/>
    <x v="2"/>
    <n v="0"/>
    <n v="0"/>
  </r>
  <r>
    <s v="P202935"/>
    <x v="1834"/>
    <n v="5337"/>
    <x v="32"/>
    <x v="3"/>
    <n v="5520"/>
    <s v="5K–10K"/>
    <x v="5"/>
    <n v="4.4722"/>
    <s v="Yes"/>
    <x v="0"/>
    <n v="36"/>
    <n v="97"/>
    <x v="2"/>
    <n v="0"/>
    <n v="0"/>
  </r>
  <r>
    <s v="P504421"/>
    <x v="1835"/>
    <n v="3902"/>
    <x v="13"/>
    <x v="5"/>
    <n v="5527"/>
    <s v="5K–10K"/>
    <x v="5"/>
    <n v="4.8268000000000004"/>
    <s v="Yes"/>
    <x v="0"/>
    <n v="231"/>
    <n v="16"/>
    <x v="1"/>
    <n v="1"/>
    <n v="0"/>
  </r>
  <r>
    <s v="P504303"/>
    <x v="1836"/>
    <n v="6041"/>
    <x v="6"/>
    <x v="10"/>
    <n v="5528"/>
    <s v="5K–10K"/>
    <x v="5"/>
    <n v="4.875"/>
    <s v="Yes"/>
    <x v="0"/>
    <n v="8"/>
    <n v="95"/>
    <x v="2"/>
    <n v="1"/>
    <n v="0"/>
  </r>
  <r>
    <s v="P483699"/>
    <x v="1837"/>
    <n v="6488"/>
    <x v="129"/>
    <x v="3"/>
    <n v="5533"/>
    <s v="5K–10K"/>
    <x v="5"/>
    <n v="4.6224999999999996"/>
    <s v="Yes"/>
    <x v="0"/>
    <n v="151"/>
    <n v="54"/>
    <x v="2"/>
    <n v="0"/>
    <n v="0"/>
  </r>
  <r>
    <s v="P455623"/>
    <x v="1838"/>
    <n v="6272"/>
    <x v="46"/>
    <x v="3"/>
    <n v="5539"/>
    <s v="5K–10K"/>
    <x v="5"/>
    <n v="4.4062999999999999"/>
    <s v="Yes"/>
    <x v="0"/>
    <n v="192"/>
    <n v="69"/>
    <x v="2"/>
    <n v="0"/>
    <n v="0"/>
  </r>
  <r>
    <s v="P440492"/>
    <x v="1839"/>
    <n v="8017"/>
    <x v="56"/>
    <x v="3"/>
    <n v="5546"/>
    <s v="5K–10K"/>
    <x v="5"/>
    <n v="3.9714"/>
    <s v="Yes"/>
    <x v="1"/>
    <n v="35"/>
    <n v="18"/>
    <x v="1"/>
    <n v="0"/>
    <n v="0"/>
  </r>
  <r>
    <s v="P380030"/>
    <x v="1840"/>
    <n v="6089"/>
    <x v="45"/>
    <x v="2"/>
    <n v="5546"/>
    <s v="5K–10K"/>
    <x v="5"/>
    <n v="4.2142999999999997"/>
    <s v="Yes"/>
    <x v="0"/>
    <n v="28"/>
    <n v="30"/>
    <x v="0"/>
    <n v="0"/>
    <n v="0"/>
  </r>
  <r>
    <s v="P500778"/>
    <x v="1841"/>
    <n v="6500"/>
    <x v="134"/>
    <x v="4"/>
    <n v="5554"/>
    <s v="5K–10K"/>
    <x v="5"/>
    <n v="4.7080000000000002"/>
    <s v="Yes"/>
    <x v="0"/>
    <n v="137"/>
    <n v="30"/>
    <x v="0"/>
    <n v="0"/>
    <n v="0"/>
  </r>
  <r>
    <s v="P467972"/>
    <x v="1842"/>
    <n v="6294"/>
    <x v="101"/>
    <x v="1"/>
    <n v="5557"/>
    <s v="5K–10K"/>
    <x v="5"/>
    <n v="4.75"/>
    <s v="Yes"/>
    <x v="0"/>
    <n v="100"/>
    <n v="90"/>
    <x v="2"/>
    <n v="0"/>
    <n v="0"/>
  </r>
  <r>
    <s v="P479646"/>
    <x v="1843"/>
    <n v="4164"/>
    <x v="54"/>
    <x v="4"/>
    <n v="5567"/>
    <s v="5K–10K"/>
    <x v="5"/>
    <n v="4.3333000000000004"/>
    <s v="Yes"/>
    <x v="0"/>
    <n v="3"/>
    <n v="25"/>
    <x v="0"/>
    <n v="0"/>
    <n v="0"/>
  </r>
  <r>
    <s v="P481145"/>
    <x v="1844"/>
    <n v="6367"/>
    <x v="123"/>
    <x v="3"/>
    <n v="5567"/>
    <s v="5K–10K"/>
    <x v="5"/>
    <n v="4.6561000000000003"/>
    <s v="Yes"/>
    <x v="0"/>
    <n v="189"/>
    <n v="70"/>
    <x v="2"/>
    <n v="0"/>
    <n v="0"/>
  </r>
  <r>
    <s v="P482540"/>
    <x v="1845"/>
    <n v="4164"/>
    <x v="54"/>
    <x v="4"/>
    <n v="5581"/>
    <s v="5K–10K"/>
    <x v="5"/>
    <n v="4.7366000000000001"/>
    <s v="Yes"/>
    <x v="0"/>
    <n v="467"/>
    <n v="69"/>
    <x v="2"/>
    <n v="0"/>
    <n v="0"/>
  </r>
  <r>
    <s v="P474090"/>
    <x v="1846"/>
    <n v="3902"/>
    <x v="13"/>
    <x v="9"/>
    <n v="5602"/>
    <s v="5K–10K"/>
    <x v="5"/>
    <n v="3.5"/>
    <s v="Yes"/>
    <x v="1"/>
    <n v="2"/>
    <n v="40"/>
    <x v="0"/>
    <n v="0"/>
    <n v="0"/>
  </r>
  <r>
    <s v="P417323"/>
    <x v="1847"/>
    <n v="1254"/>
    <x v="24"/>
    <x v="2"/>
    <n v="5608"/>
    <s v="5K–10K"/>
    <x v="5"/>
    <n v="4.3684000000000003"/>
    <s v="Yes"/>
    <x v="0"/>
    <n v="38"/>
    <n v="39"/>
    <x v="0"/>
    <n v="0"/>
    <n v="0"/>
  </r>
  <r>
    <s v="P456991"/>
    <x v="1848"/>
    <n v="1254"/>
    <x v="24"/>
    <x v="4"/>
    <n v="5615"/>
    <s v="5K–10K"/>
    <x v="5"/>
    <n v="3.6932"/>
    <s v="Yes"/>
    <x v="1"/>
    <n v="88"/>
    <n v="32"/>
    <x v="0"/>
    <n v="0"/>
    <n v="0"/>
  </r>
  <r>
    <s v="P474079"/>
    <x v="1849"/>
    <n v="3728"/>
    <x v="41"/>
    <x v="1"/>
    <n v="5639"/>
    <s v="5K–10K"/>
    <x v="5"/>
    <n v="4.2702"/>
    <s v="Yes"/>
    <x v="0"/>
    <n v="459"/>
    <n v="44"/>
    <x v="0"/>
    <n v="0"/>
    <n v="0"/>
  </r>
  <r>
    <s v="P460010"/>
    <x v="1850"/>
    <n v="5651"/>
    <x v="135"/>
    <x v="11"/>
    <n v="5661"/>
    <s v="5K–10K"/>
    <x v="5"/>
    <n v="2.7105000000000001"/>
    <s v="Yes"/>
    <x v="2"/>
    <n v="38"/>
    <n v="10"/>
    <x v="1"/>
    <n v="0"/>
    <n v="0"/>
  </r>
  <r>
    <s v="P501031"/>
    <x v="1851"/>
    <n v="6014"/>
    <x v="17"/>
    <x v="1"/>
    <n v="5678"/>
    <s v="5K–10K"/>
    <x v="5"/>
    <n v="4.5740999999999996"/>
    <s v="Yes"/>
    <x v="0"/>
    <n v="108"/>
    <n v="40"/>
    <x v="0"/>
    <n v="0"/>
    <n v="0"/>
  </r>
  <r>
    <s v="P481828"/>
    <x v="1852"/>
    <n v="7055"/>
    <x v="118"/>
    <x v="3"/>
    <n v="5697"/>
    <s v="5K–10K"/>
    <x v="5"/>
    <n v="4.0789"/>
    <s v="Yes"/>
    <x v="0"/>
    <n v="152"/>
    <n v="36"/>
    <x v="0"/>
    <n v="0"/>
    <n v="0"/>
  </r>
  <r>
    <s v="P475180"/>
    <x v="1853"/>
    <n v="6373"/>
    <x v="83"/>
    <x v="10"/>
    <n v="5711"/>
    <s v="5K–10K"/>
    <x v="5"/>
    <n v="4.2366000000000001"/>
    <s v="Yes"/>
    <x v="0"/>
    <n v="93"/>
    <n v="49"/>
    <x v="0"/>
    <n v="0"/>
    <n v="0"/>
  </r>
  <r>
    <s v="P463105"/>
    <x v="1854"/>
    <n v="5337"/>
    <x v="32"/>
    <x v="1"/>
    <n v="5722"/>
    <s v="5K–10K"/>
    <x v="5"/>
    <n v="4.5805999999999996"/>
    <s v="Yes"/>
    <x v="0"/>
    <n v="937"/>
    <n v="75"/>
    <x v="2"/>
    <n v="0"/>
    <n v="0"/>
  </r>
  <r>
    <s v="P457439"/>
    <x v="1855"/>
    <n v="3902"/>
    <x v="13"/>
    <x v="1"/>
    <n v="5748"/>
    <s v="5K–10K"/>
    <x v="5"/>
    <n v="3.6206999999999998"/>
    <s v="Yes"/>
    <x v="1"/>
    <n v="29"/>
    <n v="16"/>
    <x v="1"/>
    <n v="0"/>
    <n v="0"/>
  </r>
  <r>
    <s v="P431419"/>
    <x v="1856"/>
    <n v="8008"/>
    <x v="18"/>
    <x v="3"/>
    <n v="5750"/>
    <s v="5K–10K"/>
    <x v="5"/>
    <n v="3.04"/>
    <s v="Yes"/>
    <x v="1"/>
    <n v="25"/>
    <n v="30"/>
    <x v="0"/>
    <n v="0"/>
    <n v="0"/>
  </r>
  <r>
    <s v="P433621"/>
    <x v="1857"/>
    <n v="5337"/>
    <x v="32"/>
    <x v="3"/>
    <n v="5752"/>
    <s v="5K–10K"/>
    <x v="5"/>
    <n v="4.3076999999999996"/>
    <s v="Yes"/>
    <x v="0"/>
    <n v="26"/>
    <n v="50"/>
    <x v="0"/>
    <n v="0"/>
    <n v="0"/>
  </r>
  <r>
    <s v="P503197"/>
    <x v="1858"/>
    <n v="6312"/>
    <x v="87"/>
    <x v="2"/>
    <n v="5754"/>
    <s v="5K–10K"/>
    <x v="5"/>
    <n v="4.8949999999999996"/>
    <s v="Yes"/>
    <x v="0"/>
    <n v="238"/>
    <n v="39"/>
    <x v="0"/>
    <n v="0"/>
    <n v="0"/>
  </r>
  <r>
    <s v="P501790"/>
    <x v="1859"/>
    <n v="6316"/>
    <x v="49"/>
    <x v="5"/>
    <n v="5771"/>
    <s v="5K–10K"/>
    <x v="5"/>
    <n v="4.4154"/>
    <s v="Yes"/>
    <x v="0"/>
    <n v="65"/>
    <n v="39"/>
    <x v="0"/>
    <n v="0"/>
    <n v="0"/>
  </r>
  <r>
    <s v="P448711"/>
    <x v="1860"/>
    <n v="6302"/>
    <x v="114"/>
    <x v="5"/>
    <n v="5780"/>
    <s v="5K–10K"/>
    <x v="5"/>
    <n v="4.5185000000000004"/>
    <s v="Yes"/>
    <x v="0"/>
    <n v="54"/>
    <n v="125"/>
    <x v="2"/>
    <n v="0"/>
    <n v="0"/>
  </r>
  <r>
    <s v="P471086"/>
    <x v="1861"/>
    <n v="3902"/>
    <x v="13"/>
    <x v="1"/>
    <n v="5783"/>
    <s v="5K–10K"/>
    <x v="5"/>
    <n v="4.3571"/>
    <s v="Yes"/>
    <x v="0"/>
    <n v="28"/>
    <n v="20"/>
    <x v="0"/>
    <n v="0"/>
    <n v="0"/>
  </r>
  <r>
    <s v="P463792"/>
    <x v="1862"/>
    <n v="6272"/>
    <x v="46"/>
    <x v="10"/>
    <n v="5810"/>
    <s v="5K–10K"/>
    <x v="5"/>
    <n v="3.5385"/>
    <s v="Yes"/>
    <x v="1"/>
    <n v="13"/>
    <n v="249"/>
    <x v="2"/>
    <n v="0"/>
    <n v="0"/>
  </r>
  <r>
    <s v="P504810"/>
    <x v="1863"/>
    <n v="6751"/>
    <x v="47"/>
    <x v="3"/>
    <n v="5826"/>
    <s v="5K–10K"/>
    <x v="5"/>
    <n v="4.6666999999999996"/>
    <s v="Yes"/>
    <x v="0"/>
    <n v="9"/>
    <n v="25"/>
    <x v="0"/>
    <n v="1"/>
    <n v="0"/>
  </r>
  <r>
    <s v="P429504"/>
    <x v="1864"/>
    <n v="2082"/>
    <x v="63"/>
    <x v="3"/>
    <n v="5829"/>
    <s v="5K–10K"/>
    <x v="5"/>
    <n v="4.25"/>
    <s v="Yes"/>
    <x v="0"/>
    <n v="8"/>
    <n v="98"/>
    <x v="2"/>
    <n v="0"/>
    <n v="0"/>
  </r>
  <r>
    <s v="P477961"/>
    <x v="1865"/>
    <n v="6272"/>
    <x v="46"/>
    <x v="10"/>
    <n v="5836"/>
    <s v="5K–10K"/>
    <x v="5"/>
    <n v="4.7229000000000001"/>
    <s v="Yes"/>
    <x v="0"/>
    <n v="166"/>
    <n v="199"/>
    <x v="2"/>
    <n v="0"/>
    <n v="0"/>
  </r>
  <r>
    <s v="P393600"/>
    <x v="1395"/>
    <n v="6001"/>
    <x v="76"/>
    <x v="11"/>
    <n v="5875"/>
    <s v="5K–10K"/>
    <x v="5"/>
    <n v="3.5385"/>
    <s v="Yes"/>
    <x v="1"/>
    <n v="13"/>
    <n v="449"/>
    <x v="2"/>
    <n v="0"/>
    <n v="0"/>
  </r>
  <r>
    <s v="P480612"/>
    <x v="1866"/>
    <n v="5715"/>
    <x v="72"/>
    <x v="3"/>
    <n v="5890"/>
    <s v="5K–10K"/>
    <x v="5"/>
    <n v="4.4025999999999996"/>
    <s v="Yes"/>
    <x v="0"/>
    <n v="3167"/>
    <n v="38.5"/>
    <x v="0"/>
    <n v="0"/>
    <n v="0"/>
  </r>
  <r>
    <s v="P418629"/>
    <x v="1867"/>
    <n v="6073"/>
    <x v="15"/>
    <x v="3"/>
    <n v="5905"/>
    <s v="5K–10K"/>
    <x v="5"/>
    <n v="3.9918"/>
    <s v="Yes"/>
    <x v="1"/>
    <n v="1101"/>
    <n v="22"/>
    <x v="0"/>
    <n v="0"/>
    <n v="0"/>
  </r>
  <r>
    <s v="P504773"/>
    <x v="1868"/>
    <n v="6751"/>
    <x v="47"/>
    <x v="3"/>
    <n v="5907"/>
    <s v="5K–10K"/>
    <x v="5"/>
    <n v="4.05"/>
    <s v="Yes"/>
    <x v="0"/>
    <n v="20"/>
    <n v="35"/>
    <x v="0"/>
    <n v="1"/>
    <n v="0"/>
  </r>
  <r>
    <s v="P408542"/>
    <x v="1869"/>
    <n v="1073"/>
    <x v="52"/>
    <x v="8"/>
    <n v="5908"/>
    <s v="5K–10K"/>
    <x v="5"/>
    <n v="4.3333000000000004"/>
    <s v="Yes"/>
    <x v="0"/>
    <n v="27"/>
    <n v="72"/>
    <x v="2"/>
    <n v="0"/>
    <n v="0"/>
  </r>
  <r>
    <s v="P504001"/>
    <x v="1870"/>
    <n v="6014"/>
    <x v="17"/>
    <x v="2"/>
    <n v="5912"/>
    <s v="5K–10K"/>
    <x v="5"/>
    <n v="4.6364000000000001"/>
    <s v="Yes"/>
    <x v="0"/>
    <n v="341"/>
    <n v="39"/>
    <x v="0"/>
    <n v="1"/>
    <n v="0"/>
  </r>
  <r>
    <s v="P474843"/>
    <x v="1871"/>
    <n v="1741"/>
    <x v="42"/>
    <x v="3"/>
    <n v="5913"/>
    <s v="5K–10K"/>
    <x v="5"/>
    <n v="4.6763000000000003"/>
    <s v="Yes"/>
    <x v="0"/>
    <n v="139"/>
    <n v="150"/>
    <x v="2"/>
    <n v="0"/>
    <n v="0"/>
  </r>
  <r>
    <s v="P457519"/>
    <x v="1872"/>
    <n v="3728"/>
    <x v="41"/>
    <x v="8"/>
    <n v="5917"/>
    <s v="5K–10K"/>
    <x v="5"/>
    <n v="3.4594999999999998"/>
    <s v="Yes"/>
    <x v="1"/>
    <n v="37"/>
    <n v="43"/>
    <x v="0"/>
    <n v="0"/>
    <n v="0"/>
  </r>
  <r>
    <s v="P468354"/>
    <x v="1873"/>
    <n v="5972"/>
    <x v="10"/>
    <x v="10"/>
    <n v="5918"/>
    <s v="5K–10K"/>
    <x v="5"/>
    <n v="4.6154000000000002"/>
    <s v="Yes"/>
    <x v="0"/>
    <n v="13"/>
    <n v="46"/>
    <x v="0"/>
    <n v="1"/>
    <n v="0"/>
  </r>
  <r>
    <s v="P406529"/>
    <x v="1874"/>
    <n v="6089"/>
    <x v="45"/>
    <x v="2"/>
    <n v="5931"/>
    <s v="5K–10K"/>
    <x v="5"/>
    <n v="4.6393000000000004"/>
    <s v="Yes"/>
    <x v="0"/>
    <n v="61"/>
    <n v="48"/>
    <x v="0"/>
    <n v="0"/>
    <n v="0"/>
  </r>
  <r>
    <s v="P464239"/>
    <x v="1875"/>
    <n v="6334"/>
    <x v="120"/>
    <x v="3"/>
    <n v="5968"/>
    <s v="5K–10K"/>
    <x v="5"/>
    <n v="4.5808999999999997"/>
    <s v="Yes"/>
    <x v="0"/>
    <n v="377"/>
    <n v="38"/>
    <x v="0"/>
    <n v="0"/>
    <n v="0"/>
  </r>
  <r>
    <s v="P456203"/>
    <x v="1876"/>
    <n v="5626"/>
    <x v="64"/>
    <x v="10"/>
    <n v="5979"/>
    <s v="5K–10K"/>
    <x v="5"/>
    <n v="3.5263"/>
    <s v="Yes"/>
    <x v="1"/>
    <n v="19"/>
    <n v="20"/>
    <x v="0"/>
    <n v="0"/>
    <n v="0"/>
  </r>
  <r>
    <s v="P503123"/>
    <x v="1877"/>
    <n v="5922"/>
    <x v="31"/>
    <x v="10"/>
    <n v="5990"/>
    <s v="5K–10K"/>
    <x v="5"/>
    <n v="4.5"/>
    <s v="Yes"/>
    <x v="0"/>
    <n v="10"/>
    <n v="30"/>
    <x v="0"/>
    <n v="0"/>
    <n v="0"/>
  </r>
  <r>
    <s v="P433617"/>
    <x v="1878"/>
    <n v="5337"/>
    <x v="32"/>
    <x v="2"/>
    <n v="6015"/>
    <s v="5K–10K"/>
    <x v="5"/>
    <n v="4.1957000000000004"/>
    <s v="Yes"/>
    <x v="0"/>
    <n v="46"/>
    <n v="36"/>
    <x v="0"/>
    <n v="0"/>
    <n v="0"/>
  </r>
  <r>
    <s v="P502842"/>
    <x v="1879"/>
    <n v="3902"/>
    <x v="13"/>
    <x v="10"/>
    <n v="6017"/>
    <s v="5K–10K"/>
    <x v="5"/>
    <n v="3.6667000000000001"/>
    <s v="Yes"/>
    <x v="1"/>
    <n v="3"/>
    <n v="20"/>
    <x v="0"/>
    <n v="0"/>
    <n v="0"/>
  </r>
  <r>
    <s v="P379709"/>
    <x v="1880"/>
    <n v="7020"/>
    <x v="70"/>
    <x v="3"/>
    <n v="6030"/>
    <s v="5K–10K"/>
    <x v="5"/>
    <n v="3.4117999999999999"/>
    <s v="Yes"/>
    <x v="1"/>
    <n v="136"/>
    <n v="130"/>
    <x v="2"/>
    <n v="0"/>
    <n v="0"/>
  </r>
  <r>
    <s v="P454095"/>
    <x v="1881"/>
    <n v="5857"/>
    <x v="51"/>
    <x v="2"/>
    <n v="6031"/>
    <s v="5K–10K"/>
    <x v="5"/>
    <n v="4.0263"/>
    <s v="Yes"/>
    <x v="0"/>
    <n v="266"/>
    <n v="37"/>
    <x v="0"/>
    <n v="0"/>
    <n v="0"/>
  </r>
  <r>
    <s v="P474809"/>
    <x v="1882"/>
    <n v="6018"/>
    <x v="78"/>
    <x v="1"/>
    <n v="6040"/>
    <s v="5K–10K"/>
    <x v="5"/>
    <n v="4.6086999999999998"/>
    <s v="Yes"/>
    <x v="0"/>
    <n v="207"/>
    <n v="72"/>
    <x v="2"/>
    <n v="0"/>
    <n v="0"/>
  </r>
  <r>
    <s v="P436378"/>
    <x v="1883"/>
    <n v="6218"/>
    <x v="20"/>
    <x v="3"/>
    <n v="6043"/>
    <s v="5K–10K"/>
    <x v="5"/>
    <n v="4.5152000000000001"/>
    <s v="Yes"/>
    <x v="0"/>
    <n v="33"/>
    <n v="46"/>
    <x v="0"/>
    <n v="0"/>
    <n v="1"/>
  </r>
  <r>
    <s v="P440302"/>
    <x v="1884"/>
    <n v="4372"/>
    <x v="97"/>
    <x v="3"/>
    <n v="6052"/>
    <s v="5K–10K"/>
    <x v="5"/>
    <n v="3.7742"/>
    <s v="Yes"/>
    <x v="1"/>
    <n v="31"/>
    <n v="95"/>
    <x v="2"/>
    <n v="0"/>
    <n v="0"/>
  </r>
  <r>
    <s v="P442542"/>
    <x v="1885"/>
    <n v="6283"/>
    <x v="55"/>
    <x v="1"/>
    <n v="6057"/>
    <s v="5K–10K"/>
    <x v="5"/>
    <n v="4.5999999999999996"/>
    <s v="Yes"/>
    <x v="0"/>
    <n v="15"/>
    <n v="106"/>
    <x v="2"/>
    <n v="0"/>
    <n v="0"/>
  </r>
  <r>
    <s v="P473172"/>
    <x v="1886"/>
    <n v="5857"/>
    <x v="51"/>
    <x v="3"/>
    <n v="6074"/>
    <s v="5K–10K"/>
    <x v="5"/>
    <n v="4.5824999999999996"/>
    <s v="Yes"/>
    <x v="0"/>
    <n v="194"/>
    <n v="54"/>
    <x v="2"/>
    <n v="0"/>
    <n v="0"/>
  </r>
  <r>
    <s v="P424984"/>
    <x v="1887"/>
    <n v="6225"/>
    <x v="57"/>
    <x v="6"/>
    <n v="6083"/>
    <s v="5K–10K"/>
    <x v="5"/>
    <n v="4.0769000000000002"/>
    <s v="Yes"/>
    <x v="0"/>
    <n v="65"/>
    <n v="49"/>
    <x v="0"/>
    <n v="0"/>
    <n v="0"/>
  </r>
  <r>
    <s v="P383052"/>
    <x v="1888"/>
    <n v="4372"/>
    <x v="97"/>
    <x v="3"/>
    <n v="6096"/>
    <s v="5K–10K"/>
    <x v="5"/>
    <n v="3.7745000000000002"/>
    <s v="Yes"/>
    <x v="1"/>
    <n v="102"/>
    <n v="67"/>
    <x v="2"/>
    <n v="0"/>
    <n v="0"/>
  </r>
  <r>
    <s v="P382356"/>
    <x v="1889"/>
    <n v="5946"/>
    <x v="80"/>
    <x v="3"/>
    <n v="6101"/>
    <s v="5K–10K"/>
    <x v="5"/>
    <n v="4.0349000000000004"/>
    <s v="Yes"/>
    <x v="0"/>
    <n v="86"/>
    <n v="98"/>
    <x v="2"/>
    <n v="0"/>
    <n v="0"/>
  </r>
  <r>
    <s v="P456407"/>
    <x v="1890"/>
    <n v="5987"/>
    <x v="9"/>
    <x v="4"/>
    <n v="6119"/>
    <s v="5K–10K"/>
    <x v="5"/>
    <n v="3.9582999999999999"/>
    <s v="Yes"/>
    <x v="1"/>
    <n v="24"/>
    <n v="34"/>
    <x v="0"/>
    <n v="0"/>
    <n v="0"/>
  </r>
  <r>
    <s v="P502749"/>
    <x v="1891"/>
    <n v="6285"/>
    <x v="21"/>
    <x v="2"/>
    <n v="6148"/>
    <s v="5K–10K"/>
    <x v="5"/>
    <n v="3.7722000000000002"/>
    <s v="Yes"/>
    <x v="1"/>
    <n v="79"/>
    <n v="17.989999999999998"/>
    <x v="1"/>
    <n v="0"/>
    <n v="0"/>
  </r>
  <r>
    <s v="P387511"/>
    <x v="1892"/>
    <n v="2366"/>
    <x v="66"/>
    <x v="3"/>
    <n v="6151"/>
    <s v="5K–10K"/>
    <x v="5"/>
    <n v="3.8805000000000001"/>
    <s v="Yes"/>
    <x v="1"/>
    <n v="159"/>
    <n v="115"/>
    <x v="2"/>
    <n v="0"/>
    <n v="0"/>
  </r>
  <r>
    <s v="P443375"/>
    <x v="1893"/>
    <n v="5337"/>
    <x v="32"/>
    <x v="3"/>
    <n v="6154"/>
    <s v="5K–10K"/>
    <x v="5"/>
    <n v="3.4847999999999999"/>
    <s v="Yes"/>
    <x v="1"/>
    <n v="33"/>
    <n v="75"/>
    <x v="2"/>
    <n v="0"/>
    <n v="0"/>
  </r>
  <r>
    <s v="P481748"/>
    <x v="1894"/>
    <n v="6373"/>
    <x v="83"/>
    <x v="3"/>
    <n v="6166"/>
    <s v="5K–10K"/>
    <x v="5"/>
    <n v="4.4061000000000003"/>
    <s v="Yes"/>
    <x v="0"/>
    <n v="229"/>
    <n v="56"/>
    <x v="2"/>
    <n v="0"/>
    <n v="0"/>
  </r>
  <r>
    <s v="P474116"/>
    <x v="1895"/>
    <n v="6358"/>
    <x v="81"/>
    <x v="8"/>
    <n v="6166"/>
    <s v="5K–10K"/>
    <x v="5"/>
    <n v="4.4893999999999998"/>
    <s v="Yes"/>
    <x v="0"/>
    <n v="47"/>
    <n v="72"/>
    <x v="2"/>
    <n v="0"/>
    <n v="0"/>
  </r>
  <r>
    <s v="P474057"/>
    <x v="1896"/>
    <n v="3297"/>
    <x v="34"/>
    <x v="0"/>
    <n v="6167"/>
    <s v="5K–10K"/>
    <x v="5"/>
    <n v="4.8947000000000003"/>
    <s v="Yes"/>
    <x v="0"/>
    <n v="19"/>
    <n v="13"/>
    <x v="1"/>
    <n v="0"/>
    <n v="0"/>
  </r>
  <r>
    <s v="P500445"/>
    <x v="1897"/>
    <n v="6331"/>
    <x v="133"/>
    <x v="6"/>
    <n v="6187"/>
    <s v="5K–10K"/>
    <x v="5"/>
    <n v="4.2702999999999998"/>
    <s v="Yes"/>
    <x v="0"/>
    <n v="37"/>
    <n v="29"/>
    <x v="0"/>
    <n v="0"/>
    <n v="0"/>
  </r>
  <r>
    <s v="P467617"/>
    <x v="1898"/>
    <n v="6334"/>
    <x v="120"/>
    <x v="10"/>
    <n v="6191"/>
    <s v="5K–10K"/>
    <x v="5"/>
    <n v="4.5084"/>
    <s v="Yes"/>
    <x v="0"/>
    <n v="297"/>
    <n v="35"/>
    <x v="0"/>
    <n v="0"/>
    <n v="0"/>
  </r>
  <r>
    <s v="P448200"/>
    <x v="1899"/>
    <n v="5337"/>
    <x v="32"/>
    <x v="3"/>
    <n v="6215"/>
    <s v="5K–10K"/>
    <x v="5"/>
    <n v="4.6036999999999999"/>
    <s v="Yes"/>
    <x v="0"/>
    <n v="164"/>
    <n v="75"/>
    <x v="2"/>
    <n v="0"/>
    <n v="0"/>
  </r>
  <r>
    <s v="P462390"/>
    <x v="1900"/>
    <n v="3728"/>
    <x v="41"/>
    <x v="1"/>
    <n v="6220"/>
    <s v="5K–10K"/>
    <x v="5"/>
    <n v="4.3836000000000004"/>
    <s v="Yes"/>
    <x v="0"/>
    <n v="438"/>
    <n v="58"/>
    <x v="2"/>
    <n v="0"/>
    <n v="0"/>
  </r>
  <r>
    <s v="P476513"/>
    <x v="1901"/>
    <n v="1132"/>
    <x v="60"/>
    <x v="7"/>
    <n v="6222"/>
    <s v="5K–10K"/>
    <x v="5"/>
    <n v="4.3464999999999998"/>
    <s v="Yes"/>
    <x v="0"/>
    <n v="1215"/>
    <n v="55"/>
    <x v="2"/>
    <n v="0"/>
    <n v="0"/>
  </r>
  <r>
    <s v="P456193"/>
    <x v="1902"/>
    <n v="6310"/>
    <x v="136"/>
    <x v="3"/>
    <n v="6228"/>
    <s v="5K–10K"/>
    <x v="5"/>
    <n v="4.5301999999999998"/>
    <s v="Yes"/>
    <x v="0"/>
    <n v="381"/>
    <n v="68"/>
    <x v="2"/>
    <n v="0"/>
    <n v="1"/>
  </r>
  <r>
    <s v="P503683"/>
    <x v="1903"/>
    <n v="6209"/>
    <x v="8"/>
    <x v="10"/>
    <n v="6248"/>
    <s v="5K–10K"/>
    <x v="5"/>
    <n v="4.7073"/>
    <s v="Yes"/>
    <x v="0"/>
    <n v="82"/>
    <n v="19"/>
    <x v="1"/>
    <n v="0"/>
    <n v="0"/>
  </r>
  <r>
    <s v="P417115"/>
    <x v="1904"/>
    <n v="6201"/>
    <x v="44"/>
    <x v="5"/>
    <n v="6256"/>
    <s v="5K–10K"/>
    <x v="5"/>
    <n v="4.4570999999999996"/>
    <s v="Yes"/>
    <x v="0"/>
    <n v="35"/>
    <n v="200"/>
    <x v="2"/>
    <n v="0"/>
    <n v="0"/>
  </r>
  <r>
    <s v="P467120"/>
    <x v="1905"/>
    <n v="6335"/>
    <x v="103"/>
    <x v="2"/>
    <n v="6260"/>
    <s v="5K–10K"/>
    <x v="5"/>
    <n v="4.0991999999999997"/>
    <s v="Yes"/>
    <x v="0"/>
    <n v="363"/>
    <n v="39"/>
    <x v="0"/>
    <n v="0"/>
    <n v="0"/>
  </r>
  <r>
    <s v="P447783"/>
    <x v="1906"/>
    <n v="6302"/>
    <x v="114"/>
    <x v="2"/>
    <n v="6271"/>
    <s v="5K–10K"/>
    <x v="5"/>
    <n v="4.2"/>
    <s v="Yes"/>
    <x v="0"/>
    <n v="70"/>
    <n v="75"/>
    <x v="2"/>
    <n v="0"/>
    <n v="0"/>
  </r>
  <r>
    <s v="P447213"/>
    <x v="1907"/>
    <n v="6303"/>
    <x v="127"/>
    <x v="1"/>
    <n v="6274"/>
    <s v="5K–10K"/>
    <x v="5"/>
    <n v="4.4459"/>
    <s v="Yes"/>
    <x v="0"/>
    <n v="148"/>
    <n v="105"/>
    <x v="2"/>
    <n v="0"/>
    <n v="0"/>
  </r>
  <r>
    <s v="P454391"/>
    <x v="1908"/>
    <n v="5987"/>
    <x v="9"/>
    <x v="4"/>
    <n v="6277"/>
    <s v="5K–10K"/>
    <x v="5"/>
    <n v="3.3683999999999998"/>
    <s v="Yes"/>
    <x v="1"/>
    <n v="19"/>
    <n v="21"/>
    <x v="0"/>
    <n v="0"/>
    <n v="0"/>
  </r>
  <r>
    <s v="P440485"/>
    <x v="1909"/>
    <n v="8017"/>
    <x v="56"/>
    <x v="2"/>
    <n v="6291"/>
    <s v="5K–10K"/>
    <x v="5"/>
    <n v="3.75"/>
    <s v="Yes"/>
    <x v="1"/>
    <n v="72"/>
    <n v="14"/>
    <x v="1"/>
    <n v="0"/>
    <n v="0"/>
  </r>
  <r>
    <s v="P503936"/>
    <x v="1910"/>
    <n v="4348"/>
    <x v="11"/>
    <x v="3"/>
    <n v="6292"/>
    <s v="5K–10K"/>
    <x v="5"/>
    <n v="4.8433999999999999"/>
    <s v="Yes"/>
    <x v="0"/>
    <n v="1386"/>
    <n v="95"/>
    <x v="2"/>
    <n v="0"/>
    <n v="0"/>
  </r>
  <r>
    <s v="P483057"/>
    <x v="1911"/>
    <n v="7091"/>
    <x v="71"/>
    <x v="0"/>
    <n v="6293"/>
    <s v="5K–10K"/>
    <x v="5"/>
    <n v="2.4211"/>
    <s v="Yes"/>
    <x v="2"/>
    <n v="19"/>
    <n v="18"/>
    <x v="1"/>
    <n v="0"/>
    <n v="0"/>
  </r>
  <r>
    <s v="P405032"/>
    <x v="1912"/>
    <n v="6089"/>
    <x v="45"/>
    <x v="5"/>
    <n v="6293"/>
    <s v="5K–10K"/>
    <x v="5"/>
    <n v="4.25"/>
    <s v="Yes"/>
    <x v="0"/>
    <n v="24"/>
    <n v="75"/>
    <x v="2"/>
    <n v="0"/>
    <n v="0"/>
  </r>
  <r>
    <s v="P480358"/>
    <x v="1913"/>
    <n v="6375"/>
    <x v="124"/>
    <x v="9"/>
    <n v="6299"/>
    <s v="5K–10K"/>
    <x v="5"/>
    <n v="4.5999999999999996"/>
    <s v="Yes"/>
    <x v="0"/>
    <n v="25"/>
    <n v="18"/>
    <x v="1"/>
    <n v="0"/>
    <n v="0"/>
  </r>
  <r>
    <s v="P380000"/>
    <x v="1914"/>
    <n v="6089"/>
    <x v="45"/>
    <x v="3"/>
    <n v="6300"/>
    <s v="5K–10K"/>
    <x v="5"/>
    <n v="4.3154000000000003"/>
    <s v="Yes"/>
    <x v="0"/>
    <n v="298"/>
    <n v="36"/>
    <x v="0"/>
    <n v="0"/>
    <n v="0"/>
  </r>
  <r>
    <s v="P428639"/>
    <x v="1915"/>
    <n v="6201"/>
    <x v="44"/>
    <x v="7"/>
    <n v="6304"/>
    <s v="5K–10K"/>
    <x v="5"/>
    <n v="4.3076999999999996"/>
    <s v="Yes"/>
    <x v="0"/>
    <n v="13"/>
    <n v="145"/>
    <x v="2"/>
    <n v="0"/>
    <n v="0"/>
  </r>
  <r>
    <s v="P466878"/>
    <x v="1916"/>
    <n v="5668"/>
    <x v="16"/>
    <x v="7"/>
    <n v="6308"/>
    <s v="5K–10K"/>
    <x v="5"/>
    <n v="2.8824000000000001"/>
    <s v="Yes"/>
    <x v="2"/>
    <n v="17"/>
    <n v="18"/>
    <x v="1"/>
    <n v="0"/>
    <n v="0"/>
  </r>
  <r>
    <s v="P482314"/>
    <x v="1917"/>
    <n v="3902"/>
    <x v="13"/>
    <x v="2"/>
    <n v="6314"/>
    <s v="5K–10K"/>
    <x v="5"/>
    <n v="2.8666999999999998"/>
    <s v="Yes"/>
    <x v="2"/>
    <n v="15"/>
    <n v="4"/>
    <x v="1"/>
    <n v="0"/>
    <n v="0"/>
  </r>
  <r>
    <s v="P443366"/>
    <x v="1918"/>
    <n v="6219"/>
    <x v="39"/>
    <x v="3"/>
    <n v="6322"/>
    <s v="5K–10K"/>
    <x v="5"/>
    <n v="4.3571"/>
    <s v="Yes"/>
    <x v="0"/>
    <n v="140"/>
    <n v="69"/>
    <x v="2"/>
    <n v="0"/>
    <n v="0"/>
  </r>
  <r>
    <s v="P480445"/>
    <x v="1919"/>
    <n v="5972"/>
    <x v="10"/>
    <x v="10"/>
    <n v="6327"/>
    <s v="5K–10K"/>
    <x v="5"/>
    <n v="5"/>
    <s v="Yes"/>
    <x v="0"/>
    <n v="1"/>
    <n v="20"/>
    <x v="0"/>
    <n v="0"/>
    <n v="0"/>
  </r>
  <r>
    <s v="P442539"/>
    <x v="1920"/>
    <n v="6283"/>
    <x v="55"/>
    <x v="1"/>
    <n v="6331"/>
    <s v="5K–10K"/>
    <x v="5"/>
    <n v="4.2618999999999998"/>
    <s v="Yes"/>
    <x v="0"/>
    <n v="84"/>
    <n v="65"/>
    <x v="2"/>
    <n v="0"/>
    <n v="0"/>
  </r>
  <r>
    <s v="P456569"/>
    <x v="1921"/>
    <n v="6219"/>
    <x v="39"/>
    <x v="2"/>
    <n v="6366"/>
    <s v="5K–10K"/>
    <x v="5"/>
    <n v="4.6086999999999998"/>
    <s v="Yes"/>
    <x v="0"/>
    <n v="23"/>
    <n v="42"/>
    <x v="0"/>
    <n v="0"/>
    <n v="0"/>
  </r>
  <r>
    <s v="P440499"/>
    <x v="1922"/>
    <n v="8017"/>
    <x v="56"/>
    <x v="1"/>
    <n v="6384"/>
    <s v="5K–10K"/>
    <x v="5"/>
    <n v="4.3939000000000004"/>
    <s v="Yes"/>
    <x v="0"/>
    <n v="33"/>
    <n v="12"/>
    <x v="1"/>
    <n v="0"/>
    <n v="0"/>
  </r>
  <r>
    <s v="P452002"/>
    <x v="1923"/>
    <n v="7091"/>
    <x v="71"/>
    <x v="4"/>
    <n v="6396"/>
    <s v="5K–10K"/>
    <x v="5"/>
    <n v="3.9148999999999998"/>
    <s v="Yes"/>
    <x v="1"/>
    <n v="47"/>
    <n v="32"/>
    <x v="0"/>
    <n v="0"/>
    <n v="0"/>
  </r>
  <r>
    <s v="P423165"/>
    <x v="1924"/>
    <n v="5337"/>
    <x v="32"/>
    <x v="8"/>
    <n v="6410"/>
    <s v="5K–10K"/>
    <x v="5"/>
    <n v="4.0833000000000004"/>
    <s v="Yes"/>
    <x v="0"/>
    <n v="36"/>
    <n v="155"/>
    <x v="2"/>
    <n v="0"/>
    <n v="0"/>
  </r>
  <r>
    <s v="P481704"/>
    <x v="1925"/>
    <n v="4348"/>
    <x v="11"/>
    <x v="5"/>
    <n v="6419"/>
    <s v="5K–10K"/>
    <x v="5"/>
    <n v="4.5"/>
    <s v="Yes"/>
    <x v="0"/>
    <n v="4"/>
    <n v="58"/>
    <x v="2"/>
    <n v="0"/>
    <n v="0"/>
  </r>
  <r>
    <s v="P423690"/>
    <x v="1926"/>
    <n v="6219"/>
    <x v="39"/>
    <x v="2"/>
    <n v="6435"/>
    <s v="5K–10K"/>
    <x v="5"/>
    <n v="4.1071"/>
    <s v="Yes"/>
    <x v="0"/>
    <n v="28"/>
    <n v="48"/>
    <x v="0"/>
    <n v="0"/>
    <n v="0"/>
  </r>
  <r>
    <s v="P461950"/>
    <x v="1927"/>
    <n v="6201"/>
    <x v="44"/>
    <x v="7"/>
    <n v="6441"/>
    <s v="5K–10K"/>
    <x v="5"/>
    <n v="4.4443999999999999"/>
    <s v="Yes"/>
    <x v="0"/>
    <n v="18"/>
    <n v="220"/>
    <x v="2"/>
    <n v="0"/>
    <n v="0"/>
  </r>
  <r>
    <s v="P503927"/>
    <x v="1928"/>
    <n v="5668"/>
    <x v="16"/>
    <x v="5"/>
    <n v="6445"/>
    <s v="5K–10K"/>
    <x v="5"/>
    <n v="4.5896999999999997"/>
    <s v="Yes"/>
    <x v="0"/>
    <n v="117"/>
    <n v="12"/>
    <x v="1"/>
    <n v="1"/>
    <n v="0"/>
  </r>
  <r>
    <s v="P451728"/>
    <x v="1929"/>
    <n v="6236"/>
    <x v="38"/>
    <x v="5"/>
    <n v="6446"/>
    <s v="5K–10K"/>
    <x v="5"/>
    <n v="3.0832999999999999"/>
    <s v="Yes"/>
    <x v="1"/>
    <n v="12"/>
    <n v="16"/>
    <x v="1"/>
    <n v="0"/>
    <n v="0"/>
  </r>
  <r>
    <s v="P454939"/>
    <x v="1930"/>
    <n v="6089"/>
    <x v="45"/>
    <x v="1"/>
    <n v="6458"/>
    <s v="5K–10K"/>
    <x v="5"/>
    <n v="4.1303999999999998"/>
    <s v="Yes"/>
    <x v="0"/>
    <n v="23"/>
    <n v="86"/>
    <x v="2"/>
    <n v="0"/>
    <n v="0"/>
  </r>
  <r>
    <s v="P503262"/>
    <x v="1931"/>
    <n v="6312"/>
    <x v="87"/>
    <x v="10"/>
    <n v="6469"/>
    <s v="5K–10K"/>
    <x v="5"/>
    <n v="4.8888999999999996"/>
    <s v="Yes"/>
    <x v="0"/>
    <n v="18"/>
    <n v="49"/>
    <x v="0"/>
    <n v="0"/>
    <n v="1"/>
  </r>
  <r>
    <s v="P463613"/>
    <x v="1932"/>
    <n v="1254"/>
    <x v="24"/>
    <x v="3"/>
    <n v="6473"/>
    <s v="5K–10K"/>
    <x v="5"/>
    <n v="3.4687999999999999"/>
    <s v="Yes"/>
    <x v="1"/>
    <n v="96"/>
    <n v="44"/>
    <x v="0"/>
    <n v="0"/>
    <n v="0"/>
  </r>
  <r>
    <s v="P442867"/>
    <x v="1933"/>
    <n v="5946"/>
    <x v="80"/>
    <x v="1"/>
    <n v="6479"/>
    <s v="5K–10K"/>
    <x v="5"/>
    <n v="4.4297000000000004"/>
    <s v="Yes"/>
    <x v="0"/>
    <n v="384"/>
    <n v="98"/>
    <x v="2"/>
    <n v="0"/>
    <n v="0"/>
  </r>
  <r>
    <s v="P461451"/>
    <x v="1934"/>
    <n v="1132"/>
    <x v="60"/>
    <x v="2"/>
    <n v="6480"/>
    <s v="5K–10K"/>
    <x v="5"/>
    <n v="4.2565999999999997"/>
    <s v="Yes"/>
    <x v="0"/>
    <n v="834"/>
    <n v="85"/>
    <x v="2"/>
    <n v="0"/>
    <n v="0"/>
  </r>
  <r>
    <s v="P500471"/>
    <x v="1935"/>
    <n v="1063"/>
    <x v="137"/>
    <x v="3"/>
    <n v="6498"/>
    <s v="5K–10K"/>
    <x v="5"/>
    <n v="4.6651999999999996"/>
    <s v="Yes"/>
    <x v="0"/>
    <n v="451"/>
    <n v="78"/>
    <x v="2"/>
    <n v="0"/>
    <n v="0"/>
  </r>
  <r>
    <s v="P503872"/>
    <x v="840"/>
    <n v="6169"/>
    <x v="3"/>
    <x v="2"/>
    <n v="6510"/>
    <s v="5K–10K"/>
    <x v="5"/>
    <n v="4.8"/>
    <s v="Yes"/>
    <x v="0"/>
    <n v="5"/>
    <n v="16"/>
    <x v="1"/>
    <n v="0"/>
    <n v="0"/>
  </r>
  <r>
    <s v="P474972"/>
    <x v="1936"/>
    <n v="6285"/>
    <x v="21"/>
    <x v="3"/>
    <n v="6523"/>
    <s v="5K–10K"/>
    <x v="5"/>
    <n v="3.3466999999999998"/>
    <s v="Yes"/>
    <x v="1"/>
    <n v="75"/>
    <n v="13.99"/>
    <x v="1"/>
    <n v="0"/>
    <n v="0"/>
  </r>
  <r>
    <s v="P454807"/>
    <x v="1937"/>
    <n v="1073"/>
    <x v="52"/>
    <x v="8"/>
    <n v="6539"/>
    <s v="5K–10K"/>
    <x v="5"/>
    <n v="4.3888999999999996"/>
    <s v="Yes"/>
    <x v="0"/>
    <n v="18"/>
    <n v="80"/>
    <x v="2"/>
    <n v="0"/>
    <n v="0"/>
  </r>
  <r>
    <s v="P392892"/>
    <x v="1938"/>
    <n v="6089"/>
    <x v="45"/>
    <x v="3"/>
    <n v="6546"/>
    <s v="5K–10K"/>
    <x v="5"/>
    <n v="3.8780000000000001"/>
    <s v="Yes"/>
    <x v="1"/>
    <n v="41"/>
    <n v="70"/>
    <x v="2"/>
    <n v="0"/>
    <n v="1"/>
  </r>
  <r>
    <s v="P412407"/>
    <x v="1939"/>
    <n v="7020"/>
    <x v="70"/>
    <x v="3"/>
    <n v="6554"/>
    <s v="5K–10K"/>
    <x v="5"/>
    <n v="3.8519000000000001"/>
    <s v="Yes"/>
    <x v="1"/>
    <n v="81"/>
    <n v="130"/>
    <x v="2"/>
    <n v="0"/>
    <n v="0"/>
  </r>
  <r>
    <s v="P503110"/>
    <x v="1940"/>
    <n v="6352"/>
    <x v="35"/>
    <x v="10"/>
    <n v="6562"/>
    <s v="5K–10K"/>
    <x v="5"/>
    <m/>
    <s v="No"/>
    <x v="3"/>
    <n v="0"/>
    <n v="19"/>
    <x v="1"/>
    <n v="0"/>
    <n v="0"/>
  </r>
  <r>
    <s v="P472025"/>
    <x v="1941"/>
    <n v="6349"/>
    <x v="104"/>
    <x v="2"/>
    <n v="6564"/>
    <s v="5K–10K"/>
    <x v="5"/>
    <n v="4.7602000000000002"/>
    <s v="Yes"/>
    <x v="0"/>
    <n v="196"/>
    <n v="46"/>
    <x v="0"/>
    <n v="0"/>
    <n v="0"/>
  </r>
  <r>
    <s v="P504134"/>
    <x v="1942"/>
    <n v="6749"/>
    <x v="111"/>
    <x v="0"/>
    <n v="6580"/>
    <s v="5K–10K"/>
    <x v="5"/>
    <n v="4.4443999999999999"/>
    <s v="Yes"/>
    <x v="0"/>
    <n v="36"/>
    <n v="26"/>
    <x v="0"/>
    <n v="1"/>
    <n v="0"/>
  </r>
  <r>
    <s v="P122767"/>
    <x v="1943"/>
    <n v="1254"/>
    <x v="24"/>
    <x v="0"/>
    <n v="6581"/>
    <s v="5K–10K"/>
    <x v="5"/>
    <n v="4.0178000000000003"/>
    <s v="Yes"/>
    <x v="0"/>
    <n v="169"/>
    <n v="28"/>
    <x v="0"/>
    <n v="0"/>
    <n v="1"/>
  </r>
  <r>
    <s v="P468640"/>
    <x v="1944"/>
    <n v="7091"/>
    <x v="71"/>
    <x v="4"/>
    <n v="6587"/>
    <s v="5K–10K"/>
    <x v="5"/>
    <n v="4.5804999999999998"/>
    <s v="Yes"/>
    <x v="0"/>
    <n v="267"/>
    <n v="48"/>
    <x v="0"/>
    <n v="0"/>
    <n v="0"/>
  </r>
  <r>
    <s v="P217931"/>
    <x v="1945"/>
    <n v="1741"/>
    <x v="42"/>
    <x v="2"/>
    <n v="6619"/>
    <s v="5K–10K"/>
    <x v="5"/>
    <n v="4.1029999999999998"/>
    <s v="Yes"/>
    <x v="0"/>
    <n v="165"/>
    <n v="31"/>
    <x v="0"/>
    <n v="0"/>
    <n v="1"/>
  </r>
  <r>
    <s v="P503942"/>
    <x v="1946"/>
    <n v="6295"/>
    <x v="28"/>
    <x v="2"/>
    <n v="6627"/>
    <s v="5K–10K"/>
    <x v="5"/>
    <n v="4.3076999999999996"/>
    <s v="Yes"/>
    <x v="0"/>
    <n v="13"/>
    <n v="24"/>
    <x v="0"/>
    <n v="0"/>
    <n v="0"/>
  </r>
  <r>
    <s v="P429676"/>
    <x v="1947"/>
    <n v="1073"/>
    <x v="52"/>
    <x v="8"/>
    <n v="6630"/>
    <s v="5K–10K"/>
    <x v="5"/>
    <n v="3.3226"/>
    <s v="Yes"/>
    <x v="1"/>
    <n v="31"/>
    <n v="60"/>
    <x v="2"/>
    <n v="0"/>
    <n v="0"/>
  </r>
  <r>
    <s v="P409816"/>
    <x v="1948"/>
    <n v="3733"/>
    <x v="22"/>
    <x v="3"/>
    <n v="6634"/>
    <s v="5K–10K"/>
    <x v="5"/>
    <n v="4.4000000000000004"/>
    <s v="Yes"/>
    <x v="0"/>
    <n v="45"/>
    <n v="73"/>
    <x v="2"/>
    <n v="0"/>
    <n v="0"/>
  </r>
  <r>
    <s v="P440491"/>
    <x v="1949"/>
    <n v="8017"/>
    <x v="56"/>
    <x v="2"/>
    <n v="6646"/>
    <s v="5K–10K"/>
    <x v="5"/>
    <n v="4.5404999999999998"/>
    <s v="Yes"/>
    <x v="0"/>
    <n v="37"/>
    <n v="26"/>
    <x v="0"/>
    <n v="0"/>
    <n v="0"/>
  </r>
  <r>
    <s v="P456399"/>
    <x v="1950"/>
    <n v="5337"/>
    <x v="32"/>
    <x v="4"/>
    <n v="6649"/>
    <s v="5K–10K"/>
    <x v="5"/>
    <n v="4.2759999999999998"/>
    <s v="Yes"/>
    <x v="0"/>
    <n v="605"/>
    <n v="40"/>
    <x v="0"/>
    <n v="0"/>
    <n v="0"/>
  </r>
  <r>
    <s v="P501166"/>
    <x v="1951"/>
    <n v="5668"/>
    <x v="16"/>
    <x v="3"/>
    <n v="6654"/>
    <s v="5K–10K"/>
    <x v="5"/>
    <n v="4.6577000000000002"/>
    <s v="Yes"/>
    <x v="0"/>
    <n v="111"/>
    <n v="72"/>
    <x v="2"/>
    <n v="0"/>
    <n v="0"/>
  </r>
  <r>
    <s v="P500775"/>
    <x v="1952"/>
    <n v="6285"/>
    <x v="21"/>
    <x v="10"/>
    <n v="6671"/>
    <s v="5K–10K"/>
    <x v="5"/>
    <n v="3.75"/>
    <s v="Yes"/>
    <x v="1"/>
    <n v="4"/>
    <n v="27"/>
    <x v="0"/>
    <n v="0"/>
    <n v="0"/>
  </r>
  <r>
    <s v="P482740"/>
    <x v="1953"/>
    <n v="5337"/>
    <x v="32"/>
    <x v="4"/>
    <n v="6680"/>
    <s v="5K–10K"/>
    <x v="5"/>
    <n v="4.4348000000000001"/>
    <s v="Yes"/>
    <x v="0"/>
    <n v="46"/>
    <n v="35"/>
    <x v="0"/>
    <n v="0"/>
    <n v="0"/>
  </r>
  <r>
    <s v="P477812"/>
    <x v="1954"/>
    <n v="6236"/>
    <x v="38"/>
    <x v="3"/>
    <n v="6696"/>
    <s v="5K–10K"/>
    <x v="5"/>
    <n v="3.75"/>
    <s v="Yes"/>
    <x v="1"/>
    <n v="4"/>
    <n v="260"/>
    <x v="2"/>
    <n v="0"/>
    <n v="0"/>
  </r>
  <r>
    <s v="P462344"/>
    <x v="1955"/>
    <n v="6219"/>
    <x v="39"/>
    <x v="2"/>
    <n v="6698"/>
    <s v="5K–10K"/>
    <x v="5"/>
    <n v="4.4405999999999999"/>
    <s v="Yes"/>
    <x v="0"/>
    <n v="320"/>
    <n v="64"/>
    <x v="2"/>
    <n v="0"/>
    <n v="0"/>
  </r>
  <r>
    <s v="P417114"/>
    <x v="1956"/>
    <n v="6201"/>
    <x v="44"/>
    <x v="2"/>
    <n v="6735"/>
    <s v="5K–10K"/>
    <x v="5"/>
    <n v="4.2"/>
    <s v="Yes"/>
    <x v="0"/>
    <n v="45"/>
    <n v="95"/>
    <x v="2"/>
    <n v="0"/>
    <n v="0"/>
  </r>
  <r>
    <s v="P503930"/>
    <x v="1957"/>
    <n v="6295"/>
    <x v="28"/>
    <x v="8"/>
    <n v="6741"/>
    <s v="5K–10K"/>
    <x v="5"/>
    <n v="3.8"/>
    <s v="Yes"/>
    <x v="1"/>
    <n v="10"/>
    <n v="22"/>
    <x v="0"/>
    <n v="0"/>
    <n v="0"/>
  </r>
  <r>
    <s v="P482298"/>
    <x v="1958"/>
    <n v="3733"/>
    <x v="22"/>
    <x v="3"/>
    <n v="6749"/>
    <s v="5K–10K"/>
    <x v="5"/>
    <n v="4.4028"/>
    <s v="Yes"/>
    <x v="0"/>
    <n v="571"/>
    <n v="40"/>
    <x v="0"/>
    <n v="0"/>
    <n v="0"/>
  </r>
  <r>
    <s v="P471085"/>
    <x v="1959"/>
    <n v="3902"/>
    <x v="13"/>
    <x v="1"/>
    <n v="6752"/>
    <s v="5K–10K"/>
    <x v="5"/>
    <n v="3.6111"/>
    <s v="Yes"/>
    <x v="1"/>
    <n v="36"/>
    <n v="20"/>
    <x v="0"/>
    <n v="0"/>
    <n v="0"/>
  </r>
  <r>
    <s v="P464288"/>
    <x v="1960"/>
    <n v="3902"/>
    <x v="13"/>
    <x v="9"/>
    <n v="6754"/>
    <s v="5K–10K"/>
    <x v="5"/>
    <n v="2.9411999999999998"/>
    <s v="Yes"/>
    <x v="2"/>
    <n v="17"/>
    <n v="8"/>
    <x v="1"/>
    <n v="0"/>
    <n v="0"/>
  </r>
  <r>
    <s v="P503934"/>
    <x v="1961"/>
    <n v="6125"/>
    <x v="0"/>
    <x v="10"/>
    <n v="6757"/>
    <s v="5K–10K"/>
    <x v="5"/>
    <n v="3.6667000000000001"/>
    <s v="Yes"/>
    <x v="1"/>
    <n v="3"/>
    <n v="35"/>
    <x v="0"/>
    <n v="1"/>
    <n v="0"/>
  </r>
  <r>
    <s v="P455215"/>
    <x v="1962"/>
    <n v="3902"/>
    <x v="13"/>
    <x v="3"/>
    <n v="6763"/>
    <s v="5K–10K"/>
    <x v="5"/>
    <n v="3.3260999999999998"/>
    <s v="Yes"/>
    <x v="1"/>
    <n v="46"/>
    <n v="17"/>
    <x v="1"/>
    <n v="0"/>
    <n v="0"/>
  </r>
  <r>
    <s v="P482269"/>
    <x v="1963"/>
    <n v="5922"/>
    <x v="31"/>
    <x v="4"/>
    <n v="6781"/>
    <s v="5K–10K"/>
    <x v="5"/>
    <n v="4.6917"/>
    <s v="Yes"/>
    <x v="0"/>
    <n v="266"/>
    <n v="46"/>
    <x v="0"/>
    <n v="0"/>
    <n v="0"/>
  </r>
  <r>
    <s v="P455909"/>
    <x v="1964"/>
    <n v="8017"/>
    <x v="56"/>
    <x v="3"/>
    <n v="6786"/>
    <s v="5K–10K"/>
    <x v="5"/>
    <n v="4.4375"/>
    <s v="Yes"/>
    <x v="0"/>
    <n v="32"/>
    <n v="7"/>
    <x v="1"/>
    <n v="0"/>
    <n v="0"/>
  </r>
  <r>
    <s v="P459133"/>
    <x v="1965"/>
    <n v="5674"/>
    <x v="25"/>
    <x v="7"/>
    <n v="6786"/>
    <s v="5K–10K"/>
    <x v="5"/>
    <n v="4.2371999999999996"/>
    <s v="Yes"/>
    <x v="0"/>
    <n v="527"/>
    <n v="16"/>
    <x v="1"/>
    <n v="0"/>
    <n v="0"/>
  </r>
  <r>
    <s v="P455191"/>
    <x v="1966"/>
    <n v="6216"/>
    <x v="131"/>
    <x v="7"/>
    <n v="6802"/>
    <s v="5K–10K"/>
    <x v="5"/>
    <n v="3.5882000000000001"/>
    <s v="Yes"/>
    <x v="1"/>
    <n v="17"/>
    <n v="14"/>
    <x v="1"/>
    <n v="0"/>
    <n v="1"/>
  </r>
  <r>
    <s v="P457002"/>
    <x v="1967"/>
    <n v="6226"/>
    <x v="84"/>
    <x v="9"/>
    <n v="6806"/>
    <s v="5K–10K"/>
    <x v="5"/>
    <n v="4.8696000000000002"/>
    <s v="Yes"/>
    <x v="0"/>
    <n v="69"/>
    <n v="60"/>
    <x v="2"/>
    <n v="0"/>
    <n v="1"/>
  </r>
  <r>
    <s v="P282935"/>
    <x v="1968"/>
    <n v="6018"/>
    <x v="78"/>
    <x v="3"/>
    <n v="6807"/>
    <s v="5K–10K"/>
    <x v="5"/>
    <n v="4.2714999999999996"/>
    <s v="Yes"/>
    <x v="0"/>
    <n v="221"/>
    <n v="94"/>
    <x v="2"/>
    <n v="0"/>
    <n v="1"/>
  </r>
  <r>
    <s v="P472180"/>
    <x v="1969"/>
    <n v="5674"/>
    <x v="25"/>
    <x v="10"/>
    <n v="6808"/>
    <s v="5K–10K"/>
    <x v="5"/>
    <n v="3.6364000000000001"/>
    <s v="Yes"/>
    <x v="1"/>
    <n v="22"/>
    <n v="40"/>
    <x v="0"/>
    <n v="0"/>
    <n v="0"/>
  </r>
  <r>
    <s v="P481060"/>
    <x v="1970"/>
    <n v="6272"/>
    <x v="46"/>
    <x v="8"/>
    <n v="6812"/>
    <s v="5K–10K"/>
    <x v="5"/>
    <n v="4.6909000000000001"/>
    <s v="Yes"/>
    <x v="0"/>
    <n v="55"/>
    <n v="58"/>
    <x v="2"/>
    <n v="0"/>
    <n v="0"/>
  </r>
  <r>
    <s v="P503913"/>
    <x v="1971"/>
    <n v="6218"/>
    <x v="20"/>
    <x v="3"/>
    <n v="6823"/>
    <s v="5K–10K"/>
    <x v="5"/>
    <n v="4.7556000000000003"/>
    <s v="Yes"/>
    <x v="0"/>
    <n v="311"/>
    <n v="48"/>
    <x v="0"/>
    <n v="1"/>
    <n v="0"/>
  </r>
  <r>
    <s v="P475086"/>
    <x v="1972"/>
    <n v="6219"/>
    <x v="39"/>
    <x v="3"/>
    <n v="6836"/>
    <s v="5K–10K"/>
    <x v="5"/>
    <n v="4.6383999999999999"/>
    <s v="Yes"/>
    <x v="0"/>
    <n v="271"/>
    <n v="69"/>
    <x v="2"/>
    <n v="0"/>
    <n v="0"/>
  </r>
  <r>
    <s v="P471545"/>
    <x v="1973"/>
    <n v="5668"/>
    <x v="16"/>
    <x v="11"/>
    <n v="6836"/>
    <s v="5K–10K"/>
    <x v="5"/>
    <n v="4.25"/>
    <s v="Yes"/>
    <x v="0"/>
    <n v="4"/>
    <n v="465"/>
    <x v="2"/>
    <n v="0"/>
    <n v="0"/>
  </r>
  <r>
    <s v="P504272"/>
    <x v="1974"/>
    <n v="4348"/>
    <x v="11"/>
    <x v="10"/>
    <n v="6842"/>
    <s v="5K–10K"/>
    <x v="5"/>
    <n v="3.2856999999999998"/>
    <s v="Yes"/>
    <x v="1"/>
    <n v="7"/>
    <n v="59"/>
    <x v="2"/>
    <n v="1"/>
    <n v="0"/>
  </r>
  <r>
    <s v="P500287"/>
    <x v="1975"/>
    <n v="6742"/>
    <x v="95"/>
    <x v="4"/>
    <n v="6848"/>
    <s v="5K–10K"/>
    <x v="5"/>
    <n v="4.5999999999999996"/>
    <s v="Yes"/>
    <x v="0"/>
    <n v="10"/>
    <n v="32"/>
    <x v="0"/>
    <n v="0"/>
    <n v="0"/>
  </r>
  <r>
    <s v="P428005"/>
    <x v="1976"/>
    <n v="6001"/>
    <x v="76"/>
    <x v="11"/>
    <n v="6851"/>
    <s v="5K–10K"/>
    <x v="5"/>
    <n v="4.25"/>
    <s v="Yes"/>
    <x v="0"/>
    <n v="20"/>
    <n v="399"/>
    <x v="2"/>
    <n v="0"/>
    <n v="0"/>
  </r>
  <r>
    <s v="P475203"/>
    <x v="1977"/>
    <n v="6373"/>
    <x v="83"/>
    <x v="3"/>
    <n v="6853"/>
    <s v="5K–10K"/>
    <x v="5"/>
    <n v="4.1883999999999997"/>
    <s v="Yes"/>
    <x v="0"/>
    <n v="398"/>
    <n v="26"/>
    <x v="0"/>
    <n v="0"/>
    <n v="0"/>
  </r>
  <r>
    <s v="P502771"/>
    <x v="1978"/>
    <n v="6316"/>
    <x v="49"/>
    <x v="10"/>
    <n v="6854"/>
    <s v="5K–10K"/>
    <x v="5"/>
    <n v="2.8332999999999999"/>
    <s v="Yes"/>
    <x v="2"/>
    <n v="6"/>
    <n v="29"/>
    <x v="0"/>
    <n v="0"/>
    <n v="0"/>
  </r>
  <r>
    <s v="P481710"/>
    <x v="1979"/>
    <n v="6368"/>
    <x v="86"/>
    <x v="5"/>
    <n v="6857"/>
    <s v="5K–10K"/>
    <x v="5"/>
    <n v="4.4762000000000004"/>
    <s v="Yes"/>
    <x v="0"/>
    <n v="63"/>
    <n v="48"/>
    <x v="0"/>
    <n v="0"/>
    <n v="0"/>
  </r>
  <r>
    <s v="P470508"/>
    <x v="1980"/>
    <n v="6356"/>
    <x v="53"/>
    <x v="7"/>
    <n v="6863"/>
    <s v="5K–10K"/>
    <x v="5"/>
    <n v="3.7646999999999999"/>
    <s v="Yes"/>
    <x v="1"/>
    <n v="17"/>
    <n v="92"/>
    <x v="2"/>
    <n v="0"/>
    <n v="0"/>
  </r>
  <r>
    <s v="P388262"/>
    <x v="1981"/>
    <n v="6018"/>
    <x v="78"/>
    <x v="8"/>
    <n v="6866"/>
    <s v="5K–10K"/>
    <x v="5"/>
    <n v="3.7759"/>
    <s v="Yes"/>
    <x v="1"/>
    <n v="116"/>
    <n v="74"/>
    <x v="2"/>
    <n v="0"/>
    <n v="0"/>
  </r>
  <r>
    <s v="P482757"/>
    <x v="1982"/>
    <n v="6373"/>
    <x v="83"/>
    <x v="2"/>
    <n v="6904"/>
    <s v="5K–10K"/>
    <x v="5"/>
    <n v="3.9064000000000001"/>
    <s v="Yes"/>
    <x v="1"/>
    <n v="406"/>
    <n v="12"/>
    <x v="1"/>
    <n v="0"/>
    <n v="0"/>
  </r>
  <r>
    <s v="P302900"/>
    <x v="1983"/>
    <n v="1254"/>
    <x v="24"/>
    <x v="1"/>
    <n v="6909"/>
    <s v="5K–10K"/>
    <x v="5"/>
    <n v="4.3261000000000003"/>
    <s v="Yes"/>
    <x v="0"/>
    <n v="138"/>
    <n v="53"/>
    <x v="2"/>
    <n v="0"/>
    <n v="0"/>
  </r>
  <r>
    <s v="P423159"/>
    <x v="1984"/>
    <n v="6226"/>
    <x v="84"/>
    <x v="9"/>
    <n v="6912"/>
    <s v="5K–10K"/>
    <x v="5"/>
    <n v="3.9607999999999999"/>
    <s v="Yes"/>
    <x v="1"/>
    <n v="51"/>
    <n v="38"/>
    <x v="0"/>
    <n v="0"/>
    <n v="0"/>
  </r>
  <r>
    <s v="P467635"/>
    <x v="1985"/>
    <n v="6256"/>
    <x v="61"/>
    <x v="9"/>
    <n v="6912"/>
    <s v="5K–10K"/>
    <x v="5"/>
    <n v="4.0909000000000004"/>
    <s v="Yes"/>
    <x v="0"/>
    <n v="22"/>
    <n v="72"/>
    <x v="2"/>
    <n v="0"/>
    <n v="0"/>
  </r>
  <r>
    <s v="P456192"/>
    <x v="1986"/>
    <n v="6310"/>
    <x v="136"/>
    <x v="3"/>
    <n v="6914"/>
    <s v="5K–10K"/>
    <x v="5"/>
    <n v="4.3487999999999998"/>
    <s v="Yes"/>
    <x v="0"/>
    <n v="410"/>
    <n v="68"/>
    <x v="2"/>
    <n v="0"/>
    <n v="0"/>
  </r>
  <r>
    <s v="P456989"/>
    <x v="1987"/>
    <n v="6225"/>
    <x v="57"/>
    <x v="6"/>
    <n v="6917"/>
    <s v="5K–10K"/>
    <x v="5"/>
    <n v="3.6808999999999998"/>
    <s v="Yes"/>
    <x v="1"/>
    <n v="47"/>
    <n v="49"/>
    <x v="0"/>
    <n v="0"/>
    <n v="0"/>
  </r>
  <r>
    <s v="P429661"/>
    <x v="1988"/>
    <n v="4372"/>
    <x v="97"/>
    <x v="1"/>
    <n v="6925"/>
    <s v="5K–10K"/>
    <x v="5"/>
    <n v="4.2039"/>
    <s v="Yes"/>
    <x v="0"/>
    <n v="103"/>
    <n v="50"/>
    <x v="0"/>
    <n v="0"/>
    <n v="0"/>
  </r>
  <r>
    <s v="P408271"/>
    <x v="1989"/>
    <n v="7050"/>
    <x v="58"/>
    <x v="9"/>
    <n v="6956"/>
    <s v="5K–10K"/>
    <x v="5"/>
    <n v="4.0434999999999999"/>
    <s v="Yes"/>
    <x v="0"/>
    <n v="23"/>
    <n v="40"/>
    <x v="0"/>
    <n v="0"/>
    <n v="0"/>
  </r>
  <r>
    <s v="P470535"/>
    <x v="1990"/>
    <n v="5946"/>
    <x v="80"/>
    <x v="1"/>
    <n v="6963"/>
    <s v="5K–10K"/>
    <x v="5"/>
    <n v="4.7377000000000002"/>
    <s v="Yes"/>
    <x v="0"/>
    <n v="122"/>
    <n v="98"/>
    <x v="2"/>
    <n v="0"/>
    <n v="0"/>
  </r>
  <r>
    <s v="P468369"/>
    <x v="1991"/>
    <n v="6175"/>
    <x v="59"/>
    <x v="3"/>
    <n v="6989"/>
    <s v="5K–10K"/>
    <x v="5"/>
    <n v="4.4419000000000004"/>
    <s v="Yes"/>
    <x v="0"/>
    <n v="172"/>
    <n v="69"/>
    <x v="2"/>
    <n v="0"/>
    <n v="0"/>
  </r>
  <r>
    <s v="P433975"/>
    <x v="1992"/>
    <n v="8012"/>
    <x v="122"/>
    <x v="8"/>
    <n v="6994"/>
    <s v="5K–10K"/>
    <x v="5"/>
    <n v="4.2154999999999996"/>
    <s v="Yes"/>
    <x v="0"/>
    <n v="116"/>
    <n v="26"/>
    <x v="0"/>
    <n v="0"/>
    <n v="0"/>
  </r>
  <r>
    <s v="P444216"/>
    <x v="1993"/>
    <n v="8012"/>
    <x v="122"/>
    <x v="3"/>
    <n v="6996"/>
    <s v="5K–10K"/>
    <x v="5"/>
    <n v="4.4406999999999996"/>
    <s v="Yes"/>
    <x v="0"/>
    <n v="177"/>
    <n v="37"/>
    <x v="0"/>
    <n v="0"/>
    <n v="0"/>
  </r>
  <r>
    <s v="P503901"/>
    <x v="1994"/>
    <n v="6295"/>
    <x v="28"/>
    <x v="10"/>
    <n v="7004"/>
    <s v="5K–10K"/>
    <x v="5"/>
    <n v="3.7059000000000002"/>
    <s v="Yes"/>
    <x v="1"/>
    <n v="17"/>
    <n v="39"/>
    <x v="0"/>
    <n v="0"/>
    <n v="0"/>
  </r>
  <r>
    <s v="P416312"/>
    <x v="1995"/>
    <n v="6187"/>
    <x v="130"/>
    <x v="2"/>
    <n v="7009"/>
    <s v="5K–10K"/>
    <x v="5"/>
    <n v="4.2526000000000002"/>
    <s v="Yes"/>
    <x v="0"/>
    <n v="194"/>
    <n v="20"/>
    <x v="0"/>
    <n v="0"/>
    <n v="1"/>
  </r>
  <r>
    <s v="P481058"/>
    <x v="1996"/>
    <n v="6312"/>
    <x v="87"/>
    <x v="3"/>
    <n v="7054"/>
    <s v="5K–10K"/>
    <x v="5"/>
    <n v="4.5805999999999996"/>
    <s v="Yes"/>
    <x v="0"/>
    <n v="31"/>
    <n v="25"/>
    <x v="0"/>
    <n v="0"/>
    <n v="0"/>
  </r>
  <r>
    <s v="P423135"/>
    <x v="1997"/>
    <n v="6219"/>
    <x v="39"/>
    <x v="3"/>
    <n v="7054"/>
    <s v="5K–10K"/>
    <x v="5"/>
    <n v="4.6593"/>
    <s v="Yes"/>
    <x v="0"/>
    <n v="226"/>
    <n v="94"/>
    <x v="2"/>
    <n v="0"/>
    <n v="0"/>
  </r>
  <r>
    <s v="P481376"/>
    <x v="1998"/>
    <n v="5668"/>
    <x v="16"/>
    <x v="2"/>
    <n v="7057"/>
    <s v="5K–10K"/>
    <x v="5"/>
    <n v="3.7143000000000002"/>
    <s v="Yes"/>
    <x v="1"/>
    <n v="14"/>
    <n v="15"/>
    <x v="1"/>
    <n v="0"/>
    <n v="0"/>
  </r>
  <r>
    <s v="P471040"/>
    <x v="1999"/>
    <n v="6357"/>
    <x v="92"/>
    <x v="2"/>
    <n v="7064"/>
    <s v="5K–10K"/>
    <x v="5"/>
    <n v="4.3907999999999996"/>
    <s v="Yes"/>
    <x v="0"/>
    <n v="87"/>
    <n v="22"/>
    <x v="0"/>
    <n v="0"/>
    <n v="0"/>
  </r>
  <r>
    <s v="P454806"/>
    <x v="2000"/>
    <n v="1073"/>
    <x v="52"/>
    <x v="3"/>
    <n v="7071"/>
    <s v="5K–10K"/>
    <x v="5"/>
    <n v="4.5167999999999999"/>
    <s v="Yes"/>
    <x v="0"/>
    <n v="654"/>
    <n v="130"/>
    <x v="2"/>
    <n v="0"/>
    <n v="0"/>
  </r>
  <r>
    <s v="P442540"/>
    <x v="2001"/>
    <n v="6283"/>
    <x v="55"/>
    <x v="1"/>
    <n v="7074"/>
    <s v="5K–10K"/>
    <x v="5"/>
    <n v="4.3578999999999999"/>
    <s v="Yes"/>
    <x v="0"/>
    <n v="95"/>
    <n v="65"/>
    <x v="2"/>
    <n v="0"/>
    <n v="0"/>
  </r>
  <r>
    <s v="P503920"/>
    <x v="2002"/>
    <n v="6314"/>
    <x v="100"/>
    <x v="1"/>
    <n v="7097"/>
    <s v="5K–10K"/>
    <x v="5"/>
    <n v="4.8760000000000003"/>
    <s v="Yes"/>
    <x v="0"/>
    <n v="129"/>
    <n v="125"/>
    <x v="2"/>
    <n v="1"/>
    <n v="0"/>
  </r>
  <r>
    <s v="P474109"/>
    <x v="2003"/>
    <n v="6358"/>
    <x v="81"/>
    <x v="1"/>
    <n v="7120"/>
    <s v="5K–10K"/>
    <x v="5"/>
    <n v="4.75"/>
    <s v="Yes"/>
    <x v="0"/>
    <n v="64"/>
    <n v="45"/>
    <x v="0"/>
    <n v="0"/>
    <n v="0"/>
  </r>
  <r>
    <s v="P482311"/>
    <x v="2004"/>
    <n v="3902"/>
    <x v="13"/>
    <x v="9"/>
    <n v="7125"/>
    <s v="5K–10K"/>
    <x v="5"/>
    <n v="4"/>
    <s v="Yes"/>
    <x v="0"/>
    <n v="11"/>
    <n v="15"/>
    <x v="1"/>
    <n v="0"/>
    <n v="0"/>
  </r>
  <r>
    <s v="P474075"/>
    <x v="2005"/>
    <n v="4164"/>
    <x v="54"/>
    <x v="1"/>
    <n v="7135"/>
    <s v="5K–10K"/>
    <x v="5"/>
    <n v="4.7389999999999999"/>
    <s v="Yes"/>
    <x v="0"/>
    <n v="341"/>
    <n v="44"/>
    <x v="0"/>
    <n v="0"/>
    <n v="0"/>
  </r>
  <r>
    <s v="P464241"/>
    <x v="2006"/>
    <n v="6334"/>
    <x v="120"/>
    <x v="1"/>
    <n v="7160"/>
    <s v="5K–10K"/>
    <x v="5"/>
    <n v="4.4020999999999999"/>
    <s v="Yes"/>
    <x v="0"/>
    <n v="286"/>
    <n v="25"/>
    <x v="0"/>
    <n v="0"/>
    <n v="0"/>
  </r>
  <r>
    <s v="P448554"/>
    <x v="2007"/>
    <n v="6302"/>
    <x v="114"/>
    <x v="2"/>
    <n v="7182"/>
    <s v="5K–10K"/>
    <x v="5"/>
    <n v="3.8275999999999999"/>
    <s v="Yes"/>
    <x v="1"/>
    <n v="58"/>
    <n v="75"/>
    <x v="2"/>
    <n v="0"/>
    <n v="0"/>
  </r>
  <r>
    <s v="P454085"/>
    <x v="2008"/>
    <n v="6014"/>
    <x v="17"/>
    <x v="2"/>
    <n v="7201"/>
    <s v="5K–10K"/>
    <x v="5"/>
    <n v="4.2553000000000001"/>
    <s v="Yes"/>
    <x v="0"/>
    <n v="470"/>
    <n v="30"/>
    <x v="0"/>
    <n v="0"/>
    <n v="0"/>
  </r>
  <r>
    <s v="P474943"/>
    <x v="2009"/>
    <n v="5668"/>
    <x v="16"/>
    <x v="7"/>
    <n v="7204"/>
    <s v="5K–10K"/>
    <x v="5"/>
    <n v="3.6364000000000001"/>
    <s v="Yes"/>
    <x v="1"/>
    <n v="11"/>
    <n v="20"/>
    <x v="0"/>
    <n v="0"/>
    <n v="0"/>
  </r>
  <r>
    <s v="P449836"/>
    <x v="2010"/>
    <n v="5648"/>
    <x v="73"/>
    <x v="7"/>
    <n v="7205"/>
    <s v="5K–10K"/>
    <x v="5"/>
    <n v="4.2888999999999999"/>
    <s v="Yes"/>
    <x v="0"/>
    <n v="45"/>
    <n v="12"/>
    <x v="1"/>
    <n v="0"/>
    <n v="1"/>
  </r>
  <r>
    <s v="P503809"/>
    <x v="2011"/>
    <n v="5972"/>
    <x v="10"/>
    <x v="1"/>
    <n v="7214"/>
    <s v="5K–10K"/>
    <x v="5"/>
    <n v="4.7272999999999996"/>
    <s v="Yes"/>
    <x v="0"/>
    <n v="88"/>
    <n v="44"/>
    <x v="0"/>
    <n v="1"/>
    <n v="0"/>
  </r>
  <r>
    <s v="P393501"/>
    <x v="2012"/>
    <n v="1254"/>
    <x v="24"/>
    <x v="1"/>
    <n v="7215"/>
    <s v="5K–10K"/>
    <x v="5"/>
    <n v="3.8725000000000001"/>
    <s v="Yes"/>
    <x v="1"/>
    <n v="102"/>
    <n v="23.5"/>
    <x v="0"/>
    <n v="0"/>
    <n v="0"/>
  </r>
  <r>
    <s v="P481339"/>
    <x v="2013"/>
    <n v="5668"/>
    <x v="16"/>
    <x v="1"/>
    <n v="7215"/>
    <s v="5K–10K"/>
    <x v="5"/>
    <n v="4.4615"/>
    <s v="Yes"/>
    <x v="0"/>
    <n v="26"/>
    <n v="92"/>
    <x v="2"/>
    <n v="0"/>
    <n v="0"/>
  </r>
  <r>
    <s v="P500687"/>
    <x v="2014"/>
    <n v="6357"/>
    <x v="92"/>
    <x v="2"/>
    <n v="7237"/>
    <s v="5K–10K"/>
    <x v="5"/>
    <n v="4.5225999999999997"/>
    <s v="Yes"/>
    <x v="0"/>
    <n v="155"/>
    <n v="26"/>
    <x v="0"/>
    <n v="0"/>
    <n v="0"/>
  </r>
  <r>
    <s v="P469508"/>
    <x v="2015"/>
    <n v="6341"/>
    <x v="12"/>
    <x v="1"/>
    <n v="7239"/>
    <s v="5K–10K"/>
    <x v="5"/>
    <n v="4.4130000000000003"/>
    <s v="Yes"/>
    <x v="0"/>
    <n v="46"/>
    <n v="39"/>
    <x v="0"/>
    <n v="0"/>
    <n v="0"/>
  </r>
  <r>
    <s v="P461199"/>
    <x v="2016"/>
    <n v="3902"/>
    <x v="13"/>
    <x v="5"/>
    <n v="7245"/>
    <s v="5K–10K"/>
    <x v="5"/>
    <n v="4.4545000000000003"/>
    <s v="Yes"/>
    <x v="0"/>
    <n v="22"/>
    <n v="5.5"/>
    <x v="1"/>
    <n v="0"/>
    <n v="1"/>
  </r>
  <r>
    <s v="P484076"/>
    <x v="2017"/>
    <n v="5337"/>
    <x v="32"/>
    <x v="10"/>
    <n v="7247"/>
    <s v="5K–10K"/>
    <x v="5"/>
    <n v="4.4000000000000004"/>
    <s v="Yes"/>
    <x v="0"/>
    <n v="10"/>
    <n v="66"/>
    <x v="2"/>
    <n v="1"/>
    <n v="0"/>
  </r>
  <r>
    <s v="P504784"/>
    <x v="2018"/>
    <n v="6751"/>
    <x v="47"/>
    <x v="3"/>
    <n v="7249"/>
    <s v="5K–10K"/>
    <x v="5"/>
    <n v="4.2142999999999997"/>
    <s v="Yes"/>
    <x v="0"/>
    <n v="14"/>
    <n v="24"/>
    <x v="0"/>
    <n v="1"/>
    <n v="0"/>
  </r>
  <r>
    <s v="P447212"/>
    <x v="1497"/>
    <n v="6302"/>
    <x v="114"/>
    <x v="1"/>
    <n v="7257"/>
    <s v="5K–10K"/>
    <x v="5"/>
    <n v="3.9386000000000001"/>
    <s v="Yes"/>
    <x v="1"/>
    <n v="879"/>
    <n v="320"/>
    <x v="2"/>
    <n v="0"/>
    <n v="0"/>
  </r>
  <r>
    <s v="P475192"/>
    <x v="2019"/>
    <n v="6373"/>
    <x v="83"/>
    <x v="2"/>
    <n v="7262"/>
    <s v="5K–10K"/>
    <x v="5"/>
    <n v="3.9037999999999999"/>
    <s v="Yes"/>
    <x v="1"/>
    <n v="52"/>
    <n v="34"/>
    <x v="0"/>
    <n v="0"/>
    <n v="0"/>
  </r>
  <r>
    <s v="P481335"/>
    <x v="2020"/>
    <n v="6475"/>
    <x v="113"/>
    <x v="1"/>
    <n v="7269"/>
    <s v="5K–10K"/>
    <x v="5"/>
    <n v="4.7824"/>
    <s v="Yes"/>
    <x v="0"/>
    <n v="216"/>
    <n v="135"/>
    <x v="2"/>
    <n v="0"/>
    <n v="0"/>
  </r>
  <r>
    <s v="P471567"/>
    <x v="2021"/>
    <n v="3733"/>
    <x v="22"/>
    <x v="2"/>
    <n v="7274"/>
    <s v="5K–10K"/>
    <x v="5"/>
    <n v="4.4623999999999997"/>
    <s v="Yes"/>
    <x v="0"/>
    <n v="93"/>
    <n v="27"/>
    <x v="0"/>
    <n v="0"/>
    <n v="0"/>
  </r>
  <r>
    <s v="P502725"/>
    <x v="2022"/>
    <n v="3728"/>
    <x v="41"/>
    <x v="10"/>
    <n v="7286"/>
    <s v="5K–10K"/>
    <x v="5"/>
    <n v="4"/>
    <s v="Yes"/>
    <x v="0"/>
    <n v="5"/>
    <n v="58"/>
    <x v="2"/>
    <n v="0"/>
    <n v="0"/>
  </r>
  <r>
    <s v="P454822"/>
    <x v="2023"/>
    <n v="5648"/>
    <x v="73"/>
    <x v="7"/>
    <n v="7287"/>
    <s v="5K–10K"/>
    <x v="5"/>
    <n v="3.6667000000000001"/>
    <s v="Yes"/>
    <x v="1"/>
    <n v="21"/>
    <n v="15"/>
    <x v="1"/>
    <n v="0"/>
    <n v="1"/>
  </r>
  <r>
    <s v="P475201"/>
    <x v="2024"/>
    <n v="6373"/>
    <x v="83"/>
    <x v="8"/>
    <n v="7302"/>
    <s v="5K–10K"/>
    <x v="5"/>
    <n v="4.2595000000000001"/>
    <s v="Yes"/>
    <x v="0"/>
    <n v="185"/>
    <n v="38"/>
    <x v="0"/>
    <n v="0"/>
    <n v="0"/>
  </r>
  <r>
    <s v="P461491"/>
    <x v="2025"/>
    <n v="6294"/>
    <x v="101"/>
    <x v="8"/>
    <n v="7304"/>
    <s v="5K–10K"/>
    <x v="5"/>
    <n v="4.2948000000000004"/>
    <s v="Yes"/>
    <x v="0"/>
    <n v="173"/>
    <n v="65"/>
    <x v="2"/>
    <n v="0"/>
    <n v="0"/>
  </r>
  <r>
    <s v="P500982"/>
    <x v="2026"/>
    <n v="6125"/>
    <x v="0"/>
    <x v="2"/>
    <n v="7317"/>
    <s v="5K–10K"/>
    <x v="5"/>
    <n v="3.9285999999999999"/>
    <s v="Yes"/>
    <x v="1"/>
    <n v="28"/>
    <n v="25"/>
    <x v="0"/>
    <n v="0"/>
    <n v="0"/>
  </r>
  <r>
    <s v="P196542"/>
    <x v="2027"/>
    <n v="1254"/>
    <x v="24"/>
    <x v="4"/>
    <n v="7325"/>
    <s v="5K–10K"/>
    <x v="5"/>
    <n v="4.1146000000000003"/>
    <s v="Yes"/>
    <x v="0"/>
    <n v="480"/>
    <n v="30"/>
    <x v="0"/>
    <n v="0"/>
    <n v="0"/>
  </r>
  <r>
    <s v="P423125"/>
    <x v="2028"/>
    <n v="6219"/>
    <x v="39"/>
    <x v="1"/>
    <n v="7347"/>
    <s v="5K–10K"/>
    <x v="5"/>
    <n v="4.3076999999999996"/>
    <s v="Yes"/>
    <x v="0"/>
    <n v="156"/>
    <n v="66"/>
    <x v="2"/>
    <n v="0"/>
    <n v="0"/>
  </r>
  <r>
    <s v="P467137"/>
    <x v="2029"/>
    <n v="3728"/>
    <x v="41"/>
    <x v="1"/>
    <n v="7390"/>
    <s v="5K–10K"/>
    <x v="5"/>
    <n v="4.444"/>
    <s v="Yes"/>
    <x v="0"/>
    <n v="482"/>
    <n v="72"/>
    <x v="2"/>
    <n v="0"/>
    <n v="0"/>
  </r>
  <r>
    <s v="P461936"/>
    <x v="2030"/>
    <n v="7037"/>
    <x v="48"/>
    <x v="11"/>
    <n v="7401"/>
    <s v="5K–10K"/>
    <x v="5"/>
    <n v="4.1227999999999998"/>
    <s v="Yes"/>
    <x v="0"/>
    <n v="114"/>
    <n v="219"/>
    <x v="2"/>
    <n v="0"/>
    <n v="0"/>
  </r>
  <r>
    <s v="P477413"/>
    <x v="2031"/>
    <n v="6357"/>
    <x v="92"/>
    <x v="5"/>
    <n v="7419"/>
    <s v="5K–10K"/>
    <x v="5"/>
    <n v="4.6531000000000002"/>
    <s v="Yes"/>
    <x v="0"/>
    <n v="49"/>
    <n v="30"/>
    <x v="0"/>
    <n v="0"/>
    <n v="0"/>
  </r>
  <r>
    <s v="P504778"/>
    <x v="2032"/>
    <n v="6751"/>
    <x v="47"/>
    <x v="4"/>
    <n v="7420"/>
    <s v="5K–10K"/>
    <x v="5"/>
    <n v="4.1818"/>
    <s v="Yes"/>
    <x v="0"/>
    <n v="11"/>
    <n v="25"/>
    <x v="0"/>
    <n v="1"/>
    <n v="0"/>
  </r>
  <r>
    <s v="P467122"/>
    <x v="2033"/>
    <n v="6335"/>
    <x v="103"/>
    <x v="8"/>
    <n v="7449"/>
    <s v="5K–10K"/>
    <x v="5"/>
    <n v="4.1558999999999999"/>
    <s v="Yes"/>
    <x v="0"/>
    <n v="449"/>
    <n v="49"/>
    <x v="0"/>
    <n v="0"/>
    <n v="0"/>
  </r>
  <r>
    <s v="P470227"/>
    <x v="2034"/>
    <n v="4164"/>
    <x v="54"/>
    <x v="1"/>
    <n v="7452"/>
    <s v="5K–10K"/>
    <x v="5"/>
    <n v="4.7305999999999999"/>
    <s v="Yes"/>
    <x v="0"/>
    <n v="360"/>
    <n v="85"/>
    <x v="2"/>
    <n v="0"/>
    <n v="0"/>
  </r>
  <r>
    <s v="P232902"/>
    <x v="2035"/>
    <n v="5946"/>
    <x v="80"/>
    <x v="2"/>
    <n v="7501"/>
    <s v="5K–10K"/>
    <x v="5"/>
    <n v="4.1909000000000001"/>
    <s v="Yes"/>
    <x v="0"/>
    <n v="220"/>
    <n v="44"/>
    <x v="0"/>
    <n v="0"/>
    <n v="0"/>
  </r>
  <r>
    <s v="P501587"/>
    <x v="2036"/>
    <n v="6742"/>
    <x v="95"/>
    <x v="0"/>
    <n v="7510"/>
    <s v="5K–10K"/>
    <x v="5"/>
    <n v="4.5818000000000003"/>
    <s v="Yes"/>
    <x v="0"/>
    <n v="55"/>
    <n v="22"/>
    <x v="0"/>
    <n v="0"/>
    <n v="0"/>
  </r>
  <r>
    <s v="P461949"/>
    <x v="2037"/>
    <n v="6201"/>
    <x v="44"/>
    <x v="1"/>
    <n v="7514"/>
    <s v="5K–10K"/>
    <x v="5"/>
    <n v="4.5186999999999999"/>
    <s v="Yes"/>
    <x v="0"/>
    <n v="563"/>
    <n v="425"/>
    <x v="2"/>
    <n v="0"/>
    <n v="0"/>
  </r>
  <r>
    <s v="P501886"/>
    <x v="2038"/>
    <n v="6352"/>
    <x v="35"/>
    <x v="10"/>
    <n v="7523"/>
    <s v="5K–10K"/>
    <x v="5"/>
    <n v="5"/>
    <s v="Yes"/>
    <x v="0"/>
    <n v="1"/>
    <n v="59"/>
    <x v="2"/>
    <n v="0"/>
    <n v="1"/>
  </r>
  <r>
    <s v="P474117"/>
    <x v="2039"/>
    <n v="6358"/>
    <x v="81"/>
    <x v="3"/>
    <n v="7539"/>
    <s v="5K–10K"/>
    <x v="5"/>
    <n v="4.0392000000000001"/>
    <s v="Yes"/>
    <x v="0"/>
    <n v="153"/>
    <n v="15"/>
    <x v="1"/>
    <n v="0"/>
    <n v="0"/>
  </r>
  <r>
    <s v="P434550"/>
    <x v="2040"/>
    <n v="4164"/>
    <x v="54"/>
    <x v="1"/>
    <n v="7556"/>
    <s v="5K–10K"/>
    <x v="5"/>
    <n v="4.3693"/>
    <s v="Yes"/>
    <x v="0"/>
    <n v="306"/>
    <n v="97"/>
    <x v="2"/>
    <n v="0"/>
    <n v="0"/>
  </r>
  <r>
    <s v="P481830"/>
    <x v="2041"/>
    <n v="5626"/>
    <x v="64"/>
    <x v="6"/>
    <n v="7559"/>
    <s v="5K–10K"/>
    <x v="5"/>
    <n v="4.6334999999999997"/>
    <s v="Yes"/>
    <x v="0"/>
    <n v="502"/>
    <n v="48"/>
    <x v="0"/>
    <n v="0"/>
    <n v="0"/>
  </r>
  <r>
    <s v="P481408"/>
    <x v="2042"/>
    <n v="6482"/>
    <x v="138"/>
    <x v="11"/>
    <n v="7559"/>
    <s v="5K–10K"/>
    <x v="5"/>
    <n v="4.4412000000000003"/>
    <s v="Yes"/>
    <x v="0"/>
    <n v="68"/>
    <n v="150"/>
    <x v="2"/>
    <n v="0"/>
    <n v="0"/>
  </r>
  <r>
    <s v="P481732"/>
    <x v="2043"/>
    <n v="5857"/>
    <x v="51"/>
    <x v="1"/>
    <n v="7564"/>
    <s v="5K–10K"/>
    <x v="5"/>
    <n v="4.6820000000000004"/>
    <s v="Yes"/>
    <x v="0"/>
    <n v="412"/>
    <n v="69"/>
    <x v="2"/>
    <n v="0"/>
    <n v="0"/>
  </r>
  <r>
    <s v="P500399"/>
    <x v="2044"/>
    <n v="6742"/>
    <x v="95"/>
    <x v="4"/>
    <n v="7565"/>
    <s v="5K–10K"/>
    <x v="5"/>
    <n v="4.617"/>
    <s v="Yes"/>
    <x v="0"/>
    <n v="47"/>
    <n v="38"/>
    <x v="0"/>
    <n v="0"/>
    <n v="0"/>
  </r>
  <r>
    <s v="P122651"/>
    <x v="2045"/>
    <n v="1254"/>
    <x v="24"/>
    <x v="2"/>
    <n v="7569"/>
    <s v="5K–10K"/>
    <x v="5"/>
    <n v="4.5149999999999997"/>
    <s v="Yes"/>
    <x v="0"/>
    <n v="200"/>
    <n v="20"/>
    <x v="0"/>
    <n v="0"/>
    <n v="0"/>
  </r>
  <r>
    <s v="P428637"/>
    <x v="2046"/>
    <n v="6201"/>
    <x v="44"/>
    <x v="7"/>
    <n v="7589"/>
    <s v="5K–10K"/>
    <x v="5"/>
    <n v="4.3635999999999999"/>
    <s v="Yes"/>
    <x v="0"/>
    <n v="22"/>
    <n v="95"/>
    <x v="2"/>
    <n v="0"/>
    <n v="0"/>
  </r>
  <r>
    <s v="P417110"/>
    <x v="2047"/>
    <n v="6201"/>
    <x v="44"/>
    <x v="8"/>
    <n v="7599"/>
    <s v="5K–10K"/>
    <x v="5"/>
    <n v="3.3332999999999999"/>
    <s v="Yes"/>
    <x v="1"/>
    <n v="15"/>
    <n v="300"/>
    <x v="2"/>
    <n v="0"/>
    <n v="0"/>
  </r>
  <r>
    <s v="P433524"/>
    <x v="2048"/>
    <n v="6236"/>
    <x v="38"/>
    <x v="2"/>
    <n v="7612"/>
    <s v="5K–10K"/>
    <x v="5"/>
    <n v="4.1429"/>
    <s v="Yes"/>
    <x v="0"/>
    <n v="35"/>
    <n v="60"/>
    <x v="2"/>
    <n v="0"/>
    <n v="0"/>
  </r>
  <r>
    <s v="P460779"/>
    <x v="2049"/>
    <n v="5737"/>
    <x v="139"/>
    <x v="1"/>
    <n v="7614"/>
    <s v="5K–10K"/>
    <x v="5"/>
    <n v="4.4339000000000004"/>
    <s v="Yes"/>
    <x v="0"/>
    <n v="3727"/>
    <n v="65"/>
    <x v="2"/>
    <n v="0"/>
    <n v="0"/>
  </r>
  <r>
    <s v="P443369"/>
    <x v="2050"/>
    <n v="6219"/>
    <x v="39"/>
    <x v="1"/>
    <n v="7619"/>
    <s v="5K–10K"/>
    <x v="5"/>
    <n v="4.1822999999999997"/>
    <s v="Yes"/>
    <x v="0"/>
    <n v="181"/>
    <n v="89"/>
    <x v="2"/>
    <n v="0"/>
    <n v="0"/>
  </r>
  <r>
    <s v="P479705"/>
    <x v="2051"/>
    <n v="3728"/>
    <x v="41"/>
    <x v="1"/>
    <n v="7622"/>
    <s v="5K–10K"/>
    <x v="5"/>
    <n v="4.6009000000000002"/>
    <s v="Yes"/>
    <x v="0"/>
    <n v="441"/>
    <n v="52"/>
    <x v="2"/>
    <n v="0"/>
    <n v="0"/>
  </r>
  <r>
    <s v="P455610"/>
    <x v="2052"/>
    <n v="6175"/>
    <x v="59"/>
    <x v="3"/>
    <n v="7661"/>
    <s v="5K–10K"/>
    <x v="5"/>
    <n v="3.5417000000000001"/>
    <s v="Yes"/>
    <x v="1"/>
    <n v="48"/>
    <n v="54"/>
    <x v="2"/>
    <n v="0"/>
    <n v="0"/>
  </r>
  <r>
    <s v="P476515"/>
    <x v="2053"/>
    <n v="6368"/>
    <x v="86"/>
    <x v="7"/>
    <n v="7676"/>
    <s v="5K–10K"/>
    <x v="5"/>
    <n v="3.1429"/>
    <s v="Yes"/>
    <x v="1"/>
    <n v="14"/>
    <n v="36"/>
    <x v="0"/>
    <n v="0"/>
    <n v="0"/>
  </r>
  <r>
    <s v="P296413"/>
    <x v="2054"/>
    <n v="6018"/>
    <x v="78"/>
    <x v="2"/>
    <n v="7681"/>
    <s v="5K–10K"/>
    <x v="5"/>
    <n v="4.2689000000000004"/>
    <s v="Yes"/>
    <x v="0"/>
    <n v="264"/>
    <n v="28"/>
    <x v="0"/>
    <n v="0"/>
    <n v="0"/>
  </r>
  <r>
    <s v="P38217"/>
    <x v="2055"/>
    <n v="4164"/>
    <x v="54"/>
    <x v="2"/>
    <n v="7682"/>
    <s v="5K–10K"/>
    <x v="5"/>
    <n v="4.4645999999999999"/>
    <s v="Yes"/>
    <x v="0"/>
    <n v="254"/>
    <n v="45"/>
    <x v="0"/>
    <n v="0"/>
    <n v="0"/>
  </r>
  <r>
    <s v="P502996"/>
    <x v="271"/>
    <n v="3902"/>
    <x v="13"/>
    <x v="9"/>
    <n v="7684"/>
    <s v="5K–10K"/>
    <x v="5"/>
    <n v="3.2856999999999998"/>
    <s v="Yes"/>
    <x v="1"/>
    <n v="7"/>
    <n v="14"/>
    <x v="1"/>
    <n v="1"/>
    <n v="0"/>
  </r>
  <r>
    <s v="P502741"/>
    <x v="2056"/>
    <n v="6285"/>
    <x v="21"/>
    <x v="1"/>
    <n v="7690"/>
    <s v="5K–10K"/>
    <x v="5"/>
    <n v="3.863"/>
    <s v="Yes"/>
    <x v="1"/>
    <n v="73"/>
    <n v="17.989999999999998"/>
    <x v="1"/>
    <n v="0"/>
    <n v="0"/>
  </r>
  <r>
    <s v="P483697"/>
    <x v="2057"/>
    <n v="6488"/>
    <x v="129"/>
    <x v="1"/>
    <n v="7728"/>
    <s v="5K–10K"/>
    <x v="5"/>
    <n v="4.6898"/>
    <s v="Yes"/>
    <x v="0"/>
    <n v="187"/>
    <n v="46"/>
    <x v="0"/>
    <n v="0"/>
    <n v="0"/>
  </r>
  <r>
    <s v="P477492"/>
    <x v="2058"/>
    <n v="6312"/>
    <x v="87"/>
    <x v="3"/>
    <n v="7730"/>
    <s v="5K–10K"/>
    <x v="5"/>
    <n v="4.5422000000000002"/>
    <s v="Yes"/>
    <x v="0"/>
    <n v="225"/>
    <n v="49"/>
    <x v="0"/>
    <n v="0"/>
    <n v="0"/>
  </r>
  <r>
    <s v="P375864"/>
    <x v="2059"/>
    <n v="6084"/>
    <x v="37"/>
    <x v="5"/>
    <n v="7740"/>
    <s v="5K–10K"/>
    <x v="5"/>
    <n v="4.4194000000000004"/>
    <s v="Yes"/>
    <x v="0"/>
    <n v="62"/>
    <n v="170"/>
    <x v="2"/>
    <n v="0"/>
    <n v="0"/>
  </r>
  <r>
    <s v="P440505"/>
    <x v="2060"/>
    <n v="6236"/>
    <x v="38"/>
    <x v="10"/>
    <n v="7741"/>
    <s v="5K–10K"/>
    <x v="5"/>
    <n v="4.4545000000000003"/>
    <s v="Yes"/>
    <x v="0"/>
    <n v="22"/>
    <n v="46"/>
    <x v="0"/>
    <n v="0"/>
    <n v="0"/>
  </r>
  <r>
    <s v="P427729"/>
    <x v="2061"/>
    <n v="1073"/>
    <x v="52"/>
    <x v="3"/>
    <n v="7745"/>
    <s v="5K–10K"/>
    <x v="5"/>
    <n v="3.9218999999999999"/>
    <s v="Yes"/>
    <x v="1"/>
    <n v="64"/>
    <n v="110"/>
    <x v="2"/>
    <n v="0"/>
    <n v="0"/>
  </r>
  <r>
    <s v="P471097"/>
    <x v="2062"/>
    <n v="6314"/>
    <x v="100"/>
    <x v="11"/>
    <n v="7753"/>
    <s v="5K–10K"/>
    <x v="5"/>
    <n v="4.5461999999999998"/>
    <s v="Yes"/>
    <x v="0"/>
    <n v="130"/>
    <n v="399"/>
    <x v="2"/>
    <n v="0"/>
    <n v="0"/>
  </r>
  <r>
    <s v="P455930"/>
    <x v="2063"/>
    <n v="6314"/>
    <x v="100"/>
    <x v="3"/>
    <n v="7756"/>
    <s v="5K–10K"/>
    <x v="5"/>
    <n v="4.2571000000000003"/>
    <s v="Yes"/>
    <x v="0"/>
    <n v="140"/>
    <n v="48"/>
    <x v="0"/>
    <n v="0"/>
    <n v="0"/>
  </r>
  <r>
    <s v="P471541"/>
    <x v="2064"/>
    <n v="4171"/>
    <x v="23"/>
    <x v="3"/>
    <n v="7757"/>
    <s v="5K–10K"/>
    <x v="5"/>
    <n v="4.2431999999999999"/>
    <s v="Yes"/>
    <x v="0"/>
    <n v="185"/>
    <n v="45"/>
    <x v="0"/>
    <n v="0"/>
    <n v="0"/>
  </r>
  <r>
    <s v="P433461"/>
    <x v="2065"/>
    <n v="1741"/>
    <x v="42"/>
    <x v="2"/>
    <n v="7764"/>
    <s v="5K–10K"/>
    <x v="5"/>
    <n v="3.8048999999999999"/>
    <s v="Yes"/>
    <x v="1"/>
    <n v="41"/>
    <n v="34"/>
    <x v="0"/>
    <n v="0"/>
    <n v="1"/>
  </r>
  <r>
    <s v="P483075"/>
    <x v="2066"/>
    <n v="3902"/>
    <x v="13"/>
    <x v="2"/>
    <n v="7792"/>
    <s v="5K–10K"/>
    <x v="5"/>
    <n v="4.125"/>
    <s v="Yes"/>
    <x v="0"/>
    <n v="24"/>
    <n v="14"/>
    <x v="1"/>
    <n v="0"/>
    <n v="0"/>
  </r>
  <r>
    <s v="P4039"/>
    <x v="2067"/>
    <n v="4164"/>
    <x v="54"/>
    <x v="3"/>
    <n v="7792"/>
    <s v="5K–10K"/>
    <x v="5"/>
    <n v="4.1723999999999997"/>
    <s v="Yes"/>
    <x v="0"/>
    <n v="174"/>
    <n v="65"/>
    <x v="2"/>
    <n v="0"/>
    <n v="0"/>
  </r>
  <r>
    <s v="P503562"/>
    <x v="2068"/>
    <n v="6272"/>
    <x v="46"/>
    <x v="10"/>
    <n v="7799"/>
    <s v="5K–10K"/>
    <x v="5"/>
    <n v="4.1212"/>
    <s v="Yes"/>
    <x v="0"/>
    <n v="33"/>
    <n v="199"/>
    <x v="2"/>
    <n v="0"/>
    <n v="0"/>
  </r>
  <r>
    <s v="P500696"/>
    <x v="2069"/>
    <n v="6367"/>
    <x v="123"/>
    <x v="8"/>
    <n v="7827"/>
    <s v="5K–10K"/>
    <x v="5"/>
    <n v="4.6914999999999996"/>
    <s v="Yes"/>
    <x v="0"/>
    <n v="188"/>
    <n v="55"/>
    <x v="2"/>
    <n v="0"/>
    <n v="0"/>
  </r>
  <r>
    <s v="P440501"/>
    <x v="2070"/>
    <n v="8017"/>
    <x v="56"/>
    <x v="3"/>
    <n v="7833"/>
    <s v="5K–10K"/>
    <x v="5"/>
    <n v="3.8386999999999998"/>
    <s v="Yes"/>
    <x v="1"/>
    <n v="62"/>
    <n v="22"/>
    <x v="0"/>
    <n v="0"/>
    <n v="0"/>
  </r>
  <r>
    <s v="P471011"/>
    <x v="2071"/>
    <n v="1254"/>
    <x v="24"/>
    <x v="10"/>
    <n v="7837"/>
    <s v="5K–10K"/>
    <x v="5"/>
    <n v="4.7778"/>
    <s v="Yes"/>
    <x v="0"/>
    <n v="18"/>
    <n v="48"/>
    <x v="0"/>
    <n v="0"/>
    <n v="0"/>
  </r>
  <r>
    <s v="P374115"/>
    <x v="2072"/>
    <n v="1254"/>
    <x v="24"/>
    <x v="3"/>
    <n v="7842"/>
    <s v="5K–10K"/>
    <x v="5"/>
    <n v="4.0761000000000003"/>
    <s v="Yes"/>
    <x v="0"/>
    <n v="92"/>
    <n v="44"/>
    <x v="0"/>
    <n v="0"/>
    <n v="0"/>
  </r>
  <r>
    <s v="P379711"/>
    <x v="2073"/>
    <n v="7020"/>
    <x v="70"/>
    <x v="1"/>
    <n v="7907"/>
    <s v="5K–10K"/>
    <x v="5"/>
    <n v="3.4232"/>
    <s v="Yes"/>
    <x v="1"/>
    <n v="241"/>
    <n v="146"/>
    <x v="2"/>
    <n v="0"/>
    <n v="0"/>
  </r>
  <r>
    <s v="P500753"/>
    <x v="2074"/>
    <n v="6236"/>
    <x v="38"/>
    <x v="2"/>
    <n v="7914"/>
    <s v="5K–10K"/>
    <x v="5"/>
    <n v="4.3810000000000002"/>
    <s v="Yes"/>
    <x v="0"/>
    <n v="84"/>
    <n v="55"/>
    <x v="2"/>
    <n v="0"/>
    <n v="0"/>
  </r>
  <r>
    <s v="P481142"/>
    <x v="2075"/>
    <n v="3728"/>
    <x v="41"/>
    <x v="1"/>
    <n v="7915"/>
    <s v="5K–10K"/>
    <x v="5"/>
    <n v="4.7416"/>
    <s v="Yes"/>
    <x v="0"/>
    <n v="178"/>
    <n v="65"/>
    <x v="2"/>
    <n v="0"/>
    <n v="0"/>
  </r>
  <r>
    <s v="P438634"/>
    <x v="2076"/>
    <n v="6272"/>
    <x v="46"/>
    <x v="11"/>
    <n v="7926"/>
    <s v="5K–10K"/>
    <x v="5"/>
    <n v="3.6667000000000001"/>
    <s v="Yes"/>
    <x v="1"/>
    <n v="9"/>
    <n v="39"/>
    <x v="0"/>
    <n v="0"/>
    <n v="0"/>
  </r>
  <r>
    <s v="P480629"/>
    <x v="2077"/>
    <n v="6209"/>
    <x v="8"/>
    <x v="1"/>
    <n v="7931"/>
    <s v="5K–10K"/>
    <x v="5"/>
    <n v="4.2262000000000004"/>
    <s v="Yes"/>
    <x v="0"/>
    <n v="252"/>
    <n v="29"/>
    <x v="0"/>
    <n v="0"/>
    <n v="0"/>
  </r>
  <r>
    <s v="P399934"/>
    <x v="2078"/>
    <n v="6089"/>
    <x v="45"/>
    <x v="3"/>
    <n v="7948"/>
    <s v="5K–10K"/>
    <x v="5"/>
    <n v="4.2390999999999996"/>
    <s v="Yes"/>
    <x v="0"/>
    <n v="46"/>
    <n v="63"/>
    <x v="2"/>
    <n v="0"/>
    <n v="0"/>
  </r>
  <r>
    <s v="P503928"/>
    <x v="2079"/>
    <n v="6295"/>
    <x v="28"/>
    <x v="2"/>
    <n v="7953"/>
    <s v="5K–10K"/>
    <x v="5"/>
    <n v="4.0385"/>
    <s v="Yes"/>
    <x v="0"/>
    <n v="26"/>
    <n v="12"/>
    <x v="1"/>
    <n v="0"/>
    <n v="0"/>
  </r>
  <r>
    <s v="P392891"/>
    <x v="2080"/>
    <n v="6089"/>
    <x v="45"/>
    <x v="5"/>
    <n v="7994"/>
    <s v="5K–10K"/>
    <x v="5"/>
    <n v="4.5999999999999996"/>
    <s v="Yes"/>
    <x v="0"/>
    <n v="20"/>
    <n v="74"/>
    <x v="2"/>
    <n v="0"/>
    <n v="1"/>
  </r>
  <r>
    <s v="P455341"/>
    <x v="2081"/>
    <n v="7091"/>
    <x v="71"/>
    <x v="4"/>
    <n v="8003"/>
    <s v="5K–10K"/>
    <x v="5"/>
    <n v="4.2691999999999997"/>
    <s v="Yes"/>
    <x v="0"/>
    <n v="52"/>
    <n v="28"/>
    <x v="0"/>
    <n v="0"/>
    <n v="0"/>
  </r>
  <r>
    <s v="P482697"/>
    <x v="2082"/>
    <n v="6125"/>
    <x v="0"/>
    <x v="2"/>
    <n v="8013"/>
    <s v="5K–10K"/>
    <x v="5"/>
    <n v="4"/>
    <s v="Yes"/>
    <x v="0"/>
    <n v="17"/>
    <n v="31"/>
    <x v="0"/>
    <n v="0"/>
    <n v="0"/>
  </r>
  <r>
    <s v="P430809"/>
    <x v="2083"/>
    <n v="6136"/>
    <x v="93"/>
    <x v="10"/>
    <n v="8018"/>
    <s v="5K–10K"/>
    <x v="5"/>
    <n v="4.3125"/>
    <s v="Yes"/>
    <x v="0"/>
    <n v="16"/>
    <n v="87"/>
    <x v="2"/>
    <n v="0"/>
    <n v="0"/>
  </r>
  <r>
    <s v="P473268"/>
    <x v="2084"/>
    <n v="6136"/>
    <x v="93"/>
    <x v="7"/>
    <n v="8046"/>
    <s v="5K–10K"/>
    <x v="5"/>
    <n v="4.0769000000000002"/>
    <s v="Yes"/>
    <x v="0"/>
    <n v="26"/>
    <n v="69"/>
    <x v="2"/>
    <n v="0"/>
    <n v="0"/>
  </r>
  <r>
    <s v="P472467"/>
    <x v="2085"/>
    <n v="5996"/>
    <x v="82"/>
    <x v="11"/>
    <n v="8059"/>
    <s v="5K–10K"/>
    <x v="5"/>
    <n v="4.4889000000000001"/>
    <s v="Yes"/>
    <x v="0"/>
    <n v="90"/>
    <n v="25"/>
    <x v="0"/>
    <n v="0"/>
    <n v="0"/>
  </r>
  <r>
    <s v="P428636"/>
    <x v="2086"/>
    <n v="6201"/>
    <x v="44"/>
    <x v="2"/>
    <n v="8063"/>
    <s v="5K–10K"/>
    <x v="5"/>
    <n v="3.6086999999999998"/>
    <s v="Yes"/>
    <x v="1"/>
    <n v="23"/>
    <n v="25"/>
    <x v="0"/>
    <n v="0"/>
    <n v="0"/>
  </r>
  <r>
    <s v="P482698"/>
    <x v="2087"/>
    <n v="6125"/>
    <x v="0"/>
    <x v="2"/>
    <n v="8064"/>
    <s v="5K–10K"/>
    <x v="5"/>
    <n v="4.4118000000000004"/>
    <s v="Yes"/>
    <x v="0"/>
    <n v="17"/>
    <n v="31"/>
    <x v="0"/>
    <n v="0"/>
    <n v="0"/>
  </r>
  <r>
    <s v="P455931"/>
    <x v="2088"/>
    <n v="6314"/>
    <x v="100"/>
    <x v="3"/>
    <n v="8073"/>
    <s v="5K–10K"/>
    <x v="5"/>
    <n v="4.4443999999999999"/>
    <s v="Yes"/>
    <x v="0"/>
    <n v="99"/>
    <n v="52"/>
    <x v="2"/>
    <n v="0"/>
    <n v="0"/>
  </r>
  <r>
    <s v="P480613"/>
    <x v="2089"/>
    <n v="6201"/>
    <x v="44"/>
    <x v="3"/>
    <n v="8097"/>
    <s v="5K–10K"/>
    <x v="5"/>
    <n v="4.6439000000000004"/>
    <s v="Yes"/>
    <x v="0"/>
    <n v="424"/>
    <n v="180"/>
    <x v="2"/>
    <n v="0"/>
    <n v="0"/>
  </r>
  <r>
    <s v="P469512"/>
    <x v="2090"/>
    <n v="6341"/>
    <x v="12"/>
    <x v="8"/>
    <n v="8104"/>
    <s v="5K–10K"/>
    <x v="5"/>
    <n v="4.1162999999999998"/>
    <s v="Yes"/>
    <x v="0"/>
    <n v="43"/>
    <n v="49"/>
    <x v="0"/>
    <n v="0"/>
    <n v="0"/>
  </r>
  <r>
    <s v="P433973"/>
    <x v="2091"/>
    <n v="8012"/>
    <x v="122"/>
    <x v="1"/>
    <n v="8129"/>
    <s v="5K–10K"/>
    <x v="5"/>
    <n v="4.7217000000000002"/>
    <s v="Yes"/>
    <x v="0"/>
    <n v="230"/>
    <n v="32"/>
    <x v="0"/>
    <n v="0"/>
    <n v="0"/>
  </r>
  <r>
    <s v="P503867"/>
    <x v="2092"/>
    <n v="6125"/>
    <x v="0"/>
    <x v="1"/>
    <n v="8178"/>
    <s v="5K–10K"/>
    <x v="5"/>
    <n v="4.5728"/>
    <s v="Yes"/>
    <x v="0"/>
    <n v="213"/>
    <n v="39"/>
    <x v="0"/>
    <n v="0"/>
    <n v="0"/>
  </r>
  <r>
    <s v="P433962"/>
    <x v="2093"/>
    <n v="6201"/>
    <x v="44"/>
    <x v="5"/>
    <n v="8179"/>
    <s v="5K–10K"/>
    <x v="5"/>
    <n v="4.2609000000000004"/>
    <s v="Yes"/>
    <x v="0"/>
    <n v="23"/>
    <n v="190"/>
    <x v="2"/>
    <n v="0"/>
    <n v="0"/>
  </r>
  <r>
    <s v="P502978"/>
    <x v="2094"/>
    <n v="6169"/>
    <x v="3"/>
    <x v="10"/>
    <n v="8189"/>
    <s v="5K–10K"/>
    <x v="5"/>
    <n v="3"/>
    <s v="Yes"/>
    <x v="1"/>
    <n v="3"/>
    <n v="28"/>
    <x v="0"/>
    <n v="0"/>
    <n v="0"/>
  </r>
  <r>
    <s v="P460758"/>
    <x v="2095"/>
    <n v="4372"/>
    <x v="97"/>
    <x v="3"/>
    <n v="8201"/>
    <s v="5K–10K"/>
    <x v="5"/>
    <n v="4.1467999999999998"/>
    <s v="Yes"/>
    <x v="0"/>
    <n v="109"/>
    <n v="56"/>
    <x v="2"/>
    <n v="0"/>
    <n v="0"/>
  </r>
  <r>
    <s v="P504880"/>
    <x v="2096"/>
    <n v="6352"/>
    <x v="35"/>
    <x v="2"/>
    <n v="8214"/>
    <s v="5K–10K"/>
    <x v="5"/>
    <n v="4.0909000000000004"/>
    <s v="Yes"/>
    <x v="0"/>
    <n v="11"/>
    <n v="34"/>
    <x v="0"/>
    <n v="1"/>
    <n v="0"/>
  </r>
  <r>
    <s v="P433468"/>
    <x v="2097"/>
    <n v="5946"/>
    <x v="80"/>
    <x v="1"/>
    <n v="8230"/>
    <s v="5K–10K"/>
    <x v="5"/>
    <n v="4.1143000000000001"/>
    <s v="Yes"/>
    <x v="0"/>
    <n v="105"/>
    <n v="68"/>
    <x v="2"/>
    <n v="0"/>
    <n v="0"/>
  </r>
  <r>
    <s v="P428414"/>
    <x v="2098"/>
    <n v="3297"/>
    <x v="34"/>
    <x v="10"/>
    <n v="8231"/>
    <s v="5K–10K"/>
    <x v="5"/>
    <n v="4.5"/>
    <s v="Yes"/>
    <x v="0"/>
    <n v="14"/>
    <n v="37"/>
    <x v="0"/>
    <n v="0"/>
    <n v="0"/>
  </r>
  <r>
    <s v="P456194"/>
    <x v="2099"/>
    <n v="2082"/>
    <x v="63"/>
    <x v="3"/>
    <n v="8236"/>
    <s v="5K–10K"/>
    <x v="5"/>
    <n v="4.6528"/>
    <s v="Yes"/>
    <x v="0"/>
    <n v="193"/>
    <n v="96"/>
    <x v="2"/>
    <n v="0"/>
    <n v="0"/>
  </r>
  <r>
    <s v="P433457"/>
    <x v="2100"/>
    <n v="3728"/>
    <x v="41"/>
    <x v="1"/>
    <n v="8238"/>
    <s v="5K–10K"/>
    <x v="5"/>
    <n v="4.3428000000000004"/>
    <s v="Yes"/>
    <x v="0"/>
    <n v="318"/>
    <n v="62"/>
    <x v="2"/>
    <n v="0"/>
    <n v="1"/>
  </r>
  <r>
    <s v="P468684"/>
    <x v="2101"/>
    <n v="6207"/>
    <x v="50"/>
    <x v="2"/>
    <n v="8251"/>
    <s v="5K–10K"/>
    <x v="5"/>
    <n v="4.4596999999999998"/>
    <s v="Yes"/>
    <x v="0"/>
    <n v="459"/>
    <n v="44"/>
    <x v="0"/>
    <n v="0"/>
    <n v="0"/>
  </r>
  <r>
    <s v="P474971"/>
    <x v="2102"/>
    <n v="6209"/>
    <x v="8"/>
    <x v="3"/>
    <n v="8255"/>
    <s v="5K–10K"/>
    <x v="5"/>
    <n v="4.2624000000000004"/>
    <s v="Yes"/>
    <x v="0"/>
    <n v="221"/>
    <n v="28"/>
    <x v="0"/>
    <n v="0"/>
    <n v="0"/>
  </r>
  <r>
    <s v="P476496"/>
    <x v="2103"/>
    <n v="6352"/>
    <x v="35"/>
    <x v="3"/>
    <n v="8257"/>
    <s v="5K–10K"/>
    <x v="5"/>
    <n v="5"/>
    <s v="Yes"/>
    <x v="0"/>
    <n v="8"/>
    <n v="40"/>
    <x v="0"/>
    <n v="0"/>
    <n v="0"/>
  </r>
  <r>
    <s v="P504780"/>
    <x v="2104"/>
    <n v="6751"/>
    <x v="47"/>
    <x v="1"/>
    <n v="8275"/>
    <s v="5K–10K"/>
    <x v="5"/>
    <n v="2.7778"/>
    <s v="Yes"/>
    <x v="2"/>
    <n v="9"/>
    <n v="29"/>
    <x v="0"/>
    <n v="1"/>
    <n v="0"/>
  </r>
  <r>
    <s v="P457274"/>
    <x v="2105"/>
    <n v="2366"/>
    <x v="66"/>
    <x v="10"/>
    <n v="8278"/>
    <s v="5K–10K"/>
    <x v="5"/>
    <n v="4.1429"/>
    <s v="Yes"/>
    <x v="0"/>
    <n v="7"/>
    <n v="29"/>
    <x v="0"/>
    <n v="0"/>
    <n v="0"/>
  </r>
  <r>
    <s v="P484067"/>
    <x v="2106"/>
    <n v="5857"/>
    <x v="51"/>
    <x v="3"/>
    <n v="8281"/>
    <s v="5K–10K"/>
    <x v="5"/>
    <n v="4.8391000000000002"/>
    <s v="Yes"/>
    <x v="0"/>
    <n v="261"/>
    <n v="60"/>
    <x v="2"/>
    <n v="0"/>
    <n v="0"/>
  </r>
  <r>
    <s v="P377919"/>
    <x v="2107"/>
    <n v="3733"/>
    <x v="22"/>
    <x v="2"/>
    <n v="8293"/>
    <s v="5K–10K"/>
    <x v="5"/>
    <n v="4.2870999999999997"/>
    <s v="Yes"/>
    <x v="0"/>
    <n v="101"/>
    <n v="36"/>
    <x v="0"/>
    <n v="0"/>
    <n v="0"/>
  </r>
  <r>
    <s v="P376135"/>
    <x v="2108"/>
    <n v="1741"/>
    <x v="42"/>
    <x v="3"/>
    <n v="8299"/>
    <s v="5K–10K"/>
    <x v="5"/>
    <n v="4.3571"/>
    <s v="Yes"/>
    <x v="0"/>
    <n v="56"/>
    <n v="160"/>
    <x v="2"/>
    <n v="0"/>
    <n v="0"/>
  </r>
  <r>
    <s v="P416725"/>
    <x v="2109"/>
    <n v="6201"/>
    <x v="44"/>
    <x v="1"/>
    <n v="8300"/>
    <s v="5K–10K"/>
    <x v="5"/>
    <n v="4"/>
    <s v="Yes"/>
    <x v="0"/>
    <n v="29"/>
    <n v="255"/>
    <x v="2"/>
    <n v="0"/>
    <n v="0"/>
  </r>
  <r>
    <s v="P481697"/>
    <x v="2110"/>
    <n v="6219"/>
    <x v="39"/>
    <x v="1"/>
    <n v="8306"/>
    <s v="5K–10K"/>
    <x v="5"/>
    <n v="4.7687999999999997"/>
    <s v="Yes"/>
    <x v="0"/>
    <n v="372"/>
    <n v="64"/>
    <x v="2"/>
    <n v="0"/>
    <n v="0"/>
  </r>
  <r>
    <s v="P467112"/>
    <x v="2111"/>
    <n v="6219"/>
    <x v="39"/>
    <x v="2"/>
    <n v="8312"/>
    <s v="5K–10K"/>
    <x v="5"/>
    <n v="4.8823999999999996"/>
    <s v="Yes"/>
    <x v="0"/>
    <n v="17"/>
    <n v="56"/>
    <x v="2"/>
    <n v="0"/>
    <n v="0"/>
  </r>
  <r>
    <s v="P471111"/>
    <x v="2112"/>
    <n v="6316"/>
    <x v="49"/>
    <x v="2"/>
    <n v="8346"/>
    <s v="5K–10K"/>
    <x v="5"/>
    <n v="4.7553999999999998"/>
    <s v="Yes"/>
    <x v="0"/>
    <n v="462"/>
    <n v="39"/>
    <x v="0"/>
    <n v="0"/>
    <n v="0"/>
  </r>
  <r>
    <s v="P464243"/>
    <x v="2113"/>
    <n v="6334"/>
    <x v="120"/>
    <x v="2"/>
    <n v="8366"/>
    <s v="5K–10K"/>
    <x v="5"/>
    <n v="4.4931000000000001"/>
    <s v="Yes"/>
    <x v="0"/>
    <n v="434"/>
    <n v="30"/>
    <x v="0"/>
    <n v="0"/>
    <n v="0"/>
  </r>
  <r>
    <s v="P423134"/>
    <x v="2114"/>
    <n v="6219"/>
    <x v="39"/>
    <x v="8"/>
    <n v="8383"/>
    <s v="5K–10K"/>
    <x v="5"/>
    <n v="4.1723999999999997"/>
    <s v="Yes"/>
    <x v="0"/>
    <n v="203"/>
    <n v="69"/>
    <x v="2"/>
    <n v="0"/>
    <n v="0"/>
  </r>
  <r>
    <s v="P501029"/>
    <x v="2115"/>
    <n v="6218"/>
    <x v="20"/>
    <x v="1"/>
    <n v="8391"/>
    <s v="5K–10K"/>
    <x v="5"/>
    <n v="4.5163000000000002"/>
    <s v="Yes"/>
    <x v="0"/>
    <n v="614"/>
    <n v="85"/>
    <x v="2"/>
    <n v="0"/>
    <n v="0"/>
  </r>
  <r>
    <s v="P442741"/>
    <x v="2116"/>
    <n v="3728"/>
    <x v="41"/>
    <x v="1"/>
    <n v="8393"/>
    <s v="5K–10K"/>
    <x v="5"/>
    <n v="4.4471999999999996"/>
    <s v="Yes"/>
    <x v="0"/>
    <n v="559"/>
    <n v="125"/>
    <x v="2"/>
    <n v="0"/>
    <n v="0"/>
  </r>
  <r>
    <s v="P469526"/>
    <x v="2117"/>
    <n v="6341"/>
    <x v="12"/>
    <x v="3"/>
    <n v="8396"/>
    <s v="5K–10K"/>
    <x v="5"/>
    <n v="3.7273000000000001"/>
    <s v="Yes"/>
    <x v="1"/>
    <n v="44"/>
    <n v="37"/>
    <x v="0"/>
    <n v="0"/>
    <n v="0"/>
  </r>
  <r>
    <s v="P404232"/>
    <x v="2118"/>
    <n v="5946"/>
    <x v="80"/>
    <x v="1"/>
    <n v="8412"/>
    <s v="5K–10K"/>
    <x v="5"/>
    <n v="4.0541"/>
    <s v="Yes"/>
    <x v="0"/>
    <n v="74"/>
    <n v="110"/>
    <x v="2"/>
    <n v="0"/>
    <n v="0"/>
  </r>
  <r>
    <s v="P436347"/>
    <x v="2119"/>
    <n v="7037"/>
    <x v="48"/>
    <x v="5"/>
    <n v="8426"/>
    <s v="5K–10K"/>
    <x v="5"/>
    <n v="4.5"/>
    <s v="Yes"/>
    <x v="0"/>
    <n v="10"/>
    <n v="21.99"/>
    <x v="0"/>
    <n v="0"/>
    <n v="0"/>
  </r>
  <r>
    <s v="P481161"/>
    <x v="2120"/>
    <n v="5337"/>
    <x v="32"/>
    <x v="1"/>
    <n v="8461"/>
    <s v="5K–10K"/>
    <x v="5"/>
    <n v="4.5483000000000002"/>
    <s v="Yes"/>
    <x v="0"/>
    <n v="870"/>
    <n v="75"/>
    <x v="2"/>
    <n v="0"/>
    <n v="0"/>
  </r>
  <r>
    <s v="P417625"/>
    <x v="2121"/>
    <n v="4372"/>
    <x v="97"/>
    <x v="8"/>
    <n v="8505"/>
    <s v="5K–10K"/>
    <x v="5"/>
    <n v="3.9159000000000002"/>
    <s v="Yes"/>
    <x v="1"/>
    <n v="107"/>
    <n v="58"/>
    <x v="2"/>
    <n v="0"/>
    <n v="0"/>
  </r>
  <r>
    <s v="P482309"/>
    <x v="2122"/>
    <n v="3902"/>
    <x v="13"/>
    <x v="11"/>
    <n v="8525"/>
    <s v="5K–10K"/>
    <x v="5"/>
    <n v="4"/>
    <s v="Yes"/>
    <x v="0"/>
    <n v="4"/>
    <n v="28"/>
    <x v="0"/>
    <n v="0"/>
    <n v="0"/>
  </r>
  <r>
    <s v="P472028"/>
    <x v="2123"/>
    <n v="1073"/>
    <x v="52"/>
    <x v="8"/>
    <n v="8533"/>
    <s v="5K–10K"/>
    <x v="5"/>
    <n v="4.3830999999999998"/>
    <s v="Yes"/>
    <x v="0"/>
    <n v="1091"/>
    <n v="85"/>
    <x v="2"/>
    <n v="0"/>
    <n v="0"/>
  </r>
  <r>
    <s v="P398717"/>
    <x v="2124"/>
    <n v="1254"/>
    <x v="24"/>
    <x v="3"/>
    <n v="8553"/>
    <s v="5K–10K"/>
    <x v="5"/>
    <n v="4.4085000000000001"/>
    <s v="Yes"/>
    <x v="0"/>
    <n v="164"/>
    <n v="32.5"/>
    <x v="0"/>
    <n v="0"/>
    <n v="0"/>
  </r>
  <r>
    <s v="P392522"/>
    <x v="2125"/>
    <n v="2082"/>
    <x v="63"/>
    <x v="3"/>
    <n v="8559"/>
    <s v="5K–10K"/>
    <x v="5"/>
    <n v="4.76"/>
    <s v="Yes"/>
    <x v="0"/>
    <n v="25"/>
    <n v="65"/>
    <x v="2"/>
    <n v="0"/>
    <n v="0"/>
  </r>
  <r>
    <s v="P458573"/>
    <x v="2126"/>
    <n v="3297"/>
    <x v="34"/>
    <x v="10"/>
    <n v="8564"/>
    <s v="5K–10K"/>
    <x v="5"/>
    <n v="4.7222"/>
    <s v="Yes"/>
    <x v="0"/>
    <n v="18"/>
    <n v="22"/>
    <x v="0"/>
    <n v="0"/>
    <n v="0"/>
  </r>
  <r>
    <s v="P504273"/>
    <x v="2127"/>
    <n v="4348"/>
    <x v="11"/>
    <x v="10"/>
    <n v="8577"/>
    <s v="5K–10K"/>
    <x v="5"/>
    <n v="4"/>
    <s v="Yes"/>
    <x v="0"/>
    <n v="5"/>
    <n v="35"/>
    <x v="0"/>
    <n v="1"/>
    <n v="0"/>
  </r>
  <r>
    <s v="P380027"/>
    <x v="2128"/>
    <n v="6089"/>
    <x v="45"/>
    <x v="2"/>
    <n v="8588"/>
    <s v="5K–10K"/>
    <x v="5"/>
    <n v="4.4397000000000002"/>
    <s v="Yes"/>
    <x v="0"/>
    <n v="116"/>
    <n v="30"/>
    <x v="0"/>
    <n v="0"/>
    <n v="0"/>
  </r>
  <r>
    <s v="P422648"/>
    <x v="2129"/>
    <n v="6089"/>
    <x v="45"/>
    <x v="3"/>
    <n v="8588"/>
    <s v="5K–10K"/>
    <x v="5"/>
    <n v="4.4808000000000003"/>
    <s v="Yes"/>
    <x v="0"/>
    <n v="52"/>
    <n v="59"/>
    <x v="2"/>
    <n v="0"/>
    <n v="0"/>
  </r>
  <r>
    <s v="P460511"/>
    <x v="2130"/>
    <n v="5946"/>
    <x v="80"/>
    <x v="7"/>
    <n v="8596"/>
    <s v="5K–10K"/>
    <x v="5"/>
    <n v="4.1176000000000004"/>
    <s v="Yes"/>
    <x v="0"/>
    <n v="17"/>
    <n v="24"/>
    <x v="0"/>
    <n v="0"/>
    <n v="0"/>
  </r>
  <r>
    <s v="P444970"/>
    <x v="2131"/>
    <n v="4164"/>
    <x v="54"/>
    <x v="1"/>
    <n v="8621"/>
    <s v="5K–10K"/>
    <x v="5"/>
    <n v="4.6105999999999998"/>
    <s v="Yes"/>
    <x v="0"/>
    <n v="357"/>
    <n v="79"/>
    <x v="2"/>
    <n v="0"/>
    <n v="0"/>
  </r>
  <r>
    <s v="P482742"/>
    <x v="2132"/>
    <n v="5337"/>
    <x v="32"/>
    <x v="4"/>
    <n v="8629"/>
    <s v="5K–10K"/>
    <x v="5"/>
    <n v="4.6311"/>
    <s v="Yes"/>
    <x v="0"/>
    <n v="1190"/>
    <n v="38"/>
    <x v="0"/>
    <n v="0"/>
    <n v="0"/>
  </r>
  <r>
    <s v="P440489"/>
    <x v="2133"/>
    <n v="8017"/>
    <x v="56"/>
    <x v="2"/>
    <n v="8640"/>
    <s v="5K–10K"/>
    <x v="5"/>
    <n v="4.1289999999999996"/>
    <s v="Yes"/>
    <x v="0"/>
    <n v="62"/>
    <n v="16"/>
    <x v="1"/>
    <n v="0"/>
    <n v="0"/>
  </r>
  <r>
    <s v="P454935"/>
    <x v="2134"/>
    <n v="6302"/>
    <x v="114"/>
    <x v="7"/>
    <n v="8640"/>
    <s v="5K–10K"/>
    <x v="5"/>
    <n v="4.0601000000000003"/>
    <s v="Yes"/>
    <x v="0"/>
    <n v="815"/>
    <n v="60"/>
    <x v="2"/>
    <n v="0"/>
    <n v="0"/>
  </r>
  <r>
    <s v="P406942"/>
    <x v="2135"/>
    <n v="2082"/>
    <x v="63"/>
    <x v="3"/>
    <n v="8646"/>
    <s v="5K–10K"/>
    <x v="5"/>
    <n v="4.2537000000000003"/>
    <s v="Yes"/>
    <x v="0"/>
    <n v="67"/>
    <n v="62"/>
    <x v="2"/>
    <n v="0"/>
    <n v="0"/>
  </r>
  <r>
    <s v="P431416"/>
    <x v="2136"/>
    <n v="6201"/>
    <x v="44"/>
    <x v="2"/>
    <n v="8653"/>
    <s v="5K–10K"/>
    <x v="5"/>
    <n v="4.6596000000000002"/>
    <s v="Yes"/>
    <x v="0"/>
    <n v="47"/>
    <n v="135"/>
    <x v="2"/>
    <n v="0"/>
    <n v="0"/>
  </r>
  <r>
    <s v="P461439"/>
    <x v="2137"/>
    <n v="5668"/>
    <x v="16"/>
    <x v="2"/>
    <n v="8658"/>
    <s v="5K–10K"/>
    <x v="5"/>
    <n v="4.4554999999999998"/>
    <s v="Yes"/>
    <x v="0"/>
    <n v="595"/>
    <n v="32"/>
    <x v="0"/>
    <n v="0"/>
    <n v="0"/>
  </r>
  <r>
    <s v="P460627"/>
    <x v="2138"/>
    <n v="6073"/>
    <x v="15"/>
    <x v="5"/>
    <n v="8678"/>
    <s v="5K–10K"/>
    <x v="5"/>
    <n v="3.1515"/>
    <s v="Yes"/>
    <x v="1"/>
    <n v="99"/>
    <n v="20"/>
    <x v="0"/>
    <n v="0"/>
    <n v="0"/>
  </r>
  <r>
    <s v="P476010"/>
    <x v="2139"/>
    <n v="6367"/>
    <x v="123"/>
    <x v="2"/>
    <n v="8679"/>
    <s v="5K–10K"/>
    <x v="5"/>
    <n v="4.6848000000000001"/>
    <s v="Yes"/>
    <x v="0"/>
    <n v="184"/>
    <n v="32"/>
    <x v="0"/>
    <n v="0"/>
    <n v="0"/>
  </r>
  <r>
    <s v="P479692"/>
    <x v="2140"/>
    <n v="6219"/>
    <x v="39"/>
    <x v="8"/>
    <n v="8685"/>
    <s v="5K–10K"/>
    <x v="5"/>
    <n v="4.7032999999999996"/>
    <s v="Yes"/>
    <x v="0"/>
    <n v="273"/>
    <n v="59"/>
    <x v="2"/>
    <n v="0"/>
    <n v="0"/>
  </r>
  <r>
    <s v="P428240"/>
    <x v="2141"/>
    <n v="6219"/>
    <x v="39"/>
    <x v="3"/>
    <n v="8686"/>
    <s v="5K–10K"/>
    <x v="5"/>
    <n v="4.3562000000000003"/>
    <s v="Yes"/>
    <x v="0"/>
    <n v="219"/>
    <n v="55"/>
    <x v="2"/>
    <n v="0"/>
    <n v="0"/>
  </r>
  <r>
    <s v="P455241"/>
    <x v="2142"/>
    <n v="6207"/>
    <x v="50"/>
    <x v="1"/>
    <n v="8710"/>
    <s v="5K–10K"/>
    <x v="5"/>
    <n v="4.3945999999999996"/>
    <s v="Yes"/>
    <x v="0"/>
    <n v="555"/>
    <n v="74"/>
    <x v="2"/>
    <n v="0"/>
    <n v="0"/>
  </r>
  <r>
    <s v="P474332"/>
    <x v="2143"/>
    <n v="6175"/>
    <x v="59"/>
    <x v="1"/>
    <n v="8711"/>
    <s v="5K–10K"/>
    <x v="5"/>
    <n v="4.4615"/>
    <s v="Yes"/>
    <x v="0"/>
    <n v="273"/>
    <n v="29"/>
    <x v="0"/>
    <n v="0"/>
    <n v="0"/>
  </r>
  <r>
    <s v="P468818"/>
    <x v="2144"/>
    <n v="1254"/>
    <x v="24"/>
    <x v="7"/>
    <n v="8723"/>
    <s v="5K–10K"/>
    <x v="5"/>
    <n v="4.2182000000000004"/>
    <s v="Yes"/>
    <x v="0"/>
    <n v="55"/>
    <n v="16"/>
    <x v="1"/>
    <n v="0"/>
    <n v="0"/>
  </r>
  <r>
    <s v="P379064"/>
    <x v="2145"/>
    <n v="2082"/>
    <x v="63"/>
    <x v="3"/>
    <n v="8723"/>
    <s v="5K–10K"/>
    <x v="5"/>
    <n v="4.4028999999999998"/>
    <s v="Yes"/>
    <x v="0"/>
    <n v="139"/>
    <n v="65"/>
    <x v="2"/>
    <n v="0"/>
    <n v="0"/>
  </r>
  <r>
    <s v="P429637"/>
    <x v="2146"/>
    <n v="6201"/>
    <x v="44"/>
    <x v="3"/>
    <n v="8727"/>
    <s v="5K–10K"/>
    <x v="5"/>
    <n v="3.6787999999999998"/>
    <s v="Yes"/>
    <x v="1"/>
    <n v="137"/>
    <n v="200"/>
    <x v="2"/>
    <n v="0"/>
    <n v="0"/>
  </r>
  <r>
    <s v="P457697"/>
    <x v="2147"/>
    <n v="5946"/>
    <x v="80"/>
    <x v="1"/>
    <n v="8729"/>
    <s v="5K–10K"/>
    <x v="5"/>
    <n v="4.641"/>
    <s v="Yes"/>
    <x v="0"/>
    <n v="156"/>
    <n v="98"/>
    <x v="2"/>
    <n v="0"/>
    <n v="0"/>
  </r>
  <r>
    <s v="P456204"/>
    <x v="2148"/>
    <n v="5626"/>
    <x v="64"/>
    <x v="10"/>
    <n v="8774"/>
    <s v="5K–10K"/>
    <x v="5"/>
    <n v="3.2"/>
    <s v="Yes"/>
    <x v="1"/>
    <n v="30"/>
    <n v="25"/>
    <x v="0"/>
    <n v="0"/>
    <n v="0"/>
  </r>
  <r>
    <s v="P471042"/>
    <x v="2149"/>
    <n v="6357"/>
    <x v="92"/>
    <x v="3"/>
    <n v="8788"/>
    <s v="5K–10K"/>
    <x v="5"/>
    <n v="4.4946000000000002"/>
    <s v="Yes"/>
    <x v="0"/>
    <n v="93"/>
    <n v="24"/>
    <x v="0"/>
    <n v="0"/>
    <n v="0"/>
  </r>
  <r>
    <s v="P6028"/>
    <x v="2150"/>
    <n v="4171"/>
    <x v="23"/>
    <x v="2"/>
    <n v="8817"/>
    <s v="5K–10K"/>
    <x v="5"/>
    <n v="4.3051000000000004"/>
    <s v="Yes"/>
    <x v="0"/>
    <n v="236"/>
    <n v="35"/>
    <x v="0"/>
    <n v="0"/>
    <n v="1"/>
  </r>
  <r>
    <s v="P447604"/>
    <x v="2151"/>
    <n v="6256"/>
    <x v="61"/>
    <x v="9"/>
    <n v="8818"/>
    <s v="5K–10K"/>
    <x v="5"/>
    <n v="4.7367999999999997"/>
    <s v="Yes"/>
    <x v="0"/>
    <n v="19"/>
    <n v="30"/>
    <x v="0"/>
    <n v="0"/>
    <n v="0"/>
  </r>
  <r>
    <s v="P504919"/>
    <x v="2152"/>
    <n v="6751"/>
    <x v="47"/>
    <x v="2"/>
    <n v="8821"/>
    <s v="5K–10K"/>
    <x v="5"/>
    <n v="4.2667000000000002"/>
    <s v="Yes"/>
    <x v="0"/>
    <n v="15"/>
    <n v="14"/>
    <x v="1"/>
    <n v="1"/>
    <n v="0"/>
  </r>
  <r>
    <s v="P410101"/>
    <x v="2153"/>
    <n v="1254"/>
    <x v="24"/>
    <x v="4"/>
    <n v="8842"/>
    <s v="5K–10K"/>
    <x v="5"/>
    <n v="3.4405000000000001"/>
    <s v="Yes"/>
    <x v="1"/>
    <n v="84"/>
    <n v="31"/>
    <x v="0"/>
    <n v="0"/>
    <n v="0"/>
  </r>
  <r>
    <s v="P460704"/>
    <x v="2154"/>
    <n v="3902"/>
    <x v="13"/>
    <x v="10"/>
    <n v="8847"/>
    <s v="5K–10K"/>
    <x v="5"/>
    <n v="4.3333000000000004"/>
    <s v="Yes"/>
    <x v="0"/>
    <n v="18"/>
    <n v="20"/>
    <x v="0"/>
    <n v="0"/>
    <n v="0"/>
  </r>
  <r>
    <s v="P423264"/>
    <x v="2155"/>
    <n v="1073"/>
    <x v="52"/>
    <x v="1"/>
    <n v="8855"/>
    <s v="5K–10K"/>
    <x v="5"/>
    <n v="4.3888999999999996"/>
    <s v="Yes"/>
    <x v="0"/>
    <n v="54"/>
    <n v="110"/>
    <x v="2"/>
    <n v="0"/>
    <n v="0"/>
  </r>
  <r>
    <s v="P500746"/>
    <x v="2156"/>
    <n v="5972"/>
    <x v="10"/>
    <x v="1"/>
    <n v="8865"/>
    <s v="5K–10K"/>
    <x v="5"/>
    <n v="4.5727000000000002"/>
    <s v="Yes"/>
    <x v="0"/>
    <n v="110"/>
    <n v="40"/>
    <x v="0"/>
    <n v="0"/>
    <n v="0"/>
  </r>
  <r>
    <s v="P436365"/>
    <x v="2157"/>
    <n v="5946"/>
    <x v="80"/>
    <x v="1"/>
    <n v="8879"/>
    <s v="5K–10K"/>
    <x v="5"/>
    <n v="3.5041000000000002"/>
    <s v="Yes"/>
    <x v="1"/>
    <n v="121"/>
    <n v="110"/>
    <x v="2"/>
    <n v="0"/>
    <n v="0"/>
  </r>
  <r>
    <s v="P453826"/>
    <x v="2158"/>
    <n v="1741"/>
    <x v="42"/>
    <x v="3"/>
    <n v="8888"/>
    <s v="5K–10K"/>
    <x v="5"/>
    <n v="4.6909000000000001"/>
    <s v="Yes"/>
    <x v="0"/>
    <n v="317"/>
    <n v="135"/>
    <x v="2"/>
    <n v="0"/>
    <n v="0"/>
  </r>
  <r>
    <s v="P441645"/>
    <x v="2159"/>
    <n v="7091"/>
    <x v="71"/>
    <x v="6"/>
    <n v="8889"/>
    <s v="5K–10K"/>
    <x v="5"/>
    <n v="4.25"/>
    <s v="Yes"/>
    <x v="0"/>
    <n v="40"/>
    <n v="46"/>
    <x v="0"/>
    <n v="0"/>
    <n v="0"/>
  </r>
  <r>
    <s v="P456990"/>
    <x v="2160"/>
    <n v="6018"/>
    <x v="78"/>
    <x v="7"/>
    <n v="8900"/>
    <s v="5K–10K"/>
    <x v="5"/>
    <n v="3.4411999999999998"/>
    <s v="Yes"/>
    <x v="1"/>
    <n v="34"/>
    <n v="25"/>
    <x v="0"/>
    <n v="0"/>
    <n v="0"/>
  </r>
  <r>
    <s v="P447782"/>
    <x v="2161"/>
    <n v="6302"/>
    <x v="114"/>
    <x v="1"/>
    <n v="8905"/>
    <s v="5K–10K"/>
    <x v="5"/>
    <n v="4.0601000000000003"/>
    <s v="Yes"/>
    <x v="0"/>
    <n v="815"/>
    <n v="150"/>
    <x v="2"/>
    <n v="0"/>
    <n v="0"/>
  </r>
  <r>
    <s v="P500117"/>
    <x v="2162"/>
    <n v="6500"/>
    <x v="134"/>
    <x v="4"/>
    <n v="8924"/>
    <s v="5K–10K"/>
    <x v="5"/>
    <n v="4.3578000000000001"/>
    <s v="Yes"/>
    <x v="0"/>
    <n v="109"/>
    <n v="30"/>
    <x v="0"/>
    <n v="0"/>
    <n v="0"/>
  </r>
  <r>
    <s v="P475124"/>
    <x v="2163"/>
    <n v="6201"/>
    <x v="44"/>
    <x v="3"/>
    <n v="8930"/>
    <s v="5K–10K"/>
    <x v="5"/>
    <n v="4.6222000000000003"/>
    <s v="Yes"/>
    <x v="0"/>
    <n v="360"/>
    <n v="125"/>
    <x v="2"/>
    <n v="0"/>
    <n v="0"/>
  </r>
  <r>
    <s v="P423143"/>
    <x v="2164"/>
    <n v="6219"/>
    <x v="39"/>
    <x v="8"/>
    <n v="8944"/>
    <s v="5K–10K"/>
    <x v="5"/>
    <n v="4.1666999999999996"/>
    <s v="Yes"/>
    <x v="0"/>
    <n v="36"/>
    <n v="74"/>
    <x v="2"/>
    <n v="0"/>
    <n v="0"/>
  </r>
  <r>
    <s v="P467124"/>
    <x v="2165"/>
    <n v="6335"/>
    <x v="103"/>
    <x v="3"/>
    <n v="8948"/>
    <s v="5K–10K"/>
    <x v="5"/>
    <n v="4.1612"/>
    <s v="Yes"/>
    <x v="0"/>
    <n v="552"/>
    <n v="59"/>
    <x v="2"/>
    <n v="0"/>
    <n v="0"/>
  </r>
  <r>
    <s v="P383053"/>
    <x v="2166"/>
    <n v="4372"/>
    <x v="97"/>
    <x v="8"/>
    <n v="8950"/>
    <s v="5K–10K"/>
    <x v="5"/>
    <n v="4.0822000000000003"/>
    <s v="Yes"/>
    <x v="0"/>
    <n v="146"/>
    <n v="82"/>
    <x v="2"/>
    <n v="0"/>
    <n v="0"/>
  </r>
  <r>
    <s v="P503890"/>
    <x v="2167"/>
    <n v="6295"/>
    <x v="28"/>
    <x v="2"/>
    <n v="8957"/>
    <s v="5K–10K"/>
    <x v="5"/>
    <n v="4.5713999999999997"/>
    <s v="Yes"/>
    <x v="0"/>
    <n v="14"/>
    <n v="22"/>
    <x v="0"/>
    <n v="0"/>
    <n v="0"/>
  </r>
  <r>
    <s v="P466122"/>
    <x v="2168"/>
    <n v="4348"/>
    <x v="11"/>
    <x v="2"/>
    <n v="8957"/>
    <s v="5K–10K"/>
    <x v="5"/>
    <n v="4.4260000000000002"/>
    <s v="Yes"/>
    <x v="0"/>
    <n v="716"/>
    <n v="44"/>
    <x v="0"/>
    <n v="0"/>
    <n v="0"/>
  </r>
  <r>
    <s v="P457695"/>
    <x v="2169"/>
    <n v="5946"/>
    <x v="80"/>
    <x v="3"/>
    <n v="8961"/>
    <s v="5K–10K"/>
    <x v="5"/>
    <n v="4.4970999999999997"/>
    <s v="Yes"/>
    <x v="0"/>
    <n v="350"/>
    <n v="76"/>
    <x v="2"/>
    <n v="0"/>
    <n v="0"/>
  </r>
  <r>
    <s v="P468412"/>
    <x v="2170"/>
    <n v="6084"/>
    <x v="37"/>
    <x v="10"/>
    <n v="8972"/>
    <s v="5K–10K"/>
    <x v="5"/>
    <n v="4.0587999999999997"/>
    <s v="Yes"/>
    <x v="0"/>
    <n v="17"/>
    <n v="110"/>
    <x v="2"/>
    <n v="0"/>
    <n v="0"/>
  </r>
  <r>
    <s v="P482753"/>
    <x v="2171"/>
    <n v="6373"/>
    <x v="83"/>
    <x v="4"/>
    <n v="8977"/>
    <s v="5K–10K"/>
    <x v="5"/>
    <n v="4.4256000000000002"/>
    <s v="Yes"/>
    <x v="0"/>
    <n v="195"/>
    <n v="38"/>
    <x v="0"/>
    <n v="0"/>
    <n v="0"/>
  </r>
  <r>
    <s v="P501474"/>
    <x v="2172"/>
    <n v="6169"/>
    <x v="3"/>
    <x v="10"/>
    <n v="8989"/>
    <s v="5K–10K"/>
    <x v="5"/>
    <n v="4.875"/>
    <s v="Yes"/>
    <x v="0"/>
    <n v="8"/>
    <n v="340"/>
    <x v="2"/>
    <n v="0"/>
    <n v="0"/>
  </r>
  <r>
    <s v="P446630"/>
    <x v="2173"/>
    <n v="6114"/>
    <x v="65"/>
    <x v="11"/>
    <n v="8990"/>
    <s v="5K–10K"/>
    <x v="5"/>
    <n v="4.4558999999999997"/>
    <s v="Yes"/>
    <x v="0"/>
    <n v="136"/>
    <n v="179"/>
    <x v="2"/>
    <n v="0"/>
    <n v="0"/>
  </r>
  <r>
    <s v="P461200"/>
    <x v="2174"/>
    <n v="3902"/>
    <x v="13"/>
    <x v="5"/>
    <n v="9000"/>
    <s v="5K–10K"/>
    <x v="5"/>
    <n v="4.6666999999999996"/>
    <s v="Yes"/>
    <x v="0"/>
    <n v="27"/>
    <n v="5"/>
    <x v="1"/>
    <n v="0"/>
    <n v="0"/>
  </r>
  <r>
    <s v="P442743"/>
    <x v="2175"/>
    <n v="3728"/>
    <x v="41"/>
    <x v="3"/>
    <n v="9001"/>
    <s v="5K–10K"/>
    <x v="5"/>
    <n v="4.5530999999999997"/>
    <s v="Yes"/>
    <x v="0"/>
    <n v="508"/>
    <n v="95"/>
    <x v="2"/>
    <n v="0"/>
    <n v="0"/>
  </r>
  <r>
    <s v="P454086"/>
    <x v="2176"/>
    <n v="6014"/>
    <x v="17"/>
    <x v="2"/>
    <n v="9022"/>
    <s v="5K–10K"/>
    <x v="5"/>
    <n v="4.1409000000000002"/>
    <s v="Yes"/>
    <x v="0"/>
    <n v="504"/>
    <n v="29"/>
    <x v="0"/>
    <n v="0"/>
    <n v="0"/>
  </r>
  <r>
    <s v="P454385"/>
    <x v="2177"/>
    <n v="5987"/>
    <x v="9"/>
    <x v="4"/>
    <n v="9058"/>
    <s v="5K–10K"/>
    <x v="5"/>
    <n v="4.3333000000000004"/>
    <s v="Yes"/>
    <x v="0"/>
    <n v="57"/>
    <n v="34"/>
    <x v="0"/>
    <n v="0"/>
    <n v="0"/>
  </r>
  <r>
    <s v="P479971"/>
    <x v="2178"/>
    <n v="1741"/>
    <x v="42"/>
    <x v="1"/>
    <n v="9070"/>
    <s v="5K–10K"/>
    <x v="5"/>
    <n v="4.4419000000000004"/>
    <s v="Yes"/>
    <x v="0"/>
    <n v="602"/>
    <n v="140"/>
    <x v="2"/>
    <n v="0"/>
    <n v="0"/>
  </r>
  <r>
    <s v="P404169"/>
    <x v="2179"/>
    <n v="6018"/>
    <x v="78"/>
    <x v="8"/>
    <n v="9082"/>
    <s v="5K–10K"/>
    <x v="5"/>
    <n v="4.0229999999999997"/>
    <s v="Yes"/>
    <x v="0"/>
    <n v="87"/>
    <n v="70"/>
    <x v="2"/>
    <n v="0"/>
    <n v="0"/>
  </r>
  <r>
    <s v="P397627"/>
    <x v="2180"/>
    <n v="6014"/>
    <x v="17"/>
    <x v="5"/>
    <n v="9087"/>
    <s v="5K–10K"/>
    <x v="5"/>
    <n v="3.3060999999999998"/>
    <s v="Yes"/>
    <x v="1"/>
    <n v="49"/>
    <n v="9"/>
    <x v="1"/>
    <n v="0"/>
    <n v="0"/>
  </r>
  <r>
    <s v="P482007"/>
    <x v="2181"/>
    <n v="6295"/>
    <x v="28"/>
    <x v="2"/>
    <n v="9095"/>
    <s v="5K–10K"/>
    <x v="5"/>
    <n v="4.3094999999999999"/>
    <s v="Yes"/>
    <x v="0"/>
    <n v="42"/>
    <n v="13"/>
    <x v="1"/>
    <n v="0"/>
    <n v="0"/>
  </r>
  <r>
    <s v="P474956"/>
    <x v="2182"/>
    <n v="8008"/>
    <x v="18"/>
    <x v="6"/>
    <n v="9157"/>
    <s v="5K–10K"/>
    <x v="5"/>
    <n v="4.1886999999999999"/>
    <s v="Yes"/>
    <x v="0"/>
    <n v="53"/>
    <n v="24"/>
    <x v="0"/>
    <n v="0"/>
    <n v="0"/>
  </r>
  <r>
    <s v="P456207"/>
    <x v="2183"/>
    <n v="5715"/>
    <x v="72"/>
    <x v="3"/>
    <n v="9157"/>
    <s v="5K–10K"/>
    <x v="5"/>
    <n v="4.3479999999999999"/>
    <s v="Yes"/>
    <x v="0"/>
    <n v="3112"/>
    <n v="38.5"/>
    <x v="0"/>
    <n v="0"/>
    <n v="0"/>
  </r>
  <r>
    <s v="P470217"/>
    <x v="2184"/>
    <n v="4372"/>
    <x v="97"/>
    <x v="4"/>
    <n v="9171"/>
    <s v="5K–10K"/>
    <x v="5"/>
    <n v="4.2804000000000002"/>
    <s v="Yes"/>
    <x v="0"/>
    <n v="189"/>
    <n v="67"/>
    <x v="2"/>
    <n v="0"/>
    <n v="0"/>
  </r>
  <r>
    <s v="P500016"/>
    <x v="2185"/>
    <n v="4171"/>
    <x v="23"/>
    <x v="2"/>
    <n v="9182"/>
    <s v="5K–10K"/>
    <x v="5"/>
    <n v="4.6923000000000004"/>
    <s v="Yes"/>
    <x v="0"/>
    <n v="13"/>
    <n v="38"/>
    <x v="0"/>
    <n v="0"/>
    <n v="0"/>
  </r>
  <r>
    <s v="P472454"/>
    <x v="2186"/>
    <n v="4171"/>
    <x v="23"/>
    <x v="3"/>
    <n v="9188"/>
    <s v="5K–10K"/>
    <x v="5"/>
    <n v="4.2202000000000002"/>
    <s v="Yes"/>
    <x v="0"/>
    <n v="1962"/>
    <n v="38"/>
    <x v="0"/>
    <n v="0"/>
    <n v="0"/>
  </r>
  <r>
    <s v="P429683"/>
    <x v="2187"/>
    <n v="5626"/>
    <x v="64"/>
    <x v="6"/>
    <n v="9236"/>
    <s v="5K–10K"/>
    <x v="5"/>
    <n v="3.8311999999999999"/>
    <s v="Yes"/>
    <x v="1"/>
    <n v="160"/>
    <n v="44"/>
    <x v="0"/>
    <n v="0"/>
    <n v="0"/>
  </r>
  <r>
    <s v="P459128"/>
    <x v="2188"/>
    <n v="6318"/>
    <x v="107"/>
    <x v="1"/>
    <n v="9243"/>
    <s v="5K–10K"/>
    <x v="5"/>
    <n v="4.8235000000000001"/>
    <s v="Yes"/>
    <x v="0"/>
    <n v="306"/>
    <n v="145"/>
    <x v="2"/>
    <n v="0"/>
    <n v="0"/>
  </r>
  <r>
    <s v="P448562"/>
    <x v="2189"/>
    <n v="6289"/>
    <x v="19"/>
    <x v="2"/>
    <n v="9256"/>
    <s v="5K–10K"/>
    <x v="5"/>
    <n v="4.4493"/>
    <s v="Yes"/>
    <x v="0"/>
    <n v="69"/>
    <n v="32"/>
    <x v="0"/>
    <n v="0"/>
    <n v="0"/>
  </r>
  <r>
    <s v="P481743"/>
    <x v="2190"/>
    <n v="6358"/>
    <x v="81"/>
    <x v="11"/>
    <n v="9271"/>
    <s v="5K–10K"/>
    <x v="5"/>
    <n v="4.7954999999999997"/>
    <s v="Yes"/>
    <x v="0"/>
    <n v="44"/>
    <n v="79"/>
    <x v="2"/>
    <n v="0"/>
    <n v="0"/>
  </r>
  <r>
    <s v="P503655"/>
    <x v="2191"/>
    <n v="4171"/>
    <x v="23"/>
    <x v="3"/>
    <n v="9290"/>
    <s v="5K–10K"/>
    <x v="5"/>
    <n v="4.125"/>
    <s v="Yes"/>
    <x v="0"/>
    <n v="8"/>
    <n v="12"/>
    <x v="1"/>
    <n v="0"/>
    <n v="0"/>
  </r>
  <r>
    <s v="P480603"/>
    <x v="2192"/>
    <n v="5972"/>
    <x v="10"/>
    <x v="2"/>
    <n v="9294"/>
    <s v="5K–10K"/>
    <x v="5"/>
    <n v="3.6080999999999999"/>
    <s v="Yes"/>
    <x v="1"/>
    <n v="74"/>
    <n v="26"/>
    <x v="0"/>
    <n v="0"/>
    <n v="0"/>
  </r>
  <r>
    <s v="P445833"/>
    <x v="2193"/>
    <n v="6219"/>
    <x v="39"/>
    <x v="1"/>
    <n v="9307"/>
    <s v="5K–10K"/>
    <x v="5"/>
    <n v="4.3528000000000002"/>
    <s v="Yes"/>
    <x v="0"/>
    <n v="343"/>
    <n v="75"/>
    <x v="2"/>
    <n v="0"/>
    <n v="0"/>
  </r>
  <r>
    <s v="P388200"/>
    <x v="2194"/>
    <n v="6018"/>
    <x v="78"/>
    <x v="2"/>
    <n v="9314"/>
    <s v="5K–10K"/>
    <x v="5"/>
    <n v="4.0568999999999997"/>
    <s v="Yes"/>
    <x v="0"/>
    <n v="334"/>
    <n v="38"/>
    <x v="0"/>
    <n v="0"/>
    <n v="1"/>
  </r>
  <r>
    <s v="P504320"/>
    <x v="2195"/>
    <n v="5987"/>
    <x v="9"/>
    <x v="10"/>
    <n v="9331"/>
    <s v="5K–10K"/>
    <x v="5"/>
    <n v="3.75"/>
    <s v="Yes"/>
    <x v="1"/>
    <n v="8"/>
    <n v="30"/>
    <x v="0"/>
    <n v="0"/>
    <n v="0"/>
  </r>
  <r>
    <s v="P461667"/>
    <x v="2196"/>
    <n v="6326"/>
    <x v="99"/>
    <x v="7"/>
    <n v="9362"/>
    <s v="5K–10K"/>
    <x v="5"/>
    <n v="4.1680000000000001"/>
    <s v="Yes"/>
    <x v="0"/>
    <n v="256"/>
    <n v="18"/>
    <x v="1"/>
    <n v="0"/>
    <n v="0"/>
  </r>
  <r>
    <s v="P453825"/>
    <x v="2197"/>
    <n v="1741"/>
    <x v="42"/>
    <x v="3"/>
    <n v="9381"/>
    <s v="5K–10K"/>
    <x v="5"/>
    <n v="4.4130000000000003"/>
    <s v="Yes"/>
    <x v="0"/>
    <n v="1511"/>
    <n v="54"/>
    <x v="2"/>
    <n v="0"/>
    <n v="1"/>
  </r>
  <r>
    <s v="P386759"/>
    <x v="2198"/>
    <n v="7050"/>
    <x v="58"/>
    <x v="9"/>
    <n v="9393"/>
    <s v="5K–10K"/>
    <x v="5"/>
    <n v="4.2222"/>
    <s v="Yes"/>
    <x v="0"/>
    <n v="81"/>
    <n v="26"/>
    <x v="0"/>
    <n v="0"/>
    <n v="0"/>
  </r>
  <r>
    <s v="P392142"/>
    <x v="2199"/>
    <n v="7020"/>
    <x v="70"/>
    <x v="2"/>
    <n v="9393"/>
    <s v="5K–10K"/>
    <x v="5"/>
    <n v="4.0210999999999997"/>
    <s v="Yes"/>
    <x v="0"/>
    <n v="95"/>
    <n v="88"/>
    <x v="2"/>
    <n v="0"/>
    <n v="0"/>
  </r>
  <r>
    <s v="P449835"/>
    <x v="2200"/>
    <n v="5648"/>
    <x v="73"/>
    <x v="7"/>
    <n v="9396"/>
    <s v="5K–10K"/>
    <x v="5"/>
    <n v="3.8980000000000001"/>
    <s v="Yes"/>
    <x v="1"/>
    <n v="49"/>
    <n v="16"/>
    <x v="1"/>
    <n v="0"/>
    <n v="0"/>
  </r>
  <r>
    <s v="P481972"/>
    <x v="2201"/>
    <n v="1073"/>
    <x v="52"/>
    <x v="2"/>
    <n v="9400"/>
    <s v="5K–10K"/>
    <x v="5"/>
    <n v="4.4231999999999996"/>
    <s v="Yes"/>
    <x v="0"/>
    <n v="560"/>
    <n v="50"/>
    <x v="0"/>
    <n v="0"/>
    <n v="0"/>
  </r>
  <r>
    <s v="P504794"/>
    <x v="2202"/>
    <n v="6751"/>
    <x v="47"/>
    <x v="3"/>
    <n v="9402"/>
    <s v="5K–10K"/>
    <x v="5"/>
    <n v="4.1429"/>
    <s v="Yes"/>
    <x v="0"/>
    <n v="42"/>
    <n v="28"/>
    <x v="0"/>
    <n v="1"/>
    <n v="0"/>
  </r>
  <r>
    <s v="P475921"/>
    <x v="2203"/>
    <n v="2082"/>
    <x v="63"/>
    <x v="8"/>
    <n v="9415"/>
    <s v="5K–10K"/>
    <x v="5"/>
    <n v="4.2278000000000002"/>
    <s v="Yes"/>
    <x v="0"/>
    <n v="922"/>
    <n v="82"/>
    <x v="2"/>
    <n v="0"/>
    <n v="0"/>
  </r>
  <r>
    <s v="P411360"/>
    <x v="2204"/>
    <n v="5668"/>
    <x v="16"/>
    <x v="5"/>
    <n v="9464"/>
    <s v="5K–10K"/>
    <x v="5"/>
    <n v="4.0921000000000003"/>
    <s v="Yes"/>
    <x v="0"/>
    <n v="76"/>
    <n v="52"/>
    <x v="2"/>
    <n v="0"/>
    <n v="1"/>
  </r>
  <r>
    <s v="P500112"/>
    <x v="2205"/>
    <n v="6500"/>
    <x v="134"/>
    <x v="4"/>
    <n v="9474"/>
    <s v="5K–10K"/>
    <x v="5"/>
    <n v="4.4904000000000002"/>
    <s v="Yes"/>
    <x v="0"/>
    <n v="208"/>
    <n v="30"/>
    <x v="0"/>
    <n v="0"/>
    <n v="0"/>
  </r>
  <r>
    <s v="P457441"/>
    <x v="2206"/>
    <n v="3902"/>
    <x v="13"/>
    <x v="10"/>
    <n v="9475"/>
    <s v="5K–10K"/>
    <x v="5"/>
    <n v="4.6666999999999996"/>
    <s v="Yes"/>
    <x v="0"/>
    <n v="33"/>
    <n v="20"/>
    <x v="0"/>
    <n v="0"/>
    <n v="0"/>
  </r>
  <r>
    <s v="P471041"/>
    <x v="2207"/>
    <n v="6357"/>
    <x v="92"/>
    <x v="2"/>
    <n v="9487"/>
    <s v="5K–10K"/>
    <x v="5"/>
    <n v="4.3606999999999996"/>
    <s v="Yes"/>
    <x v="0"/>
    <n v="122"/>
    <n v="28"/>
    <x v="0"/>
    <n v="0"/>
    <n v="0"/>
  </r>
  <r>
    <s v="P416728"/>
    <x v="2208"/>
    <n v="1073"/>
    <x v="52"/>
    <x v="1"/>
    <n v="9535"/>
    <s v="5K–10K"/>
    <x v="5"/>
    <n v="4.5713999999999997"/>
    <s v="Yes"/>
    <x v="0"/>
    <n v="35"/>
    <n v="102"/>
    <x v="2"/>
    <n v="0"/>
    <n v="0"/>
  </r>
  <r>
    <s v="P417243"/>
    <x v="2209"/>
    <n v="6201"/>
    <x v="44"/>
    <x v="2"/>
    <n v="9567"/>
    <s v="5K–10K"/>
    <x v="5"/>
    <n v="4.1333000000000002"/>
    <s v="Yes"/>
    <x v="0"/>
    <n v="45"/>
    <n v="95"/>
    <x v="2"/>
    <n v="0"/>
    <n v="0"/>
  </r>
  <r>
    <s v="P481390"/>
    <x v="2210"/>
    <n v="6341"/>
    <x v="12"/>
    <x v="3"/>
    <n v="9568"/>
    <s v="5K–10K"/>
    <x v="5"/>
    <n v="4.3281000000000001"/>
    <s v="Yes"/>
    <x v="0"/>
    <n v="64"/>
    <n v="37"/>
    <x v="0"/>
    <n v="0"/>
    <n v="0"/>
  </r>
  <r>
    <s v="P377576"/>
    <x v="2211"/>
    <n v="1254"/>
    <x v="24"/>
    <x v="8"/>
    <n v="9568"/>
    <s v="5K–10K"/>
    <x v="5"/>
    <n v="3.9066999999999998"/>
    <s v="Yes"/>
    <x v="1"/>
    <n v="150"/>
    <n v="54"/>
    <x v="2"/>
    <n v="0"/>
    <n v="0"/>
  </r>
  <r>
    <s v="P446916"/>
    <x v="2212"/>
    <n v="6289"/>
    <x v="19"/>
    <x v="10"/>
    <n v="9573"/>
    <s v="5K–10K"/>
    <x v="5"/>
    <n v="4.2"/>
    <s v="Yes"/>
    <x v="0"/>
    <n v="115"/>
    <n v="35"/>
    <x v="0"/>
    <n v="0"/>
    <n v="0"/>
  </r>
  <r>
    <s v="P480628"/>
    <x v="2213"/>
    <n v="6341"/>
    <x v="12"/>
    <x v="1"/>
    <n v="9601"/>
    <s v="5K–10K"/>
    <x v="5"/>
    <n v="4.7526000000000002"/>
    <s v="Yes"/>
    <x v="0"/>
    <n v="194"/>
    <n v="49"/>
    <x v="0"/>
    <n v="0"/>
    <n v="0"/>
  </r>
  <r>
    <s v="P436346"/>
    <x v="2214"/>
    <n v="7037"/>
    <x v="48"/>
    <x v="5"/>
    <n v="9611"/>
    <s v="5K–10K"/>
    <x v="5"/>
    <n v="4.6315999999999997"/>
    <s v="Yes"/>
    <x v="0"/>
    <n v="19"/>
    <n v="21.99"/>
    <x v="0"/>
    <n v="0"/>
    <n v="0"/>
  </r>
  <r>
    <s v="P500774"/>
    <x v="2215"/>
    <n v="3902"/>
    <x v="13"/>
    <x v="2"/>
    <n v="9632"/>
    <s v="5K–10K"/>
    <x v="5"/>
    <n v="4.4443999999999999"/>
    <s v="Yes"/>
    <x v="0"/>
    <n v="18"/>
    <n v="14"/>
    <x v="1"/>
    <n v="0"/>
    <n v="0"/>
  </r>
  <r>
    <s v="P483658"/>
    <x v="2216"/>
    <n v="5972"/>
    <x v="10"/>
    <x v="4"/>
    <n v="9664"/>
    <s v="5K–10K"/>
    <x v="5"/>
    <n v="4.4878"/>
    <s v="Yes"/>
    <x v="0"/>
    <n v="246"/>
    <n v="28"/>
    <x v="0"/>
    <n v="0"/>
    <n v="0"/>
  </r>
  <r>
    <s v="P472311"/>
    <x v="2217"/>
    <n v="6352"/>
    <x v="35"/>
    <x v="7"/>
    <n v="9677"/>
    <s v="5K–10K"/>
    <x v="5"/>
    <n v="3.7726999999999999"/>
    <s v="Yes"/>
    <x v="1"/>
    <n v="22"/>
    <n v="15"/>
    <x v="1"/>
    <n v="0"/>
    <n v="0"/>
  </r>
  <r>
    <s v="P500240"/>
    <x v="2218"/>
    <n v="6219"/>
    <x v="39"/>
    <x v="2"/>
    <n v="9681"/>
    <s v="5K–10K"/>
    <x v="5"/>
    <n v="4.7942999999999998"/>
    <s v="Yes"/>
    <x v="0"/>
    <n v="559"/>
    <n v="65"/>
    <x v="2"/>
    <n v="0"/>
    <n v="0"/>
  </r>
  <r>
    <s v="P433884"/>
    <x v="2219"/>
    <n v="6014"/>
    <x v="17"/>
    <x v="1"/>
    <n v="9689"/>
    <s v="5K–10K"/>
    <x v="5"/>
    <n v="4.2462"/>
    <s v="Yes"/>
    <x v="0"/>
    <n v="65"/>
    <n v="9"/>
    <x v="1"/>
    <n v="0"/>
    <n v="1"/>
  </r>
  <r>
    <s v="P306941"/>
    <x v="2220"/>
    <n v="5946"/>
    <x v="80"/>
    <x v="1"/>
    <n v="9711"/>
    <s v="5K–10K"/>
    <x v="5"/>
    <n v="4.1824000000000003"/>
    <s v="Yes"/>
    <x v="0"/>
    <n v="603"/>
    <n v="110"/>
    <x v="2"/>
    <n v="0"/>
    <n v="0"/>
  </r>
  <r>
    <s v="P432256"/>
    <x v="2221"/>
    <n v="4348"/>
    <x v="11"/>
    <x v="7"/>
    <n v="9725"/>
    <s v="5K–10K"/>
    <x v="5"/>
    <n v="4.3571"/>
    <s v="Yes"/>
    <x v="0"/>
    <n v="28"/>
    <n v="40"/>
    <x v="0"/>
    <n v="0"/>
    <n v="0"/>
  </r>
  <r>
    <s v="P461948"/>
    <x v="2222"/>
    <n v="6218"/>
    <x v="20"/>
    <x v="3"/>
    <n v="9733"/>
    <s v="5K–10K"/>
    <x v="5"/>
    <n v="4.2824"/>
    <s v="Yes"/>
    <x v="0"/>
    <n v="170"/>
    <n v="76"/>
    <x v="2"/>
    <n v="0"/>
    <n v="0"/>
  </r>
  <r>
    <s v="P455217"/>
    <x v="2223"/>
    <n v="3902"/>
    <x v="13"/>
    <x v="4"/>
    <n v="9757"/>
    <s v="5K–10K"/>
    <x v="5"/>
    <n v="3.8308"/>
    <s v="Yes"/>
    <x v="1"/>
    <n v="65"/>
    <n v="17"/>
    <x v="1"/>
    <n v="0"/>
    <n v="1"/>
  </r>
  <r>
    <s v="P478731"/>
    <x v="2224"/>
    <n v="6314"/>
    <x v="100"/>
    <x v="1"/>
    <n v="9772"/>
    <s v="5K–10K"/>
    <x v="5"/>
    <n v="4.6299000000000001"/>
    <s v="Yes"/>
    <x v="0"/>
    <n v="254"/>
    <n v="88"/>
    <x v="2"/>
    <n v="0"/>
    <n v="0"/>
  </r>
  <r>
    <s v="P407040"/>
    <x v="2225"/>
    <n v="1254"/>
    <x v="24"/>
    <x v="1"/>
    <n v="9778"/>
    <s v="5K–10K"/>
    <x v="5"/>
    <n v="4.1303999999999998"/>
    <s v="Yes"/>
    <x v="0"/>
    <n v="115"/>
    <n v="52"/>
    <x v="2"/>
    <n v="0"/>
    <n v="0"/>
  </r>
  <r>
    <s v="P282920"/>
    <x v="2226"/>
    <n v="1254"/>
    <x v="24"/>
    <x v="1"/>
    <n v="9788"/>
    <s v="5K–10K"/>
    <x v="5"/>
    <n v="3.8603000000000001"/>
    <s v="Yes"/>
    <x v="1"/>
    <n v="408"/>
    <n v="55"/>
    <x v="2"/>
    <n v="0"/>
    <n v="0"/>
  </r>
  <r>
    <s v="P464799"/>
    <x v="2227"/>
    <n v="3728"/>
    <x v="41"/>
    <x v="8"/>
    <n v="9815"/>
    <s v="5K–10K"/>
    <x v="5"/>
    <n v="2.6429"/>
    <s v="Yes"/>
    <x v="2"/>
    <n v="28"/>
    <n v="65"/>
    <x v="2"/>
    <n v="0"/>
    <n v="0"/>
  </r>
  <r>
    <s v="P433453"/>
    <x v="2228"/>
    <n v="7037"/>
    <x v="48"/>
    <x v="11"/>
    <n v="9822"/>
    <s v="5K–10K"/>
    <x v="5"/>
    <n v="2.8879999999999999"/>
    <s v="Yes"/>
    <x v="2"/>
    <n v="241"/>
    <n v="89"/>
    <x v="2"/>
    <n v="0"/>
    <n v="0"/>
  </r>
  <r>
    <s v="P501165"/>
    <x v="2229"/>
    <n v="6371"/>
    <x v="119"/>
    <x v="3"/>
    <n v="9824"/>
    <s v="5K–10K"/>
    <x v="5"/>
    <n v="4.6604999999999999"/>
    <s v="Yes"/>
    <x v="0"/>
    <n v="539"/>
    <n v="36"/>
    <x v="0"/>
    <n v="0"/>
    <n v="1"/>
  </r>
  <r>
    <s v="P461535"/>
    <x v="2230"/>
    <n v="6073"/>
    <x v="15"/>
    <x v="10"/>
    <n v="9837"/>
    <s v="5K–10K"/>
    <x v="5"/>
    <n v="4.2"/>
    <s v="Yes"/>
    <x v="0"/>
    <n v="25"/>
    <n v="95"/>
    <x v="2"/>
    <n v="0"/>
    <n v="0"/>
  </r>
  <r>
    <s v="P453822"/>
    <x v="2231"/>
    <n v="4372"/>
    <x v="97"/>
    <x v="1"/>
    <n v="9838"/>
    <s v="5K–10K"/>
    <x v="5"/>
    <n v="3.9634"/>
    <s v="Yes"/>
    <x v="1"/>
    <n v="82"/>
    <n v="71"/>
    <x v="2"/>
    <n v="0"/>
    <n v="0"/>
  </r>
  <r>
    <s v="P449599"/>
    <x v="2232"/>
    <n v="3728"/>
    <x v="41"/>
    <x v="7"/>
    <n v="9844"/>
    <s v="5K–10K"/>
    <x v="5"/>
    <n v="4.3699000000000003"/>
    <s v="Yes"/>
    <x v="0"/>
    <n v="1603"/>
    <n v="12"/>
    <x v="1"/>
    <n v="0"/>
    <n v="0"/>
  </r>
  <r>
    <s v="P467630"/>
    <x v="2233"/>
    <n v="1741"/>
    <x v="42"/>
    <x v="8"/>
    <n v="9874"/>
    <s v="5K–10K"/>
    <x v="5"/>
    <n v="4.6375999999999999"/>
    <s v="Yes"/>
    <x v="0"/>
    <n v="298"/>
    <n v="82"/>
    <x v="2"/>
    <n v="0"/>
    <n v="0"/>
  </r>
  <r>
    <s v="P201439"/>
    <x v="2234"/>
    <n v="1254"/>
    <x v="24"/>
    <x v="2"/>
    <n v="9881"/>
    <s v="5K–10K"/>
    <x v="5"/>
    <n v="4.1672000000000002"/>
    <s v="Yes"/>
    <x v="0"/>
    <n v="287"/>
    <n v="26.5"/>
    <x v="0"/>
    <n v="0"/>
    <n v="0"/>
  </r>
  <r>
    <s v="P433465"/>
    <x v="2235"/>
    <n v="7037"/>
    <x v="48"/>
    <x v="5"/>
    <n v="9889"/>
    <s v="5K–10K"/>
    <x v="5"/>
    <n v="4.1666999999999996"/>
    <s v="Yes"/>
    <x v="0"/>
    <n v="18"/>
    <n v="10.99"/>
    <x v="1"/>
    <n v="0"/>
    <n v="0"/>
  </r>
  <r>
    <s v="P471065"/>
    <x v="2236"/>
    <n v="3728"/>
    <x v="41"/>
    <x v="7"/>
    <n v="9899"/>
    <s v="5K–10K"/>
    <x v="5"/>
    <n v="4.3148999999999997"/>
    <s v="Yes"/>
    <x v="0"/>
    <n v="794"/>
    <n v="23"/>
    <x v="0"/>
    <n v="0"/>
    <n v="0"/>
  </r>
  <r>
    <s v="P504203"/>
    <x v="132"/>
    <n v="6041"/>
    <x v="6"/>
    <x v="10"/>
    <n v="9900"/>
    <s v="5K–10K"/>
    <x v="5"/>
    <n v="3.25"/>
    <s v="Yes"/>
    <x v="1"/>
    <n v="12"/>
    <n v="27"/>
    <x v="0"/>
    <n v="1"/>
    <n v="0"/>
  </r>
  <r>
    <s v="P444614"/>
    <x v="2237"/>
    <n v="8008"/>
    <x v="18"/>
    <x v="6"/>
    <n v="9912"/>
    <s v="5K–10K"/>
    <x v="5"/>
    <n v="3.7833000000000001"/>
    <s v="Yes"/>
    <x v="1"/>
    <n v="120"/>
    <n v="32"/>
    <x v="0"/>
    <n v="0"/>
    <n v="1"/>
  </r>
  <r>
    <s v="P455929"/>
    <x v="2238"/>
    <n v="6314"/>
    <x v="100"/>
    <x v="2"/>
    <n v="9931"/>
    <s v="5K–10K"/>
    <x v="5"/>
    <n v="4.5937999999999999"/>
    <s v="Yes"/>
    <x v="0"/>
    <n v="325"/>
    <n v="38"/>
    <x v="0"/>
    <n v="0"/>
    <n v="0"/>
  </r>
  <r>
    <s v="P444470"/>
    <x v="2239"/>
    <n v="6256"/>
    <x v="61"/>
    <x v="9"/>
    <n v="9940"/>
    <s v="5K–10K"/>
    <x v="5"/>
    <n v="4.7241"/>
    <s v="Yes"/>
    <x v="0"/>
    <n v="29"/>
    <n v="30"/>
    <x v="0"/>
    <n v="0"/>
    <n v="0"/>
  </r>
  <r>
    <s v="P503726"/>
    <x v="2240"/>
    <n v="6073"/>
    <x v="15"/>
    <x v="1"/>
    <n v="9940"/>
    <s v="5K–10K"/>
    <x v="5"/>
    <n v="4.726"/>
    <s v="Yes"/>
    <x v="0"/>
    <n v="624"/>
    <n v="65"/>
    <x v="2"/>
    <n v="0"/>
    <n v="0"/>
  </r>
  <r>
    <s v="P408241"/>
    <x v="2241"/>
    <n v="3733"/>
    <x v="22"/>
    <x v="3"/>
    <n v="9952"/>
    <s v="5K–10K"/>
    <x v="5"/>
    <n v="4.5896999999999997"/>
    <s v="Yes"/>
    <x v="0"/>
    <n v="78"/>
    <n v="73"/>
    <x v="2"/>
    <n v="0"/>
    <n v="0"/>
  </r>
  <r>
    <s v="P474970"/>
    <x v="2242"/>
    <n v="6341"/>
    <x v="12"/>
    <x v="0"/>
    <n v="9969"/>
    <s v="5K–10K"/>
    <x v="5"/>
    <n v="4.1538000000000004"/>
    <s v="Yes"/>
    <x v="0"/>
    <n v="52"/>
    <n v="32"/>
    <x v="0"/>
    <n v="0"/>
    <n v="0"/>
  </r>
  <r>
    <s v="P440500"/>
    <x v="2243"/>
    <n v="8017"/>
    <x v="56"/>
    <x v="5"/>
    <n v="9986"/>
    <s v="5K–10K"/>
    <x v="5"/>
    <n v="4"/>
    <s v="Yes"/>
    <x v="0"/>
    <n v="21"/>
    <n v="18"/>
    <x v="1"/>
    <n v="0"/>
    <n v="0"/>
  </r>
  <r>
    <s v="P500618"/>
    <x v="2244"/>
    <n v="6207"/>
    <x v="50"/>
    <x v="2"/>
    <n v="9992"/>
    <s v="5K–10K"/>
    <x v="5"/>
    <n v="4.6111000000000004"/>
    <s v="Yes"/>
    <x v="0"/>
    <n v="288"/>
    <n v="44"/>
    <x v="0"/>
    <n v="0"/>
    <n v="0"/>
  </r>
  <r>
    <s v="P469444"/>
    <x v="2245"/>
    <n v="4171"/>
    <x v="23"/>
    <x v="2"/>
    <n v="10000"/>
    <s v="5K–10K"/>
    <x v="5"/>
    <n v="4.3522999999999996"/>
    <s v="Yes"/>
    <x v="0"/>
    <n v="176"/>
    <n v="30"/>
    <x v="0"/>
    <n v="0"/>
    <n v="0"/>
  </r>
  <r>
    <s v="P446820"/>
    <x v="2246"/>
    <n v="3902"/>
    <x v="13"/>
    <x v="5"/>
    <n v="0"/>
    <s v="0–1K"/>
    <x v="6"/>
    <n v="3.4443999999999999"/>
    <s v="Yes"/>
    <x v="1"/>
    <n v="36"/>
    <n v="8"/>
    <x v="1"/>
    <n v="0"/>
    <n v="0"/>
  </r>
  <r>
    <s v="P446822"/>
    <x v="2247"/>
    <n v="3902"/>
    <x v="13"/>
    <x v="5"/>
    <n v="0"/>
    <s v="0–1K"/>
    <x v="6"/>
    <n v="3.5769000000000002"/>
    <s v="Yes"/>
    <x v="1"/>
    <n v="26"/>
    <n v="8"/>
    <x v="1"/>
    <n v="0"/>
    <n v="0"/>
  </r>
  <r>
    <s v="P435387"/>
    <x v="2248"/>
    <n v="4348"/>
    <x v="11"/>
    <x v="7"/>
    <n v="0"/>
    <s v="0–1K"/>
    <x v="6"/>
    <n v="3.7"/>
    <s v="Yes"/>
    <x v="1"/>
    <n v="10"/>
    <n v="15"/>
    <x v="1"/>
    <n v="0"/>
    <n v="0"/>
  </r>
  <r>
    <s v="P457012"/>
    <x v="2249"/>
    <n v="6014"/>
    <x v="17"/>
    <x v="5"/>
    <n v="0"/>
    <s v="0–1K"/>
    <x v="6"/>
    <n v="3.8332999999999999"/>
    <s v="Yes"/>
    <x v="1"/>
    <n v="12"/>
    <n v="15"/>
    <x v="1"/>
    <n v="0"/>
    <n v="0"/>
  </r>
  <r>
    <s v="P457009"/>
    <x v="2250"/>
    <n v="6014"/>
    <x v="17"/>
    <x v="5"/>
    <n v="0"/>
    <s v="0–1K"/>
    <x v="6"/>
    <n v="4"/>
    <s v="Yes"/>
    <x v="0"/>
    <n v="6"/>
    <n v="15"/>
    <x v="1"/>
    <n v="0"/>
    <n v="0"/>
  </r>
  <r>
    <s v="P457010"/>
    <x v="2251"/>
    <n v="6014"/>
    <x v="17"/>
    <x v="5"/>
    <n v="0"/>
    <s v="0–1K"/>
    <x v="6"/>
    <n v="4.5556000000000001"/>
    <s v="Yes"/>
    <x v="0"/>
    <n v="9"/>
    <n v="15"/>
    <x v="1"/>
    <n v="0"/>
    <n v="0"/>
  </r>
  <r>
    <s v="P457011"/>
    <x v="2252"/>
    <n v="6014"/>
    <x v="17"/>
    <x v="5"/>
    <n v="0"/>
    <s v="0–1K"/>
    <x v="6"/>
    <n v="4.8461999999999996"/>
    <s v="Yes"/>
    <x v="0"/>
    <n v="13"/>
    <n v="15"/>
    <x v="1"/>
    <n v="0"/>
    <n v="0"/>
  </r>
  <r>
    <s v="P455915"/>
    <x v="2253"/>
    <n v="6219"/>
    <x v="39"/>
    <x v="7"/>
    <n v="0"/>
    <s v="0–1K"/>
    <x v="6"/>
    <n v="5"/>
    <s v="Yes"/>
    <x v="0"/>
    <n v="2"/>
    <n v="16.5"/>
    <x v="1"/>
    <n v="0"/>
    <n v="0"/>
  </r>
  <r>
    <s v="P454800"/>
    <x v="2254"/>
    <n v="5674"/>
    <x v="25"/>
    <x v="7"/>
    <n v="0"/>
    <s v="0–1K"/>
    <x v="6"/>
    <n v="4.5"/>
    <s v="Yes"/>
    <x v="0"/>
    <n v="8"/>
    <n v="19"/>
    <x v="1"/>
    <n v="0"/>
    <n v="0"/>
  </r>
  <r>
    <s v="P442854"/>
    <x v="2255"/>
    <n v="6014"/>
    <x v="17"/>
    <x v="1"/>
    <n v="0"/>
    <s v="0–1K"/>
    <x v="6"/>
    <n v="3.6311"/>
    <s v="Yes"/>
    <x v="1"/>
    <n v="122"/>
    <n v="20"/>
    <x v="0"/>
    <n v="0"/>
    <n v="0"/>
  </r>
  <r>
    <s v="P442853"/>
    <x v="2256"/>
    <n v="6014"/>
    <x v="17"/>
    <x v="1"/>
    <n v="0"/>
    <s v="0–1K"/>
    <x v="6"/>
    <n v="3.9683999999999999"/>
    <s v="Yes"/>
    <x v="1"/>
    <n v="95"/>
    <n v="20"/>
    <x v="0"/>
    <n v="0"/>
    <n v="0"/>
  </r>
  <r>
    <s v="P454795"/>
    <x v="2257"/>
    <n v="6041"/>
    <x v="6"/>
    <x v="7"/>
    <n v="0"/>
    <s v="0–1K"/>
    <x v="6"/>
    <n v="4"/>
    <s v="Yes"/>
    <x v="0"/>
    <n v="6"/>
    <n v="22"/>
    <x v="0"/>
    <n v="0"/>
    <n v="0"/>
  </r>
  <r>
    <s v="P481168"/>
    <x v="2258"/>
    <n v="6041"/>
    <x v="6"/>
    <x v="3"/>
    <n v="0"/>
    <s v="0–1K"/>
    <x v="6"/>
    <m/>
    <s v="No"/>
    <x v="3"/>
    <n v="0"/>
    <n v="22"/>
    <x v="0"/>
    <n v="0"/>
    <n v="0"/>
  </r>
  <r>
    <s v="P429538"/>
    <x v="2259"/>
    <n v="4348"/>
    <x v="11"/>
    <x v="12"/>
    <n v="0"/>
    <s v="0–1K"/>
    <x v="6"/>
    <n v="4.2667000000000002"/>
    <s v="Yes"/>
    <x v="0"/>
    <n v="15"/>
    <n v="28"/>
    <x v="0"/>
    <n v="0"/>
    <n v="0"/>
  </r>
  <r>
    <s v="P504286"/>
    <x v="2260"/>
    <n v="7055"/>
    <x v="118"/>
    <x v="1"/>
    <n v="0"/>
    <s v="0–1K"/>
    <x v="6"/>
    <m/>
    <s v="No"/>
    <x v="3"/>
    <n v="0"/>
    <n v="35"/>
    <x v="0"/>
    <n v="0"/>
    <n v="0"/>
  </r>
  <r>
    <s v="P477785"/>
    <x v="2261"/>
    <n v="6294"/>
    <x v="101"/>
    <x v="7"/>
    <n v="0"/>
    <s v="0–1K"/>
    <x v="6"/>
    <m/>
    <s v="No"/>
    <x v="3"/>
    <n v="0"/>
    <n v="38"/>
    <x v="0"/>
    <n v="0"/>
    <n v="0"/>
  </r>
  <r>
    <s v="P477160"/>
    <x v="2262"/>
    <n v="6274"/>
    <x v="90"/>
    <x v="7"/>
    <n v="0"/>
    <s v="0–1K"/>
    <x v="6"/>
    <m/>
    <s v="No"/>
    <x v="3"/>
    <n v="0"/>
    <n v="38.5"/>
    <x v="0"/>
    <n v="0"/>
    <n v="0"/>
  </r>
  <r>
    <s v="P432255"/>
    <x v="2263"/>
    <n v="4348"/>
    <x v="11"/>
    <x v="7"/>
    <n v="0"/>
    <s v="0–1K"/>
    <x v="6"/>
    <n v="4"/>
    <s v="Yes"/>
    <x v="0"/>
    <n v="3"/>
    <n v="40"/>
    <x v="0"/>
    <n v="0"/>
    <n v="0"/>
  </r>
  <r>
    <s v="P450271"/>
    <x v="2264"/>
    <n v="8001"/>
    <x v="4"/>
    <x v="2"/>
    <n v="0"/>
    <s v="0–1K"/>
    <x v="6"/>
    <n v="4.4958"/>
    <s v="Yes"/>
    <x v="0"/>
    <n v="6158"/>
    <n v="60"/>
    <x v="2"/>
    <n v="0"/>
    <n v="0"/>
  </r>
  <r>
    <s v="P503345"/>
    <x v="1287"/>
    <n v="5857"/>
    <x v="51"/>
    <x v="10"/>
    <n v="0"/>
    <s v="0–1K"/>
    <x v="6"/>
    <m/>
    <s v="No"/>
    <x v="3"/>
    <n v="0"/>
    <n v="66"/>
    <x v="2"/>
    <n v="0"/>
    <n v="0"/>
  </r>
  <r>
    <s v="P440922"/>
    <x v="2265"/>
    <n v="1073"/>
    <x v="52"/>
    <x v="1"/>
    <n v="0"/>
    <s v="0–1K"/>
    <x v="6"/>
    <n v="3.4"/>
    <s v="Yes"/>
    <x v="1"/>
    <n v="5"/>
    <n v="110"/>
    <x v="2"/>
    <n v="0"/>
    <n v="0"/>
  </r>
  <r>
    <s v="P427732"/>
    <x v="2266"/>
    <n v="1073"/>
    <x v="52"/>
    <x v="1"/>
    <n v="0"/>
    <s v="0–1K"/>
    <x v="6"/>
    <n v="4"/>
    <s v="Yes"/>
    <x v="0"/>
    <n v="13"/>
    <n v="110"/>
    <x v="2"/>
    <n v="0"/>
    <n v="0"/>
  </r>
  <r>
    <s v="P427731"/>
    <x v="2267"/>
    <n v="1073"/>
    <x v="52"/>
    <x v="1"/>
    <n v="0"/>
    <s v="0–1K"/>
    <x v="6"/>
    <n v="4.6666999999999996"/>
    <s v="Yes"/>
    <x v="0"/>
    <n v="15"/>
    <n v="110"/>
    <x v="2"/>
    <n v="0"/>
    <n v="0"/>
  </r>
  <r>
    <s v="P503716"/>
    <x v="1818"/>
    <n v="6041"/>
    <x v="6"/>
    <x v="3"/>
    <n v="0"/>
    <s v="0–1K"/>
    <x v="6"/>
    <m/>
    <s v="No"/>
    <x v="3"/>
    <n v="0"/>
    <n v="110"/>
    <x v="2"/>
    <n v="1"/>
    <n v="0"/>
  </r>
  <r>
    <s v="P468407"/>
    <x v="2268"/>
    <n v="5337"/>
    <x v="32"/>
    <x v="3"/>
    <n v="0"/>
    <s v="0–1K"/>
    <x v="6"/>
    <m/>
    <s v="No"/>
    <x v="3"/>
    <n v="0"/>
    <n v="140"/>
    <x v="2"/>
    <n v="0"/>
    <n v="0"/>
  </r>
  <r>
    <s v="P505385"/>
    <x v="2269"/>
    <n v="2082"/>
    <x v="63"/>
    <x v="10"/>
    <n v="2"/>
    <s v="0–1K"/>
    <x v="6"/>
    <m/>
    <s v="No"/>
    <x v="3"/>
    <n v="0"/>
    <n v="100"/>
    <x v="2"/>
    <n v="1"/>
    <n v="1"/>
  </r>
  <r>
    <s v="P504698"/>
    <x v="2270"/>
    <n v="6303"/>
    <x v="127"/>
    <x v="3"/>
    <n v="5"/>
    <s v="0–1K"/>
    <x v="6"/>
    <m/>
    <s v="No"/>
    <x v="3"/>
    <n v="0"/>
    <n v="95"/>
    <x v="2"/>
    <n v="1"/>
    <n v="0"/>
  </r>
  <r>
    <s v="P505172"/>
    <x v="2271"/>
    <n v="6329"/>
    <x v="112"/>
    <x v="1"/>
    <n v="7"/>
    <s v="0–1K"/>
    <x v="6"/>
    <m/>
    <s v="No"/>
    <x v="3"/>
    <n v="0"/>
    <n v="17"/>
    <x v="1"/>
    <n v="1"/>
    <n v="0"/>
  </r>
  <r>
    <s v="P505615"/>
    <x v="2272"/>
    <n v="6218"/>
    <x v="20"/>
    <x v="10"/>
    <n v="9"/>
    <s v="0–1K"/>
    <x v="6"/>
    <m/>
    <s v="No"/>
    <x v="3"/>
    <n v="0"/>
    <n v="26"/>
    <x v="0"/>
    <n v="1"/>
    <n v="0"/>
  </r>
  <r>
    <s v="P505408"/>
    <x v="2273"/>
    <n v="6309"/>
    <x v="62"/>
    <x v="8"/>
    <n v="10"/>
    <s v="0–1K"/>
    <x v="6"/>
    <n v="4.2308000000000003"/>
    <s v="Yes"/>
    <x v="0"/>
    <n v="26"/>
    <n v="58"/>
    <x v="2"/>
    <n v="1"/>
    <n v="1"/>
  </r>
  <r>
    <s v="P505409"/>
    <x v="2274"/>
    <n v="6373"/>
    <x v="83"/>
    <x v="1"/>
    <n v="11"/>
    <s v="0–1K"/>
    <x v="6"/>
    <m/>
    <s v="No"/>
    <x v="3"/>
    <n v="0"/>
    <n v="48"/>
    <x v="0"/>
    <n v="1"/>
    <n v="1"/>
  </r>
  <r>
    <s v="P505392"/>
    <x v="2275"/>
    <n v="6358"/>
    <x v="81"/>
    <x v="1"/>
    <n v="13"/>
    <s v="0–1K"/>
    <x v="6"/>
    <n v="5"/>
    <s v="Yes"/>
    <x v="0"/>
    <n v="1"/>
    <n v="49"/>
    <x v="0"/>
    <n v="1"/>
    <n v="0"/>
  </r>
  <r>
    <s v="P505499"/>
    <x v="2276"/>
    <n v="6218"/>
    <x v="20"/>
    <x v="10"/>
    <n v="13"/>
    <s v="0–1K"/>
    <x v="6"/>
    <m/>
    <s v="No"/>
    <x v="3"/>
    <n v="0"/>
    <n v="63"/>
    <x v="2"/>
    <n v="1"/>
    <n v="0"/>
  </r>
  <r>
    <s v="P504324"/>
    <x v="2277"/>
    <n v="5337"/>
    <x v="32"/>
    <x v="8"/>
    <n v="13"/>
    <s v="0–1K"/>
    <x v="6"/>
    <m/>
    <s v="No"/>
    <x v="3"/>
    <n v="0"/>
    <n v="70"/>
    <x v="2"/>
    <n v="1"/>
    <n v="0"/>
  </r>
  <r>
    <s v="P505343"/>
    <x v="2278"/>
    <n v="4164"/>
    <x v="54"/>
    <x v="10"/>
    <n v="18"/>
    <s v="0–1K"/>
    <x v="6"/>
    <m/>
    <s v="No"/>
    <x v="3"/>
    <n v="0"/>
    <n v="126"/>
    <x v="2"/>
    <n v="1"/>
    <n v="0"/>
  </r>
  <r>
    <s v="P504635"/>
    <x v="2279"/>
    <n v="6218"/>
    <x v="20"/>
    <x v="1"/>
    <n v="22"/>
    <s v="0–1K"/>
    <x v="6"/>
    <m/>
    <s v="No"/>
    <x v="3"/>
    <n v="0"/>
    <n v="35"/>
    <x v="0"/>
    <n v="1"/>
    <n v="0"/>
  </r>
  <r>
    <s v="P505509"/>
    <x v="2280"/>
    <n v="4348"/>
    <x v="11"/>
    <x v="3"/>
    <n v="22"/>
    <s v="0–1K"/>
    <x v="6"/>
    <m/>
    <s v="No"/>
    <x v="3"/>
    <n v="0"/>
    <n v="82"/>
    <x v="2"/>
    <n v="1"/>
    <n v="0"/>
  </r>
  <r>
    <s v="P505379"/>
    <x v="2281"/>
    <n v="6358"/>
    <x v="81"/>
    <x v="2"/>
    <n v="23"/>
    <s v="0–1K"/>
    <x v="6"/>
    <m/>
    <s v="No"/>
    <x v="3"/>
    <n v="0"/>
    <n v="29"/>
    <x v="0"/>
    <n v="1"/>
    <n v="0"/>
  </r>
  <r>
    <s v="P505381"/>
    <x v="2282"/>
    <n v="6358"/>
    <x v="81"/>
    <x v="2"/>
    <n v="23"/>
    <s v="0–1K"/>
    <x v="6"/>
    <n v="5"/>
    <s v="Yes"/>
    <x v="0"/>
    <n v="3"/>
    <n v="39"/>
    <x v="0"/>
    <n v="1"/>
    <n v="0"/>
  </r>
  <r>
    <s v="P505452"/>
    <x v="2283"/>
    <n v="1741"/>
    <x v="42"/>
    <x v="1"/>
    <n v="23"/>
    <s v="0–1K"/>
    <x v="6"/>
    <n v="4.4000000000000004"/>
    <s v="Yes"/>
    <x v="0"/>
    <n v="5"/>
    <n v="85"/>
    <x v="2"/>
    <n v="1"/>
    <n v="0"/>
  </r>
  <r>
    <s v="P505614"/>
    <x v="2284"/>
    <n v="6218"/>
    <x v="20"/>
    <x v="10"/>
    <n v="25"/>
    <s v="0–1K"/>
    <x v="6"/>
    <m/>
    <s v="No"/>
    <x v="3"/>
    <n v="0"/>
    <n v="78"/>
    <x v="2"/>
    <n v="1"/>
    <n v="0"/>
  </r>
  <r>
    <s v="P505493"/>
    <x v="2285"/>
    <n v="4348"/>
    <x v="11"/>
    <x v="3"/>
    <n v="26"/>
    <s v="0–1K"/>
    <x v="6"/>
    <m/>
    <s v="No"/>
    <x v="3"/>
    <n v="0"/>
    <n v="39"/>
    <x v="0"/>
    <n v="1"/>
    <n v="0"/>
  </r>
  <r>
    <s v="P505210"/>
    <x v="2286"/>
    <n v="6375"/>
    <x v="124"/>
    <x v="2"/>
    <n v="27"/>
    <s v="0–1K"/>
    <x v="6"/>
    <n v="5"/>
    <s v="Yes"/>
    <x v="0"/>
    <n v="6"/>
    <n v="42"/>
    <x v="0"/>
    <n v="1"/>
    <n v="0"/>
  </r>
  <r>
    <s v="P505378"/>
    <x v="2287"/>
    <n v="6358"/>
    <x v="81"/>
    <x v="10"/>
    <n v="43"/>
    <s v="0–1K"/>
    <x v="6"/>
    <n v="4.875"/>
    <s v="Yes"/>
    <x v="0"/>
    <n v="8"/>
    <n v="39"/>
    <x v="0"/>
    <n v="1"/>
    <n v="0"/>
  </r>
  <r>
    <s v="P505209"/>
    <x v="2288"/>
    <n v="6375"/>
    <x v="124"/>
    <x v="3"/>
    <n v="48"/>
    <s v="0–1K"/>
    <x v="6"/>
    <n v="5"/>
    <s v="Yes"/>
    <x v="0"/>
    <n v="7"/>
    <n v="65"/>
    <x v="2"/>
    <n v="1"/>
    <n v="0"/>
  </r>
  <r>
    <s v="P505376"/>
    <x v="2289"/>
    <n v="6218"/>
    <x v="20"/>
    <x v="1"/>
    <n v="55"/>
    <s v="0–1K"/>
    <x v="6"/>
    <m/>
    <s v="No"/>
    <x v="3"/>
    <n v="0"/>
    <n v="35"/>
    <x v="0"/>
    <n v="1"/>
    <n v="0"/>
  </r>
  <r>
    <s v="P504032"/>
    <x v="2290"/>
    <n v="5674"/>
    <x v="25"/>
    <x v="10"/>
    <n v="64"/>
    <s v="0–1K"/>
    <x v="6"/>
    <m/>
    <s v="No"/>
    <x v="3"/>
    <n v="0"/>
    <n v="25"/>
    <x v="0"/>
    <n v="1"/>
    <n v="0"/>
  </r>
  <r>
    <s v="P504438"/>
    <x v="2291"/>
    <n v="4164"/>
    <x v="54"/>
    <x v="1"/>
    <n v="71"/>
    <s v="0–1K"/>
    <x v="6"/>
    <m/>
    <s v="No"/>
    <x v="3"/>
    <n v="0"/>
    <n v="105"/>
    <x v="2"/>
    <n v="1"/>
    <n v="0"/>
  </r>
  <r>
    <s v="P505358"/>
    <x v="2292"/>
    <n v="6307"/>
    <x v="77"/>
    <x v="10"/>
    <n v="74"/>
    <s v="0–1K"/>
    <x v="6"/>
    <m/>
    <s v="No"/>
    <x v="3"/>
    <n v="0"/>
    <n v="260"/>
    <x v="2"/>
    <n v="1"/>
    <n v="0"/>
  </r>
  <r>
    <s v="P505339"/>
    <x v="2293"/>
    <n v="6218"/>
    <x v="20"/>
    <x v="1"/>
    <n v="80"/>
    <s v="0–1K"/>
    <x v="6"/>
    <m/>
    <s v="No"/>
    <x v="3"/>
    <n v="0"/>
    <n v="35"/>
    <x v="0"/>
    <n v="1"/>
    <n v="0"/>
  </r>
  <r>
    <s v="P505383"/>
    <x v="2294"/>
    <n v="3728"/>
    <x v="41"/>
    <x v="10"/>
    <n v="152"/>
    <s v="0–1K"/>
    <x v="6"/>
    <m/>
    <s v="No"/>
    <x v="3"/>
    <n v="0"/>
    <n v="65"/>
    <x v="2"/>
    <n v="1"/>
    <n v="0"/>
  </r>
  <r>
    <s v="P505380"/>
    <x v="2295"/>
    <n v="3728"/>
    <x v="41"/>
    <x v="10"/>
    <n v="155"/>
    <s v="0–1K"/>
    <x v="6"/>
    <m/>
    <s v="No"/>
    <x v="3"/>
    <n v="0"/>
    <n v="55"/>
    <x v="2"/>
    <n v="1"/>
    <n v="0"/>
  </r>
  <r>
    <s v="P505711"/>
    <x v="2296"/>
    <n v="6285"/>
    <x v="21"/>
    <x v="4"/>
    <n v="164"/>
    <s v="0–1K"/>
    <x v="6"/>
    <n v="4.8654000000000002"/>
    <s v="Yes"/>
    <x v="0"/>
    <n v="52"/>
    <n v="14.99"/>
    <x v="1"/>
    <n v="1"/>
    <n v="1"/>
  </r>
  <r>
    <s v="P504322"/>
    <x v="2297"/>
    <n v="7055"/>
    <x v="118"/>
    <x v="2"/>
    <n v="177"/>
    <s v="0–1K"/>
    <x v="6"/>
    <n v="5"/>
    <s v="Yes"/>
    <x v="0"/>
    <n v="1"/>
    <n v="19"/>
    <x v="1"/>
    <n v="0"/>
    <n v="0"/>
  </r>
  <r>
    <s v="P503906"/>
    <x v="2298"/>
    <n v="5668"/>
    <x v="16"/>
    <x v="11"/>
    <n v="191"/>
    <s v="0–1K"/>
    <x v="6"/>
    <n v="5"/>
    <s v="Yes"/>
    <x v="0"/>
    <n v="5"/>
    <n v="199"/>
    <x v="2"/>
    <n v="1"/>
    <n v="0"/>
  </r>
  <r>
    <s v="P505133"/>
    <x v="2299"/>
    <n v="6753"/>
    <x v="140"/>
    <x v="2"/>
    <n v="204"/>
    <s v="0–1K"/>
    <x v="6"/>
    <n v="4.9230999999999998"/>
    <s v="Yes"/>
    <x v="0"/>
    <n v="13"/>
    <n v="85"/>
    <x v="2"/>
    <n v="1"/>
    <n v="0"/>
  </r>
  <r>
    <s v="P504706"/>
    <x v="2300"/>
    <n v="6001"/>
    <x v="76"/>
    <x v="11"/>
    <n v="205"/>
    <s v="0–1K"/>
    <x v="6"/>
    <m/>
    <s v="No"/>
    <x v="3"/>
    <n v="0"/>
    <n v="160"/>
    <x v="2"/>
    <n v="1"/>
    <n v="0"/>
  </r>
  <r>
    <s v="P504985"/>
    <x v="2301"/>
    <n v="1132"/>
    <x v="60"/>
    <x v="10"/>
    <n v="214"/>
    <s v="0–1K"/>
    <x v="6"/>
    <n v="2"/>
    <s v="Yes"/>
    <x v="2"/>
    <n v="2"/>
    <n v="195"/>
    <x v="2"/>
    <n v="1"/>
    <n v="0"/>
  </r>
  <r>
    <s v="P480440"/>
    <x v="2302"/>
    <n v="6318"/>
    <x v="107"/>
    <x v="2"/>
    <n v="217"/>
    <s v="0–1K"/>
    <x v="6"/>
    <m/>
    <s v="No"/>
    <x v="3"/>
    <n v="0"/>
    <n v="65"/>
    <x v="2"/>
    <n v="0"/>
    <n v="0"/>
  </r>
  <r>
    <s v="P504011"/>
    <x v="2303"/>
    <n v="6302"/>
    <x v="114"/>
    <x v="3"/>
    <n v="218"/>
    <s v="0–1K"/>
    <x v="6"/>
    <m/>
    <s v="No"/>
    <x v="3"/>
    <n v="0"/>
    <n v="395"/>
    <x v="2"/>
    <n v="1"/>
    <n v="0"/>
  </r>
  <r>
    <s v="P505047"/>
    <x v="2304"/>
    <n v="6753"/>
    <x v="140"/>
    <x v="1"/>
    <n v="254"/>
    <s v="0–1K"/>
    <x v="6"/>
    <n v="4.9268000000000001"/>
    <s v="Yes"/>
    <x v="0"/>
    <n v="41"/>
    <n v="195"/>
    <x v="2"/>
    <n v="1"/>
    <n v="0"/>
  </r>
  <r>
    <s v="P463109"/>
    <x v="2305"/>
    <n v="6307"/>
    <x v="77"/>
    <x v="5"/>
    <n v="259"/>
    <s v="0–1K"/>
    <x v="6"/>
    <n v="3.25"/>
    <s v="Yes"/>
    <x v="1"/>
    <n v="4"/>
    <n v="54"/>
    <x v="2"/>
    <n v="0"/>
    <n v="0"/>
  </r>
  <r>
    <s v="P444237"/>
    <x v="2306"/>
    <n v="3902"/>
    <x v="13"/>
    <x v="2"/>
    <n v="265"/>
    <s v="0–1K"/>
    <x v="6"/>
    <n v="4.3"/>
    <s v="Yes"/>
    <x v="0"/>
    <n v="10"/>
    <n v="3"/>
    <x v="1"/>
    <n v="0"/>
    <n v="1"/>
  </r>
  <r>
    <s v="P505139"/>
    <x v="2307"/>
    <n v="6219"/>
    <x v="39"/>
    <x v="3"/>
    <n v="274"/>
    <s v="0–1K"/>
    <x v="6"/>
    <n v="4.8646000000000003"/>
    <s v="Yes"/>
    <x v="0"/>
    <n v="192"/>
    <n v="125"/>
    <x v="2"/>
    <n v="1"/>
    <n v="0"/>
  </r>
  <r>
    <s v="P460622"/>
    <x v="2308"/>
    <n v="4372"/>
    <x v="97"/>
    <x v="10"/>
    <n v="274"/>
    <s v="0–1K"/>
    <x v="6"/>
    <n v="1"/>
    <s v="Yes"/>
    <x v="2"/>
    <n v="1"/>
    <n v="165"/>
    <x v="2"/>
    <n v="0"/>
    <n v="1"/>
  </r>
  <r>
    <s v="P504637"/>
    <x v="2309"/>
    <n v="5879"/>
    <x v="115"/>
    <x v="1"/>
    <n v="278"/>
    <s v="0–1K"/>
    <x v="6"/>
    <n v="4.8898000000000001"/>
    <s v="Yes"/>
    <x v="0"/>
    <n v="118"/>
    <n v="110"/>
    <x v="2"/>
    <n v="1"/>
    <n v="0"/>
  </r>
  <r>
    <s v="P505335"/>
    <x v="2310"/>
    <n v="2082"/>
    <x v="63"/>
    <x v="3"/>
    <n v="282"/>
    <s v="0–1K"/>
    <x v="6"/>
    <m/>
    <s v="No"/>
    <x v="3"/>
    <n v="0"/>
    <n v="49"/>
    <x v="0"/>
    <n v="1"/>
    <n v="0"/>
  </r>
  <r>
    <s v="P504851"/>
    <x v="2311"/>
    <n v="2082"/>
    <x v="63"/>
    <x v="1"/>
    <n v="294"/>
    <s v="0–1K"/>
    <x v="6"/>
    <m/>
    <s v="No"/>
    <x v="3"/>
    <n v="0"/>
    <n v="132"/>
    <x v="2"/>
    <n v="1"/>
    <n v="0"/>
  </r>
  <r>
    <s v="P505160"/>
    <x v="2312"/>
    <n v="6201"/>
    <x v="44"/>
    <x v="3"/>
    <n v="295"/>
    <s v="0–1K"/>
    <x v="6"/>
    <n v="4.5145999999999997"/>
    <s v="Yes"/>
    <x v="0"/>
    <n v="103"/>
    <n v="380"/>
    <x v="2"/>
    <n v="1"/>
    <n v="0"/>
  </r>
  <r>
    <s v="P505131"/>
    <x v="2313"/>
    <n v="6753"/>
    <x v="140"/>
    <x v="3"/>
    <n v="297"/>
    <s v="0–1K"/>
    <x v="6"/>
    <n v="4.9333"/>
    <s v="Yes"/>
    <x v="0"/>
    <n v="15"/>
    <n v="225"/>
    <x v="2"/>
    <n v="1"/>
    <n v="0"/>
  </r>
  <r>
    <s v="P504674"/>
    <x v="2314"/>
    <n v="1254"/>
    <x v="24"/>
    <x v="3"/>
    <n v="313"/>
    <s v="0–1K"/>
    <x v="6"/>
    <m/>
    <s v="No"/>
    <x v="3"/>
    <n v="0"/>
    <n v="59"/>
    <x v="2"/>
    <n v="1"/>
    <n v="0"/>
  </r>
  <r>
    <s v="P476571"/>
    <x v="2315"/>
    <n v="3297"/>
    <x v="34"/>
    <x v="3"/>
    <n v="326"/>
    <s v="0–1K"/>
    <x v="6"/>
    <n v="5"/>
    <s v="Yes"/>
    <x v="0"/>
    <n v="1"/>
    <n v="38"/>
    <x v="0"/>
    <n v="0"/>
    <n v="0"/>
  </r>
  <r>
    <s v="P505142"/>
    <x v="2316"/>
    <n v="6753"/>
    <x v="140"/>
    <x v="8"/>
    <n v="328"/>
    <s v="0–1K"/>
    <x v="6"/>
    <n v="4.8947000000000003"/>
    <s v="Yes"/>
    <x v="0"/>
    <n v="19"/>
    <n v="135"/>
    <x v="2"/>
    <n v="1"/>
    <n v="0"/>
  </r>
  <r>
    <s v="P472470"/>
    <x v="2317"/>
    <n v="3297"/>
    <x v="34"/>
    <x v="2"/>
    <n v="338"/>
    <s v="0–1K"/>
    <x v="6"/>
    <m/>
    <s v="No"/>
    <x v="3"/>
    <n v="0"/>
    <n v="25"/>
    <x v="0"/>
    <n v="0"/>
    <n v="0"/>
  </r>
  <r>
    <s v="P505158"/>
    <x v="2318"/>
    <n v="3728"/>
    <x v="41"/>
    <x v="4"/>
    <n v="340"/>
    <s v="0–1K"/>
    <x v="6"/>
    <n v="4.8513999999999999"/>
    <s v="Yes"/>
    <x v="0"/>
    <n v="148"/>
    <n v="42"/>
    <x v="0"/>
    <n v="1"/>
    <n v="0"/>
  </r>
  <r>
    <s v="P505270"/>
    <x v="2319"/>
    <n v="6307"/>
    <x v="77"/>
    <x v="10"/>
    <n v="352"/>
    <s v="0–1K"/>
    <x v="6"/>
    <m/>
    <s v="No"/>
    <x v="3"/>
    <n v="0"/>
    <n v="95"/>
    <x v="2"/>
    <n v="1"/>
    <n v="0"/>
  </r>
  <r>
    <s v="P502823"/>
    <x v="2320"/>
    <n v="1741"/>
    <x v="42"/>
    <x v="1"/>
    <n v="353"/>
    <s v="0–1K"/>
    <x v="6"/>
    <n v="3.5"/>
    <s v="Yes"/>
    <x v="1"/>
    <n v="2"/>
    <n v="270"/>
    <x v="2"/>
    <n v="0"/>
    <n v="0"/>
  </r>
  <r>
    <s v="P505145"/>
    <x v="2321"/>
    <n v="6272"/>
    <x v="46"/>
    <x v="2"/>
    <n v="372"/>
    <s v="0–1K"/>
    <x v="6"/>
    <n v="4.6666999999999996"/>
    <s v="Yes"/>
    <x v="0"/>
    <n v="24"/>
    <n v="49"/>
    <x v="0"/>
    <n v="1"/>
    <n v="0"/>
  </r>
  <r>
    <s v="P505265"/>
    <x v="2322"/>
    <n v="5337"/>
    <x v="32"/>
    <x v="3"/>
    <n v="386"/>
    <s v="0–1K"/>
    <x v="6"/>
    <m/>
    <s v="No"/>
    <x v="3"/>
    <n v="0"/>
    <n v="90"/>
    <x v="2"/>
    <n v="1"/>
    <n v="0"/>
  </r>
  <r>
    <s v="P505346"/>
    <x v="2323"/>
    <n v="6307"/>
    <x v="77"/>
    <x v="1"/>
    <n v="399"/>
    <s v="0–1K"/>
    <x v="6"/>
    <n v="4.5824999999999996"/>
    <s v="Yes"/>
    <x v="0"/>
    <n v="958"/>
    <n v="110"/>
    <x v="2"/>
    <n v="1"/>
    <n v="0"/>
  </r>
  <r>
    <s v="P504049"/>
    <x v="2324"/>
    <n v="6375"/>
    <x v="124"/>
    <x v="1"/>
    <n v="400"/>
    <s v="0–1K"/>
    <x v="6"/>
    <n v="5"/>
    <s v="Yes"/>
    <x v="0"/>
    <n v="12"/>
    <n v="65"/>
    <x v="2"/>
    <n v="1"/>
    <n v="0"/>
  </r>
  <r>
    <s v="P501024"/>
    <x v="2325"/>
    <n v="6329"/>
    <x v="112"/>
    <x v="11"/>
    <n v="407"/>
    <s v="0–1K"/>
    <x v="6"/>
    <n v="4.3"/>
    <s v="Yes"/>
    <x v="0"/>
    <n v="30"/>
    <n v="70"/>
    <x v="2"/>
    <n v="0"/>
    <n v="0"/>
  </r>
  <r>
    <s v="P502434"/>
    <x v="2326"/>
    <n v="7020"/>
    <x v="70"/>
    <x v="10"/>
    <n v="410"/>
    <s v="0–1K"/>
    <x v="6"/>
    <m/>
    <s v="No"/>
    <x v="3"/>
    <n v="0"/>
    <n v="85"/>
    <x v="2"/>
    <n v="0"/>
    <n v="0"/>
  </r>
  <r>
    <s v="P505140"/>
    <x v="2327"/>
    <n v="6753"/>
    <x v="140"/>
    <x v="0"/>
    <n v="422"/>
    <s v="0–1K"/>
    <x v="6"/>
    <n v="4.7691999999999997"/>
    <s v="Yes"/>
    <x v="0"/>
    <n v="26"/>
    <n v="95"/>
    <x v="2"/>
    <n v="1"/>
    <n v="0"/>
  </r>
  <r>
    <s v="P505020"/>
    <x v="2328"/>
    <n v="5333"/>
    <x v="108"/>
    <x v="2"/>
    <n v="429"/>
    <s v="0–1K"/>
    <x v="6"/>
    <n v="4.6212"/>
    <s v="Yes"/>
    <x v="0"/>
    <n v="462"/>
    <n v="29"/>
    <x v="0"/>
    <n v="1"/>
    <n v="0"/>
  </r>
  <r>
    <s v="P504614"/>
    <x v="2329"/>
    <n v="8001"/>
    <x v="4"/>
    <x v="2"/>
    <n v="432"/>
    <s v="0–1K"/>
    <x v="6"/>
    <m/>
    <s v="No"/>
    <x v="3"/>
    <n v="0"/>
    <n v="34"/>
    <x v="0"/>
    <n v="1"/>
    <n v="1"/>
  </r>
  <r>
    <s v="P505174"/>
    <x v="2330"/>
    <n v="6089"/>
    <x v="45"/>
    <x v="2"/>
    <n v="435"/>
    <s v="0–1K"/>
    <x v="6"/>
    <n v="5"/>
    <s v="Yes"/>
    <x v="0"/>
    <n v="1"/>
    <n v="26"/>
    <x v="0"/>
    <n v="1"/>
    <n v="0"/>
  </r>
  <r>
    <s v="P469850"/>
    <x v="2331"/>
    <n v="5879"/>
    <x v="115"/>
    <x v="1"/>
    <n v="438"/>
    <s v="0–1K"/>
    <x v="6"/>
    <m/>
    <s v="No"/>
    <x v="3"/>
    <n v="0"/>
    <n v="124"/>
    <x v="2"/>
    <n v="0"/>
    <n v="0"/>
  </r>
  <r>
    <s v="P503998"/>
    <x v="2332"/>
    <n v="6018"/>
    <x v="78"/>
    <x v="3"/>
    <n v="442"/>
    <s v="0–1K"/>
    <x v="6"/>
    <m/>
    <s v="No"/>
    <x v="3"/>
    <n v="0"/>
    <n v="98"/>
    <x v="2"/>
    <n v="1"/>
    <n v="0"/>
  </r>
  <r>
    <s v="P505280"/>
    <x v="2333"/>
    <n v="5337"/>
    <x v="32"/>
    <x v="10"/>
    <n v="446"/>
    <s v="0–1K"/>
    <x v="6"/>
    <m/>
    <s v="No"/>
    <x v="3"/>
    <n v="0"/>
    <n v="39"/>
    <x v="0"/>
    <n v="1"/>
    <n v="0"/>
  </r>
  <r>
    <s v="P432240"/>
    <x v="2334"/>
    <n v="3297"/>
    <x v="34"/>
    <x v="2"/>
    <n v="473"/>
    <s v="0–1K"/>
    <x v="6"/>
    <n v="2"/>
    <s v="Yes"/>
    <x v="2"/>
    <n v="4"/>
    <n v="25"/>
    <x v="0"/>
    <n v="0"/>
    <n v="0"/>
  </r>
  <r>
    <s v="P469829"/>
    <x v="2335"/>
    <n v="5879"/>
    <x v="115"/>
    <x v="1"/>
    <n v="482"/>
    <s v="0–1K"/>
    <x v="6"/>
    <n v="5"/>
    <s v="Yes"/>
    <x v="0"/>
    <n v="1"/>
    <n v="198"/>
    <x v="2"/>
    <n v="0"/>
    <n v="0"/>
  </r>
  <r>
    <s v="P476737"/>
    <x v="2336"/>
    <n v="7020"/>
    <x v="70"/>
    <x v="8"/>
    <n v="484"/>
    <s v="0–1K"/>
    <x v="6"/>
    <m/>
    <s v="No"/>
    <x v="3"/>
    <n v="0"/>
    <n v="130"/>
    <x v="2"/>
    <n v="1"/>
    <n v="0"/>
  </r>
  <r>
    <s v="P505316"/>
    <x v="2337"/>
    <n v="6117"/>
    <x v="33"/>
    <x v="2"/>
    <n v="518"/>
    <s v="0–1K"/>
    <x v="6"/>
    <n v="5"/>
    <s v="Yes"/>
    <x v="0"/>
    <n v="15"/>
    <n v="26"/>
    <x v="0"/>
    <n v="1"/>
    <n v="0"/>
  </r>
  <r>
    <s v="P504443"/>
    <x v="2338"/>
    <n v="6018"/>
    <x v="78"/>
    <x v="10"/>
    <n v="522"/>
    <s v="0–1K"/>
    <x v="6"/>
    <n v="3"/>
    <s v="Yes"/>
    <x v="1"/>
    <n v="1"/>
    <n v="44"/>
    <x v="0"/>
    <n v="1"/>
    <n v="0"/>
  </r>
  <r>
    <s v="P481137"/>
    <x v="2339"/>
    <n v="6001"/>
    <x v="76"/>
    <x v="1"/>
    <n v="540"/>
    <s v="0–1K"/>
    <x v="6"/>
    <m/>
    <s v="No"/>
    <x v="3"/>
    <n v="0"/>
    <n v="49"/>
    <x v="0"/>
    <n v="0"/>
    <n v="0"/>
  </r>
  <r>
    <s v="P439099"/>
    <x v="983"/>
    <n v="1254"/>
    <x v="24"/>
    <x v="2"/>
    <n v="545"/>
    <s v="0–1K"/>
    <x v="6"/>
    <n v="4.4286000000000003"/>
    <s v="Yes"/>
    <x v="0"/>
    <n v="7"/>
    <n v="36"/>
    <x v="0"/>
    <n v="0"/>
    <n v="0"/>
  </r>
  <r>
    <s v="P505233"/>
    <x v="2340"/>
    <n v="6328"/>
    <x v="141"/>
    <x v="0"/>
    <n v="547"/>
    <s v="0–1K"/>
    <x v="6"/>
    <n v="4.9474"/>
    <s v="Yes"/>
    <x v="0"/>
    <n v="19"/>
    <n v="32"/>
    <x v="0"/>
    <n v="1"/>
    <n v="1"/>
  </r>
  <r>
    <s v="P501566"/>
    <x v="2341"/>
    <n v="2082"/>
    <x v="63"/>
    <x v="3"/>
    <n v="566"/>
    <s v="0–1K"/>
    <x v="6"/>
    <n v="4.6666999999999996"/>
    <s v="Yes"/>
    <x v="0"/>
    <n v="3"/>
    <n v="132"/>
    <x v="2"/>
    <n v="0"/>
    <n v="0"/>
  </r>
  <r>
    <s v="P500771"/>
    <x v="2342"/>
    <n v="1254"/>
    <x v="24"/>
    <x v="3"/>
    <n v="574"/>
    <s v="0–1K"/>
    <x v="6"/>
    <n v="4.4118000000000004"/>
    <s v="Yes"/>
    <x v="0"/>
    <n v="17"/>
    <n v="68"/>
    <x v="2"/>
    <n v="0"/>
    <n v="0"/>
  </r>
  <r>
    <s v="P439098"/>
    <x v="921"/>
    <n v="1254"/>
    <x v="24"/>
    <x v="2"/>
    <n v="577"/>
    <s v="0–1K"/>
    <x v="6"/>
    <n v="4.1666999999999996"/>
    <s v="Yes"/>
    <x v="0"/>
    <n v="6"/>
    <n v="36"/>
    <x v="0"/>
    <n v="0"/>
    <n v="0"/>
  </r>
  <r>
    <s v="P480441"/>
    <x v="2343"/>
    <n v="6318"/>
    <x v="107"/>
    <x v="1"/>
    <n v="581"/>
    <s v="0–1K"/>
    <x v="6"/>
    <n v="3"/>
    <s v="Yes"/>
    <x v="1"/>
    <n v="1"/>
    <n v="300"/>
    <x v="2"/>
    <n v="0"/>
    <n v="0"/>
  </r>
  <r>
    <s v="P501585"/>
    <x v="2344"/>
    <n v="2082"/>
    <x v="63"/>
    <x v="3"/>
    <n v="595"/>
    <s v="0–1K"/>
    <x v="6"/>
    <n v="5"/>
    <s v="Yes"/>
    <x v="0"/>
    <n v="2"/>
    <n v="140"/>
    <x v="2"/>
    <n v="0"/>
    <n v="0"/>
  </r>
  <r>
    <s v="P435790"/>
    <x v="2345"/>
    <n v="4372"/>
    <x v="97"/>
    <x v="1"/>
    <n v="597"/>
    <s v="0–1K"/>
    <x v="6"/>
    <n v="5"/>
    <s v="Yes"/>
    <x v="0"/>
    <n v="4"/>
    <n v="65"/>
    <x v="2"/>
    <n v="0"/>
    <n v="1"/>
  </r>
  <r>
    <s v="P477811"/>
    <x v="2346"/>
    <n v="6218"/>
    <x v="20"/>
    <x v="3"/>
    <n v="606"/>
    <s v="0–1K"/>
    <x v="6"/>
    <m/>
    <s v="No"/>
    <x v="3"/>
    <n v="0"/>
    <n v="33"/>
    <x v="0"/>
    <n v="0"/>
    <n v="1"/>
  </r>
  <r>
    <s v="P504988"/>
    <x v="2347"/>
    <n v="6349"/>
    <x v="104"/>
    <x v="2"/>
    <n v="606"/>
    <s v="0–1K"/>
    <x v="6"/>
    <n v="4.7037000000000004"/>
    <s v="Yes"/>
    <x v="0"/>
    <n v="108"/>
    <n v="47"/>
    <x v="0"/>
    <n v="1"/>
    <n v="0"/>
  </r>
  <r>
    <s v="P505171"/>
    <x v="2348"/>
    <n v="6329"/>
    <x v="112"/>
    <x v="1"/>
    <n v="627"/>
    <s v="0–1K"/>
    <x v="6"/>
    <m/>
    <s v="No"/>
    <x v="3"/>
    <n v="0"/>
    <n v="90"/>
    <x v="2"/>
    <n v="1"/>
    <n v="0"/>
  </r>
  <r>
    <s v="P502186"/>
    <x v="2349"/>
    <n v="5946"/>
    <x v="80"/>
    <x v="10"/>
    <n v="628"/>
    <s v="0–1K"/>
    <x v="6"/>
    <n v="3"/>
    <s v="Yes"/>
    <x v="1"/>
    <n v="2"/>
    <n v="59"/>
    <x v="2"/>
    <n v="0"/>
    <n v="0"/>
  </r>
  <r>
    <s v="P505009"/>
    <x v="2350"/>
    <n v="5333"/>
    <x v="108"/>
    <x v="2"/>
    <n v="629"/>
    <s v="0–1K"/>
    <x v="6"/>
    <n v="4.6463999999999999"/>
    <s v="Yes"/>
    <x v="0"/>
    <n v="676"/>
    <n v="34"/>
    <x v="0"/>
    <n v="1"/>
    <n v="0"/>
  </r>
  <r>
    <s v="P423168"/>
    <x v="2351"/>
    <n v="5337"/>
    <x v="32"/>
    <x v="4"/>
    <n v="636"/>
    <s v="0–1K"/>
    <x v="6"/>
    <n v="4"/>
    <s v="Yes"/>
    <x v="0"/>
    <n v="2"/>
    <n v="270"/>
    <x v="2"/>
    <n v="0"/>
    <n v="0"/>
  </r>
  <r>
    <s v="P500160"/>
    <x v="2352"/>
    <n v="8012"/>
    <x v="122"/>
    <x v="4"/>
    <n v="647"/>
    <s v="0–1K"/>
    <x v="6"/>
    <n v="4.3765999999999998"/>
    <s v="Yes"/>
    <x v="0"/>
    <n v="77"/>
    <n v="36"/>
    <x v="0"/>
    <n v="0"/>
    <n v="0"/>
  </r>
  <r>
    <s v="P476893"/>
    <x v="2353"/>
    <n v="7055"/>
    <x v="118"/>
    <x v="3"/>
    <n v="653"/>
    <s v="0–1K"/>
    <x v="6"/>
    <n v="4.2603"/>
    <s v="Yes"/>
    <x v="0"/>
    <n v="73"/>
    <n v="39"/>
    <x v="0"/>
    <n v="0"/>
    <n v="0"/>
  </r>
  <r>
    <s v="P505338"/>
    <x v="2354"/>
    <n v="6312"/>
    <x v="87"/>
    <x v="2"/>
    <n v="654"/>
    <s v="0–1K"/>
    <x v="6"/>
    <n v="4.9230999999999998"/>
    <s v="Yes"/>
    <x v="0"/>
    <n v="91"/>
    <n v="39"/>
    <x v="0"/>
    <n v="1"/>
    <n v="0"/>
  </r>
  <r>
    <s v="P478270"/>
    <x v="2355"/>
    <n v="7081"/>
    <x v="116"/>
    <x v="10"/>
    <n v="655"/>
    <s v="0–1K"/>
    <x v="6"/>
    <n v="5"/>
    <s v="Yes"/>
    <x v="0"/>
    <n v="1"/>
    <n v="50"/>
    <x v="0"/>
    <n v="0"/>
    <n v="1"/>
  </r>
  <r>
    <s v="P481993"/>
    <x v="2356"/>
    <n v="1132"/>
    <x v="60"/>
    <x v="5"/>
    <n v="655"/>
    <s v="0–1K"/>
    <x v="6"/>
    <n v="3"/>
    <s v="Yes"/>
    <x v="1"/>
    <n v="1"/>
    <n v="235"/>
    <x v="2"/>
    <n v="0"/>
    <n v="0"/>
  </r>
  <r>
    <s v="P500151"/>
    <x v="2357"/>
    <n v="4372"/>
    <x v="97"/>
    <x v="1"/>
    <n v="665"/>
    <s v="0–1K"/>
    <x v="6"/>
    <n v="4.5"/>
    <s v="Yes"/>
    <x v="0"/>
    <n v="2"/>
    <n v="85"/>
    <x v="2"/>
    <n v="0"/>
    <n v="0"/>
  </r>
  <r>
    <s v="P478260"/>
    <x v="2358"/>
    <n v="7081"/>
    <x v="116"/>
    <x v="10"/>
    <n v="673"/>
    <s v="0–1K"/>
    <x v="6"/>
    <n v="5"/>
    <s v="Yes"/>
    <x v="0"/>
    <n v="1"/>
    <n v="75"/>
    <x v="2"/>
    <n v="0"/>
    <n v="1"/>
  </r>
  <r>
    <s v="P503926"/>
    <x v="2359"/>
    <n v="6356"/>
    <x v="53"/>
    <x v="5"/>
    <n v="684"/>
    <s v="0–1K"/>
    <x v="6"/>
    <n v="4.375"/>
    <s v="Yes"/>
    <x v="0"/>
    <n v="48"/>
    <n v="215"/>
    <x v="2"/>
    <n v="0"/>
    <n v="0"/>
  </r>
  <r>
    <s v="P503877"/>
    <x v="2360"/>
    <n v="7020"/>
    <x v="70"/>
    <x v="2"/>
    <n v="689"/>
    <s v="0–1K"/>
    <x v="6"/>
    <n v="5"/>
    <s v="Yes"/>
    <x v="0"/>
    <n v="1"/>
    <n v="88"/>
    <x v="2"/>
    <n v="0"/>
    <n v="0"/>
  </r>
  <r>
    <s v="P406656"/>
    <x v="2361"/>
    <n v="1254"/>
    <x v="24"/>
    <x v="3"/>
    <n v="690"/>
    <s v="0–1K"/>
    <x v="6"/>
    <n v="3.6667000000000001"/>
    <s v="Yes"/>
    <x v="1"/>
    <n v="3"/>
    <n v="53"/>
    <x v="2"/>
    <n v="0"/>
    <n v="1"/>
  </r>
  <r>
    <s v="P482005"/>
    <x v="2362"/>
    <n v="7050"/>
    <x v="58"/>
    <x v="9"/>
    <n v="728"/>
    <s v="0–1K"/>
    <x v="6"/>
    <n v="4.8170999999999999"/>
    <s v="Yes"/>
    <x v="0"/>
    <n v="82"/>
    <n v="40"/>
    <x v="0"/>
    <n v="0"/>
    <n v="0"/>
  </r>
  <r>
    <s v="P479947"/>
    <x v="2363"/>
    <n v="2082"/>
    <x v="63"/>
    <x v="6"/>
    <n v="732"/>
    <s v="0–1K"/>
    <x v="6"/>
    <n v="3.6667000000000001"/>
    <s v="Yes"/>
    <x v="1"/>
    <n v="3"/>
    <n v="42"/>
    <x v="0"/>
    <n v="0"/>
    <n v="0"/>
  </r>
  <r>
    <s v="P505031"/>
    <x v="2364"/>
    <n v="5333"/>
    <x v="108"/>
    <x v="3"/>
    <n v="736"/>
    <s v="0–1K"/>
    <x v="6"/>
    <n v="4.5975000000000001"/>
    <s v="Yes"/>
    <x v="0"/>
    <n v="718"/>
    <n v="44"/>
    <x v="0"/>
    <n v="1"/>
    <n v="0"/>
  </r>
  <r>
    <s v="P504676"/>
    <x v="2365"/>
    <n v="6001"/>
    <x v="76"/>
    <x v="11"/>
    <n v="760"/>
    <s v="0–1K"/>
    <x v="6"/>
    <m/>
    <s v="No"/>
    <x v="3"/>
    <n v="0"/>
    <n v="495"/>
    <x v="2"/>
    <n v="1"/>
    <n v="1"/>
  </r>
  <r>
    <s v="P505024"/>
    <x v="2366"/>
    <n v="5333"/>
    <x v="108"/>
    <x v="2"/>
    <n v="770"/>
    <s v="0–1K"/>
    <x v="6"/>
    <n v="4.6722999999999999"/>
    <s v="Yes"/>
    <x v="0"/>
    <n v="476"/>
    <n v="39"/>
    <x v="0"/>
    <n v="1"/>
    <n v="0"/>
  </r>
  <r>
    <s v="P505120"/>
    <x v="2367"/>
    <n v="7083"/>
    <x v="2"/>
    <x v="10"/>
    <n v="782"/>
    <s v="0–1K"/>
    <x v="6"/>
    <n v="5"/>
    <s v="Yes"/>
    <x v="0"/>
    <n v="1"/>
    <n v="54"/>
    <x v="2"/>
    <n v="1"/>
    <n v="0"/>
  </r>
  <r>
    <s v="P480330"/>
    <x v="2368"/>
    <n v="8017"/>
    <x v="56"/>
    <x v="10"/>
    <n v="787"/>
    <s v="0–1K"/>
    <x v="6"/>
    <m/>
    <s v="No"/>
    <x v="3"/>
    <n v="0"/>
    <n v="22"/>
    <x v="0"/>
    <n v="0"/>
    <n v="1"/>
  </r>
  <r>
    <s v="P504288"/>
    <x v="2369"/>
    <n v="6474"/>
    <x v="142"/>
    <x v="9"/>
    <n v="789"/>
    <s v="0–1K"/>
    <x v="6"/>
    <n v="4.5"/>
    <s v="Yes"/>
    <x v="0"/>
    <n v="24"/>
    <n v="48"/>
    <x v="0"/>
    <n v="0"/>
    <n v="0"/>
  </r>
  <r>
    <s v="P504892"/>
    <x v="2370"/>
    <n v="6357"/>
    <x v="92"/>
    <x v="1"/>
    <n v="790"/>
    <s v="0–1K"/>
    <x v="6"/>
    <n v="4.7895000000000003"/>
    <s v="Yes"/>
    <x v="0"/>
    <n v="57"/>
    <n v="38"/>
    <x v="0"/>
    <n v="1"/>
    <n v="0"/>
  </r>
  <r>
    <s v="P504330"/>
    <x v="2371"/>
    <n v="7055"/>
    <x v="118"/>
    <x v="2"/>
    <n v="793"/>
    <s v="0–1K"/>
    <x v="6"/>
    <m/>
    <s v="No"/>
    <x v="3"/>
    <n v="0"/>
    <n v="29"/>
    <x v="0"/>
    <n v="0"/>
    <n v="0"/>
  </r>
  <r>
    <s v="P504575"/>
    <x v="2372"/>
    <n v="7050"/>
    <x v="58"/>
    <x v="9"/>
    <n v="797"/>
    <s v="0–1K"/>
    <x v="6"/>
    <n v="4.6607000000000003"/>
    <s v="Yes"/>
    <x v="0"/>
    <n v="168"/>
    <n v="26"/>
    <x v="0"/>
    <n v="1"/>
    <n v="0"/>
  </r>
  <r>
    <s v="P469830"/>
    <x v="2373"/>
    <n v="5879"/>
    <x v="115"/>
    <x v="4"/>
    <n v="799"/>
    <s v="0–1K"/>
    <x v="6"/>
    <n v="4.0625"/>
    <s v="Yes"/>
    <x v="0"/>
    <n v="16"/>
    <n v="86"/>
    <x v="2"/>
    <n v="0"/>
    <n v="0"/>
  </r>
  <r>
    <s v="P470538"/>
    <x v="2374"/>
    <n v="6226"/>
    <x v="84"/>
    <x v="9"/>
    <n v="820"/>
    <s v="0–1K"/>
    <x v="6"/>
    <n v="5"/>
    <s v="Yes"/>
    <x v="0"/>
    <n v="1"/>
    <n v="38"/>
    <x v="0"/>
    <n v="0"/>
    <n v="0"/>
  </r>
  <r>
    <s v="P482256"/>
    <x v="2375"/>
    <n v="7091"/>
    <x v="71"/>
    <x v="4"/>
    <n v="826"/>
    <s v="0–1K"/>
    <x v="6"/>
    <n v="3.6667000000000001"/>
    <s v="Yes"/>
    <x v="1"/>
    <n v="6"/>
    <n v="32"/>
    <x v="0"/>
    <n v="0"/>
    <n v="1"/>
  </r>
  <r>
    <s v="P504050"/>
    <x v="2376"/>
    <n v="6358"/>
    <x v="81"/>
    <x v="1"/>
    <n v="855"/>
    <s v="0–1K"/>
    <x v="6"/>
    <n v="4.7857000000000003"/>
    <s v="Yes"/>
    <x v="0"/>
    <n v="42"/>
    <n v="99"/>
    <x v="2"/>
    <n v="1"/>
    <n v="0"/>
  </r>
  <r>
    <s v="P500111"/>
    <x v="2377"/>
    <n v="7050"/>
    <x v="58"/>
    <x v="9"/>
    <n v="864"/>
    <s v="0–1K"/>
    <x v="6"/>
    <n v="4.8148"/>
    <s v="Yes"/>
    <x v="0"/>
    <n v="81"/>
    <n v="45"/>
    <x v="0"/>
    <n v="0"/>
    <n v="0"/>
  </r>
  <r>
    <s v="P474941"/>
    <x v="2378"/>
    <n v="1254"/>
    <x v="24"/>
    <x v="10"/>
    <n v="865"/>
    <s v="0–1K"/>
    <x v="6"/>
    <n v="2"/>
    <s v="Yes"/>
    <x v="2"/>
    <n v="2"/>
    <n v="21"/>
    <x v="0"/>
    <n v="0"/>
    <n v="0"/>
  </r>
  <r>
    <s v="P504911"/>
    <x v="2379"/>
    <n v="5987"/>
    <x v="9"/>
    <x v="10"/>
    <n v="865"/>
    <s v="0–1K"/>
    <x v="6"/>
    <m/>
    <s v="No"/>
    <x v="3"/>
    <n v="0"/>
    <n v="60"/>
    <x v="2"/>
    <n v="0"/>
    <n v="0"/>
  </r>
  <r>
    <s v="P500120"/>
    <x v="2380"/>
    <n v="6743"/>
    <x v="110"/>
    <x v="3"/>
    <n v="867"/>
    <s v="0–1K"/>
    <x v="6"/>
    <n v="3.5"/>
    <s v="Yes"/>
    <x v="1"/>
    <n v="10"/>
    <n v="25"/>
    <x v="0"/>
    <n v="0"/>
    <n v="0"/>
  </r>
  <r>
    <s v="P448547"/>
    <x v="2381"/>
    <n v="6302"/>
    <x v="114"/>
    <x v="3"/>
    <n v="873"/>
    <s v="0–1K"/>
    <x v="6"/>
    <n v="4.6666999999999996"/>
    <s v="Yes"/>
    <x v="0"/>
    <n v="3"/>
    <n v="240"/>
    <x v="2"/>
    <n v="0"/>
    <n v="0"/>
  </r>
  <r>
    <s v="P476686"/>
    <x v="2382"/>
    <n v="5879"/>
    <x v="115"/>
    <x v="3"/>
    <n v="876"/>
    <s v="0–1K"/>
    <x v="6"/>
    <n v="5"/>
    <s v="Yes"/>
    <x v="0"/>
    <n v="3"/>
    <n v="94"/>
    <x v="2"/>
    <n v="0"/>
    <n v="0"/>
  </r>
  <r>
    <s v="P500755"/>
    <x v="2383"/>
    <n v="6272"/>
    <x v="46"/>
    <x v="11"/>
    <n v="876"/>
    <s v="0–1K"/>
    <x v="6"/>
    <m/>
    <s v="No"/>
    <x v="3"/>
    <n v="0"/>
    <n v="100"/>
    <x v="2"/>
    <n v="0"/>
    <n v="0"/>
  </r>
  <r>
    <s v="P458963"/>
    <x v="2384"/>
    <n v="6309"/>
    <x v="62"/>
    <x v="9"/>
    <n v="894"/>
    <s v="0–1K"/>
    <x v="6"/>
    <n v="1.8"/>
    <s v="Yes"/>
    <x v="2"/>
    <n v="5"/>
    <n v="12"/>
    <x v="1"/>
    <n v="0"/>
    <n v="0"/>
  </r>
  <r>
    <s v="P439648"/>
    <x v="2385"/>
    <n v="1254"/>
    <x v="24"/>
    <x v="3"/>
    <n v="904"/>
    <s v="0–1K"/>
    <x v="6"/>
    <n v="3.1537999999999999"/>
    <s v="Yes"/>
    <x v="1"/>
    <n v="26"/>
    <n v="41"/>
    <x v="0"/>
    <n v="0"/>
    <n v="1"/>
  </r>
  <r>
    <s v="P477706"/>
    <x v="2386"/>
    <n v="6303"/>
    <x v="127"/>
    <x v="1"/>
    <n v="906"/>
    <s v="0–1K"/>
    <x v="6"/>
    <n v="5"/>
    <s v="Yes"/>
    <x v="0"/>
    <n v="3"/>
    <n v="105"/>
    <x v="2"/>
    <n v="0"/>
    <n v="0"/>
  </r>
  <r>
    <s v="P502818"/>
    <x v="2387"/>
    <n v="7037"/>
    <x v="48"/>
    <x v="11"/>
    <n v="918"/>
    <s v="0–1K"/>
    <x v="6"/>
    <n v="5"/>
    <s v="Yes"/>
    <x v="0"/>
    <n v="16"/>
    <n v="279"/>
    <x v="2"/>
    <n v="0"/>
    <n v="0"/>
  </r>
  <r>
    <s v="P501176"/>
    <x v="2388"/>
    <n v="6089"/>
    <x v="45"/>
    <x v="3"/>
    <n v="920"/>
    <s v="0–1K"/>
    <x v="6"/>
    <n v="3.8332999999999999"/>
    <s v="Yes"/>
    <x v="1"/>
    <n v="456"/>
    <n v="42"/>
    <x v="0"/>
    <n v="0"/>
    <n v="0"/>
  </r>
  <r>
    <s v="P504882"/>
    <x v="2389"/>
    <n v="5972"/>
    <x v="10"/>
    <x v="10"/>
    <n v="921"/>
    <s v="0–1K"/>
    <x v="6"/>
    <n v="5"/>
    <s v="Yes"/>
    <x v="0"/>
    <n v="1"/>
    <n v="30"/>
    <x v="0"/>
    <n v="1"/>
    <n v="0"/>
  </r>
  <r>
    <s v="P483086"/>
    <x v="2390"/>
    <n v="6307"/>
    <x v="77"/>
    <x v="3"/>
    <n v="923"/>
    <s v="0–1K"/>
    <x v="6"/>
    <n v="4"/>
    <s v="Yes"/>
    <x v="0"/>
    <n v="1"/>
    <n v="72"/>
    <x v="2"/>
    <n v="0"/>
    <n v="0"/>
  </r>
  <r>
    <s v="P471017"/>
    <x v="2391"/>
    <n v="6302"/>
    <x v="114"/>
    <x v="3"/>
    <n v="928"/>
    <s v="0–1K"/>
    <x v="6"/>
    <n v="3.2222"/>
    <s v="Yes"/>
    <x v="1"/>
    <n v="9"/>
    <n v="360"/>
    <x v="2"/>
    <n v="0"/>
    <n v="0"/>
  </r>
  <r>
    <s v="P504076"/>
    <x v="2392"/>
    <n v="6488"/>
    <x v="129"/>
    <x v="2"/>
    <n v="933"/>
    <s v="0–1K"/>
    <x v="6"/>
    <n v="4.7705000000000002"/>
    <s v="Yes"/>
    <x v="0"/>
    <n v="183"/>
    <n v="34"/>
    <x v="0"/>
    <n v="0"/>
    <n v="0"/>
  </r>
  <r>
    <s v="P481086"/>
    <x v="2393"/>
    <n v="6329"/>
    <x v="112"/>
    <x v="3"/>
    <n v="936"/>
    <s v="0–1K"/>
    <x v="6"/>
    <n v="4.6753"/>
    <s v="Yes"/>
    <x v="0"/>
    <n v="77"/>
    <n v="60"/>
    <x v="2"/>
    <n v="0"/>
    <n v="0"/>
  </r>
  <r>
    <s v="P504031"/>
    <x v="2394"/>
    <n v="6749"/>
    <x v="111"/>
    <x v="3"/>
    <n v="940"/>
    <s v="0–1K"/>
    <x v="6"/>
    <n v="4.9486999999999997"/>
    <s v="Yes"/>
    <x v="0"/>
    <n v="78"/>
    <n v="120"/>
    <x v="2"/>
    <n v="1"/>
    <n v="0"/>
  </r>
  <r>
    <s v="P501017"/>
    <x v="2395"/>
    <n v="6329"/>
    <x v="112"/>
    <x v="11"/>
    <n v="961"/>
    <s v="0–1K"/>
    <x v="6"/>
    <n v="4.7611999999999997"/>
    <s v="Yes"/>
    <x v="0"/>
    <n v="67"/>
    <n v="70"/>
    <x v="2"/>
    <n v="0"/>
    <n v="0"/>
  </r>
  <r>
    <s v="P472471"/>
    <x v="2396"/>
    <n v="3297"/>
    <x v="34"/>
    <x v="3"/>
    <n v="972"/>
    <s v="0–1K"/>
    <x v="6"/>
    <n v="4.1429"/>
    <s v="Yes"/>
    <x v="0"/>
    <n v="7"/>
    <n v="40"/>
    <x v="0"/>
    <n v="0"/>
    <n v="0"/>
  </r>
  <r>
    <s v="P473148"/>
    <x v="2397"/>
    <n v="8012"/>
    <x v="122"/>
    <x v="5"/>
    <n v="978"/>
    <s v="0–1K"/>
    <x v="6"/>
    <n v="4.3810000000000002"/>
    <s v="Yes"/>
    <x v="0"/>
    <n v="126"/>
    <n v="27"/>
    <x v="0"/>
    <n v="0"/>
    <n v="0"/>
  </r>
  <r>
    <s v="P500256"/>
    <x v="2398"/>
    <n v="8017"/>
    <x v="56"/>
    <x v="4"/>
    <n v="983"/>
    <s v="0–1K"/>
    <x v="6"/>
    <n v="5"/>
    <s v="Yes"/>
    <x v="0"/>
    <n v="2"/>
    <n v="28"/>
    <x v="0"/>
    <n v="0"/>
    <n v="0"/>
  </r>
  <r>
    <s v="P500998"/>
    <x v="2399"/>
    <n v="6274"/>
    <x v="90"/>
    <x v="3"/>
    <n v="986"/>
    <s v="0–1K"/>
    <x v="6"/>
    <n v="5"/>
    <s v="Yes"/>
    <x v="0"/>
    <n v="3"/>
    <n v="44"/>
    <x v="0"/>
    <n v="0"/>
    <n v="0"/>
  </r>
  <r>
    <s v="P504053"/>
    <x v="2400"/>
    <n v="1073"/>
    <x v="52"/>
    <x v="5"/>
    <n v="993"/>
    <s v="0–1K"/>
    <x v="6"/>
    <n v="5"/>
    <s v="Yes"/>
    <x v="0"/>
    <n v="2"/>
    <n v="80"/>
    <x v="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56433-AFDB-47F5-8D4F-99CAE532682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gagement Tier" colHeaderCaption="Rating Band">
  <location ref="A3:F12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 nonAutoSortDefault="1">
      <items count="8">
        <item x="6"/>
        <item x="4"/>
        <item x="5"/>
        <item x="2"/>
        <item x="3"/>
        <item x="1"/>
        <item x="0"/>
        <item t="default"/>
      </items>
    </pivotField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duct Id" fld="0" subtotal="count" showDataAs="percentOfRow" baseField="7" baseItem="0" numFmtId="10"/>
  </dataFields>
  <formats count="10">
    <format dxfId="153">
      <pivotArea collapsedLevelsAreSubtotals="1" fieldPosition="0">
        <references count="2">
          <reference field="7" count="1">
            <x v="0"/>
          </reference>
          <reference field="10" count="1" selected="0">
            <x v="0"/>
          </reference>
        </references>
      </pivotArea>
    </format>
    <format dxfId="152">
      <pivotArea collapsedLevelsAreSubtotals="1" fieldPosition="0">
        <references count="2">
          <reference field="7" count="1">
            <x v="1"/>
          </reference>
          <reference field="10" count="1" selected="0">
            <x v="0"/>
          </reference>
        </references>
      </pivotArea>
    </format>
    <format dxfId="151">
      <pivotArea collapsedLevelsAreSubtotals="1" fieldPosition="0">
        <references count="2">
          <reference field="7" count="1">
            <x v="1"/>
          </reference>
          <reference field="10" count="1" selected="0">
            <x v="1"/>
          </reference>
        </references>
      </pivotArea>
    </format>
    <format dxfId="150">
      <pivotArea dataOnly="0" labelOnly="1" fieldPosition="0">
        <references count="1">
          <reference field="7" count="1">
            <x v="0"/>
          </reference>
        </references>
      </pivotArea>
    </format>
    <format dxfId="149">
      <pivotArea dataOnly="0" labelOnly="1" fieldPosition="0">
        <references count="1">
          <reference field="7" count="1">
            <x v="1"/>
          </reference>
        </references>
      </pivotArea>
    </format>
    <format dxfId="148">
      <pivotArea dataOnly="0" labelOnly="1" fieldPosition="0">
        <references count="1">
          <reference field="7" count="1">
            <x v="3"/>
          </reference>
        </references>
      </pivotArea>
    </format>
    <format dxfId="147">
      <pivotArea collapsedLevelsAreSubtotals="1" fieldPosition="0">
        <references count="2">
          <reference field="7" count="1">
            <x v="3"/>
          </reference>
          <reference field="10" count="1" selected="0">
            <x v="2"/>
          </reference>
        </references>
      </pivotArea>
    </format>
    <format dxfId="146">
      <pivotArea collapsedLevelsAreSubtotals="1" fieldPosition="0">
        <references count="2">
          <reference field="7" count="1">
            <x v="3"/>
          </reference>
          <reference field="10" count="1" selected="0">
            <x v="0"/>
          </reference>
        </references>
      </pivotArea>
    </format>
    <format dxfId="145">
      <pivotArea collapsedLevelsAreSubtotals="1" fieldPosition="0">
        <references count="2">
          <reference field="7" count="1">
            <x v="3"/>
          </reference>
          <reference field="10" count="1" selected="0">
            <x v="1"/>
          </reference>
        </references>
      </pivotArea>
    </format>
    <format dxfId="144">
      <pivotArea collapsedLevelsAreSubtotals="1" fieldPosition="0">
        <references count="2">
          <reference field="7" count="1">
            <x v="0"/>
          </reference>
          <reference field="10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E862B-5BC0-4A52-89BD-A9EC0471CF1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Engagement Tier">
  <location ref="A3:I18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14">
        <item x="2"/>
        <item x="8"/>
        <item x="11"/>
        <item x="0"/>
        <item x="5"/>
        <item x="7"/>
        <item x="3"/>
        <item x="6"/>
        <item x="12"/>
        <item x="4"/>
        <item x="1"/>
        <item x="10"/>
        <item x="9"/>
        <item t="default"/>
      </items>
    </pivotField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showDataAs="percentOfRow" baseField="0" baseItem="0" numFmtId="10"/>
  </dataFields>
  <formats count="42">
    <format dxfId="100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99">
      <pivotArea dataOnly="0" labelOnly="1" fieldPosition="0">
        <references count="1">
          <reference field="7" count="1">
            <x v="0"/>
          </reference>
        </references>
      </pivotArea>
    </format>
    <format dxfId="98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97">
      <pivotArea dataOnly="0" labelOnly="1" fieldPosition="0">
        <references count="1">
          <reference field="7" count="1">
            <x v="1"/>
          </reference>
        </references>
      </pivotArea>
    </format>
    <format dxfId="96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95">
      <pivotArea dataOnly="0" labelOnly="1" fieldPosition="0">
        <references count="1">
          <reference field="7" count="1">
            <x v="2"/>
          </reference>
        </references>
      </pivotArea>
    </format>
    <format dxfId="94">
      <pivotArea dataOnly="0" outline="0" fieldPosition="0">
        <references count="1">
          <reference field="7" count="1">
            <x v="3"/>
          </reference>
        </references>
      </pivotArea>
    </format>
    <format dxfId="93">
      <pivotArea outline="0" collapsedLevelsAreSubtotals="1" fieldPosition="0">
        <references count="1">
          <reference field="7" count="1" selected="0">
            <x v="4"/>
          </reference>
        </references>
      </pivotArea>
    </format>
    <format dxfId="92">
      <pivotArea dataOnly="0" labelOnly="1" fieldPosition="0">
        <references count="1">
          <reference field="7" count="1">
            <x v="4"/>
          </reference>
        </references>
      </pivotArea>
    </format>
    <format dxfId="91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90">
      <pivotArea dataOnly="0" labelOnly="1" fieldPosition="0">
        <references count="1">
          <reference field="7" count="1">
            <x v="5"/>
          </reference>
        </references>
      </pivotArea>
    </format>
    <format dxfId="89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88">
      <pivotArea dataOnly="0" labelOnly="1" fieldPosition="0">
        <references count="1">
          <reference field="7" count="1">
            <x v="6"/>
          </reference>
        </references>
      </pivotArea>
    </format>
    <format dxfId="87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86">
      <pivotArea dataOnly="0" labelOnly="1" fieldPosition="0">
        <references count="1">
          <reference field="7" count="1">
            <x v="0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7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7" count="0"/>
        </references>
      </pivotArea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4" type="button" dataOnly="0" labelOnly="1" outline="0" axis="axisRow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Col="1" outline="0" fieldPosition="0"/>
    </format>
    <format dxfId="65">
      <pivotArea dataOnly="0" outline="0" fieldPosition="0">
        <references count="1">
          <reference field="7" count="1">
            <x v="1"/>
          </reference>
        </references>
      </pivotArea>
    </format>
    <format dxfId="64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63">
      <pivotArea dataOnly="0" labelOnly="1" fieldPosition="0">
        <references count="1">
          <reference field="7" count="1">
            <x v="2"/>
          </reference>
        </references>
      </pivotArea>
    </format>
    <format dxfId="62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61">
      <pivotArea dataOnly="0" labelOnly="1" fieldPosition="0">
        <references count="1">
          <reference field="7" count="1">
            <x v="6"/>
          </reference>
        </references>
      </pivotArea>
    </format>
    <format dxfId="60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59">
      <pivotArea dataOnly="0" labelOnly="1" fieldPosition="0">
        <references count="1">
          <reference field="7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F0F16-ABE7-4C23-B170-82A172E8D2F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Engagement Tier">
  <location ref="K3:S18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14">
        <item x="2"/>
        <item x="8"/>
        <item x="11"/>
        <item x="0"/>
        <item x="5"/>
        <item x="7"/>
        <item x="3"/>
        <item x="6"/>
        <item x="12"/>
        <item x="4"/>
        <item x="1"/>
        <item x="10"/>
        <item x="9"/>
        <item t="default"/>
      </items>
    </pivotField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baseField="0" baseItem="0"/>
  </dataFields>
  <formats count="43">
    <format dxfId="143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42">
      <pivotArea dataOnly="0" labelOnly="1" fieldPosition="0">
        <references count="1">
          <reference field="7" count="1">
            <x v="0"/>
          </reference>
        </references>
      </pivotArea>
    </format>
    <format dxfId="141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140">
      <pivotArea dataOnly="0" labelOnly="1" fieldPosition="0">
        <references count="1">
          <reference field="7" count="1">
            <x v="1"/>
          </reference>
        </references>
      </pivotArea>
    </format>
    <format dxfId="139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138">
      <pivotArea dataOnly="0" labelOnly="1" fieldPosition="0">
        <references count="1">
          <reference field="7" count="1">
            <x v="2"/>
          </reference>
        </references>
      </pivotArea>
    </format>
    <format dxfId="137">
      <pivotArea dataOnly="0" outline="0" fieldPosition="0">
        <references count="1">
          <reference field="7" count="1">
            <x v="3"/>
          </reference>
        </references>
      </pivotArea>
    </format>
    <format dxfId="136">
      <pivotArea outline="0" collapsedLevelsAreSubtotals="1" fieldPosition="0">
        <references count="1">
          <reference field="7" count="1" selected="0">
            <x v="4"/>
          </reference>
        </references>
      </pivotArea>
    </format>
    <format dxfId="135">
      <pivotArea dataOnly="0" labelOnly="1" fieldPosition="0">
        <references count="1">
          <reference field="7" count="1">
            <x v="4"/>
          </reference>
        </references>
      </pivotArea>
    </format>
    <format dxfId="134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133">
      <pivotArea dataOnly="0" labelOnly="1" fieldPosition="0">
        <references count="1">
          <reference field="7" count="1">
            <x v="5"/>
          </reference>
        </references>
      </pivotArea>
    </format>
    <format dxfId="132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131">
      <pivotArea dataOnly="0" labelOnly="1" fieldPosition="0">
        <references count="1">
          <reference field="7" count="1">
            <x v="6"/>
          </reference>
        </references>
      </pivotArea>
    </format>
    <format dxfId="130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29">
      <pivotArea dataOnly="0" labelOnly="1" fieldPosition="0">
        <references count="1">
          <reference field="7" count="1">
            <x v="0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7" type="button" dataOnly="0" labelOnly="1" outline="0" axis="axisCol" fieldPosition="0"/>
    </format>
    <format dxfId="124">
      <pivotArea type="topRight" dataOnly="0" labelOnly="1" outline="0" fieldPosition="0"/>
    </format>
    <format dxfId="123">
      <pivotArea field="4" type="button" dataOnly="0" labelOnly="1" outline="0" axis="axisRow" fieldPosition="0"/>
    </format>
    <format dxfId="122">
      <pivotArea dataOnly="0" labelOnly="1" fieldPosition="0">
        <references count="1">
          <reference field="4" count="0"/>
        </references>
      </pivotArea>
    </format>
    <format dxfId="121">
      <pivotArea dataOnly="0" labelOnly="1" grandRow="1" outline="0" fieldPosition="0"/>
    </format>
    <format dxfId="120">
      <pivotArea dataOnly="0" labelOnly="1" fieldPosition="0">
        <references count="1">
          <reference field="7" count="0"/>
        </references>
      </pivotArea>
    </format>
    <format dxfId="119">
      <pivotArea dataOnly="0" labelOnly="1" grandCol="1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7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4" type="button" dataOnly="0" labelOnly="1" outline="0" axis="axisRow" fieldPosition="0"/>
    </format>
    <format dxfId="112">
      <pivotArea dataOnly="0" labelOnly="1" fieldPosition="0">
        <references count="1">
          <reference field="4" count="0"/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7" count="0"/>
        </references>
      </pivotArea>
    </format>
    <format dxfId="109">
      <pivotArea dataOnly="0" labelOnly="1" grandCol="1" outline="0" fieldPosition="0"/>
    </format>
    <format dxfId="108">
      <pivotArea dataOnly="0" outline="0" fieldPosition="0">
        <references count="1">
          <reference field="7" count="1">
            <x v="1"/>
          </reference>
        </references>
      </pivotArea>
    </format>
    <format dxfId="107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106">
      <pivotArea dataOnly="0" labelOnly="1" fieldPosition="0">
        <references count="1">
          <reference field="7" count="1">
            <x v="2"/>
          </reference>
        </references>
      </pivotArea>
    </format>
    <format dxfId="105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104">
      <pivotArea dataOnly="0" labelOnly="1" fieldPosition="0">
        <references count="1">
          <reference field="7" count="1">
            <x v="6"/>
          </reference>
        </references>
      </pivotArea>
    </format>
    <format dxfId="103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102">
      <pivotArea dataOnly="0" labelOnly="1" fieldPosition="0">
        <references count="1">
          <reference field="7" count="1">
            <x v="5"/>
          </reference>
        </references>
      </pivotArea>
    </format>
    <format dxfId="10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5CF8B-B631-4537-9704-EEF85A9D386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e Tier" colHeaderCaption="Engagement Tier">
  <location ref="A3:I8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showDataAs="percentOfRow" baseField="0" baseItem="0" numFmtId="10"/>
  </dataFields>
  <formats count="21">
    <format dxfId="34">
      <pivotArea type="all" dataOnly="0" outline="0" fieldPosition="0"/>
    </format>
    <format dxfId="33">
      <pivotArea dataOnly="0" outline="0" fieldPosition="0">
        <references count="1">
          <reference field="7" count="1">
            <x v="0"/>
          </reference>
        </references>
      </pivotArea>
    </format>
    <format dxfId="32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31">
      <pivotArea dataOnly="0" labelOnly="1" fieldPosition="0">
        <references count="1">
          <reference field="7" count="1">
            <x v="1"/>
          </reference>
        </references>
      </pivotArea>
    </format>
    <format dxfId="30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29">
      <pivotArea dataOnly="0" labelOnly="1" fieldPosition="0">
        <references count="1">
          <reference field="7" count="1">
            <x v="2"/>
          </reference>
        </references>
      </pivotArea>
    </format>
    <format dxfId="28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27">
      <pivotArea dataOnly="0" labelOnly="1" fieldPosition="0">
        <references count="1">
          <reference field="7" count="1">
            <x v="3"/>
          </reference>
        </references>
      </pivotArea>
    </format>
    <format dxfId="26">
      <pivotArea outline="0" collapsedLevelsAreSubtotals="1" fieldPosition="0">
        <references count="1">
          <reference field="7" count="1" selected="0">
            <x v="4"/>
          </reference>
        </references>
      </pivotArea>
    </format>
    <format dxfId="25">
      <pivotArea dataOnly="0" labelOnly="1" fieldPosition="0">
        <references count="1">
          <reference field="7" count="1">
            <x v="4"/>
          </reference>
        </references>
      </pivotArea>
    </format>
    <format dxfId="24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23">
      <pivotArea dataOnly="0" labelOnly="1" fieldPosition="0">
        <references count="1">
          <reference field="7" count="1">
            <x v="5"/>
          </reference>
        </references>
      </pivotArea>
    </format>
    <format dxfId="22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21">
      <pivotArea dataOnly="0" labelOnly="1" fieldPosition="0">
        <references count="1">
          <reference field="7" count="1">
            <x v="6"/>
          </reference>
        </references>
      </pivotArea>
    </format>
    <format dxfId="20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19">
      <pivotArea dataOnly="0" labelOnly="1" fieldPosition="0">
        <references count="1">
          <reference field="7" count="1">
            <x v="5"/>
          </reference>
        </references>
      </pivotArea>
    </format>
    <format dxfId="18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17">
      <pivotArea dataOnly="0" labelOnly="1" fieldPosition="0">
        <references count="1">
          <reference field="7" count="1">
            <x v="6"/>
          </reference>
        </references>
      </pivotArea>
    </format>
    <format dxfId="16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15">
      <pivotArea dataOnly="0" labelOnly="1" fieldPosition="0">
        <references count="1">
          <reference field="7" count="1">
            <x v="3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20413-7AD1-4BCA-9F0A-E5A49F01D88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e Tier" colHeaderCaption="Engagement Tier">
  <location ref="A10:I15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baseField="0" baseItem="0"/>
  </dataFields>
  <formats count="24">
    <format dxfId="58">
      <pivotArea type="all" dataOnly="0" outline="0" fieldPosition="0"/>
    </format>
    <format dxfId="57">
      <pivotArea dataOnly="0" outline="0" fieldPosition="0">
        <references count="1">
          <reference field="7" count="1">
            <x v="0"/>
          </reference>
        </references>
      </pivotArea>
    </format>
    <format dxfId="56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55">
      <pivotArea dataOnly="0" labelOnly="1" fieldPosition="0">
        <references count="1">
          <reference field="7" count="1">
            <x v="1"/>
          </reference>
        </references>
      </pivotArea>
    </format>
    <format dxfId="54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53">
      <pivotArea dataOnly="0" labelOnly="1" fieldPosition="0">
        <references count="1">
          <reference field="7" count="1">
            <x v="2"/>
          </reference>
        </references>
      </pivotArea>
    </format>
    <format dxfId="52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51">
      <pivotArea dataOnly="0" labelOnly="1" fieldPosition="0">
        <references count="1">
          <reference field="7" count="1">
            <x v="3"/>
          </reference>
        </references>
      </pivotArea>
    </format>
    <format dxfId="50">
      <pivotArea outline="0" collapsedLevelsAreSubtotals="1" fieldPosition="0">
        <references count="1">
          <reference field="7" count="1" selected="0">
            <x v="4"/>
          </reference>
        </references>
      </pivotArea>
    </format>
    <format dxfId="49">
      <pivotArea dataOnly="0" labelOnly="1" fieldPosition="0">
        <references count="1">
          <reference field="7" count="1">
            <x v="4"/>
          </reference>
        </references>
      </pivotArea>
    </format>
    <format dxfId="48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47">
      <pivotArea dataOnly="0" labelOnly="1" fieldPosition="0">
        <references count="1">
          <reference field="7" count="1">
            <x v="5"/>
          </reference>
        </references>
      </pivotArea>
    </format>
    <format dxfId="46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45">
      <pivotArea dataOnly="0" labelOnly="1" fieldPosition="0">
        <references count="1">
          <reference field="7" count="1">
            <x v="6"/>
          </reference>
        </references>
      </pivotArea>
    </format>
    <format dxfId="44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43">
      <pivotArea dataOnly="0" labelOnly="1" fieldPosition="0">
        <references count="1">
          <reference field="7" count="1">
            <x v="5"/>
          </reference>
        </references>
      </pivotArea>
    </format>
    <format dxfId="42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41">
      <pivotArea dataOnly="0" labelOnly="1" fieldPosition="0">
        <references count="1">
          <reference field="7" count="1">
            <x v="6"/>
          </reference>
        </references>
      </pivotArea>
    </format>
    <format dxfId="40">
      <pivotArea outline="0" collapsedLevelsAreSubtotals="1" fieldPosition="0"/>
    </format>
    <format dxfId="39">
      <pivotArea field="13" type="button" dataOnly="0" labelOnly="1" outline="0" axis="axisRow" fieldPosition="0"/>
    </format>
    <format dxfId="38">
      <pivotArea dataOnly="0" labelOnly="1" fieldPosition="0">
        <references count="1">
          <reference field="13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7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2BE90-B94D-4893-B3E1-28853365F2E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3" rowHeaderCaption="Engagement Tier">
  <location ref="A3:B11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 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7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CE023-1E80-4A20-B292-6102A3A2313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ategory">
  <location ref="D66:E79" firstHeaderRow="1" firstDataRow="1" firstDataCol="1" rowPageCount="2" colPageCount="1"/>
  <pivotFields count="16">
    <pivotField dataField="1" showAll="0"/>
    <pivotField showAll="0">
      <items count="2402">
        <item x="558"/>
        <item x="1188"/>
        <item x="1437"/>
        <item x="693"/>
        <item x="1118"/>
        <item x="2157"/>
        <item x="463"/>
        <item x="364"/>
        <item x="764"/>
        <item x="609"/>
        <item x="1555"/>
        <item x="519"/>
        <item x="2113"/>
        <item x="1585"/>
        <item x="2213"/>
        <item x="1061"/>
        <item x="669"/>
        <item x="906"/>
        <item x="80"/>
        <item x="1105"/>
        <item x="1724"/>
        <item x="1326"/>
        <item x="323"/>
        <item x="1106"/>
        <item x="33"/>
        <item x="284"/>
        <item x="611"/>
        <item x="115"/>
        <item x="1126"/>
        <item x="1327"/>
        <item x="1202"/>
        <item x="1182"/>
        <item x="2121"/>
        <item x="713"/>
        <item x="1295"/>
        <item x="2024"/>
        <item x="2274"/>
        <item x="492"/>
        <item x="647"/>
        <item x="2308"/>
        <item x="2192"/>
        <item x="300"/>
        <item x="2378"/>
        <item x="1639"/>
        <item x="2386"/>
        <item x="167"/>
        <item x="290"/>
        <item x="1907"/>
        <item x="999"/>
        <item x="2006"/>
        <item x="2371"/>
        <item x="903"/>
        <item x="1112"/>
        <item x="1635"/>
        <item x="966"/>
        <item x="1643"/>
        <item x="1584"/>
        <item x="1663"/>
        <item x="1934"/>
        <item x="2301"/>
        <item x="1408"/>
        <item x="2356"/>
        <item x="1420"/>
        <item x="1831"/>
        <item x="1289"/>
        <item x="1233"/>
        <item x="1871"/>
        <item x="2320"/>
        <item x="234"/>
        <item x="722"/>
        <item x="1644"/>
        <item x="823"/>
        <item x="391"/>
        <item x="1698"/>
        <item x="867"/>
        <item x="1066"/>
        <item x="917"/>
        <item x="297"/>
        <item x="2348"/>
        <item x="2271"/>
        <item x="2317"/>
        <item x="2396"/>
        <item x="1397"/>
        <item x="1903"/>
        <item x="2225"/>
        <item x="889"/>
        <item x="938"/>
        <item x="768"/>
        <item x="946"/>
        <item x="2012"/>
        <item x="1078"/>
        <item x="596"/>
        <item x="1216"/>
        <item x="747"/>
        <item x="739"/>
        <item x="1538"/>
        <item x="828"/>
        <item x="1812"/>
        <item x="1325"/>
        <item x="1921"/>
        <item x="743"/>
        <item x="122"/>
        <item x="709"/>
        <item x="557"/>
        <item x="136"/>
        <item x="345"/>
        <item x="1511"/>
        <item x="1177"/>
        <item x="887"/>
        <item x="936"/>
        <item x="1874"/>
        <item x="1491"/>
        <item x="156"/>
        <item x="1825"/>
        <item x="1002"/>
        <item x="1011"/>
        <item x="194"/>
        <item x="402"/>
        <item x="411"/>
        <item x="560"/>
        <item x="601"/>
        <item x="623"/>
        <item x="1240"/>
        <item x="1508"/>
        <item x="2376"/>
        <item x="1756"/>
        <item x="2302"/>
        <item x="2202"/>
        <item x="1993"/>
        <item x="464"/>
        <item x="1889"/>
        <item x="1707"/>
        <item x="2193"/>
        <item x="1687"/>
        <item x="1500"/>
        <item x="166"/>
        <item x="786"/>
        <item x="1697"/>
        <item x="4"/>
        <item x="203"/>
        <item x="1046"/>
        <item x="2005"/>
        <item x="1312"/>
        <item x="1264"/>
        <item x="1742"/>
        <item x="2332"/>
        <item x="360"/>
        <item x="1363"/>
        <item x="2230"/>
        <item x="1339"/>
        <item x="1734"/>
        <item x="1773"/>
        <item x="1069"/>
        <item x="995"/>
        <item x="1121"/>
        <item x="916"/>
        <item x="1943"/>
        <item x="1039"/>
        <item x="1875"/>
        <item x="1229"/>
        <item x="49"/>
        <item x="358"/>
        <item x="751"/>
        <item x="2013"/>
        <item x="1608"/>
        <item x="1665"/>
        <item x="34"/>
        <item x="991"/>
        <item x="546"/>
        <item x="99"/>
        <item x="233"/>
        <item x="1059"/>
        <item x="849"/>
        <item x="993"/>
        <item x="932"/>
        <item x="1523"/>
        <item x="2269"/>
        <item x="1597"/>
        <item x="133"/>
        <item x="37"/>
        <item x="1686"/>
        <item x="972"/>
        <item x="977"/>
        <item x="1337"/>
        <item x="949"/>
        <item x="881"/>
        <item x="224"/>
        <item x="1004"/>
        <item x="1225"/>
        <item x="933"/>
        <item x="2337"/>
        <item x="520"/>
        <item x="1755"/>
        <item x="896"/>
        <item x="819"/>
        <item x="1006"/>
        <item x="785"/>
        <item x="965"/>
        <item x="869"/>
        <item x="1180"/>
        <item x="118"/>
        <item x="437"/>
        <item x="1071"/>
        <item x="1459"/>
        <item x="1034"/>
        <item x="855"/>
        <item x="56"/>
        <item x="637"/>
        <item x="107"/>
        <item x="2140"/>
        <item x="48"/>
        <item x="2240"/>
        <item x="385"/>
        <item x="386"/>
        <item x="1057"/>
        <item x="1952"/>
        <item x="788"/>
        <item x="279"/>
        <item x="1346"/>
        <item x="666"/>
        <item x="1969"/>
        <item x="1453"/>
        <item x="1606"/>
        <item x="1392"/>
        <item x="1207"/>
        <item x="1688"/>
        <item x="660"/>
        <item x="1186"/>
        <item x="837"/>
        <item x="613"/>
        <item x="2286"/>
        <item x="2288"/>
        <item x="283"/>
        <item x="2189"/>
        <item x="1063"/>
        <item x="260"/>
        <item x="899"/>
        <item x="765"/>
        <item x="1389"/>
        <item x="923"/>
        <item x="736"/>
        <item x="41"/>
        <item x="834"/>
        <item x="537"/>
        <item x="2030"/>
        <item x="1020"/>
        <item x="266"/>
        <item x="1350"/>
        <item x="1885"/>
        <item x="516"/>
        <item x="1834"/>
        <item x="249"/>
        <item x="1899"/>
        <item x="925"/>
        <item x="506"/>
        <item x="986"/>
        <item x="1854"/>
        <item x="1174"/>
        <item x="1130"/>
        <item x="727"/>
        <item x="1617"/>
        <item x="106"/>
        <item x="1961"/>
        <item x="216"/>
        <item x="620"/>
        <item x="1139"/>
        <item x="36"/>
        <item x="2355"/>
        <item x="272"/>
        <item x="2270"/>
        <item x="2336"/>
        <item x="924"/>
        <item x="851"/>
        <item x="1972"/>
        <item x="677"/>
        <item x="206"/>
        <item x="1681"/>
        <item x="1910"/>
        <item x="1577"/>
        <item x="336"/>
        <item x="1072"/>
        <item x="259"/>
        <item x="1141"/>
        <item x="1110"/>
        <item x="833"/>
        <item x="493"/>
        <item x="1310"/>
        <item x="553"/>
        <item x="1406"/>
        <item x="1797"/>
        <item x="193"/>
        <item x="344"/>
        <item x="1882"/>
        <item x="417"/>
        <item x="587"/>
        <item x="329"/>
        <item x="91"/>
        <item x="1136"/>
        <item x="1340"/>
        <item x="1409"/>
        <item x="1949"/>
        <item x="2011"/>
        <item x="740"/>
        <item x="1984"/>
        <item x="102"/>
        <item x="1418"/>
        <item x="2358"/>
        <item x="470"/>
        <item x="499"/>
        <item x="2025"/>
        <item x="767"/>
        <item x="1894"/>
        <item x="1624"/>
        <item x="2329"/>
        <item x="1645"/>
        <item x="1183"/>
        <item x="2395"/>
        <item x="688"/>
        <item x="406"/>
        <item x="2059"/>
        <item x="2066"/>
        <item x="1362"/>
        <item x="90"/>
        <item x="1461"/>
        <item x="1384"/>
        <item x="1298"/>
        <item x="1413"/>
        <item x="2020"/>
        <item x="1328"/>
        <item x="586"/>
        <item x="758"/>
        <item x="2153"/>
        <item x="542"/>
        <item x="1935"/>
        <item x="697"/>
        <item x="992"/>
        <item x="319"/>
        <item x="170"/>
        <item x="1719"/>
        <item x="483"/>
        <item x="1839"/>
        <item x="2389"/>
        <item x="584"/>
        <item x="2143"/>
        <item x="1809"/>
        <item x="581"/>
        <item x="479"/>
        <item x="1097"/>
        <item x="1103"/>
        <item x="866"/>
        <item x="1713"/>
        <item x="1153"/>
        <item x="1206"/>
        <item x="813"/>
        <item x="1867"/>
        <item x="1148"/>
        <item x="659"/>
        <item x="607"/>
        <item x="244"/>
        <item x="508"/>
        <item x="22"/>
        <item x="59"/>
        <item x="626"/>
        <item x="489"/>
        <item x="218"/>
        <item x="169"/>
        <item x="350"/>
        <item x="1704"/>
        <item x="2141"/>
        <item x="1460"/>
        <item x="1439"/>
        <item x="1457"/>
        <item x="878"/>
        <item x="527"/>
        <item x="2400"/>
        <item x="2000"/>
        <item x="1937"/>
        <item x="1393"/>
        <item x="1738"/>
        <item x="1448"/>
        <item x="1435"/>
        <item x="2123"/>
        <item x="1484"/>
        <item x="2061"/>
        <item x="1676"/>
        <item x="1427"/>
        <item x="2267"/>
        <item x="2265"/>
        <item x="2266"/>
        <item x="423"/>
        <item x="1173"/>
        <item x="814"/>
        <item x="1199"/>
        <item x="1025"/>
        <item x="628"/>
        <item x="748"/>
        <item x="1677"/>
        <item x="734"/>
        <item x="678"/>
        <item x="1870"/>
        <item x="744"/>
        <item x="17"/>
        <item x="909"/>
        <item x="1050"/>
        <item x="1210"/>
        <item x="2021"/>
        <item x="101"/>
        <item x="1694"/>
        <item x="1304"/>
        <item x="1593"/>
        <item x="1169"/>
        <item x="1088"/>
        <item x="413"/>
        <item x="870"/>
        <item x="827"/>
        <item x="174"/>
        <item x="38"/>
        <item x="1146"/>
        <item x="1142"/>
        <item x="895"/>
        <item x="2110"/>
        <item x="2027"/>
        <item x="670"/>
        <item x="911"/>
        <item x="2283"/>
        <item x="1331"/>
        <item x="561"/>
        <item x="577"/>
        <item x="132"/>
        <item x="347"/>
        <item x="1761"/>
        <item x="1221"/>
        <item x="1429"/>
        <item x="1855"/>
        <item x="2045"/>
        <item x="1589"/>
        <item x="983"/>
        <item x="921"/>
        <item x="1830"/>
        <item x="1451"/>
        <item x="1939"/>
        <item x="1524"/>
        <item x="359"/>
        <item x="1425"/>
        <item x="253"/>
        <item x="1550"/>
        <item x="1489"/>
        <item x="914"/>
        <item x="2215"/>
        <item x="1280"/>
        <item x="293"/>
        <item x="2081"/>
        <item x="2375"/>
        <item x="1496"/>
        <item x="1923"/>
        <item x="1290"/>
        <item x="1520"/>
        <item x="1033"/>
        <item x="1736"/>
        <item x="474"/>
        <item x="811"/>
        <item x="1200"/>
        <item x="1171"/>
        <item x="429"/>
        <item x="265"/>
        <item x="192"/>
        <item x="774"/>
        <item x="2016"/>
        <item x="1536"/>
        <item x="1667"/>
        <item x="1605"/>
        <item x="2173"/>
        <item x="733"/>
        <item x="737"/>
        <item x="1450"/>
        <item x="450"/>
        <item x="2174"/>
        <item x="1745"/>
        <item x="1906"/>
        <item x="1801"/>
        <item x="25"/>
        <item x="1417"/>
        <item x="2238"/>
        <item x="600"/>
        <item x="237"/>
        <item x="1898"/>
        <item x="264"/>
        <item x="46"/>
        <item x="953"/>
        <item x="974"/>
        <item x="1377"/>
        <item x="316"/>
        <item x="282"/>
        <item x="1636"/>
        <item x="1149"/>
        <item x="246"/>
        <item x="1682"/>
        <item x="853"/>
        <item x="1152"/>
        <item x="919"/>
        <item x="448"/>
        <item x="1084"/>
        <item x="2090"/>
        <item x="396"/>
        <item x="524"/>
        <item x="1080"/>
        <item x="2385"/>
        <item x="1381"/>
        <item x="1278"/>
        <item x="1283"/>
        <item x="420"/>
        <item x="1029"/>
        <item x="510"/>
        <item x="614"/>
        <item x="422"/>
        <item x="126"/>
        <item x="945"/>
        <item x="1111"/>
        <item x="388"/>
        <item x="1810"/>
        <item x="150"/>
        <item x="1486"/>
        <item x="1557"/>
        <item x="141"/>
        <item x="1607"/>
        <item x="1317"/>
        <item x="2292"/>
        <item x="1548"/>
        <item x="1223"/>
        <item x="1319"/>
        <item x="1219"/>
        <item x="730"/>
        <item x="1092"/>
        <item x="760"/>
        <item x="2052"/>
        <item x="729"/>
        <item x="1501"/>
        <item x="1573"/>
        <item x="306"/>
        <item x="1143"/>
        <item x="2095"/>
        <item x="1911"/>
        <item x="1731"/>
        <item x="116"/>
        <item x="1845"/>
        <item x="1680"/>
        <item x="1826"/>
        <item x="152"/>
        <item x="1187"/>
        <item x="707"/>
        <item x="1502"/>
        <item x="622"/>
        <item x="605"/>
        <item x="74"/>
        <item x="445"/>
        <item x="1117"/>
        <item x="120"/>
        <item x="2249"/>
        <item x="2252"/>
        <item x="2250"/>
        <item x="2251"/>
        <item x="1197"/>
        <item x="1789"/>
        <item x="2383"/>
        <item x="802"/>
        <item x="178"/>
        <item x="352"/>
        <item x="309"/>
        <item x="94"/>
        <item x="1032"/>
        <item x="820"/>
        <item x="2102"/>
        <item x="1333"/>
        <item x="852"/>
        <item x="1272"/>
        <item x="1516"/>
        <item x="684"/>
        <item x="578"/>
        <item x="836"/>
        <item x="1691"/>
        <item x="2074"/>
        <item x="676"/>
        <item x="1134"/>
        <item x="1242"/>
        <item x="1201"/>
        <item x="2111"/>
        <item x="2218"/>
        <item x="2003"/>
        <item x="397"/>
        <item x="629"/>
        <item x="72"/>
        <item x="2231"/>
        <item x="2077"/>
        <item x="1552"/>
        <item x="1324"/>
        <item x="2381"/>
        <item x="1236"/>
        <item x="1422"/>
        <item x="2182"/>
        <item x="171"/>
        <item x="1436"/>
        <item x="1914"/>
        <item x="1404"/>
        <item x="2129"/>
        <item x="14"/>
        <item x="1359"/>
        <item x="2326"/>
        <item x="952"/>
        <item x="1878"/>
        <item x="2185"/>
        <item x="2276"/>
        <item x="807"/>
        <item x="1193"/>
        <item x="2036"/>
        <item x="2169"/>
        <item x="2147"/>
        <item x="1654"/>
        <item x="1378"/>
        <item x="1846"/>
        <item x="2151"/>
        <item x="466"/>
        <item x="2239"/>
        <item x="289"/>
        <item x="2118"/>
        <item x="2220"/>
        <item x="1026"/>
        <item x="2180"/>
        <item x="255"/>
        <item x="274"/>
        <item x="648"/>
        <item x="2219"/>
        <item x="380"/>
        <item x="588"/>
        <item x="1883"/>
        <item x="1248"/>
        <item x="1366"/>
        <item x="1700"/>
        <item x="1790"/>
        <item x="990"/>
        <item x="657"/>
        <item x="198"/>
        <item x="2181"/>
        <item x="579"/>
        <item x="1257"/>
        <item x="1793"/>
        <item x="732"/>
        <item x="1888"/>
        <item x="1487"/>
        <item x="1562"/>
        <item x="2166"/>
        <item x="2203"/>
        <item x="1546"/>
        <item x="1079"/>
        <item x="2311"/>
        <item x="692"/>
        <item x="143"/>
        <item x="2207"/>
        <item x="507"/>
        <item x="1530"/>
        <item x="1595"/>
        <item x="1958"/>
        <item x="1447"/>
        <item x="891"/>
        <item x="2124"/>
        <item x="1203"/>
        <item x="1191"/>
        <item x="1042"/>
        <item x="784"/>
        <item x="989"/>
        <item x="2208"/>
        <item x="996"/>
        <item x="2357"/>
        <item x="1973"/>
        <item x="2298"/>
        <item x="355"/>
        <item x="1318"/>
        <item x="1067"/>
        <item x="731"/>
        <item x="1795"/>
        <item x="1638"/>
        <item x="2367"/>
        <item x="2212"/>
        <item x="770"/>
        <item x="1440"/>
        <item x="1568"/>
        <item x="1821"/>
        <item x="1376"/>
        <item x="1779"/>
        <item x="830"/>
        <item x="778"/>
        <item x="2007"/>
        <item x="1909"/>
        <item x="299"/>
        <item x="2335"/>
        <item x="2373"/>
        <item x="1642"/>
        <item x="1740"/>
        <item x="1349"/>
        <item x="2382"/>
        <item x="1596"/>
        <item x="2309"/>
        <item x="1701"/>
        <item x="1198"/>
        <item x="1480"/>
        <item x="858"/>
        <item x="2097"/>
        <item x="1260"/>
        <item x="942"/>
        <item x="941"/>
        <item x="404"/>
        <item x="2390"/>
        <item x="1600"/>
        <item x="1462"/>
        <item x="1432"/>
        <item x="1785"/>
        <item x="1476"/>
        <item x="704"/>
        <item x="907"/>
        <item x="585"/>
        <item x="1074"/>
        <item x="215"/>
        <item x="2322"/>
        <item x="401"/>
        <item x="2314"/>
        <item x="322"/>
        <item x="695"/>
        <item x="829"/>
        <item x="2051"/>
        <item x="1786"/>
        <item x="2394"/>
        <item x="943"/>
        <item x="2106"/>
        <item x="1256"/>
        <item x="1494"/>
        <item x="859"/>
        <item x="1776"/>
        <item x="1287"/>
        <item x="798"/>
        <item x="780"/>
        <item x="649"/>
        <item x="672"/>
        <item x="1335"/>
        <item x="2379"/>
        <item x="964"/>
        <item x="2392"/>
        <item x="1253"/>
        <item x="1089"/>
        <item x="947"/>
        <item x="1151"/>
        <item x="2237"/>
        <item x="146"/>
        <item x="441"/>
        <item x="1572"/>
        <item x="1717"/>
        <item x="1815"/>
        <item x="1673"/>
        <item x="1864"/>
        <item x="2099"/>
        <item x="1341"/>
        <item x="1703"/>
        <item x="793"/>
        <item x="705"/>
        <item x="371"/>
        <item x="2069"/>
        <item x="1267"/>
        <item x="1582"/>
        <item x="302"/>
        <item x="1616"/>
        <item x="294"/>
        <item x="211"/>
        <item x="263"/>
        <item x="436"/>
        <item x="433"/>
        <item x="1507"/>
        <item x="1449"/>
        <item x="1727"/>
        <item x="1282"/>
        <item x="1567"/>
        <item x="486"/>
        <item x="1860"/>
        <item x="201"/>
        <item x="543"/>
        <item x="1244"/>
        <item x="1767"/>
        <item x="1222"/>
        <item x="335"/>
        <item x="2122"/>
        <item x="82"/>
        <item x="477"/>
        <item x="89"/>
        <item x="212"/>
        <item x="2062"/>
        <item x="1641"/>
        <item x="1964"/>
        <item x="321"/>
        <item x="372"/>
        <item x="618"/>
        <item x="922"/>
        <item x="935"/>
        <item x="109"/>
        <item x="1979"/>
        <item x="77"/>
        <item x="2362"/>
        <item x="612"/>
        <item x="1161"/>
        <item x="1131"/>
        <item x="1504"/>
        <item x="594"/>
        <item x="805"/>
        <item x="918"/>
        <item x="1137"/>
        <item x="1692"/>
        <item x="1255"/>
        <item x="1510"/>
        <item x="217"/>
        <item x="220"/>
        <item x="2057"/>
        <item x="521"/>
        <item x="1781"/>
        <item x="1062"/>
        <item x="2323"/>
        <item x="2319"/>
        <item x="1388"/>
        <item x="2339"/>
        <item x="276"/>
        <item x="717"/>
        <item x="957"/>
        <item x="1434"/>
        <item x="1999"/>
        <item x="2256"/>
        <item x="2255"/>
        <item x="1047"/>
        <item x="1675"/>
        <item x="430"/>
        <item x="1847"/>
        <item x="1068"/>
        <item x="1292"/>
        <item x="1816"/>
        <item x="332"/>
        <item x="902"/>
        <item x="1944"/>
        <item x="2294"/>
        <item x="205"/>
        <item x="665"/>
        <item x="1714"/>
        <item x="1775"/>
        <item x="1924"/>
        <item x="1364"/>
        <item x="1361"/>
        <item x="2351"/>
        <item x="1477"/>
        <item x="312"/>
        <item x="2384"/>
        <item x="1438"/>
        <item x="1441"/>
        <item x="235"/>
        <item x="1243"/>
        <item x="370"/>
        <item x="873"/>
        <item x="1116"/>
        <item x="1722"/>
        <item x="976"/>
        <item x="796"/>
        <item x="1981"/>
        <item x="2194"/>
        <item x="535"/>
        <item x="382"/>
        <item x="1750"/>
        <item x="1784"/>
        <item x="2150"/>
        <item x="591"/>
        <item x="726"/>
        <item x="2035"/>
        <item x="1214"/>
        <item x="1509"/>
        <item x="1995"/>
        <item x="2297"/>
        <item x="1632"/>
        <item x="2054"/>
        <item x="1800"/>
        <item x="2091"/>
        <item x="690"/>
        <item x="1963"/>
        <item x="2369"/>
        <item x="1865"/>
        <item x="1591"/>
        <item x="570"/>
        <item x="994"/>
        <item x="1184"/>
        <item x="928"/>
        <item x="1657"/>
        <item x="505"/>
        <item x="383"/>
        <item x="1204"/>
        <item x="418"/>
        <item x="362"/>
        <item x="2085"/>
        <item x="1211"/>
        <item x="1330"/>
        <item x="2068"/>
        <item x="157"/>
        <item x="1379"/>
        <item x="1753"/>
        <item x="2076"/>
        <item x="1729"/>
        <item x="1759"/>
        <item x="652"/>
        <item x="2119"/>
        <item x="708"/>
        <item x="971"/>
        <item x="1886"/>
        <item x="2161"/>
        <item x="1293"/>
        <item x="1578"/>
        <item x="1144"/>
        <item x="711"/>
        <item x="180"/>
        <item x="763"/>
        <item x="181"/>
        <item x="1133"/>
        <item x="2290"/>
        <item x="478"/>
        <item x="53"/>
        <item x="574"/>
        <item x="35"/>
        <item x="353"/>
        <item x="1309"/>
        <item x="1070"/>
        <item x="3"/>
        <item x="606"/>
        <item x="281"/>
        <item x="1519"/>
        <item x="2133"/>
        <item x="565"/>
        <item x="148"/>
        <item x="458"/>
        <item x="856"/>
        <item x="251"/>
        <item x="2060"/>
        <item x="469"/>
        <item x="267"/>
        <item x="27"/>
        <item x="1849"/>
        <item x="1065"/>
        <item x="860"/>
        <item x="1056"/>
        <item x="1490"/>
        <item x="1528"/>
        <item x="1308"/>
        <item x="1553"/>
        <item x="1574"/>
        <item x="1277"/>
        <item x="1712"/>
        <item x="1473"/>
        <item x="1443"/>
        <item x="1403"/>
        <item x="1347"/>
        <item x="1683"/>
        <item x="1009"/>
        <item x="1634"/>
        <item x="2273"/>
        <item x="2368"/>
        <item x="2223"/>
        <item x="1338"/>
        <item x="1275"/>
        <item x="1730"/>
        <item x="1529"/>
        <item x="45"/>
        <item x="76"/>
        <item x="2246"/>
        <item x="779"/>
        <item x="580"/>
        <item x="473"/>
        <item x="1022"/>
        <item x="2183"/>
        <item x="801"/>
        <item x="2264"/>
        <item x="8"/>
        <item x="617"/>
        <item x="2031"/>
        <item x="689"/>
        <item x="2079"/>
        <item x="1345"/>
        <item x="1957"/>
        <item x="728"/>
        <item x="683"/>
        <item x="2167"/>
        <item x="1946"/>
        <item x="1196"/>
        <item x="1135"/>
        <item x="117"/>
        <item x="1747"/>
        <item x="2105"/>
        <item x="1478"/>
        <item x="330"/>
        <item x="515"/>
        <item x="1163"/>
        <item x="1101"/>
        <item x="1265"/>
        <item x="1412"/>
        <item x="1991"/>
        <item x="2247"/>
        <item x="219"/>
        <item x="2316"/>
        <item x="2299"/>
        <item x="2304"/>
        <item x="719"/>
        <item x="978"/>
        <item x="874"/>
        <item x="1052"/>
        <item x="631"/>
        <item x="333"/>
        <item x="85"/>
        <item x="2340"/>
        <item x="277"/>
        <item x="818"/>
        <item x="651"/>
        <item x="55"/>
        <item x="2242"/>
        <item x="1455"/>
        <item x="2"/>
        <item x="2015"/>
        <item x="522"/>
        <item x="61"/>
        <item x="1723"/>
        <item x="1320"/>
        <item x="1394"/>
        <item x="286"/>
        <item x="1537"/>
        <item x="412"/>
        <item x="2204"/>
        <item x="392"/>
        <item x="2137"/>
        <item x="410"/>
        <item x="1497"/>
        <item x="1563"/>
        <item x="1525"/>
        <item x="1947"/>
        <item x="1827"/>
        <item x="1249"/>
        <item x="1414"/>
        <item x="1281"/>
        <item x="1887"/>
        <item x="1215"/>
        <item x="1099"/>
        <item x="196"/>
        <item x="1794"/>
        <item x="973"/>
        <item x="2197"/>
        <item x="501"/>
        <item x="2310"/>
        <item x="1348"/>
        <item x="1558"/>
        <item x="1466"/>
        <item x="1978"/>
        <item x="1311"/>
        <item x="2325"/>
        <item x="147"/>
        <item x="1566"/>
        <item x="1279"/>
        <item x="720"/>
        <item x="275"/>
        <item x="529"/>
        <item x="1656"/>
        <item x="1307"/>
        <item x="325"/>
        <item x="1615"/>
        <item x="1706"/>
        <item x="589"/>
        <item x="1217"/>
        <item x="1655"/>
        <item x="1560"/>
        <item x="2156"/>
        <item x="1974"/>
        <item x="641"/>
        <item x="1613"/>
        <item x="1873"/>
        <item x="1647"/>
        <item x="1994"/>
        <item x="1844"/>
        <item x="963"/>
        <item x="1955"/>
        <item x="398"/>
        <item x="440"/>
        <item x="421"/>
        <item x="1503"/>
        <item x="759"/>
        <item x="1708"/>
        <item x="962"/>
        <item x="1962"/>
        <item x="1505"/>
        <item x="1892"/>
        <item x="1581"/>
        <item x="250"/>
        <item x="123"/>
        <item x="1294"/>
        <item x="1674"/>
        <item x="861"/>
        <item x="776"/>
        <item x="1609"/>
        <item x="232"/>
        <item x="1024"/>
        <item x="569"/>
        <item x="443"/>
        <item x="2103"/>
        <item x="95"/>
        <item x="1770"/>
        <item x="568"/>
        <item x="419"/>
        <item x="1468"/>
        <item x="698"/>
        <item x="2032"/>
        <item x="900"/>
        <item x="888"/>
        <item x="248"/>
        <item x="822"/>
        <item x="1975"/>
        <item x="2044"/>
        <item x="754"/>
        <item x="525"/>
        <item x="608"/>
        <item x="1220"/>
        <item x="1985"/>
        <item x="633"/>
        <item x="32"/>
        <item x="699"/>
        <item x="1858"/>
        <item x="1124"/>
        <item x="533"/>
        <item x="1488"/>
        <item x="1648"/>
        <item x="1990"/>
        <item x="1398"/>
        <item x="2014"/>
        <item x="1387"/>
        <item x="1286"/>
        <item x="1442"/>
        <item x="1766"/>
        <item x="298"/>
        <item x="2168"/>
        <item x="2280"/>
        <item x="1299"/>
        <item x="1933"/>
        <item x="2201"/>
        <item x="19"/>
        <item x="1147"/>
        <item x="2224"/>
        <item x="73"/>
        <item x="1120"/>
        <item x="2004"/>
        <item x="975"/>
        <item x="1386"/>
        <item x="137"/>
        <item x="177"/>
        <item x="2393"/>
        <item x="694"/>
        <item x="1705"/>
        <item x="573"/>
        <item x="446"/>
        <item x="2126"/>
        <item x="12"/>
        <item x="243"/>
        <item x="5"/>
        <item x="1896"/>
        <item x="639"/>
        <item x="0"/>
        <item x="1195"/>
        <item x="1179"/>
        <item x="599"/>
        <item x="920"/>
        <item x="1580"/>
        <item x="1640"/>
        <item x="2184"/>
        <item x="1036"/>
        <item x="124"/>
        <item x="2145"/>
        <item x="898"/>
        <item x="787"/>
        <item x="2259"/>
        <item x="1623"/>
        <item x="301"/>
        <item x="40"/>
        <item x="2387"/>
        <item x="1302"/>
        <item x="1343"/>
        <item x="1493"/>
        <item x="2228"/>
        <item x="343"/>
        <item x="1672"/>
        <item x="58"/>
        <item x="482"/>
        <item x="675"/>
        <item x="1666"/>
        <item x="597"/>
        <item x="110"/>
        <item x="625"/>
        <item x="1358"/>
        <item x="2235"/>
        <item x="1259"/>
        <item x="857"/>
        <item x="119"/>
        <item x="491"/>
        <item x="915"/>
        <item x="1168"/>
        <item x="556"/>
        <item x="1262"/>
        <item x="2397"/>
        <item x="135"/>
        <item x="1811"/>
        <item x="1178"/>
        <item x="1917"/>
        <item x="1822"/>
        <item x="1423"/>
        <item x="455"/>
        <item x="2318"/>
        <item x="310"/>
        <item x="2096"/>
        <item x="772"/>
        <item x="425"/>
        <item x="1758"/>
        <item x="1637"/>
        <item x="716"/>
        <item x="541"/>
        <item x="165"/>
        <item x="1912"/>
        <item x="1355"/>
        <item x="1431"/>
        <item x="1231"/>
        <item x="1213"/>
        <item x="844"/>
        <item x="1689"/>
        <item x="681"/>
        <item x="616"/>
        <item x="530"/>
        <item x="128"/>
        <item x="534"/>
        <item x="227"/>
        <item x="202"/>
        <item x="1513"/>
        <item x="518"/>
        <item x="624"/>
        <item x="241"/>
        <item x="2101"/>
        <item x="2152"/>
        <item x="1251"/>
        <item x="1628"/>
        <item x="381"/>
        <item x="766"/>
        <item x="2352"/>
        <item x="2398"/>
        <item x="2216"/>
        <item x="1977"/>
        <item x="1901"/>
        <item x="1696"/>
        <item x="1013"/>
        <item x="1360"/>
        <item x="1007"/>
        <item x="1012"/>
        <item x="2262"/>
        <item x="1966"/>
        <item x="894"/>
        <item x="1266"/>
        <item x="1998"/>
        <item x="1916"/>
        <item x="2009"/>
        <item x="2232"/>
        <item x="307"/>
        <item x="1832"/>
        <item x="1014"/>
        <item x="1650"/>
        <item x="191"/>
        <item x="2263"/>
        <item x="2221"/>
        <item x="640"/>
        <item x="2053"/>
        <item x="1095"/>
        <item x="1594"/>
        <item x="210"/>
        <item x="1091"/>
        <item x="1150"/>
        <item x="1843"/>
        <item x="1652"/>
        <item x="1940"/>
        <item x="2306"/>
        <item x="373"/>
        <item x="168"/>
        <item x="871"/>
        <item x="134"/>
        <item x="1411"/>
        <item x="222"/>
        <item x="984"/>
        <item x="229"/>
        <item x="112"/>
        <item x="1514"/>
        <item x="1913"/>
        <item x="1774"/>
        <item x="904"/>
        <item x="340"/>
        <item x="2331"/>
        <item x="1237"/>
        <item x="1531"/>
        <item x="1334"/>
        <item x="1218"/>
        <item x="1415"/>
        <item x="1817"/>
        <item x="221"/>
        <item x="270"/>
        <item x="366"/>
        <item x="1018"/>
        <item x="1194"/>
        <item x="164"/>
        <item x="998"/>
        <item x="931"/>
        <item x="1271"/>
        <item x="1599"/>
        <item x="664"/>
        <item x="2160"/>
        <item x="590"/>
        <item x="725"/>
        <item x="208"/>
        <item x="2134"/>
        <item x="710"/>
        <item x="2254"/>
        <item x="1100"/>
        <item x="2196"/>
        <item x="1929"/>
        <item x="1693"/>
        <item x="1559"/>
        <item x="1008"/>
        <item x="1428"/>
        <item x="2191"/>
        <item x="308"/>
        <item x="1721"/>
        <item x="155"/>
        <item x="955"/>
        <item x="1748"/>
        <item x="1512"/>
        <item x="1684"/>
        <item x="2285"/>
        <item x="1711"/>
        <item x="228"/>
        <item x="2130"/>
        <item x="188"/>
        <item x="1104"/>
        <item x="427"/>
        <item x="288"/>
        <item x="2261"/>
        <item x="1782"/>
        <item x="840"/>
        <item x="2200"/>
        <item x="1996"/>
        <item x="1575"/>
        <item x="172"/>
        <item x="1709"/>
        <item x="1495"/>
        <item x="2144"/>
        <item x="635"/>
        <item x="2253"/>
        <item x="1695"/>
        <item x="317"/>
        <item x="961"/>
        <item x="1019"/>
        <item x="1481"/>
        <item x="341"/>
        <item x="1547"/>
        <item x="951"/>
        <item x="2177"/>
        <item x="988"/>
        <item x="2084"/>
        <item x="967"/>
        <item x="1030"/>
        <item x="1542"/>
        <item x="812"/>
        <item x="970"/>
        <item x="939"/>
        <item x="934"/>
        <item x="1288"/>
        <item x="1820"/>
        <item x="230"/>
        <item x="1108"/>
        <item x="2248"/>
        <item x="207"/>
        <item x="2010"/>
        <item x="2023"/>
        <item x="54"/>
        <item x="1380"/>
        <item x="1372"/>
        <item x="1102"/>
        <item x="890"/>
        <item x="182"/>
        <item x="209"/>
        <item x="346"/>
        <item x="471"/>
        <item x="1579"/>
        <item x="1167"/>
        <item x="97"/>
        <item x="1802"/>
        <item x="1023"/>
        <item x="2086"/>
        <item x="1927"/>
        <item x="1980"/>
        <item x="1982"/>
        <item x="2257"/>
        <item x="2258"/>
        <item x="1015"/>
        <item x="200"/>
        <item x="2046"/>
        <item x="1569"/>
        <item x="1915"/>
        <item x="185"/>
        <item x="1788"/>
        <item x="1021"/>
        <item x="2039"/>
        <item x="2217"/>
        <item x="1965"/>
        <item x="789"/>
        <item x="1016"/>
        <item x="1114"/>
        <item x="1953"/>
        <item x="576"/>
        <item x="668"/>
        <item x="390"/>
        <item x="195"/>
        <item x="2236"/>
        <item x="153"/>
        <item x="111"/>
        <item x="1127"/>
        <item x="1010"/>
        <item x="1005"/>
        <item x="1746"/>
        <item x="655"/>
        <item x="1000"/>
        <item x="403"/>
        <item x="555"/>
        <item x="1932"/>
        <item x="771"/>
        <item x="1744"/>
        <item x="129"/>
        <item x="2313"/>
        <item x="2198"/>
        <item x="416"/>
        <item x="349"/>
        <item x="1765"/>
        <item x="2275"/>
        <item x="2287"/>
        <item x="2282"/>
        <item x="2281"/>
        <item x="1452"/>
        <item x="1321"/>
        <item x="1772"/>
        <item x="2135"/>
        <item x="636"/>
        <item x="2022"/>
        <item x="2048"/>
        <item x="13"/>
        <item x="512"/>
        <item x="1771"/>
        <item x="1833"/>
        <item x="2114"/>
        <item x="703"/>
        <item x="1044"/>
        <item x="2162"/>
        <item x="1841"/>
        <item x="2205"/>
        <item x="28"/>
        <item x="1777"/>
        <item x="1884"/>
        <item x="799"/>
        <item x="2149"/>
        <item x="1"/>
        <item x="1170"/>
        <item x="278"/>
        <item x="1986"/>
        <item x="1752"/>
        <item x="1539"/>
        <item x="2078"/>
        <item x="1587"/>
        <item x="701"/>
        <item x="324"/>
        <item x="956"/>
        <item x="2142"/>
        <item x="714"/>
        <item x="2199"/>
        <item x="1076"/>
        <item x="2380"/>
        <item x="1725"/>
        <item x="566"/>
        <item x="1261"/>
        <item x="1976"/>
        <item x="1852"/>
        <item x="1300"/>
        <item x="2353"/>
        <item x="1250"/>
        <item x="2260"/>
        <item x="2300"/>
        <item x="1430"/>
        <item x="1804"/>
        <item x="460"/>
        <item x="2365"/>
        <item x="865"/>
        <item x="1938"/>
        <item x="2080"/>
        <item x="88"/>
        <item x="432"/>
        <item x="824"/>
        <item x="1718"/>
        <item x="1303"/>
        <item x="886"/>
        <item x="1754"/>
        <item x="127"/>
        <item x="2334"/>
        <item x="1383"/>
        <item x="1354"/>
        <item x="442"/>
        <item x="831"/>
        <item x="2210"/>
        <item x="239"/>
        <item x="262"/>
        <item x="1853"/>
        <item x="1869"/>
        <item x="2155"/>
        <item x="810"/>
        <item x="552"/>
        <item x="428"/>
        <item x="1045"/>
        <item x="125"/>
        <item x="1166"/>
        <item x="571"/>
        <item x="1856"/>
        <item x="777"/>
        <item x="1835"/>
        <item x="144"/>
        <item x="544"/>
        <item x="342"/>
        <item x="2305"/>
        <item x="1119"/>
        <item x="595"/>
        <item x="1239"/>
        <item x="1181"/>
        <item x="1258"/>
        <item x="163"/>
        <item x="291"/>
        <item x="2295"/>
        <item x="1123"/>
        <item x="1931"/>
        <item x="761"/>
        <item x="682"/>
        <item x="937"/>
        <item x="1828"/>
        <item x="825"/>
        <item x="2175"/>
        <item x="2116"/>
        <item x="1824"/>
        <item x="1122"/>
        <item x="1583"/>
        <item x="1895"/>
        <item x="1534"/>
        <item x="2190"/>
        <item x="1881"/>
        <item x="1373"/>
        <item x="408"/>
        <item x="2067"/>
        <item x="326"/>
        <item x="1930"/>
        <item x="1715"/>
        <item x="2128"/>
        <item x="1840"/>
        <item x="247"/>
        <item x="1805"/>
        <item x="368"/>
        <item x="1322"/>
        <item x="1001"/>
        <item x="662"/>
        <item x="2307"/>
        <item x="1859"/>
        <item x="564"/>
        <item x="880"/>
        <item x="863"/>
        <item x="536"/>
        <item x="327"/>
        <item x="1107"/>
        <item x="304"/>
        <item x="2170"/>
        <item x="1238"/>
        <item x="2107"/>
        <item x="375"/>
        <item x="1629"/>
        <item x="204"/>
        <item x="254"/>
        <item x="1948"/>
        <item x="2241"/>
        <item x="804"/>
        <item x="1517"/>
        <item x="1908"/>
        <item x="610"/>
        <item x="1890"/>
        <item x="1085"/>
        <item x="1382"/>
        <item x="1521"/>
        <item x="71"/>
        <item x="66"/>
        <item x="487"/>
        <item x="400"/>
        <item x="517"/>
        <item x="2338"/>
        <item x="2327"/>
        <item x="328"/>
        <item x="1159"/>
        <item x="292"/>
        <item x="2296"/>
        <item x="927"/>
        <item x="757"/>
        <item x="691"/>
        <item x="337"/>
        <item x="50"/>
        <item x="2354"/>
        <item x="2226"/>
        <item x="2072"/>
        <item x="1851"/>
        <item x="746"/>
        <item x="646"/>
        <item x="1128"/>
        <item x="638"/>
        <item x="1988"/>
        <item x="1780"/>
        <item x="545"/>
        <item x="238"/>
        <item x="2227"/>
        <item x="1796"/>
        <item x="663"/>
        <item x="897"/>
        <item x="2100"/>
        <item x="504"/>
        <item x="348"/>
        <item x="2179"/>
        <item x="1783"/>
        <item x="356"/>
        <item x="87"/>
        <item x="503"/>
        <item x="1571"/>
        <item x="948"/>
        <item x="702"/>
        <item x="1351"/>
        <item x="1764"/>
        <item x="1268"/>
        <item x="968"/>
        <item x="554"/>
        <item x="513"/>
        <item x="721"/>
        <item x="1368"/>
        <item x="456"/>
        <item x="848"/>
        <item x="1850"/>
        <item x="1690"/>
        <item x="186"/>
        <item x="1792"/>
        <item x="1897"/>
        <item x="475"/>
        <item x="1863"/>
        <item x="2018"/>
        <item x="1868"/>
        <item x="621"/>
        <item x="452"/>
        <item x="1918"/>
        <item x="593"/>
        <item x="2372"/>
        <item x="575"/>
        <item x="387"/>
        <item x="285"/>
        <item x="1900"/>
        <item x="756"/>
        <item x="773"/>
        <item x="686"/>
        <item x="2075"/>
        <item x="1590"/>
        <item x="2171"/>
        <item x="1421"/>
        <item x="6"/>
        <item x="1027"/>
        <item x="465"/>
        <item x="1049"/>
        <item x="954"/>
        <item x="803"/>
        <item x="70"/>
        <item x="1768"/>
        <item x="1540"/>
        <item x="1246"/>
        <item x="377"/>
        <item x="449"/>
        <item x="2148"/>
        <item x="1060"/>
        <item x="850"/>
        <item x="792"/>
        <item x="1482"/>
        <item x="1741"/>
        <item x="2178"/>
        <item x="1588"/>
        <item x="2108"/>
        <item x="2233"/>
        <item x="2158"/>
        <item x="500"/>
        <item x="864"/>
        <item x="1365"/>
        <item x="2345"/>
        <item x="2043"/>
        <item x="1733"/>
        <item x="142"/>
        <item x="369"/>
        <item x="876"/>
        <item x="1055"/>
        <item x="841"/>
        <item x="480"/>
        <item x="108"/>
        <item x="2346"/>
        <item x="1791"/>
        <item x="559"/>
        <item x="1156"/>
        <item x="548"/>
        <item x="2234"/>
        <item x="839"/>
        <item x="1954"/>
        <item x="365"/>
        <item x="2370"/>
        <item x="139"/>
        <item x="1808"/>
        <item x="1446"/>
        <item x="883"/>
        <item x="1968"/>
        <item x="2073"/>
        <item x="1862"/>
        <item x="1763"/>
        <item x="1405"/>
        <item x="2055"/>
        <item x="567"/>
        <item x="1880"/>
        <item x="598"/>
        <item x="582"/>
        <item x="2361"/>
        <item x="1301"/>
        <item x="2211"/>
        <item x="1444"/>
        <item x="1247"/>
        <item x="2131"/>
        <item x="1716"/>
        <item x="540"/>
        <item x="1728"/>
        <item x="197"/>
        <item x="496"/>
        <item x="384"/>
        <item x="173"/>
        <item x="723"/>
        <item x="1837"/>
        <item x="509"/>
        <item x="1226"/>
        <item x="794"/>
        <item x="645"/>
        <item x="1051"/>
        <item x="550"/>
        <item x="1751"/>
        <item x="1083"/>
        <item x="459"/>
        <item x="673"/>
        <item x="656"/>
        <item x="454"/>
        <item x="1646"/>
        <item x="1356"/>
        <item x="634"/>
        <item x="2291"/>
        <item x="287"/>
        <item x="2343"/>
        <item x="1732"/>
        <item x="1603"/>
        <item x="44"/>
        <item x="1158"/>
        <item x="78"/>
        <item x="583"/>
        <item x="2115"/>
        <item x="2092"/>
        <item x="379"/>
        <item x="832"/>
        <item x="1270"/>
        <item x="1096"/>
        <item x="528"/>
        <item x="1285"/>
        <item x="2349"/>
        <item x="685"/>
        <item x="680"/>
        <item x="654"/>
        <item x="944"/>
        <item x="2278"/>
        <item x="1475"/>
        <item x="242"/>
        <item x="2040"/>
        <item x="1234"/>
        <item x="1254"/>
        <item x="1760"/>
        <item x="1232"/>
        <item x="1367"/>
        <item x="1416"/>
        <item x="526"/>
        <item x="905"/>
        <item x="1241"/>
        <item x="1035"/>
        <item x="67"/>
        <item x="1053"/>
        <item x="969"/>
        <item x="92"/>
        <item x="1172"/>
        <item x="687"/>
        <item x="269"/>
        <item x="162"/>
        <item x="1829"/>
        <item x="882"/>
        <item x="179"/>
        <item x="257"/>
        <item x="271"/>
        <item x="1622"/>
        <item x="2065"/>
        <item x="1175"/>
        <item x="1109"/>
        <item x="461"/>
        <item x="183"/>
        <item x="1620"/>
        <item x="2088"/>
        <item x="113"/>
        <item x="280"/>
        <item x="64"/>
        <item x="69"/>
        <item x="696"/>
        <item x="15"/>
        <item x="1565"/>
        <item x="2125"/>
        <item x="1866"/>
        <item x="741"/>
        <item x="1323"/>
        <item x="2138"/>
        <item x="1669"/>
        <item x="1625"/>
        <item x="960"/>
        <item x="1129"/>
        <item x="930"/>
        <item x="619"/>
        <item x="311"/>
        <item x="1064"/>
        <item x="1942"/>
        <item x="2070"/>
        <item x="1230"/>
        <item x="1492"/>
        <item x="806"/>
        <item x="1506"/>
        <item x="755"/>
        <item x="1876"/>
        <item x="715"/>
        <item x="2187"/>
        <item x="718"/>
        <item x="1352"/>
        <item x="39"/>
        <item x="2363"/>
        <item x="1313"/>
        <item x="2041"/>
        <item x="1601"/>
        <item x="1735"/>
        <item x="644"/>
        <item x="1140"/>
        <item x="213"/>
        <item x="1400"/>
        <item x="1960"/>
        <item x="1357"/>
        <item x="563"/>
        <item x="389"/>
        <item x="1154"/>
        <item x="1664"/>
        <item x="1532"/>
        <item x="1678"/>
        <item x="1162"/>
        <item x="1570"/>
        <item x="1269"/>
        <item x="2229"/>
        <item x="1370"/>
        <item x="1658"/>
        <item x="313"/>
        <item x="79"/>
        <item x="1941"/>
        <item x="453"/>
        <item x="1922"/>
        <item x="1410"/>
        <item x="2324"/>
        <item x="1469"/>
        <item x="1306"/>
        <item x="154"/>
        <item x="1454"/>
        <item x="23"/>
        <item x="394"/>
        <item x="223"/>
        <item x="409"/>
        <item x="2139"/>
        <item x="1926"/>
        <item x="2098"/>
        <item x="775"/>
        <item x="875"/>
        <item x="1556"/>
        <item x="1527"/>
        <item x="2049"/>
        <item x="1396"/>
        <item x="1576"/>
        <item x="1332"/>
        <item x="1561"/>
        <item x="1185"/>
        <item x="1726"/>
        <item x="1621"/>
        <item x="700"/>
        <item x="1554"/>
        <item x="1284"/>
        <item x="1252"/>
        <item x="1545"/>
        <item x="2342"/>
        <item x="1679"/>
        <item x="1483"/>
        <item x="1743"/>
        <item x="1919"/>
        <item x="1877"/>
        <item x="438"/>
        <item x="1551"/>
        <item x="1619"/>
        <item x="2347"/>
        <item x="1602"/>
        <item x="2019"/>
        <item x="1471"/>
        <item x="2388"/>
        <item x="2330"/>
        <item x="1297"/>
        <item x="1626"/>
        <item x="2399"/>
        <item x="184"/>
        <item x="1296"/>
        <item x="1189"/>
        <item x="439"/>
        <item x="2050"/>
        <item x="21"/>
        <item x="892"/>
        <item x="2195"/>
        <item x="1329"/>
        <item x="1813"/>
        <item x="1132"/>
        <item x="868"/>
        <item x="817"/>
        <item x="1028"/>
        <item x="1031"/>
        <item x="809"/>
        <item x="539"/>
        <item x="331"/>
        <item x="1192"/>
        <item x="1157"/>
        <item x="1077"/>
        <item x="1073"/>
        <item x="514"/>
        <item x="653"/>
        <item x="62"/>
        <item x="1041"/>
        <item x="98"/>
        <item x="414"/>
        <item x="592"/>
        <item x="273"/>
        <item x="821"/>
        <item x="351"/>
        <item x="103"/>
        <item x="912"/>
        <item x="1836"/>
        <item x="2164"/>
        <item x="800"/>
        <item x="1115"/>
        <item x="93"/>
        <item x="1164"/>
        <item x="83"/>
        <item x="959"/>
        <item x="816"/>
        <item x="843"/>
        <item x="1087"/>
        <item x="1649"/>
        <item x="1598"/>
        <item x="256"/>
        <item x="1391"/>
        <item x="1610"/>
        <item x="2159"/>
        <item x="929"/>
        <item x="467"/>
        <item x="632"/>
        <item x="1336"/>
        <item x="2391"/>
        <item x="2303"/>
        <item x="1702"/>
        <item x="159"/>
        <item x="2243"/>
        <item x="367"/>
        <item x="1778"/>
        <item x="1987"/>
        <item x="376"/>
        <item x="2104"/>
        <item x="838"/>
        <item x="2222"/>
        <item x="1592"/>
        <item x="457"/>
        <item x="161"/>
        <item x="2341"/>
        <item x="2344"/>
        <item x="1997"/>
        <item x="1208"/>
        <item x="1967"/>
        <item x="862"/>
        <item x="30"/>
        <item x="114"/>
        <item x="1263"/>
        <item x="357"/>
        <item x="1407"/>
        <item x="1604"/>
        <item x="1090"/>
        <item x="1848"/>
        <item x="1541"/>
        <item x="81"/>
        <item x="7"/>
        <item x="650"/>
        <item x="1353"/>
        <item x="1472"/>
        <item x="1385"/>
        <item x="1456"/>
        <item x="1749"/>
        <item x="1659"/>
        <item x="2360"/>
        <item x="315"/>
        <item x="2374"/>
        <item x="1316"/>
        <item x="872"/>
        <item x="295"/>
        <item x="2056"/>
        <item x="1671"/>
        <item x="1769"/>
        <item x="1891"/>
        <item x="176"/>
        <item x="797"/>
        <item x="354"/>
        <item x="1315"/>
        <item x="879"/>
        <item x="1936"/>
        <item x="20"/>
        <item x="24"/>
        <item x="826"/>
        <item x="1474"/>
        <item x="51"/>
        <item x="2071"/>
        <item x="245"/>
        <item x="950"/>
        <item x="502"/>
        <item x="1959"/>
        <item x="642"/>
        <item x="658"/>
        <item x="783"/>
        <item x="1861"/>
        <item x="363"/>
        <item x="1003"/>
        <item x="2176"/>
        <item x="854"/>
        <item x="2008"/>
        <item x="1814"/>
        <item x="2165"/>
        <item x="2033"/>
        <item x="1905"/>
        <item x="846"/>
        <item x="627"/>
        <item x="1614"/>
        <item x="1902"/>
        <item x="314"/>
        <item x="1463"/>
        <item x="488"/>
        <item x="160"/>
        <item x="1651"/>
        <item x="268"/>
        <item x="468"/>
        <item x="1842"/>
        <item x="75"/>
        <item x="2042"/>
        <item x="511"/>
        <item x="2206"/>
        <item x="1274"/>
        <item x="361"/>
        <item x="1956"/>
        <item x="2037"/>
        <item x="1720"/>
        <item x="1661"/>
        <item x="745"/>
        <item x="724"/>
        <item x="1390"/>
        <item x="1445"/>
        <item x="31"/>
        <item x="1160"/>
        <item x="10"/>
        <item x="1467"/>
        <item x="105"/>
        <item x="1818"/>
        <item x="2083"/>
        <item x="236"/>
        <item x="643"/>
        <item x="1515"/>
        <item x="1970"/>
        <item x="2359"/>
        <item x="1058"/>
        <item x="1499"/>
        <item x="2038"/>
        <item x="1485"/>
        <item x="1544"/>
        <item x="451"/>
        <item x="1819"/>
        <item x="2163"/>
        <item x="2154"/>
        <item x="1586"/>
        <item x="1904"/>
        <item x="42"/>
        <item x="214"/>
        <item x="2047"/>
        <item x="1273"/>
        <item x="485"/>
        <item x="240"/>
        <item x="140"/>
        <item x="2146"/>
        <item x="1685"/>
        <item x="2312"/>
        <item x="1710"/>
        <item x="532"/>
        <item x="1369"/>
        <item x="1762"/>
        <item x="1344"/>
        <item x="2366"/>
        <item x="2328"/>
        <item x="2364"/>
        <item x="1212"/>
        <item x="2350"/>
        <item x="303"/>
        <item x="1314"/>
        <item x="1799"/>
        <item x="1653"/>
        <item x="1806"/>
        <item x="490"/>
        <item x="2136"/>
        <item x="2109"/>
        <item x="52"/>
        <item x="47"/>
        <item x="791"/>
        <item x="980"/>
        <item x="1465"/>
        <item x="1209"/>
        <item x="572"/>
        <item x="1190"/>
        <item x="1470"/>
        <item x="782"/>
        <item x="1433"/>
        <item x="145"/>
        <item x="1612"/>
        <item x="762"/>
        <item x="523"/>
        <item x="2209"/>
        <item x="2089"/>
        <item x="738"/>
        <item x="26"/>
        <item x="68"/>
        <item x="1371"/>
        <item x="252"/>
        <item x="11"/>
        <item x="318"/>
        <item x="1803"/>
        <item x="1038"/>
        <item x="2172"/>
        <item x="1838"/>
        <item x="1125"/>
        <item x="749"/>
        <item x="1535"/>
        <item x="424"/>
        <item x="138"/>
        <item x="1054"/>
        <item x="1945"/>
        <item x="1235"/>
        <item x="742"/>
        <item x="712"/>
        <item x="334"/>
        <item x="1086"/>
        <item x="2127"/>
        <item x="2093"/>
        <item x="1375"/>
        <item x="1857"/>
        <item x="339"/>
        <item x="1395"/>
        <item x="1224"/>
        <item x="2002"/>
        <item x="1402"/>
        <item x="1291"/>
        <item x="958"/>
        <item x="1048"/>
        <item x="2058"/>
        <item x="847"/>
        <item x="815"/>
        <item x="374"/>
        <item x="2315"/>
        <item x="790"/>
        <item x="940"/>
        <item x="2244"/>
        <item x="1989"/>
        <item x="1983"/>
        <item x="96"/>
        <item x="261"/>
        <item x="199"/>
        <item x="1533"/>
        <item x="1633"/>
        <item x="393"/>
        <item x="1950"/>
        <item x="1017"/>
        <item x="2017"/>
        <item x="2277"/>
        <item x="2120"/>
        <item x="1971"/>
        <item x="1093"/>
        <item x="2272"/>
        <item x="2284"/>
        <item x="431"/>
        <item x="1305"/>
        <item x="305"/>
        <item x="320"/>
        <item x="43"/>
        <item x="497"/>
        <item x="750"/>
        <item x="472"/>
        <item x="1699"/>
        <item x="104"/>
        <item x="338"/>
        <item x="2293"/>
        <item x="2289"/>
        <item x="2279"/>
        <item x="18"/>
        <item x="1075"/>
        <item x="1082"/>
        <item x="1040"/>
        <item x="753"/>
        <item x="603"/>
        <item x="1043"/>
        <item x="531"/>
        <item x="494"/>
        <item x="2028"/>
        <item x="1374"/>
        <item x="982"/>
        <item x="910"/>
        <item x="1925"/>
        <item x="1611"/>
        <item x="16"/>
        <item x="2132"/>
        <item x="1631"/>
        <item x="979"/>
        <item x="1227"/>
        <item x="1564"/>
        <item x="1668"/>
        <item x="549"/>
        <item x="901"/>
        <item x="997"/>
        <item x="434"/>
        <item x="877"/>
        <item x="2245"/>
        <item x="426"/>
        <item x="752"/>
        <item x="462"/>
        <item x="1807"/>
        <item x="1113"/>
        <item x="547"/>
        <item x="484"/>
        <item x="885"/>
        <item x="63"/>
        <item x="981"/>
        <item x="769"/>
        <item x="399"/>
        <item x="926"/>
        <item x="407"/>
        <item x="2064"/>
        <item x="435"/>
        <item x="2186"/>
        <item x="481"/>
        <item x="795"/>
        <item x="86"/>
        <item x="1205"/>
        <item x="57"/>
        <item x="1424"/>
        <item x="1522"/>
        <item x="2268"/>
        <item x="1479"/>
        <item x="842"/>
        <item x="1787"/>
        <item x="845"/>
        <item x="2001"/>
        <item x="1920"/>
        <item x="1037"/>
        <item x="444"/>
        <item x="808"/>
        <item x="1630"/>
        <item x="604"/>
        <item x="735"/>
        <item x="671"/>
        <item x="538"/>
        <item x="1928"/>
        <item x="562"/>
        <item x="476"/>
        <item x="1951"/>
        <item x="226"/>
        <item x="149"/>
        <item x="84"/>
        <item x="1138"/>
        <item x="2034"/>
        <item x="2188"/>
        <item x="551"/>
        <item x="175"/>
        <item x="60"/>
        <item x="190"/>
        <item x="158"/>
        <item x="498"/>
        <item x="1627"/>
        <item x="225"/>
        <item x="121"/>
        <item x="405"/>
        <item x="1660"/>
        <item x="835"/>
        <item x="151"/>
        <item x="495"/>
        <item x="884"/>
        <item x="2087"/>
        <item x="378"/>
        <item x="447"/>
        <item x="231"/>
        <item x="2082"/>
        <item x="630"/>
        <item x="2026"/>
        <item x="1145"/>
        <item x="1081"/>
        <item x="1872"/>
        <item x="1426"/>
        <item x="1737"/>
        <item x="1526"/>
        <item x="2029"/>
        <item x="908"/>
        <item x="1165"/>
        <item x="2117"/>
        <item x="661"/>
        <item x="615"/>
        <item x="893"/>
        <item x="1155"/>
        <item x="9"/>
        <item x="1098"/>
        <item x="29"/>
        <item x="100"/>
        <item x="65"/>
        <item x="1798"/>
        <item x="2063"/>
        <item x="985"/>
        <item x="781"/>
        <item x="1342"/>
        <item x="706"/>
        <item x="1893"/>
        <item x="1549"/>
        <item x="1458"/>
        <item x="1618"/>
        <item x="296"/>
        <item x="667"/>
        <item x="602"/>
        <item x="1823"/>
        <item x="987"/>
        <item x="415"/>
        <item x="258"/>
        <item x="1879"/>
        <item x="1401"/>
        <item x="189"/>
        <item x="2377"/>
        <item x="1662"/>
        <item x="913"/>
        <item x="1245"/>
        <item x="1757"/>
        <item x="1518"/>
        <item x="1419"/>
        <item x="2333"/>
        <item x="1399"/>
        <item x="679"/>
        <item x="1739"/>
        <item x="1176"/>
        <item x="2112"/>
        <item x="1094"/>
        <item x="1464"/>
        <item x="2214"/>
        <item x="395"/>
        <item x="1543"/>
        <item x="187"/>
        <item x="2094"/>
        <item x="130"/>
        <item x="131"/>
        <item x="1228"/>
        <item x="1670"/>
        <item x="1498"/>
        <item x="1276"/>
        <item x="2321"/>
        <item x="1992"/>
        <item x="674"/>
        <item t="default"/>
      </items>
    </pivotField>
    <pivotField showAll="0"/>
    <pivotField showAll="0">
      <items count="144">
        <item x="78"/>
        <item x="55"/>
        <item x="87"/>
        <item x="132"/>
        <item x="53"/>
        <item x="139"/>
        <item x="46"/>
        <item x="14"/>
        <item x="108"/>
        <item x="27"/>
        <item x="26"/>
        <item x="142"/>
        <item x="138"/>
        <item x="23"/>
        <item x="95"/>
        <item x="38"/>
        <item x="63"/>
        <item x="24"/>
        <item x="110"/>
        <item x="71"/>
        <item x="104"/>
        <item x="67"/>
        <item x="93"/>
        <item x="39"/>
        <item x="52"/>
        <item x="114"/>
        <item x="97"/>
        <item x="16"/>
        <item x="17"/>
        <item x="107"/>
        <item x="120"/>
        <item x="2"/>
        <item x="88"/>
        <item x="116"/>
        <item x="45"/>
        <item x="74"/>
        <item x="112"/>
        <item x="4"/>
        <item x="35"/>
        <item x="10"/>
        <item x="90"/>
        <item x="48"/>
        <item x="94"/>
        <item x="11"/>
        <item x="141"/>
        <item x="82"/>
        <item x="47"/>
        <item x="5"/>
        <item x="62"/>
        <item x="137"/>
        <item x="60"/>
        <item x="134"/>
        <item x="125"/>
        <item x="33"/>
        <item x="115"/>
        <item x="58"/>
        <item x="86"/>
        <item x="133"/>
        <item x="105"/>
        <item x="75"/>
        <item x="43"/>
        <item x="92"/>
        <item x="28"/>
        <item x="18"/>
        <item x="59"/>
        <item x="34"/>
        <item x="68"/>
        <item x="103"/>
        <item x="31"/>
        <item x="117"/>
        <item x="80"/>
        <item x="20"/>
        <item x="102"/>
        <item x="50"/>
        <item x="72"/>
        <item x="85"/>
        <item x="44"/>
        <item x="42"/>
        <item x="0"/>
        <item x="98"/>
        <item x="131"/>
        <item x="66"/>
        <item x="140"/>
        <item x="109"/>
        <item x="111"/>
        <item x="56"/>
        <item x="106"/>
        <item x="40"/>
        <item x="84"/>
        <item x="61"/>
        <item x="54"/>
        <item x="96"/>
        <item x="122"/>
        <item x="118"/>
        <item x="76"/>
        <item x="25"/>
        <item x="99"/>
        <item x="22"/>
        <item x="12"/>
        <item x="8"/>
        <item x="41"/>
        <item x="65"/>
        <item x="136"/>
        <item x="126"/>
        <item x="113"/>
        <item x="51"/>
        <item x="123"/>
        <item x="128"/>
        <item x="79"/>
        <item x="91"/>
        <item x="101"/>
        <item x="13"/>
        <item x="100"/>
        <item x="32"/>
        <item x="37"/>
        <item x="130"/>
        <item x="19"/>
        <item x="30"/>
        <item x="127"/>
        <item x="36"/>
        <item x="121"/>
        <item x="64"/>
        <item x="81"/>
        <item x="77"/>
        <item x="7"/>
        <item x="15"/>
        <item x="9"/>
        <item x="57"/>
        <item x="73"/>
        <item x="70"/>
        <item x="6"/>
        <item x="21"/>
        <item x="124"/>
        <item x="1"/>
        <item x="129"/>
        <item x="29"/>
        <item x="89"/>
        <item x="83"/>
        <item x="135"/>
        <item x="69"/>
        <item x="119"/>
        <item x="49"/>
        <item x="3"/>
        <item t="default"/>
      </items>
    </pivotField>
    <pivotField axis="axisRow" showAll="0">
      <items count="14">
        <item x="2"/>
        <item x="8"/>
        <item x="11"/>
        <item x="0"/>
        <item x="5"/>
        <item x="7"/>
        <item x="3"/>
        <item x="6"/>
        <item x="12"/>
        <item x="4"/>
        <item x="1"/>
        <item x="10"/>
        <item x="9"/>
        <item t="default"/>
      </items>
    </pivotField>
    <pivotField showAll="0"/>
    <pivotField showAll="0"/>
    <pivotField axis="axisPage" showAll="0">
      <items count="8">
        <item x="0"/>
        <item x="2"/>
        <item x="4"/>
        <item x="5"/>
        <item x="3"/>
        <item x="6"/>
        <item x="1"/>
        <item t="default"/>
      </items>
    </pivotField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item="2" hier="-1"/>
    <pageField fld="10" item="0" hier="-1"/>
  </pageFields>
  <dataFields count="1">
    <dataField name="Count of Product Id" fld="0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0F4BE-3C4F-40BA-8D82-7D58EAC5DCA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ategory">
  <location ref="A56:B69" firstHeaderRow="1" firstDataRow="1" firstDataCol="1" rowPageCount="2" colPageCount="1"/>
  <pivotFields count="16">
    <pivotField dataField="1" showAll="0"/>
    <pivotField showAll="0">
      <items count="2402">
        <item x="558"/>
        <item x="1188"/>
        <item x="1437"/>
        <item x="693"/>
        <item x="1118"/>
        <item x="2157"/>
        <item x="463"/>
        <item x="364"/>
        <item x="764"/>
        <item x="609"/>
        <item x="1555"/>
        <item x="519"/>
        <item x="2113"/>
        <item x="1585"/>
        <item x="2213"/>
        <item x="1061"/>
        <item x="669"/>
        <item x="906"/>
        <item x="80"/>
        <item x="1105"/>
        <item x="1724"/>
        <item x="1326"/>
        <item x="323"/>
        <item x="1106"/>
        <item x="33"/>
        <item x="284"/>
        <item x="611"/>
        <item x="115"/>
        <item x="1126"/>
        <item x="1327"/>
        <item x="1202"/>
        <item x="1182"/>
        <item x="2121"/>
        <item x="713"/>
        <item x="1295"/>
        <item x="2024"/>
        <item x="2274"/>
        <item x="492"/>
        <item x="647"/>
        <item x="2308"/>
        <item x="2192"/>
        <item x="300"/>
        <item x="2378"/>
        <item x="1639"/>
        <item x="2386"/>
        <item x="167"/>
        <item x="290"/>
        <item x="1907"/>
        <item x="999"/>
        <item x="2006"/>
        <item x="2371"/>
        <item x="903"/>
        <item x="1112"/>
        <item x="1635"/>
        <item x="966"/>
        <item x="1643"/>
        <item x="1584"/>
        <item x="1663"/>
        <item x="1934"/>
        <item x="2301"/>
        <item x="1408"/>
        <item x="2356"/>
        <item x="1420"/>
        <item x="1831"/>
        <item x="1289"/>
        <item x="1233"/>
        <item x="1871"/>
        <item x="2320"/>
        <item x="234"/>
        <item x="722"/>
        <item x="1644"/>
        <item x="823"/>
        <item x="391"/>
        <item x="1698"/>
        <item x="867"/>
        <item x="1066"/>
        <item x="917"/>
        <item x="297"/>
        <item x="2348"/>
        <item x="2271"/>
        <item x="2317"/>
        <item x="2396"/>
        <item x="1397"/>
        <item x="1903"/>
        <item x="2225"/>
        <item x="889"/>
        <item x="938"/>
        <item x="768"/>
        <item x="946"/>
        <item x="2012"/>
        <item x="1078"/>
        <item x="596"/>
        <item x="1216"/>
        <item x="747"/>
        <item x="739"/>
        <item x="1538"/>
        <item x="828"/>
        <item x="1812"/>
        <item x="1325"/>
        <item x="1921"/>
        <item x="743"/>
        <item x="122"/>
        <item x="709"/>
        <item x="557"/>
        <item x="136"/>
        <item x="345"/>
        <item x="1511"/>
        <item x="1177"/>
        <item x="887"/>
        <item x="936"/>
        <item x="1874"/>
        <item x="1491"/>
        <item x="156"/>
        <item x="1825"/>
        <item x="1002"/>
        <item x="1011"/>
        <item x="194"/>
        <item x="402"/>
        <item x="411"/>
        <item x="560"/>
        <item x="601"/>
        <item x="623"/>
        <item x="1240"/>
        <item x="1508"/>
        <item x="2376"/>
        <item x="1756"/>
        <item x="2302"/>
        <item x="2202"/>
        <item x="1993"/>
        <item x="464"/>
        <item x="1889"/>
        <item x="1707"/>
        <item x="2193"/>
        <item x="1687"/>
        <item x="1500"/>
        <item x="166"/>
        <item x="786"/>
        <item x="1697"/>
        <item x="4"/>
        <item x="203"/>
        <item x="1046"/>
        <item x="2005"/>
        <item x="1312"/>
        <item x="1264"/>
        <item x="1742"/>
        <item x="2332"/>
        <item x="360"/>
        <item x="1363"/>
        <item x="2230"/>
        <item x="1339"/>
        <item x="1734"/>
        <item x="1773"/>
        <item x="1069"/>
        <item x="995"/>
        <item x="1121"/>
        <item x="916"/>
        <item x="1943"/>
        <item x="1039"/>
        <item x="1875"/>
        <item x="1229"/>
        <item x="49"/>
        <item x="358"/>
        <item x="751"/>
        <item x="2013"/>
        <item x="1608"/>
        <item x="1665"/>
        <item x="34"/>
        <item x="991"/>
        <item x="546"/>
        <item x="99"/>
        <item x="233"/>
        <item x="1059"/>
        <item x="849"/>
        <item x="993"/>
        <item x="932"/>
        <item x="1523"/>
        <item x="2269"/>
        <item x="1597"/>
        <item x="133"/>
        <item x="37"/>
        <item x="1686"/>
        <item x="972"/>
        <item x="977"/>
        <item x="1337"/>
        <item x="949"/>
        <item x="881"/>
        <item x="224"/>
        <item x="1004"/>
        <item x="1225"/>
        <item x="933"/>
        <item x="2337"/>
        <item x="520"/>
        <item x="1755"/>
        <item x="896"/>
        <item x="819"/>
        <item x="1006"/>
        <item x="785"/>
        <item x="965"/>
        <item x="869"/>
        <item x="1180"/>
        <item x="118"/>
        <item x="437"/>
        <item x="1071"/>
        <item x="1459"/>
        <item x="1034"/>
        <item x="855"/>
        <item x="56"/>
        <item x="637"/>
        <item x="107"/>
        <item x="2140"/>
        <item x="48"/>
        <item x="2240"/>
        <item x="385"/>
        <item x="386"/>
        <item x="1057"/>
        <item x="1952"/>
        <item x="788"/>
        <item x="279"/>
        <item x="1346"/>
        <item x="666"/>
        <item x="1969"/>
        <item x="1453"/>
        <item x="1606"/>
        <item x="1392"/>
        <item x="1207"/>
        <item x="1688"/>
        <item x="660"/>
        <item x="1186"/>
        <item x="837"/>
        <item x="613"/>
        <item x="2286"/>
        <item x="2288"/>
        <item x="283"/>
        <item x="2189"/>
        <item x="1063"/>
        <item x="260"/>
        <item x="899"/>
        <item x="765"/>
        <item x="1389"/>
        <item x="923"/>
        <item x="736"/>
        <item x="41"/>
        <item x="834"/>
        <item x="537"/>
        <item x="2030"/>
        <item x="1020"/>
        <item x="266"/>
        <item x="1350"/>
        <item x="1885"/>
        <item x="516"/>
        <item x="1834"/>
        <item x="249"/>
        <item x="1899"/>
        <item x="925"/>
        <item x="506"/>
        <item x="986"/>
        <item x="1854"/>
        <item x="1174"/>
        <item x="1130"/>
        <item x="727"/>
        <item x="1617"/>
        <item x="106"/>
        <item x="1961"/>
        <item x="216"/>
        <item x="620"/>
        <item x="1139"/>
        <item x="36"/>
        <item x="2355"/>
        <item x="272"/>
        <item x="2270"/>
        <item x="2336"/>
        <item x="924"/>
        <item x="851"/>
        <item x="1972"/>
        <item x="677"/>
        <item x="206"/>
        <item x="1681"/>
        <item x="1910"/>
        <item x="1577"/>
        <item x="336"/>
        <item x="1072"/>
        <item x="259"/>
        <item x="1141"/>
        <item x="1110"/>
        <item x="833"/>
        <item x="493"/>
        <item x="1310"/>
        <item x="553"/>
        <item x="1406"/>
        <item x="1797"/>
        <item x="193"/>
        <item x="344"/>
        <item x="1882"/>
        <item x="417"/>
        <item x="587"/>
        <item x="329"/>
        <item x="91"/>
        <item x="1136"/>
        <item x="1340"/>
        <item x="1409"/>
        <item x="1949"/>
        <item x="2011"/>
        <item x="740"/>
        <item x="1984"/>
        <item x="102"/>
        <item x="1418"/>
        <item x="2358"/>
        <item x="470"/>
        <item x="499"/>
        <item x="2025"/>
        <item x="767"/>
        <item x="1894"/>
        <item x="1624"/>
        <item x="2329"/>
        <item x="1645"/>
        <item x="1183"/>
        <item x="2395"/>
        <item x="688"/>
        <item x="406"/>
        <item x="2059"/>
        <item x="2066"/>
        <item x="1362"/>
        <item x="90"/>
        <item x="1461"/>
        <item x="1384"/>
        <item x="1298"/>
        <item x="1413"/>
        <item x="2020"/>
        <item x="1328"/>
        <item x="586"/>
        <item x="758"/>
        <item x="2153"/>
        <item x="542"/>
        <item x="1935"/>
        <item x="697"/>
        <item x="992"/>
        <item x="319"/>
        <item x="170"/>
        <item x="1719"/>
        <item x="483"/>
        <item x="1839"/>
        <item x="2389"/>
        <item x="584"/>
        <item x="2143"/>
        <item x="1809"/>
        <item x="581"/>
        <item x="479"/>
        <item x="1097"/>
        <item x="1103"/>
        <item x="866"/>
        <item x="1713"/>
        <item x="1153"/>
        <item x="1206"/>
        <item x="813"/>
        <item x="1867"/>
        <item x="1148"/>
        <item x="659"/>
        <item x="607"/>
        <item x="244"/>
        <item x="508"/>
        <item x="22"/>
        <item x="59"/>
        <item x="626"/>
        <item x="489"/>
        <item x="218"/>
        <item x="169"/>
        <item x="350"/>
        <item x="1704"/>
        <item x="2141"/>
        <item x="1460"/>
        <item x="1439"/>
        <item x="1457"/>
        <item x="878"/>
        <item x="527"/>
        <item x="2400"/>
        <item x="2000"/>
        <item x="1937"/>
        <item x="1393"/>
        <item x="1738"/>
        <item x="1448"/>
        <item x="1435"/>
        <item x="2123"/>
        <item x="1484"/>
        <item x="2061"/>
        <item x="1676"/>
        <item x="1427"/>
        <item x="2267"/>
        <item x="2265"/>
        <item x="2266"/>
        <item x="423"/>
        <item x="1173"/>
        <item x="814"/>
        <item x="1199"/>
        <item x="1025"/>
        <item x="628"/>
        <item x="748"/>
        <item x="1677"/>
        <item x="734"/>
        <item x="678"/>
        <item x="1870"/>
        <item x="744"/>
        <item x="17"/>
        <item x="909"/>
        <item x="1050"/>
        <item x="1210"/>
        <item x="2021"/>
        <item x="101"/>
        <item x="1694"/>
        <item x="1304"/>
        <item x="1593"/>
        <item x="1169"/>
        <item x="1088"/>
        <item x="413"/>
        <item x="870"/>
        <item x="827"/>
        <item x="174"/>
        <item x="38"/>
        <item x="1146"/>
        <item x="1142"/>
        <item x="895"/>
        <item x="2110"/>
        <item x="2027"/>
        <item x="670"/>
        <item x="911"/>
        <item x="2283"/>
        <item x="1331"/>
        <item x="561"/>
        <item x="577"/>
        <item x="132"/>
        <item x="347"/>
        <item x="1761"/>
        <item x="1221"/>
        <item x="1429"/>
        <item x="1855"/>
        <item x="2045"/>
        <item x="1589"/>
        <item x="983"/>
        <item x="921"/>
        <item x="1830"/>
        <item x="1451"/>
        <item x="1939"/>
        <item x="1524"/>
        <item x="359"/>
        <item x="1425"/>
        <item x="253"/>
        <item x="1550"/>
        <item x="1489"/>
        <item x="914"/>
        <item x="2215"/>
        <item x="1280"/>
        <item x="293"/>
        <item x="2081"/>
        <item x="2375"/>
        <item x="1496"/>
        <item x="1923"/>
        <item x="1290"/>
        <item x="1520"/>
        <item x="1033"/>
        <item x="1736"/>
        <item x="474"/>
        <item x="811"/>
        <item x="1200"/>
        <item x="1171"/>
        <item x="429"/>
        <item x="265"/>
        <item x="192"/>
        <item x="774"/>
        <item x="2016"/>
        <item x="1536"/>
        <item x="1667"/>
        <item x="1605"/>
        <item x="2173"/>
        <item x="733"/>
        <item x="737"/>
        <item x="1450"/>
        <item x="450"/>
        <item x="2174"/>
        <item x="1745"/>
        <item x="1906"/>
        <item x="1801"/>
        <item x="25"/>
        <item x="1417"/>
        <item x="2238"/>
        <item x="600"/>
        <item x="237"/>
        <item x="1898"/>
        <item x="264"/>
        <item x="46"/>
        <item x="953"/>
        <item x="974"/>
        <item x="1377"/>
        <item x="316"/>
        <item x="282"/>
        <item x="1636"/>
        <item x="1149"/>
        <item x="246"/>
        <item x="1682"/>
        <item x="853"/>
        <item x="1152"/>
        <item x="919"/>
        <item x="448"/>
        <item x="1084"/>
        <item x="2090"/>
        <item x="396"/>
        <item x="524"/>
        <item x="1080"/>
        <item x="2385"/>
        <item x="1381"/>
        <item x="1278"/>
        <item x="1283"/>
        <item x="420"/>
        <item x="1029"/>
        <item x="510"/>
        <item x="614"/>
        <item x="422"/>
        <item x="126"/>
        <item x="945"/>
        <item x="1111"/>
        <item x="388"/>
        <item x="1810"/>
        <item x="150"/>
        <item x="1486"/>
        <item x="1557"/>
        <item x="141"/>
        <item x="1607"/>
        <item x="1317"/>
        <item x="2292"/>
        <item x="1548"/>
        <item x="1223"/>
        <item x="1319"/>
        <item x="1219"/>
        <item x="730"/>
        <item x="1092"/>
        <item x="760"/>
        <item x="2052"/>
        <item x="729"/>
        <item x="1501"/>
        <item x="1573"/>
        <item x="306"/>
        <item x="1143"/>
        <item x="2095"/>
        <item x="1911"/>
        <item x="1731"/>
        <item x="116"/>
        <item x="1845"/>
        <item x="1680"/>
        <item x="1826"/>
        <item x="152"/>
        <item x="1187"/>
        <item x="707"/>
        <item x="1502"/>
        <item x="622"/>
        <item x="605"/>
        <item x="74"/>
        <item x="445"/>
        <item x="1117"/>
        <item x="120"/>
        <item x="2249"/>
        <item x="2252"/>
        <item x="2250"/>
        <item x="2251"/>
        <item x="1197"/>
        <item x="1789"/>
        <item x="2383"/>
        <item x="802"/>
        <item x="178"/>
        <item x="352"/>
        <item x="309"/>
        <item x="94"/>
        <item x="1032"/>
        <item x="820"/>
        <item x="2102"/>
        <item x="1333"/>
        <item x="852"/>
        <item x="1272"/>
        <item x="1516"/>
        <item x="684"/>
        <item x="578"/>
        <item x="836"/>
        <item x="1691"/>
        <item x="2074"/>
        <item x="676"/>
        <item x="1134"/>
        <item x="1242"/>
        <item x="1201"/>
        <item x="2111"/>
        <item x="2218"/>
        <item x="2003"/>
        <item x="397"/>
        <item x="629"/>
        <item x="72"/>
        <item x="2231"/>
        <item x="2077"/>
        <item x="1552"/>
        <item x="1324"/>
        <item x="2381"/>
        <item x="1236"/>
        <item x="1422"/>
        <item x="2182"/>
        <item x="171"/>
        <item x="1436"/>
        <item x="1914"/>
        <item x="1404"/>
        <item x="2129"/>
        <item x="14"/>
        <item x="1359"/>
        <item x="2326"/>
        <item x="952"/>
        <item x="1878"/>
        <item x="2185"/>
        <item x="2276"/>
        <item x="807"/>
        <item x="1193"/>
        <item x="2036"/>
        <item x="2169"/>
        <item x="2147"/>
        <item x="1654"/>
        <item x="1378"/>
        <item x="1846"/>
        <item x="2151"/>
        <item x="466"/>
        <item x="2239"/>
        <item x="289"/>
        <item x="2118"/>
        <item x="2220"/>
        <item x="1026"/>
        <item x="2180"/>
        <item x="255"/>
        <item x="274"/>
        <item x="648"/>
        <item x="2219"/>
        <item x="380"/>
        <item x="588"/>
        <item x="1883"/>
        <item x="1248"/>
        <item x="1366"/>
        <item x="1700"/>
        <item x="1790"/>
        <item x="990"/>
        <item x="657"/>
        <item x="198"/>
        <item x="2181"/>
        <item x="579"/>
        <item x="1257"/>
        <item x="1793"/>
        <item x="732"/>
        <item x="1888"/>
        <item x="1487"/>
        <item x="1562"/>
        <item x="2166"/>
        <item x="2203"/>
        <item x="1546"/>
        <item x="1079"/>
        <item x="2311"/>
        <item x="692"/>
        <item x="143"/>
        <item x="2207"/>
        <item x="507"/>
        <item x="1530"/>
        <item x="1595"/>
        <item x="1958"/>
        <item x="1447"/>
        <item x="891"/>
        <item x="2124"/>
        <item x="1203"/>
        <item x="1191"/>
        <item x="1042"/>
        <item x="784"/>
        <item x="989"/>
        <item x="2208"/>
        <item x="996"/>
        <item x="2357"/>
        <item x="1973"/>
        <item x="2298"/>
        <item x="355"/>
        <item x="1318"/>
        <item x="1067"/>
        <item x="731"/>
        <item x="1795"/>
        <item x="1638"/>
        <item x="2367"/>
        <item x="2212"/>
        <item x="770"/>
        <item x="1440"/>
        <item x="1568"/>
        <item x="1821"/>
        <item x="1376"/>
        <item x="1779"/>
        <item x="830"/>
        <item x="778"/>
        <item x="2007"/>
        <item x="1909"/>
        <item x="299"/>
        <item x="2335"/>
        <item x="2373"/>
        <item x="1642"/>
        <item x="1740"/>
        <item x="1349"/>
        <item x="2382"/>
        <item x="1596"/>
        <item x="2309"/>
        <item x="1701"/>
        <item x="1198"/>
        <item x="1480"/>
        <item x="858"/>
        <item x="2097"/>
        <item x="1260"/>
        <item x="942"/>
        <item x="941"/>
        <item x="404"/>
        <item x="2390"/>
        <item x="1600"/>
        <item x="1462"/>
        <item x="1432"/>
        <item x="1785"/>
        <item x="1476"/>
        <item x="704"/>
        <item x="907"/>
        <item x="585"/>
        <item x="1074"/>
        <item x="215"/>
        <item x="2322"/>
        <item x="401"/>
        <item x="2314"/>
        <item x="322"/>
        <item x="695"/>
        <item x="829"/>
        <item x="2051"/>
        <item x="1786"/>
        <item x="2394"/>
        <item x="943"/>
        <item x="2106"/>
        <item x="1256"/>
        <item x="1494"/>
        <item x="859"/>
        <item x="1776"/>
        <item x="1287"/>
        <item x="798"/>
        <item x="780"/>
        <item x="649"/>
        <item x="672"/>
        <item x="1335"/>
        <item x="2379"/>
        <item x="964"/>
        <item x="2392"/>
        <item x="1253"/>
        <item x="1089"/>
        <item x="947"/>
        <item x="1151"/>
        <item x="2237"/>
        <item x="146"/>
        <item x="441"/>
        <item x="1572"/>
        <item x="1717"/>
        <item x="1815"/>
        <item x="1673"/>
        <item x="1864"/>
        <item x="2099"/>
        <item x="1341"/>
        <item x="1703"/>
        <item x="793"/>
        <item x="705"/>
        <item x="371"/>
        <item x="2069"/>
        <item x="1267"/>
        <item x="1582"/>
        <item x="302"/>
        <item x="1616"/>
        <item x="294"/>
        <item x="211"/>
        <item x="263"/>
        <item x="436"/>
        <item x="433"/>
        <item x="1507"/>
        <item x="1449"/>
        <item x="1727"/>
        <item x="1282"/>
        <item x="1567"/>
        <item x="486"/>
        <item x="1860"/>
        <item x="201"/>
        <item x="543"/>
        <item x="1244"/>
        <item x="1767"/>
        <item x="1222"/>
        <item x="335"/>
        <item x="2122"/>
        <item x="82"/>
        <item x="477"/>
        <item x="89"/>
        <item x="212"/>
        <item x="2062"/>
        <item x="1641"/>
        <item x="1964"/>
        <item x="321"/>
        <item x="372"/>
        <item x="618"/>
        <item x="922"/>
        <item x="935"/>
        <item x="109"/>
        <item x="1979"/>
        <item x="77"/>
        <item x="2362"/>
        <item x="612"/>
        <item x="1161"/>
        <item x="1131"/>
        <item x="1504"/>
        <item x="594"/>
        <item x="805"/>
        <item x="918"/>
        <item x="1137"/>
        <item x="1692"/>
        <item x="1255"/>
        <item x="1510"/>
        <item x="217"/>
        <item x="220"/>
        <item x="2057"/>
        <item x="521"/>
        <item x="1781"/>
        <item x="1062"/>
        <item x="2323"/>
        <item x="2319"/>
        <item x="1388"/>
        <item x="2339"/>
        <item x="276"/>
        <item x="717"/>
        <item x="957"/>
        <item x="1434"/>
        <item x="1999"/>
        <item x="2256"/>
        <item x="2255"/>
        <item x="1047"/>
        <item x="1675"/>
        <item x="430"/>
        <item x="1847"/>
        <item x="1068"/>
        <item x="1292"/>
        <item x="1816"/>
        <item x="332"/>
        <item x="902"/>
        <item x="1944"/>
        <item x="2294"/>
        <item x="205"/>
        <item x="665"/>
        <item x="1714"/>
        <item x="1775"/>
        <item x="1924"/>
        <item x="1364"/>
        <item x="1361"/>
        <item x="2351"/>
        <item x="1477"/>
        <item x="312"/>
        <item x="2384"/>
        <item x="1438"/>
        <item x="1441"/>
        <item x="235"/>
        <item x="1243"/>
        <item x="370"/>
        <item x="873"/>
        <item x="1116"/>
        <item x="1722"/>
        <item x="976"/>
        <item x="796"/>
        <item x="1981"/>
        <item x="2194"/>
        <item x="535"/>
        <item x="382"/>
        <item x="1750"/>
        <item x="1784"/>
        <item x="2150"/>
        <item x="591"/>
        <item x="726"/>
        <item x="2035"/>
        <item x="1214"/>
        <item x="1509"/>
        <item x="1995"/>
        <item x="2297"/>
        <item x="1632"/>
        <item x="2054"/>
        <item x="1800"/>
        <item x="2091"/>
        <item x="690"/>
        <item x="1963"/>
        <item x="2369"/>
        <item x="1865"/>
        <item x="1591"/>
        <item x="570"/>
        <item x="994"/>
        <item x="1184"/>
        <item x="928"/>
        <item x="1657"/>
        <item x="505"/>
        <item x="383"/>
        <item x="1204"/>
        <item x="418"/>
        <item x="362"/>
        <item x="2085"/>
        <item x="1211"/>
        <item x="1330"/>
        <item x="2068"/>
        <item x="157"/>
        <item x="1379"/>
        <item x="1753"/>
        <item x="2076"/>
        <item x="1729"/>
        <item x="1759"/>
        <item x="652"/>
        <item x="2119"/>
        <item x="708"/>
        <item x="971"/>
        <item x="1886"/>
        <item x="2161"/>
        <item x="1293"/>
        <item x="1578"/>
        <item x="1144"/>
        <item x="711"/>
        <item x="180"/>
        <item x="763"/>
        <item x="181"/>
        <item x="1133"/>
        <item x="2290"/>
        <item x="478"/>
        <item x="53"/>
        <item x="574"/>
        <item x="35"/>
        <item x="353"/>
        <item x="1309"/>
        <item x="1070"/>
        <item x="3"/>
        <item x="606"/>
        <item x="281"/>
        <item x="1519"/>
        <item x="2133"/>
        <item x="565"/>
        <item x="148"/>
        <item x="458"/>
        <item x="856"/>
        <item x="251"/>
        <item x="2060"/>
        <item x="469"/>
        <item x="267"/>
        <item x="27"/>
        <item x="1849"/>
        <item x="1065"/>
        <item x="860"/>
        <item x="1056"/>
        <item x="1490"/>
        <item x="1528"/>
        <item x="1308"/>
        <item x="1553"/>
        <item x="1574"/>
        <item x="1277"/>
        <item x="1712"/>
        <item x="1473"/>
        <item x="1443"/>
        <item x="1403"/>
        <item x="1347"/>
        <item x="1683"/>
        <item x="1009"/>
        <item x="1634"/>
        <item x="2273"/>
        <item x="2368"/>
        <item x="2223"/>
        <item x="1338"/>
        <item x="1275"/>
        <item x="1730"/>
        <item x="1529"/>
        <item x="45"/>
        <item x="76"/>
        <item x="2246"/>
        <item x="779"/>
        <item x="580"/>
        <item x="473"/>
        <item x="1022"/>
        <item x="2183"/>
        <item x="801"/>
        <item x="2264"/>
        <item x="8"/>
        <item x="617"/>
        <item x="2031"/>
        <item x="689"/>
        <item x="2079"/>
        <item x="1345"/>
        <item x="1957"/>
        <item x="728"/>
        <item x="683"/>
        <item x="2167"/>
        <item x="1946"/>
        <item x="1196"/>
        <item x="1135"/>
        <item x="117"/>
        <item x="1747"/>
        <item x="2105"/>
        <item x="1478"/>
        <item x="330"/>
        <item x="515"/>
        <item x="1163"/>
        <item x="1101"/>
        <item x="1265"/>
        <item x="1412"/>
        <item x="1991"/>
        <item x="2247"/>
        <item x="219"/>
        <item x="2316"/>
        <item x="2299"/>
        <item x="2304"/>
        <item x="719"/>
        <item x="978"/>
        <item x="874"/>
        <item x="1052"/>
        <item x="631"/>
        <item x="333"/>
        <item x="85"/>
        <item x="2340"/>
        <item x="277"/>
        <item x="818"/>
        <item x="651"/>
        <item x="55"/>
        <item x="2242"/>
        <item x="1455"/>
        <item x="2"/>
        <item x="2015"/>
        <item x="522"/>
        <item x="61"/>
        <item x="1723"/>
        <item x="1320"/>
        <item x="1394"/>
        <item x="286"/>
        <item x="1537"/>
        <item x="412"/>
        <item x="2204"/>
        <item x="392"/>
        <item x="2137"/>
        <item x="410"/>
        <item x="1497"/>
        <item x="1563"/>
        <item x="1525"/>
        <item x="1947"/>
        <item x="1827"/>
        <item x="1249"/>
        <item x="1414"/>
        <item x="1281"/>
        <item x="1887"/>
        <item x="1215"/>
        <item x="1099"/>
        <item x="196"/>
        <item x="1794"/>
        <item x="973"/>
        <item x="2197"/>
        <item x="501"/>
        <item x="2310"/>
        <item x="1348"/>
        <item x="1558"/>
        <item x="1466"/>
        <item x="1978"/>
        <item x="1311"/>
        <item x="2325"/>
        <item x="147"/>
        <item x="1566"/>
        <item x="1279"/>
        <item x="720"/>
        <item x="275"/>
        <item x="529"/>
        <item x="1656"/>
        <item x="1307"/>
        <item x="325"/>
        <item x="1615"/>
        <item x="1706"/>
        <item x="589"/>
        <item x="1217"/>
        <item x="1655"/>
        <item x="1560"/>
        <item x="2156"/>
        <item x="1974"/>
        <item x="641"/>
        <item x="1613"/>
        <item x="1873"/>
        <item x="1647"/>
        <item x="1994"/>
        <item x="1844"/>
        <item x="963"/>
        <item x="1955"/>
        <item x="398"/>
        <item x="440"/>
        <item x="421"/>
        <item x="1503"/>
        <item x="759"/>
        <item x="1708"/>
        <item x="962"/>
        <item x="1962"/>
        <item x="1505"/>
        <item x="1892"/>
        <item x="1581"/>
        <item x="250"/>
        <item x="123"/>
        <item x="1294"/>
        <item x="1674"/>
        <item x="861"/>
        <item x="776"/>
        <item x="1609"/>
        <item x="232"/>
        <item x="1024"/>
        <item x="569"/>
        <item x="443"/>
        <item x="2103"/>
        <item x="95"/>
        <item x="1770"/>
        <item x="568"/>
        <item x="419"/>
        <item x="1468"/>
        <item x="698"/>
        <item x="2032"/>
        <item x="900"/>
        <item x="888"/>
        <item x="248"/>
        <item x="822"/>
        <item x="1975"/>
        <item x="2044"/>
        <item x="754"/>
        <item x="525"/>
        <item x="608"/>
        <item x="1220"/>
        <item x="1985"/>
        <item x="633"/>
        <item x="32"/>
        <item x="699"/>
        <item x="1858"/>
        <item x="1124"/>
        <item x="533"/>
        <item x="1488"/>
        <item x="1648"/>
        <item x="1990"/>
        <item x="1398"/>
        <item x="2014"/>
        <item x="1387"/>
        <item x="1286"/>
        <item x="1442"/>
        <item x="1766"/>
        <item x="298"/>
        <item x="2168"/>
        <item x="2280"/>
        <item x="1299"/>
        <item x="1933"/>
        <item x="2201"/>
        <item x="19"/>
        <item x="1147"/>
        <item x="2224"/>
        <item x="73"/>
        <item x="1120"/>
        <item x="2004"/>
        <item x="975"/>
        <item x="1386"/>
        <item x="137"/>
        <item x="177"/>
        <item x="2393"/>
        <item x="694"/>
        <item x="1705"/>
        <item x="573"/>
        <item x="446"/>
        <item x="2126"/>
        <item x="12"/>
        <item x="243"/>
        <item x="5"/>
        <item x="1896"/>
        <item x="639"/>
        <item x="0"/>
        <item x="1195"/>
        <item x="1179"/>
        <item x="599"/>
        <item x="920"/>
        <item x="1580"/>
        <item x="1640"/>
        <item x="2184"/>
        <item x="1036"/>
        <item x="124"/>
        <item x="2145"/>
        <item x="898"/>
        <item x="787"/>
        <item x="2259"/>
        <item x="1623"/>
        <item x="301"/>
        <item x="40"/>
        <item x="2387"/>
        <item x="1302"/>
        <item x="1343"/>
        <item x="1493"/>
        <item x="2228"/>
        <item x="343"/>
        <item x="1672"/>
        <item x="58"/>
        <item x="482"/>
        <item x="675"/>
        <item x="1666"/>
        <item x="597"/>
        <item x="110"/>
        <item x="625"/>
        <item x="1358"/>
        <item x="2235"/>
        <item x="1259"/>
        <item x="857"/>
        <item x="119"/>
        <item x="491"/>
        <item x="915"/>
        <item x="1168"/>
        <item x="556"/>
        <item x="1262"/>
        <item x="2397"/>
        <item x="135"/>
        <item x="1811"/>
        <item x="1178"/>
        <item x="1917"/>
        <item x="1822"/>
        <item x="1423"/>
        <item x="455"/>
        <item x="2318"/>
        <item x="310"/>
        <item x="2096"/>
        <item x="772"/>
        <item x="425"/>
        <item x="1758"/>
        <item x="1637"/>
        <item x="716"/>
        <item x="541"/>
        <item x="165"/>
        <item x="1912"/>
        <item x="1355"/>
        <item x="1431"/>
        <item x="1231"/>
        <item x="1213"/>
        <item x="844"/>
        <item x="1689"/>
        <item x="681"/>
        <item x="616"/>
        <item x="530"/>
        <item x="128"/>
        <item x="534"/>
        <item x="227"/>
        <item x="202"/>
        <item x="1513"/>
        <item x="518"/>
        <item x="624"/>
        <item x="241"/>
        <item x="2101"/>
        <item x="2152"/>
        <item x="1251"/>
        <item x="1628"/>
        <item x="381"/>
        <item x="766"/>
        <item x="2352"/>
        <item x="2398"/>
        <item x="2216"/>
        <item x="1977"/>
        <item x="1901"/>
        <item x="1696"/>
        <item x="1013"/>
        <item x="1360"/>
        <item x="1007"/>
        <item x="1012"/>
        <item x="2262"/>
        <item x="1966"/>
        <item x="894"/>
        <item x="1266"/>
        <item x="1998"/>
        <item x="1916"/>
        <item x="2009"/>
        <item x="2232"/>
        <item x="307"/>
        <item x="1832"/>
        <item x="1014"/>
        <item x="1650"/>
        <item x="191"/>
        <item x="2263"/>
        <item x="2221"/>
        <item x="640"/>
        <item x="2053"/>
        <item x="1095"/>
        <item x="1594"/>
        <item x="210"/>
        <item x="1091"/>
        <item x="1150"/>
        <item x="1843"/>
        <item x="1652"/>
        <item x="1940"/>
        <item x="2306"/>
        <item x="373"/>
        <item x="168"/>
        <item x="871"/>
        <item x="134"/>
        <item x="1411"/>
        <item x="222"/>
        <item x="984"/>
        <item x="229"/>
        <item x="112"/>
        <item x="1514"/>
        <item x="1913"/>
        <item x="1774"/>
        <item x="904"/>
        <item x="340"/>
        <item x="2331"/>
        <item x="1237"/>
        <item x="1531"/>
        <item x="1334"/>
        <item x="1218"/>
        <item x="1415"/>
        <item x="1817"/>
        <item x="221"/>
        <item x="270"/>
        <item x="366"/>
        <item x="1018"/>
        <item x="1194"/>
        <item x="164"/>
        <item x="998"/>
        <item x="931"/>
        <item x="1271"/>
        <item x="1599"/>
        <item x="664"/>
        <item x="2160"/>
        <item x="590"/>
        <item x="725"/>
        <item x="208"/>
        <item x="2134"/>
        <item x="710"/>
        <item x="2254"/>
        <item x="1100"/>
        <item x="2196"/>
        <item x="1929"/>
        <item x="1693"/>
        <item x="1559"/>
        <item x="1008"/>
        <item x="1428"/>
        <item x="2191"/>
        <item x="308"/>
        <item x="1721"/>
        <item x="155"/>
        <item x="955"/>
        <item x="1748"/>
        <item x="1512"/>
        <item x="1684"/>
        <item x="2285"/>
        <item x="1711"/>
        <item x="228"/>
        <item x="2130"/>
        <item x="188"/>
        <item x="1104"/>
        <item x="427"/>
        <item x="288"/>
        <item x="2261"/>
        <item x="1782"/>
        <item x="840"/>
        <item x="2200"/>
        <item x="1996"/>
        <item x="1575"/>
        <item x="172"/>
        <item x="1709"/>
        <item x="1495"/>
        <item x="2144"/>
        <item x="635"/>
        <item x="2253"/>
        <item x="1695"/>
        <item x="317"/>
        <item x="961"/>
        <item x="1019"/>
        <item x="1481"/>
        <item x="341"/>
        <item x="1547"/>
        <item x="951"/>
        <item x="2177"/>
        <item x="988"/>
        <item x="2084"/>
        <item x="967"/>
        <item x="1030"/>
        <item x="1542"/>
        <item x="812"/>
        <item x="970"/>
        <item x="939"/>
        <item x="934"/>
        <item x="1288"/>
        <item x="1820"/>
        <item x="230"/>
        <item x="1108"/>
        <item x="2248"/>
        <item x="207"/>
        <item x="2010"/>
        <item x="2023"/>
        <item x="54"/>
        <item x="1380"/>
        <item x="1372"/>
        <item x="1102"/>
        <item x="890"/>
        <item x="182"/>
        <item x="209"/>
        <item x="346"/>
        <item x="471"/>
        <item x="1579"/>
        <item x="1167"/>
        <item x="97"/>
        <item x="1802"/>
        <item x="1023"/>
        <item x="2086"/>
        <item x="1927"/>
        <item x="1980"/>
        <item x="1982"/>
        <item x="2257"/>
        <item x="2258"/>
        <item x="1015"/>
        <item x="200"/>
        <item x="2046"/>
        <item x="1569"/>
        <item x="1915"/>
        <item x="185"/>
        <item x="1788"/>
        <item x="1021"/>
        <item x="2039"/>
        <item x="2217"/>
        <item x="1965"/>
        <item x="789"/>
        <item x="1016"/>
        <item x="1114"/>
        <item x="1953"/>
        <item x="576"/>
        <item x="668"/>
        <item x="390"/>
        <item x="195"/>
        <item x="2236"/>
        <item x="153"/>
        <item x="111"/>
        <item x="1127"/>
        <item x="1010"/>
        <item x="1005"/>
        <item x="1746"/>
        <item x="655"/>
        <item x="1000"/>
        <item x="403"/>
        <item x="555"/>
        <item x="1932"/>
        <item x="771"/>
        <item x="1744"/>
        <item x="129"/>
        <item x="2313"/>
        <item x="2198"/>
        <item x="416"/>
        <item x="349"/>
        <item x="1765"/>
        <item x="2275"/>
        <item x="2287"/>
        <item x="2282"/>
        <item x="2281"/>
        <item x="1452"/>
        <item x="1321"/>
        <item x="1772"/>
        <item x="2135"/>
        <item x="636"/>
        <item x="2022"/>
        <item x="2048"/>
        <item x="13"/>
        <item x="512"/>
        <item x="1771"/>
        <item x="1833"/>
        <item x="2114"/>
        <item x="703"/>
        <item x="1044"/>
        <item x="2162"/>
        <item x="1841"/>
        <item x="2205"/>
        <item x="28"/>
        <item x="1777"/>
        <item x="1884"/>
        <item x="799"/>
        <item x="2149"/>
        <item x="1"/>
        <item x="1170"/>
        <item x="278"/>
        <item x="1986"/>
        <item x="1752"/>
        <item x="1539"/>
        <item x="2078"/>
        <item x="1587"/>
        <item x="701"/>
        <item x="324"/>
        <item x="956"/>
        <item x="2142"/>
        <item x="714"/>
        <item x="2199"/>
        <item x="1076"/>
        <item x="2380"/>
        <item x="1725"/>
        <item x="566"/>
        <item x="1261"/>
        <item x="1976"/>
        <item x="1852"/>
        <item x="1300"/>
        <item x="2353"/>
        <item x="1250"/>
        <item x="2260"/>
        <item x="2300"/>
        <item x="1430"/>
        <item x="1804"/>
        <item x="460"/>
        <item x="2365"/>
        <item x="865"/>
        <item x="1938"/>
        <item x="2080"/>
        <item x="88"/>
        <item x="432"/>
        <item x="824"/>
        <item x="1718"/>
        <item x="1303"/>
        <item x="886"/>
        <item x="1754"/>
        <item x="127"/>
        <item x="2334"/>
        <item x="1383"/>
        <item x="1354"/>
        <item x="442"/>
        <item x="831"/>
        <item x="2210"/>
        <item x="239"/>
        <item x="262"/>
        <item x="1853"/>
        <item x="1869"/>
        <item x="2155"/>
        <item x="810"/>
        <item x="552"/>
        <item x="428"/>
        <item x="1045"/>
        <item x="125"/>
        <item x="1166"/>
        <item x="571"/>
        <item x="1856"/>
        <item x="777"/>
        <item x="1835"/>
        <item x="144"/>
        <item x="544"/>
        <item x="342"/>
        <item x="2305"/>
        <item x="1119"/>
        <item x="595"/>
        <item x="1239"/>
        <item x="1181"/>
        <item x="1258"/>
        <item x="163"/>
        <item x="291"/>
        <item x="2295"/>
        <item x="1123"/>
        <item x="1931"/>
        <item x="761"/>
        <item x="682"/>
        <item x="937"/>
        <item x="1828"/>
        <item x="825"/>
        <item x="2175"/>
        <item x="2116"/>
        <item x="1824"/>
        <item x="1122"/>
        <item x="1583"/>
        <item x="1895"/>
        <item x="1534"/>
        <item x="2190"/>
        <item x="1881"/>
        <item x="1373"/>
        <item x="408"/>
        <item x="2067"/>
        <item x="326"/>
        <item x="1930"/>
        <item x="1715"/>
        <item x="2128"/>
        <item x="1840"/>
        <item x="247"/>
        <item x="1805"/>
        <item x="368"/>
        <item x="1322"/>
        <item x="1001"/>
        <item x="662"/>
        <item x="2307"/>
        <item x="1859"/>
        <item x="564"/>
        <item x="880"/>
        <item x="863"/>
        <item x="536"/>
        <item x="327"/>
        <item x="1107"/>
        <item x="304"/>
        <item x="2170"/>
        <item x="1238"/>
        <item x="2107"/>
        <item x="375"/>
        <item x="1629"/>
        <item x="204"/>
        <item x="254"/>
        <item x="1948"/>
        <item x="2241"/>
        <item x="804"/>
        <item x="1517"/>
        <item x="1908"/>
        <item x="610"/>
        <item x="1890"/>
        <item x="1085"/>
        <item x="1382"/>
        <item x="1521"/>
        <item x="71"/>
        <item x="66"/>
        <item x="487"/>
        <item x="400"/>
        <item x="517"/>
        <item x="2338"/>
        <item x="2327"/>
        <item x="328"/>
        <item x="1159"/>
        <item x="292"/>
        <item x="2296"/>
        <item x="927"/>
        <item x="757"/>
        <item x="691"/>
        <item x="337"/>
        <item x="50"/>
        <item x="2354"/>
        <item x="2226"/>
        <item x="2072"/>
        <item x="1851"/>
        <item x="746"/>
        <item x="646"/>
        <item x="1128"/>
        <item x="638"/>
        <item x="1988"/>
        <item x="1780"/>
        <item x="545"/>
        <item x="238"/>
        <item x="2227"/>
        <item x="1796"/>
        <item x="663"/>
        <item x="897"/>
        <item x="2100"/>
        <item x="504"/>
        <item x="348"/>
        <item x="2179"/>
        <item x="1783"/>
        <item x="356"/>
        <item x="87"/>
        <item x="503"/>
        <item x="1571"/>
        <item x="948"/>
        <item x="702"/>
        <item x="1351"/>
        <item x="1764"/>
        <item x="1268"/>
        <item x="968"/>
        <item x="554"/>
        <item x="513"/>
        <item x="721"/>
        <item x="1368"/>
        <item x="456"/>
        <item x="848"/>
        <item x="1850"/>
        <item x="1690"/>
        <item x="186"/>
        <item x="1792"/>
        <item x="1897"/>
        <item x="475"/>
        <item x="1863"/>
        <item x="2018"/>
        <item x="1868"/>
        <item x="621"/>
        <item x="452"/>
        <item x="1918"/>
        <item x="593"/>
        <item x="2372"/>
        <item x="575"/>
        <item x="387"/>
        <item x="285"/>
        <item x="1900"/>
        <item x="756"/>
        <item x="773"/>
        <item x="686"/>
        <item x="2075"/>
        <item x="1590"/>
        <item x="2171"/>
        <item x="1421"/>
        <item x="6"/>
        <item x="1027"/>
        <item x="465"/>
        <item x="1049"/>
        <item x="954"/>
        <item x="803"/>
        <item x="70"/>
        <item x="1768"/>
        <item x="1540"/>
        <item x="1246"/>
        <item x="377"/>
        <item x="449"/>
        <item x="2148"/>
        <item x="1060"/>
        <item x="850"/>
        <item x="792"/>
        <item x="1482"/>
        <item x="1741"/>
        <item x="2178"/>
        <item x="1588"/>
        <item x="2108"/>
        <item x="2233"/>
        <item x="2158"/>
        <item x="500"/>
        <item x="864"/>
        <item x="1365"/>
        <item x="2345"/>
        <item x="2043"/>
        <item x="1733"/>
        <item x="142"/>
        <item x="369"/>
        <item x="876"/>
        <item x="1055"/>
        <item x="841"/>
        <item x="480"/>
        <item x="108"/>
        <item x="2346"/>
        <item x="1791"/>
        <item x="559"/>
        <item x="1156"/>
        <item x="548"/>
        <item x="2234"/>
        <item x="839"/>
        <item x="1954"/>
        <item x="365"/>
        <item x="2370"/>
        <item x="139"/>
        <item x="1808"/>
        <item x="1446"/>
        <item x="883"/>
        <item x="1968"/>
        <item x="2073"/>
        <item x="1862"/>
        <item x="1763"/>
        <item x="1405"/>
        <item x="2055"/>
        <item x="567"/>
        <item x="1880"/>
        <item x="598"/>
        <item x="582"/>
        <item x="2361"/>
        <item x="1301"/>
        <item x="2211"/>
        <item x="1444"/>
        <item x="1247"/>
        <item x="2131"/>
        <item x="1716"/>
        <item x="540"/>
        <item x="1728"/>
        <item x="197"/>
        <item x="496"/>
        <item x="384"/>
        <item x="173"/>
        <item x="723"/>
        <item x="1837"/>
        <item x="509"/>
        <item x="1226"/>
        <item x="794"/>
        <item x="645"/>
        <item x="1051"/>
        <item x="550"/>
        <item x="1751"/>
        <item x="1083"/>
        <item x="459"/>
        <item x="673"/>
        <item x="656"/>
        <item x="454"/>
        <item x="1646"/>
        <item x="1356"/>
        <item x="634"/>
        <item x="2291"/>
        <item x="287"/>
        <item x="2343"/>
        <item x="1732"/>
        <item x="1603"/>
        <item x="44"/>
        <item x="1158"/>
        <item x="78"/>
        <item x="583"/>
        <item x="2115"/>
        <item x="2092"/>
        <item x="379"/>
        <item x="832"/>
        <item x="1270"/>
        <item x="1096"/>
        <item x="528"/>
        <item x="1285"/>
        <item x="2349"/>
        <item x="685"/>
        <item x="680"/>
        <item x="654"/>
        <item x="944"/>
        <item x="2278"/>
        <item x="1475"/>
        <item x="242"/>
        <item x="2040"/>
        <item x="1234"/>
        <item x="1254"/>
        <item x="1760"/>
        <item x="1232"/>
        <item x="1367"/>
        <item x="1416"/>
        <item x="526"/>
        <item x="905"/>
        <item x="1241"/>
        <item x="1035"/>
        <item x="67"/>
        <item x="1053"/>
        <item x="969"/>
        <item x="92"/>
        <item x="1172"/>
        <item x="687"/>
        <item x="269"/>
        <item x="162"/>
        <item x="1829"/>
        <item x="882"/>
        <item x="179"/>
        <item x="257"/>
        <item x="271"/>
        <item x="1622"/>
        <item x="2065"/>
        <item x="1175"/>
        <item x="1109"/>
        <item x="461"/>
        <item x="183"/>
        <item x="1620"/>
        <item x="2088"/>
        <item x="113"/>
        <item x="280"/>
        <item x="64"/>
        <item x="69"/>
        <item x="696"/>
        <item x="15"/>
        <item x="1565"/>
        <item x="2125"/>
        <item x="1866"/>
        <item x="741"/>
        <item x="1323"/>
        <item x="2138"/>
        <item x="1669"/>
        <item x="1625"/>
        <item x="960"/>
        <item x="1129"/>
        <item x="930"/>
        <item x="619"/>
        <item x="311"/>
        <item x="1064"/>
        <item x="1942"/>
        <item x="2070"/>
        <item x="1230"/>
        <item x="1492"/>
        <item x="806"/>
        <item x="1506"/>
        <item x="755"/>
        <item x="1876"/>
        <item x="715"/>
        <item x="2187"/>
        <item x="718"/>
        <item x="1352"/>
        <item x="39"/>
        <item x="2363"/>
        <item x="1313"/>
        <item x="2041"/>
        <item x="1601"/>
        <item x="1735"/>
        <item x="644"/>
        <item x="1140"/>
        <item x="213"/>
        <item x="1400"/>
        <item x="1960"/>
        <item x="1357"/>
        <item x="563"/>
        <item x="389"/>
        <item x="1154"/>
        <item x="1664"/>
        <item x="1532"/>
        <item x="1678"/>
        <item x="1162"/>
        <item x="1570"/>
        <item x="1269"/>
        <item x="2229"/>
        <item x="1370"/>
        <item x="1658"/>
        <item x="313"/>
        <item x="79"/>
        <item x="1941"/>
        <item x="453"/>
        <item x="1922"/>
        <item x="1410"/>
        <item x="2324"/>
        <item x="1469"/>
        <item x="1306"/>
        <item x="154"/>
        <item x="1454"/>
        <item x="23"/>
        <item x="394"/>
        <item x="223"/>
        <item x="409"/>
        <item x="2139"/>
        <item x="1926"/>
        <item x="2098"/>
        <item x="775"/>
        <item x="875"/>
        <item x="1556"/>
        <item x="1527"/>
        <item x="2049"/>
        <item x="1396"/>
        <item x="1576"/>
        <item x="1332"/>
        <item x="1561"/>
        <item x="1185"/>
        <item x="1726"/>
        <item x="1621"/>
        <item x="700"/>
        <item x="1554"/>
        <item x="1284"/>
        <item x="1252"/>
        <item x="1545"/>
        <item x="2342"/>
        <item x="1679"/>
        <item x="1483"/>
        <item x="1743"/>
        <item x="1919"/>
        <item x="1877"/>
        <item x="438"/>
        <item x="1551"/>
        <item x="1619"/>
        <item x="2347"/>
        <item x="1602"/>
        <item x="2019"/>
        <item x="1471"/>
        <item x="2388"/>
        <item x="2330"/>
        <item x="1297"/>
        <item x="1626"/>
        <item x="2399"/>
        <item x="184"/>
        <item x="1296"/>
        <item x="1189"/>
        <item x="439"/>
        <item x="2050"/>
        <item x="21"/>
        <item x="892"/>
        <item x="2195"/>
        <item x="1329"/>
        <item x="1813"/>
        <item x="1132"/>
        <item x="868"/>
        <item x="817"/>
        <item x="1028"/>
        <item x="1031"/>
        <item x="809"/>
        <item x="539"/>
        <item x="331"/>
        <item x="1192"/>
        <item x="1157"/>
        <item x="1077"/>
        <item x="1073"/>
        <item x="514"/>
        <item x="653"/>
        <item x="62"/>
        <item x="1041"/>
        <item x="98"/>
        <item x="414"/>
        <item x="592"/>
        <item x="273"/>
        <item x="821"/>
        <item x="351"/>
        <item x="103"/>
        <item x="912"/>
        <item x="1836"/>
        <item x="2164"/>
        <item x="800"/>
        <item x="1115"/>
        <item x="93"/>
        <item x="1164"/>
        <item x="83"/>
        <item x="959"/>
        <item x="816"/>
        <item x="843"/>
        <item x="1087"/>
        <item x="1649"/>
        <item x="1598"/>
        <item x="256"/>
        <item x="1391"/>
        <item x="1610"/>
        <item x="2159"/>
        <item x="929"/>
        <item x="467"/>
        <item x="632"/>
        <item x="1336"/>
        <item x="2391"/>
        <item x="2303"/>
        <item x="1702"/>
        <item x="159"/>
        <item x="2243"/>
        <item x="367"/>
        <item x="1778"/>
        <item x="1987"/>
        <item x="376"/>
        <item x="2104"/>
        <item x="838"/>
        <item x="2222"/>
        <item x="1592"/>
        <item x="457"/>
        <item x="161"/>
        <item x="2341"/>
        <item x="2344"/>
        <item x="1997"/>
        <item x="1208"/>
        <item x="1967"/>
        <item x="862"/>
        <item x="30"/>
        <item x="114"/>
        <item x="1263"/>
        <item x="357"/>
        <item x="1407"/>
        <item x="1604"/>
        <item x="1090"/>
        <item x="1848"/>
        <item x="1541"/>
        <item x="81"/>
        <item x="7"/>
        <item x="650"/>
        <item x="1353"/>
        <item x="1472"/>
        <item x="1385"/>
        <item x="1456"/>
        <item x="1749"/>
        <item x="1659"/>
        <item x="2360"/>
        <item x="315"/>
        <item x="2374"/>
        <item x="1316"/>
        <item x="872"/>
        <item x="295"/>
        <item x="2056"/>
        <item x="1671"/>
        <item x="1769"/>
        <item x="1891"/>
        <item x="176"/>
        <item x="797"/>
        <item x="354"/>
        <item x="1315"/>
        <item x="879"/>
        <item x="1936"/>
        <item x="20"/>
        <item x="24"/>
        <item x="826"/>
        <item x="1474"/>
        <item x="51"/>
        <item x="2071"/>
        <item x="245"/>
        <item x="950"/>
        <item x="502"/>
        <item x="1959"/>
        <item x="642"/>
        <item x="658"/>
        <item x="783"/>
        <item x="1861"/>
        <item x="363"/>
        <item x="1003"/>
        <item x="2176"/>
        <item x="854"/>
        <item x="2008"/>
        <item x="1814"/>
        <item x="2165"/>
        <item x="2033"/>
        <item x="1905"/>
        <item x="846"/>
        <item x="627"/>
        <item x="1614"/>
        <item x="1902"/>
        <item x="314"/>
        <item x="1463"/>
        <item x="488"/>
        <item x="160"/>
        <item x="1651"/>
        <item x="268"/>
        <item x="468"/>
        <item x="1842"/>
        <item x="75"/>
        <item x="2042"/>
        <item x="511"/>
        <item x="2206"/>
        <item x="1274"/>
        <item x="361"/>
        <item x="1956"/>
        <item x="2037"/>
        <item x="1720"/>
        <item x="1661"/>
        <item x="745"/>
        <item x="724"/>
        <item x="1390"/>
        <item x="1445"/>
        <item x="31"/>
        <item x="1160"/>
        <item x="10"/>
        <item x="1467"/>
        <item x="105"/>
        <item x="1818"/>
        <item x="2083"/>
        <item x="236"/>
        <item x="643"/>
        <item x="1515"/>
        <item x="1970"/>
        <item x="2359"/>
        <item x="1058"/>
        <item x="1499"/>
        <item x="2038"/>
        <item x="1485"/>
        <item x="1544"/>
        <item x="451"/>
        <item x="1819"/>
        <item x="2163"/>
        <item x="2154"/>
        <item x="1586"/>
        <item x="1904"/>
        <item x="42"/>
        <item x="214"/>
        <item x="2047"/>
        <item x="1273"/>
        <item x="485"/>
        <item x="240"/>
        <item x="140"/>
        <item x="2146"/>
        <item x="1685"/>
        <item x="2312"/>
        <item x="1710"/>
        <item x="532"/>
        <item x="1369"/>
        <item x="1762"/>
        <item x="1344"/>
        <item x="2366"/>
        <item x="2328"/>
        <item x="2364"/>
        <item x="1212"/>
        <item x="2350"/>
        <item x="303"/>
        <item x="1314"/>
        <item x="1799"/>
        <item x="1653"/>
        <item x="1806"/>
        <item x="490"/>
        <item x="2136"/>
        <item x="2109"/>
        <item x="52"/>
        <item x="47"/>
        <item x="791"/>
        <item x="980"/>
        <item x="1465"/>
        <item x="1209"/>
        <item x="572"/>
        <item x="1190"/>
        <item x="1470"/>
        <item x="782"/>
        <item x="1433"/>
        <item x="145"/>
        <item x="1612"/>
        <item x="762"/>
        <item x="523"/>
        <item x="2209"/>
        <item x="2089"/>
        <item x="738"/>
        <item x="26"/>
        <item x="68"/>
        <item x="1371"/>
        <item x="252"/>
        <item x="11"/>
        <item x="318"/>
        <item x="1803"/>
        <item x="1038"/>
        <item x="2172"/>
        <item x="1838"/>
        <item x="1125"/>
        <item x="749"/>
        <item x="1535"/>
        <item x="424"/>
        <item x="138"/>
        <item x="1054"/>
        <item x="1945"/>
        <item x="1235"/>
        <item x="742"/>
        <item x="712"/>
        <item x="334"/>
        <item x="1086"/>
        <item x="2127"/>
        <item x="2093"/>
        <item x="1375"/>
        <item x="1857"/>
        <item x="339"/>
        <item x="1395"/>
        <item x="1224"/>
        <item x="2002"/>
        <item x="1402"/>
        <item x="1291"/>
        <item x="958"/>
        <item x="1048"/>
        <item x="2058"/>
        <item x="847"/>
        <item x="815"/>
        <item x="374"/>
        <item x="2315"/>
        <item x="790"/>
        <item x="940"/>
        <item x="2244"/>
        <item x="1989"/>
        <item x="1983"/>
        <item x="96"/>
        <item x="261"/>
        <item x="199"/>
        <item x="1533"/>
        <item x="1633"/>
        <item x="393"/>
        <item x="1950"/>
        <item x="1017"/>
        <item x="2017"/>
        <item x="2277"/>
        <item x="2120"/>
        <item x="1971"/>
        <item x="1093"/>
        <item x="2272"/>
        <item x="2284"/>
        <item x="431"/>
        <item x="1305"/>
        <item x="305"/>
        <item x="320"/>
        <item x="43"/>
        <item x="497"/>
        <item x="750"/>
        <item x="472"/>
        <item x="1699"/>
        <item x="104"/>
        <item x="338"/>
        <item x="2293"/>
        <item x="2289"/>
        <item x="2279"/>
        <item x="18"/>
        <item x="1075"/>
        <item x="1082"/>
        <item x="1040"/>
        <item x="753"/>
        <item x="603"/>
        <item x="1043"/>
        <item x="531"/>
        <item x="494"/>
        <item x="2028"/>
        <item x="1374"/>
        <item x="982"/>
        <item x="910"/>
        <item x="1925"/>
        <item x="1611"/>
        <item x="16"/>
        <item x="2132"/>
        <item x="1631"/>
        <item x="979"/>
        <item x="1227"/>
        <item x="1564"/>
        <item x="1668"/>
        <item x="549"/>
        <item x="901"/>
        <item x="997"/>
        <item x="434"/>
        <item x="877"/>
        <item x="2245"/>
        <item x="426"/>
        <item x="752"/>
        <item x="462"/>
        <item x="1807"/>
        <item x="1113"/>
        <item x="547"/>
        <item x="484"/>
        <item x="885"/>
        <item x="63"/>
        <item x="981"/>
        <item x="769"/>
        <item x="399"/>
        <item x="926"/>
        <item x="407"/>
        <item x="2064"/>
        <item x="435"/>
        <item x="2186"/>
        <item x="481"/>
        <item x="795"/>
        <item x="86"/>
        <item x="1205"/>
        <item x="57"/>
        <item x="1424"/>
        <item x="1522"/>
        <item x="2268"/>
        <item x="1479"/>
        <item x="842"/>
        <item x="1787"/>
        <item x="845"/>
        <item x="2001"/>
        <item x="1920"/>
        <item x="1037"/>
        <item x="444"/>
        <item x="808"/>
        <item x="1630"/>
        <item x="604"/>
        <item x="735"/>
        <item x="671"/>
        <item x="538"/>
        <item x="1928"/>
        <item x="562"/>
        <item x="476"/>
        <item x="1951"/>
        <item x="226"/>
        <item x="149"/>
        <item x="84"/>
        <item x="1138"/>
        <item x="2034"/>
        <item x="2188"/>
        <item x="551"/>
        <item x="175"/>
        <item x="60"/>
        <item x="190"/>
        <item x="158"/>
        <item x="498"/>
        <item x="1627"/>
        <item x="225"/>
        <item x="121"/>
        <item x="405"/>
        <item x="1660"/>
        <item x="835"/>
        <item x="151"/>
        <item x="495"/>
        <item x="884"/>
        <item x="2087"/>
        <item x="378"/>
        <item x="447"/>
        <item x="231"/>
        <item x="2082"/>
        <item x="630"/>
        <item x="2026"/>
        <item x="1145"/>
        <item x="1081"/>
        <item x="1872"/>
        <item x="1426"/>
        <item x="1737"/>
        <item x="1526"/>
        <item x="2029"/>
        <item x="908"/>
        <item x="1165"/>
        <item x="2117"/>
        <item x="661"/>
        <item x="615"/>
        <item x="893"/>
        <item x="1155"/>
        <item x="9"/>
        <item x="1098"/>
        <item x="29"/>
        <item x="100"/>
        <item x="65"/>
        <item x="1798"/>
        <item x="2063"/>
        <item x="985"/>
        <item x="781"/>
        <item x="1342"/>
        <item x="706"/>
        <item x="1893"/>
        <item x="1549"/>
        <item x="1458"/>
        <item x="1618"/>
        <item x="296"/>
        <item x="667"/>
        <item x="602"/>
        <item x="1823"/>
        <item x="987"/>
        <item x="415"/>
        <item x="258"/>
        <item x="1879"/>
        <item x="1401"/>
        <item x="189"/>
        <item x="2377"/>
        <item x="1662"/>
        <item x="913"/>
        <item x="1245"/>
        <item x="1757"/>
        <item x="1518"/>
        <item x="1419"/>
        <item x="2333"/>
        <item x="1399"/>
        <item x="679"/>
        <item x="1739"/>
        <item x="1176"/>
        <item x="2112"/>
        <item x="1094"/>
        <item x="1464"/>
        <item x="2214"/>
        <item x="395"/>
        <item x="1543"/>
        <item x="187"/>
        <item x="2094"/>
        <item x="130"/>
        <item x="131"/>
        <item x="1228"/>
        <item x="1670"/>
        <item x="1498"/>
        <item x="1276"/>
        <item x="2321"/>
        <item x="1992"/>
        <item x="674"/>
        <item t="default"/>
      </items>
    </pivotField>
    <pivotField showAll="0"/>
    <pivotField showAll="0">
      <items count="144">
        <item x="78"/>
        <item x="55"/>
        <item x="87"/>
        <item x="132"/>
        <item x="53"/>
        <item x="139"/>
        <item x="46"/>
        <item x="14"/>
        <item x="108"/>
        <item x="27"/>
        <item x="26"/>
        <item x="142"/>
        <item x="138"/>
        <item x="23"/>
        <item x="95"/>
        <item x="38"/>
        <item x="63"/>
        <item x="24"/>
        <item x="110"/>
        <item x="71"/>
        <item x="104"/>
        <item x="67"/>
        <item x="93"/>
        <item x="39"/>
        <item x="52"/>
        <item x="114"/>
        <item x="97"/>
        <item x="16"/>
        <item x="17"/>
        <item x="107"/>
        <item x="120"/>
        <item x="2"/>
        <item x="88"/>
        <item x="116"/>
        <item x="45"/>
        <item x="74"/>
        <item x="112"/>
        <item x="4"/>
        <item x="35"/>
        <item x="10"/>
        <item x="90"/>
        <item x="48"/>
        <item x="94"/>
        <item x="11"/>
        <item x="141"/>
        <item x="82"/>
        <item x="47"/>
        <item x="5"/>
        <item x="62"/>
        <item x="137"/>
        <item x="60"/>
        <item x="134"/>
        <item x="125"/>
        <item x="33"/>
        <item x="115"/>
        <item x="58"/>
        <item x="86"/>
        <item x="133"/>
        <item x="105"/>
        <item x="75"/>
        <item x="43"/>
        <item x="92"/>
        <item x="28"/>
        <item x="18"/>
        <item x="59"/>
        <item x="34"/>
        <item x="68"/>
        <item x="103"/>
        <item x="31"/>
        <item x="117"/>
        <item x="80"/>
        <item x="20"/>
        <item x="102"/>
        <item x="50"/>
        <item x="72"/>
        <item x="85"/>
        <item x="44"/>
        <item x="42"/>
        <item x="0"/>
        <item x="98"/>
        <item x="131"/>
        <item x="66"/>
        <item x="140"/>
        <item x="109"/>
        <item x="111"/>
        <item x="56"/>
        <item x="106"/>
        <item x="40"/>
        <item x="84"/>
        <item x="61"/>
        <item x="54"/>
        <item x="96"/>
        <item x="122"/>
        <item x="118"/>
        <item x="76"/>
        <item x="25"/>
        <item x="99"/>
        <item x="22"/>
        <item x="12"/>
        <item x="8"/>
        <item x="41"/>
        <item x="65"/>
        <item x="136"/>
        <item x="126"/>
        <item x="113"/>
        <item x="51"/>
        <item x="123"/>
        <item x="128"/>
        <item x="79"/>
        <item x="91"/>
        <item x="101"/>
        <item x="13"/>
        <item x="100"/>
        <item x="32"/>
        <item x="37"/>
        <item x="130"/>
        <item x="19"/>
        <item x="30"/>
        <item x="127"/>
        <item x="36"/>
        <item x="121"/>
        <item x="64"/>
        <item x="81"/>
        <item x="77"/>
        <item x="7"/>
        <item x="15"/>
        <item x="9"/>
        <item x="57"/>
        <item x="73"/>
        <item x="70"/>
        <item x="6"/>
        <item x="21"/>
        <item x="124"/>
        <item x="1"/>
        <item x="129"/>
        <item x="29"/>
        <item x="89"/>
        <item x="83"/>
        <item x="135"/>
        <item x="69"/>
        <item x="119"/>
        <item x="49"/>
        <item x="3"/>
        <item t="default"/>
      </items>
    </pivotField>
    <pivotField axis="axisRow" showAll="0">
      <items count="14">
        <item x="2"/>
        <item x="8"/>
        <item x="11"/>
        <item x="0"/>
        <item x="5"/>
        <item x="7"/>
        <item x="3"/>
        <item x="6"/>
        <item x="12"/>
        <item x="4"/>
        <item x="1"/>
        <item x="10"/>
        <item x="9"/>
        <item t="default"/>
      </items>
    </pivotField>
    <pivotField showAll="0"/>
    <pivotField showAll="0"/>
    <pivotField axis="axisPage" showAll="0">
      <items count="8">
        <item x="0"/>
        <item x="2"/>
        <item x="4"/>
        <item x="5"/>
        <item x="3"/>
        <item x="6"/>
        <item x="1"/>
        <item t="default"/>
      </items>
    </pivotField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item="2" hier="-1"/>
    <pageField fld="10" item="0" hier="-1"/>
  </pageFields>
  <dataFields count="1">
    <dataField name="Count of Product Id" fld="0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9571C-4C4B-40ED-BA21-DF48740F18A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 rowHeaderCaption="Price Tier" colHeaderCaption="Engagement Tier">
  <location ref="A39:I44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baseField="0" baseItem="0"/>
  </dataFields>
  <formats count="1">
    <format dxfId="12">
      <pivotArea type="all" dataOnly="0" outline="0" fieldPosition="0"/>
    </format>
  </formats>
  <chartFormats count="9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3" count="1" selected="0">
            <x v="2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F2C1-798E-4CB5-AE43-A18AFF3FF18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 rowHeaderCaption="Category" colHeaderCaption="Engagement Tier">
  <location ref="A21:I36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14">
        <item x="2"/>
        <item x="8"/>
        <item x="11"/>
        <item x="0"/>
        <item x="5"/>
        <item x="7"/>
        <item x="3"/>
        <item x="6"/>
        <item x="12"/>
        <item x="4"/>
        <item x="1"/>
        <item x="10"/>
        <item x="9"/>
        <item t="default"/>
      </items>
    </pivotField>
    <pivotField showAll="0"/>
    <pivotField showAll="0"/>
    <pivotField axis="axisCol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 Id" fld="0" subtotal="count" baseField="0" baseItem="0"/>
  </dataFields>
  <formats count="1">
    <format dxfId="13">
      <pivotArea type="all" dataOnly="0" outline="0" fieldPosition="0"/>
    </format>
  </formats>
  <chartFormats count="28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2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3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3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3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3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ED1D1-3BE2-4BBA-AFEB-F9B1B3CB9C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showAll="0"/>
    <pivotField showAll="0"/>
    <pivotField showAll="0"/>
    <pivotField showAll="0"/>
    <pivotField axis="axisRow" dataField="1" showAll="0">
      <items count="8">
        <item x="6"/>
        <item x="2"/>
        <item x="4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nganement Range" fld="5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A78F8-A35B-46B0-AB75-2E67AF71DE86}" name="Table13" displayName="Table13" ref="A1:P2421" totalsRowShown="0" headerRowCellStyle="60% - Accent5">
  <autoFilter ref="A1:P2421" xr:uid="{F0629002-F57B-41E3-982B-B01FC4842B6B}"/>
  <sortState xmlns:xlrd2="http://schemas.microsoft.com/office/spreadsheetml/2017/richdata2" ref="A2:P898">
    <sortCondition ref="L1:L2421"/>
  </sortState>
  <tableColumns count="16">
    <tableColumn id="1" xr3:uid="{6D0CFEA3-C4DB-4083-A1E3-5DDC2A2B0EDA}" name="Product Id"/>
    <tableColumn id="2" xr3:uid="{BCB1FD4D-4511-4FFA-86CF-51B49F7E8D92}" name="Product Name"/>
    <tableColumn id="3" xr3:uid="{C792D847-A88F-47A1-B83F-02826BEB5461}" name="Brand Id"/>
    <tableColumn id="4" xr3:uid="{D5D68EDD-DA8A-43E7-BB7B-46B8DDD2DBF7}" name="Brand Name"/>
    <tableColumn id="11" xr3:uid="{1BE8C64E-3632-4AB0-9025-057575AD0068}" name="Category"/>
    <tableColumn id="5" xr3:uid="{7B9407B3-F501-4DFF-B3D7-05546E6AB4D2}" name="Loves Count"/>
    <tableColumn id="14" xr3:uid="{CDAE82BC-E71E-4FD3-AAA7-3DB347501092}" name="Engagement Range" dataDxfId="158">
      <calculatedColumnFormula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calculatedColumnFormula>
    </tableColumn>
    <tableColumn id="16" xr3:uid="{E2375C58-3E78-481D-B13F-7E9B98310E1C}" name="Engagement Tier" dataDxfId="157">
      <calculatedColumnFormula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calculatedColumnFormula>
    </tableColumn>
    <tableColumn id="6" xr3:uid="{65DBDA68-62CF-435F-AC4D-2AB13A621AD8}" name="Rating" dataCellStyle="Normal"/>
    <tableColumn id="12" xr3:uid="{8F14B173-A172-4BF0-8E44-121427EA832C}" name="Has Rating" dataDxfId="156">
      <calculatedColumnFormula>IF(ISBLANK(Table13[[#This Row],[Rating]]), "No", "Yes")</calculatedColumnFormula>
    </tableColumn>
    <tableColumn id="13" xr3:uid="{760D0BF0-48DA-4144-98DB-AB57BFBFC418}" name="Rating Band" dataDxfId="155">
      <calculatedColumnFormula>IF(ISBLANK(Table13[[#This Row],[Rating]]), "Not Rated", IF(Table13[[#This Row],[Rating]] &lt; 3, "Low", IF(Table13[[#This Row],[Rating]] &lt; 4, "Medium", "High")))</calculatedColumnFormula>
    </tableColumn>
    <tableColumn id="7" xr3:uid="{6BFD1A5A-6D0B-419B-8CEB-675C7E8627E9}" name="Reviews"/>
    <tableColumn id="8" xr3:uid="{D6204184-A41A-4734-8C0D-10743B56BE28}" name="Price USD"/>
    <tableColumn id="15" xr3:uid="{B882B4D2-ECA5-4009-9B01-E9C748E00515}" name="Price Tier" dataDxfId="154">
      <calculatedColumnFormula>IF(Table13[[#This Row],[Price USD]]&lt;20,"Budget",IF(Table13[[#This Row],[Price USD]]&lt;=50,"Mid-range","Premium"))</calculatedColumnFormula>
    </tableColumn>
    <tableColumn id="9" xr3:uid="{35DBE552-1598-4271-812A-7A889CC8DD32}" name="New"/>
    <tableColumn id="10" xr3:uid="{BA4F35BC-A56D-45FB-9194-E9EDFBD2F28A}" name="Out of Stock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C59045-3271-4A2F-9FB7-F73E233C00D7}" name="Table4" displayName="Table4" ref="H3:M12" totalsRowShown="0">
  <autoFilter ref="H3:M12" xr:uid="{FAC59045-3271-4A2F-9FB7-F73E233C00D7}"/>
  <tableColumns count="6">
    <tableColumn id="1" xr3:uid="{5ED99BD4-4525-434A-9DC5-51BA6017617C}" name="Count of Product Id"/>
    <tableColumn id="2" xr3:uid="{F64FBA94-94EB-43A7-8AD5-859421FB635C}" name="Rating Band"/>
    <tableColumn id="3" xr3:uid="{7AA193D5-77D1-4179-A720-15C2963E111C}" name="Column1"/>
    <tableColumn id="4" xr3:uid="{39DF0ECF-4F76-4369-B138-AEAE5E93EFE4}" name="Column2"/>
    <tableColumn id="5" xr3:uid="{18A9B636-B301-41B0-84F2-BC5021824291}" name="Column3"/>
    <tableColumn id="6" xr3:uid="{2F3EDDB8-7798-4228-AE56-B6FB96AD0081}" name="Column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E246-244F-4EFF-B79C-D955D96F8498}" name="Table10" displayName="Table10" ref="A3:P717" totalsRowShown="0">
  <autoFilter ref="A3:P717" xr:uid="{7DD5E246-244F-4EFF-B79C-D955D96F8498}"/>
  <tableColumns count="16">
    <tableColumn id="1" xr3:uid="{F7A25AD8-5CDF-4C5B-ABDB-9C07786F7FC5}" name="Product Id"/>
    <tableColumn id="2" xr3:uid="{1396B569-D691-441F-9B43-28835FCA3B98}" name="Product Name"/>
    <tableColumn id="3" xr3:uid="{5093C598-CC19-4290-932F-F0511F279DB3}" name="Brand Id"/>
    <tableColumn id="4" xr3:uid="{3D481EF8-ECE7-4925-9440-771A8B4A76B0}" name="Brand Name"/>
    <tableColumn id="5" xr3:uid="{C52A2E83-5742-4A33-B17D-04BBF11A2D1E}" name="Category"/>
    <tableColumn id="6" xr3:uid="{46540382-377A-494E-A6B9-0C699D408AF2}" name="Loves Count"/>
    <tableColumn id="7" xr3:uid="{D3DC2F89-C2E0-4C5D-9C36-C54BC7C2D068}" name="Engagement Range"/>
    <tableColumn id="8" xr3:uid="{6E3E598A-EB24-4FDB-B9B7-26D6C6D459A6}" name="Engagement Tier"/>
    <tableColumn id="9" xr3:uid="{A963CB4F-F5AB-4DF1-A516-F50A431FA973}" name="Rating"/>
    <tableColumn id="10" xr3:uid="{8CE38BAF-52C1-4DB6-8725-CE6E94A96A4B}" name="Has Rating"/>
    <tableColumn id="11" xr3:uid="{D4D62199-70AC-4E24-9849-902660C018C8}" name="Rating Band"/>
    <tableColumn id="12" xr3:uid="{E286DABC-964F-486C-8452-BA56FE445AFC}" name="Reviews"/>
    <tableColumn id="13" xr3:uid="{32E20542-B9DF-49E5-9900-B16D24A5CDBE}" name="Price USD"/>
    <tableColumn id="14" xr3:uid="{89762410-48E9-419E-AE73-2FF0C22BDC30}" name="Price Tier"/>
    <tableColumn id="15" xr3:uid="{FDD6349A-009A-46F9-A172-B5A1E20206B8}" name="New"/>
    <tableColumn id="16" xr3:uid="{1FC90270-9DF8-492E-875D-03A5F94621BE}" name="Out of Sto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14C950-07F4-4E76-AE7F-A78B043E602B}" name="Table9" displayName="Table9" ref="A3:P6" totalsRowShown="0">
  <autoFilter ref="A3:P6" xr:uid="{BB14C950-07F4-4E76-AE7F-A78B043E602B}"/>
  <tableColumns count="16">
    <tableColumn id="1" xr3:uid="{6C9710C2-16D7-419C-BB98-A9C350CAEEE6}" name="Product Id"/>
    <tableColumn id="2" xr3:uid="{062AE877-EA86-4405-A114-097F72A88454}" name="Product Name"/>
    <tableColumn id="3" xr3:uid="{0495151F-485A-416F-B802-03E0D5D3B808}" name="Brand Id"/>
    <tableColumn id="4" xr3:uid="{7A8E5416-B36A-4952-A4E5-61FFD113CB82}" name="Brand Name"/>
    <tableColumn id="5" xr3:uid="{F845173F-E037-4B60-BF87-6DFCF907DB69}" name="Category"/>
    <tableColumn id="6" xr3:uid="{767D7814-56D1-441A-BB10-B369DFD4595D}" name="Loves Count"/>
    <tableColumn id="7" xr3:uid="{5F87B724-2152-4B3D-96B5-A740FA37111A}" name="Engagement Range"/>
    <tableColumn id="8" xr3:uid="{85FF6878-B623-4BB1-8090-897E4E1FAF69}" name="Engagement Tier"/>
    <tableColumn id="9" xr3:uid="{B9BA9339-23F5-4BA5-A989-0206ED40B90F}" name="Rating"/>
    <tableColumn id="10" xr3:uid="{74EE2187-3144-4FFA-AE62-DA3F862E0E01}" name="Has Rating"/>
    <tableColumn id="11" xr3:uid="{D88E9369-8E18-4315-BF8B-0499E258CCD9}" name="Rating Band"/>
    <tableColumn id="12" xr3:uid="{C7693F80-D9FD-401C-9BF8-3AB3F9B06F84}" name="Reviews"/>
    <tableColumn id="13" xr3:uid="{EDF64D49-D583-4975-AC2B-A192C0164284}" name="Price USD"/>
    <tableColumn id="14" xr3:uid="{21EDD81C-0199-44FB-BE0D-2CA267DA8B5F}" name="Price Tier"/>
    <tableColumn id="15" xr3:uid="{AD3E5FF6-69BF-45AD-9281-4EBAFA0EA6EA}" name="New"/>
    <tableColumn id="16" xr3:uid="{74654698-F53B-44AA-949F-20C3B9CCBB36}" name="Out of Sto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7ECED1-4726-4597-B37D-EBD7E58B4EEE}" name="Table8" displayName="Table8" ref="A3:P87" totalsRowShown="0">
  <autoFilter ref="A3:P87" xr:uid="{767ECED1-4726-4597-B37D-EBD7E58B4EEE}">
    <filterColumn colId="4">
      <filters>
        <filter val="Cleansers"/>
      </filters>
    </filterColumn>
  </autoFilter>
  <sortState xmlns:xlrd2="http://schemas.microsoft.com/office/spreadsheetml/2017/richdata2" ref="A4:P87">
    <sortCondition descending="1" ref="L3:L87"/>
  </sortState>
  <tableColumns count="16">
    <tableColumn id="1" xr3:uid="{8A6FE5F2-8083-45F7-8A1D-C4D3DB4E5969}" name="Product Id"/>
    <tableColumn id="2" xr3:uid="{8D736FD2-1E63-4144-BC37-22EC900226BA}" name="Product Name"/>
    <tableColumn id="3" xr3:uid="{AFDCD934-15FA-49DB-9F66-B4DFF8C3AA2C}" name="Brand Id"/>
    <tableColumn id="4" xr3:uid="{0126AEF8-5166-43F0-97F0-DE03EA938FFC}" name="Brand Name"/>
    <tableColumn id="5" xr3:uid="{8B4D0A81-F740-45DC-8CB3-8708CE211019}" name="Category"/>
    <tableColumn id="6" xr3:uid="{6DA8E7A7-0390-414D-A2EF-2D467600BAF9}" name="Loves Count"/>
    <tableColumn id="7" xr3:uid="{9CF54F31-D487-42FA-A8B2-7BBA348DC830}" name="Engagement Range"/>
    <tableColumn id="8" xr3:uid="{00343CF9-8AF3-41F1-A7D4-2DFD02EBE834}" name="Engagement Tier"/>
    <tableColumn id="9" xr3:uid="{074280FE-E0DB-4220-8D27-1B44EF665DE7}" name="Rating"/>
    <tableColumn id="10" xr3:uid="{4FCD5DB8-D0E5-45D4-9C16-3BA152CFBDE2}" name="Has Rating"/>
    <tableColumn id="11" xr3:uid="{3E193A8D-E640-4842-8F5B-9AED9A6BD6E5}" name="Rating Band"/>
    <tableColumn id="12" xr3:uid="{334CE8A8-ACE9-4088-8EA4-C200FC7A6F8E}" name="Reviews"/>
    <tableColumn id="13" xr3:uid="{2BC7E0FD-039B-49CE-9034-DABF49AECDC1}" name="Price USD"/>
    <tableColumn id="14" xr3:uid="{5F107982-C3BA-46AF-81D5-5943CC44D87C}" name="Price Tier"/>
    <tableColumn id="15" xr3:uid="{6BCFDDFC-6EF2-4071-B676-297250FCFF55}" name="New"/>
    <tableColumn id="16" xr3:uid="{DBC28147-5FAF-4BCD-BDDB-47FDB85644BD}" name="Out of Sto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86355-4F18-4161-961A-376ECF227E41}" name="Table3" displayName="Table3" ref="A3:P387" totalsRowShown="0">
  <autoFilter ref="A3:P387" xr:uid="{D7D86355-4F18-4161-961A-376ECF227E41}"/>
  <tableColumns count="16">
    <tableColumn id="1" xr3:uid="{554A6E9E-BA57-42A8-BBB5-71CF999A0D94}" name="Product Id"/>
    <tableColumn id="2" xr3:uid="{5B9D6E04-82D8-41A1-8028-39D81D338C20}" name="Product Name"/>
    <tableColumn id="3" xr3:uid="{2CBB6900-D3C6-42C9-8C6F-92C89FC798BC}" name="Brand Id"/>
    <tableColumn id="4" xr3:uid="{8DC56E93-A454-48A4-9742-19CD7E68DC51}" name="Brand Name"/>
    <tableColumn id="5" xr3:uid="{A5FB8BDD-42DF-40FD-A141-726F750B5C90}" name="Category"/>
    <tableColumn id="6" xr3:uid="{0AFBC8E7-E9F1-48E2-BCF8-4ADDFA824611}" name="Loves Count"/>
    <tableColumn id="7" xr3:uid="{AA387988-8537-47D8-9684-DE07195133EC}" name="Engagement Range"/>
    <tableColumn id="8" xr3:uid="{9964D46C-BAB5-4CD6-9E8D-22BD6BB30D46}" name="Engagement Tier"/>
    <tableColumn id="9" xr3:uid="{98B53864-E430-4141-AEBB-81CADE948B75}" name="Rating"/>
    <tableColumn id="10" xr3:uid="{647E71FA-B161-4A43-9302-63D2BFA111FF}" name="Has Rating"/>
    <tableColumn id="11" xr3:uid="{91DFBE8E-3714-496E-AD5D-1CBC6B8857C8}" name="Rating Band"/>
    <tableColumn id="12" xr3:uid="{D9CEA612-2104-45E4-ADD0-21CB6959CB6D}" name="Reviews"/>
    <tableColumn id="13" xr3:uid="{D442EA36-B964-43F1-860A-1D655360C695}" name="Price USD"/>
    <tableColumn id="14" xr3:uid="{589A960D-6FEC-4026-BA8C-F99AE1B10578}" name="Price Tier"/>
    <tableColumn id="15" xr3:uid="{8B5DDE33-41B8-4F02-882E-458E5909412C}" name="New"/>
    <tableColumn id="16" xr3:uid="{37E1F859-7AD6-481C-BDC3-4850D749ACAD}" name="Out of Sto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E59901-6CA1-4EFC-A7B5-08D20B6A21EC}" name="Table12" displayName="Table12" ref="A3:P8" totalsRowShown="0">
  <autoFilter ref="A3:P8" xr:uid="{F0E59901-6CA1-4EFC-A7B5-08D20B6A21EC}"/>
  <tableColumns count="16">
    <tableColumn id="1" xr3:uid="{B2C174FE-B4D6-4782-826E-D9A1CBBFFE35}" name="Product Id"/>
    <tableColumn id="2" xr3:uid="{1759B6E2-3FE8-4E9B-805F-3C136C6073F0}" name="Product Name"/>
    <tableColumn id="3" xr3:uid="{F9E440E1-1360-4B40-9E8A-84D2804DBE2C}" name="Brand Id"/>
    <tableColumn id="4" xr3:uid="{4275CF51-2935-42AE-96B4-301CD904D88E}" name="Brand Name"/>
    <tableColumn id="5" xr3:uid="{E3ADBD65-C50D-4576-90EF-575FD798246E}" name="Category"/>
    <tableColumn id="6" xr3:uid="{5521EFB2-99D1-4F93-A0A9-2C44EC0B98E5}" name="Loves Count"/>
    <tableColumn id="7" xr3:uid="{A7AC2409-B524-4F9B-9100-4B8D48AA0ADA}" name="Engagement Range"/>
    <tableColumn id="8" xr3:uid="{9BD44227-CCC6-45B7-9AA4-38AB78D0DF39}" name="Engagement Tier"/>
    <tableColumn id="9" xr3:uid="{2131F20D-5566-4F6A-B9AE-53EE1C91B79F}" name="Rating"/>
    <tableColumn id="10" xr3:uid="{83514502-A951-4959-9477-CDC84877396C}" name="Has Rating"/>
    <tableColumn id="11" xr3:uid="{E53832E0-57C7-49E3-9FD1-A82D9B85AD03}" name="Rating Band"/>
    <tableColumn id="12" xr3:uid="{374C8E7E-B7AD-4695-A5A6-7E10EF2E9ADC}" name="Reviews"/>
    <tableColumn id="13" xr3:uid="{4FB0BFE6-683B-4D8B-B4A3-4E4960D913C8}" name="Price USD"/>
    <tableColumn id="14" xr3:uid="{830EB60C-4F8B-4E9B-9DE6-6C4BD3B6FFFE}" name="Price Tier"/>
    <tableColumn id="15" xr3:uid="{7D85227C-9259-4125-9201-FE148153F192}" name="New"/>
    <tableColumn id="16" xr3:uid="{83F1CE2E-5CF1-4F1C-B092-17D89EB3547A}" name="Out of Sto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717C57-FD99-4E57-8A74-383147A8FC2B}" name="Table11" displayName="Table11" ref="A3:P19" totalsRowShown="0">
  <autoFilter ref="A3:P19" xr:uid="{C3717C57-FD99-4E57-8A74-383147A8FC2B}"/>
  <tableColumns count="16">
    <tableColumn id="1" xr3:uid="{A1D3D245-8BC1-4019-9723-9E9C01855742}" name="Product Id"/>
    <tableColumn id="2" xr3:uid="{A5F61B6F-4D76-4DE5-9FD9-B274D4D70A6C}" name="Product Name"/>
    <tableColumn id="3" xr3:uid="{12173427-CECB-44E7-86C2-AC985822595F}" name="Brand Id"/>
    <tableColumn id="4" xr3:uid="{9C11E358-BF1B-4E0E-9D38-7519023830C3}" name="Brand Name"/>
    <tableColumn id="5" xr3:uid="{A40F45BD-9314-4CB4-A274-7EF5DAC4D24A}" name="Category"/>
    <tableColumn id="6" xr3:uid="{0E8B2D50-E748-42F6-AE96-58B13ECDC5BC}" name="Loves Count"/>
    <tableColumn id="7" xr3:uid="{417B38BC-4E21-4624-88F7-B546B1889B0B}" name="Engagement Range"/>
    <tableColumn id="8" xr3:uid="{0D5BEE12-AB19-47CB-BE88-18CC7761FB66}" name="Engagement Tier"/>
    <tableColumn id="9" xr3:uid="{1064C04F-2BCF-45A9-B477-ACE5C1241EB7}" name="Rating"/>
    <tableColumn id="10" xr3:uid="{24FA5DDB-8E60-40D5-894A-A8D0C1AFB65F}" name="Has Rating"/>
    <tableColumn id="11" xr3:uid="{AD222671-4BD7-448A-9D55-5EF794A98C5C}" name="Rating Band"/>
    <tableColumn id="12" xr3:uid="{46308095-EEFF-4809-8030-D7AA2BE61D61}" name="Reviews"/>
    <tableColumn id="13" xr3:uid="{0759ECB8-F530-4581-B945-7955EB830135}" name="Price USD"/>
    <tableColumn id="14" xr3:uid="{58B8F9FF-6488-4A2C-A3B2-82A696931BF9}" name="Price Tier"/>
    <tableColumn id="15" xr3:uid="{307D4945-22F9-418D-9140-C88C911BEB02}" name="New"/>
    <tableColumn id="16" xr3:uid="{C849B0A6-7A87-4B3A-9E82-7C2A6E870983}" name="Out of 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5075-349E-4F43-9CEE-75DE7CBBA007}">
  <dimension ref="A1:S2421"/>
  <sheetViews>
    <sheetView tabSelected="1" zoomScaleNormal="100" workbookViewId="0">
      <selection activeCell="D19" sqref="D19"/>
    </sheetView>
  </sheetViews>
  <sheetFormatPr defaultRowHeight="15" customHeight="1" x14ac:dyDescent="0.25"/>
  <cols>
    <col min="1" max="1" width="12.7109375" customWidth="1"/>
    <col min="2" max="2" width="16.140625" customWidth="1"/>
    <col min="3" max="3" width="13" customWidth="1"/>
    <col min="4" max="4" width="23.28515625" customWidth="1"/>
    <col min="5" max="5" width="25.5703125" customWidth="1"/>
    <col min="6" max="6" width="14.5703125" customWidth="1"/>
    <col min="7" max="7" width="20.28515625" customWidth="1"/>
    <col min="8" max="8" width="18.42578125" customWidth="1"/>
    <col min="9" max="9" width="9.140625" customWidth="1"/>
    <col min="10" max="10" width="13" customWidth="1"/>
    <col min="11" max="11" width="14.5703125" customWidth="1"/>
    <col min="12" max="12" width="11.140625" customWidth="1"/>
    <col min="13" max="13" width="12.28515625" customWidth="1"/>
    <col min="14" max="14" width="12.42578125" customWidth="1"/>
    <col min="15" max="15" width="8.140625" customWidth="1"/>
    <col min="16" max="16" width="14" customWidth="1"/>
    <col min="19" max="19" width="34.7109375" customWidth="1"/>
  </cols>
  <sheetData>
    <row r="1" spans="1:19" ht="15" customHeight="1" x14ac:dyDescent="0.25">
      <c r="A1" s="1" t="s">
        <v>4978</v>
      </c>
      <c r="B1" s="1" t="s">
        <v>4979</v>
      </c>
      <c r="C1" s="1" t="s">
        <v>4980</v>
      </c>
      <c r="D1" s="1" t="s">
        <v>4981</v>
      </c>
      <c r="E1" s="1" t="s">
        <v>0</v>
      </c>
      <c r="F1" s="1" t="s">
        <v>4982</v>
      </c>
      <c r="G1" s="8" t="s">
        <v>4992</v>
      </c>
      <c r="H1" s="8" t="s">
        <v>5006</v>
      </c>
      <c r="I1" s="1" t="s">
        <v>4983</v>
      </c>
      <c r="J1" s="8" t="s">
        <v>4984</v>
      </c>
      <c r="K1" s="8" t="s">
        <v>4985</v>
      </c>
      <c r="L1" s="1" t="s">
        <v>4986</v>
      </c>
      <c r="M1" s="1" t="s">
        <v>4987</v>
      </c>
      <c r="N1" s="8" t="s">
        <v>5007</v>
      </c>
      <c r="O1" s="1" t="s">
        <v>4988</v>
      </c>
      <c r="P1" s="1" t="s">
        <v>4989</v>
      </c>
      <c r="R1" s="8"/>
      <c r="S1" t="s">
        <v>5027</v>
      </c>
    </row>
    <row r="2" spans="1:19" x14ac:dyDescent="0.25">
      <c r="A2" t="s">
        <v>1</v>
      </c>
      <c r="B2" t="s">
        <v>2</v>
      </c>
      <c r="C2">
        <v>6125</v>
      </c>
      <c r="D2" t="s">
        <v>3</v>
      </c>
      <c r="E2" t="s">
        <v>4</v>
      </c>
      <c r="F2">
        <v>1081315</v>
      </c>
      <c r="G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5L+</v>
      </c>
      <c r="H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Extremely Viral</v>
      </c>
      <c r="I2">
        <v>4.3507999999999996</v>
      </c>
      <c r="J2" t="str">
        <f>IF(ISBLANK(Table13[[#This Row],[Rating]]), "No", "Yes")</f>
        <v>Yes</v>
      </c>
      <c r="K2" t="str">
        <f>IF(ISBLANK(Table13[[#This Row],[Rating]]), "Not Rated", IF(Table13[[#This Row],[Rating]] &lt; 3, "Low", IF(Table13[[#This Row],[Rating]] &lt; 4, "Medium", "High")))</f>
        <v>High</v>
      </c>
      <c r="L2">
        <v>16118</v>
      </c>
      <c r="M2">
        <v>24</v>
      </c>
      <c r="N2" t="str">
        <f>IF(Table13[[#This Row],[Price USD]]&lt;20,"Budget",IF(Table13[[#This Row],[Price USD]]&lt;=50,"Mid-range","Premium"))</f>
        <v>Mid-range</v>
      </c>
      <c r="O2">
        <v>0</v>
      </c>
      <c r="P2">
        <v>0</v>
      </c>
      <c r="R2" s="1"/>
      <c r="S2" t="s">
        <v>5028</v>
      </c>
    </row>
    <row r="3" spans="1:19" x14ac:dyDescent="0.25">
      <c r="A3" t="s">
        <v>5</v>
      </c>
      <c r="B3" t="s">
        <v>6</v>
      </c>
      <c r="C3">
        <v>6234</v>
      </c>
      <c r="D3" t="s">
        <v>7</v>
      </c>
      <c r="E3" t="s">
        <v>8</v>
      </c>
      <c r="F3">
        <v>763168</v>
      </c>
      <c r="G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5L+</v>
      </c>
      <c r="H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Extremely Viral</v>
      </c>
      <c r="I3">
        <v>4.2439</v>
      </c>
      <c r="J3" t="str">
        <f>IF(ISBLANK(Table13[[#This Row],[Rating]]), "No", "Yes")</f>
        <v>Yes</v>
      </c>
      <c r="K3" t="str">
        <f>IF(ISBLANK(Table13[[#This Row],[Rating]]), "Not Rated", IF(Table13[[#This Row],[Rating]] &lt; 3, "Low", IF(Table13[[#This Row],[Rating]] &lt; 4, "Medium", "High")))</f>
        <v>High</v>
      </c>
      <c r="L3">
        <v>5778</v>
      </c>
      <c r="M3">
        <v>6</v>
      </c>
      <c r="N3" t="str">
        <f>IF(Table13[[#This Row],[Price USD]]&lt;20,"Budget",IF(Table13[[#This Row],[Price USD]]&lt;=50,"Mid-range","Premium"))</f>
        <v>Budget</v>
      </c>
      <c r="O3">
        <v>0</v>
      </c>
      <c r="P3">
        <v>0</v>
      </c>
    </row>
    <row r="4" spans="1:19" x14ac:dyDescent="0.25">
      <c r="A4" t="s">
        <v>9</v>
      </c>
      <c r="B4" t="s">
        <v>10</v>
      </c>
      <c r="C4">
        <v>6234</v>
      </c>
      <c r="D4" t="s">
        <v>7</v>
      </c>
      <c r="E4" t="s">
        <v>8</v>
      </c>
      <c r="F4">
        <v>720504</v>
      </c>
      <c r="G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5L+</v>
      </c>
      <c r="H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Extremely Viral</v>
      </c>
      <c r="I4">
        <v>4.2133000000000003</v>
      </c>
      <c r="J4" t="str">
        <f>IF(ISBLANK(Table13[[#This Row],[Rating]]), "No", "Yes")</f>
        <v>Yes</v>
      </c>
      <c r="K4" t="str">
        <f>IF(ISBLANK(Table13[[#This Row],[Rating]]), "Not Rated", IF(Table13[[#This Row],[Rating]] &lt; 3, "Low", IF(Table13[[#This Row],[Rating]] &lt; 4, "Medium", "High")))</f>
        <v>High</v>
      </c>
      <c r="L4">
        <v>3788</v>
      </c>
      <c r="M4">
        <v>15.7</v>
      </c>
      <c r="N4" t="str">
        <f>IF(Table13[[#This Row],[Price USD]]&lt;20,"Budget",IF(Table13[[#This Row],[Price USD]]&lt;=50,"Mid-range","Premium"))</f>
        <v>Budget</v>
      </c>
      <c r="O4">
        <v>0</v>
      </c>
      <c r="P4">
        <v>0</v>
      </c>
    </row>
    <row r="5" spans="1:19" x14ac:dyDescent="0.25">
      <c r="A5" t="s">
        <v>11</v>
      </c>
      <c r="B5" t="s">
        <v>12</v>
      </c>
      <c r="C5">
        <v>6234</v>
      </c>
      <c r="D5" t="s">
        <v>7</v>
      </c>
      <c r="E5" t="s">
        <v>13</v>
      </c>
      <c r="F5">
        <v>542743</v>
      </c>
      <c r="G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5L+</v>
      </c>
      <c r="H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Extremely Viral</v>
      </c>
      <c r="I5">
        <v>4.3456000000000001</v>
      </c>
      <c r="J5" t="str">
        <f>IF(ISBLANK(Table13[[#This Row],[Rating]]), "No", "Yes")</f>
        <v>Yes</v>
      </c>
      <c r="K5" t="str">
        <f>IF(ISBLANK(Table13[[#This Row],[Rating]]), "Not Rated", IF(Table13[[#This Row],[Rating]] &lt; 3, "Low", IF(Table13[[#This Row],[Rating]] &lt; 4, "Medium", "High")))</f>
        <v>High</v>
      </c>
      <c r="L5">
        <v>2891</v>
      </c>
      <c r="M5">
        <v>13</v>
      </c>
      <c r="N5" t="str">
        <f>IF(Table13[[#This Row],[Price USD]]&lt;20,"Budget",IF(Table13[[#This Row],[Price USD]]&lt;=50,"Mid-range","Premium"))</f>
        <v>Budget</v>
      </c>
      <c r="O5">
        <v>0</v>
      </c>
      <c r="P5">
        <v>0</v>
      </c>
    </row>
    <row r="6" spans="1:19" x14ac:dyDescent="0.25">
      <c r="A6" t="s">
        <v>14</v>
      </c>
      <c r="B6" t="s">
        <v>15</v>
      </c>
      <c r="C6">
        <v>6234</v>
      </c>
      <c r="D6" t="s">
        <v>7</v>
      </c>
      <c r="E6" t="s">
        <v>8</v>
      </c>
      <c r="F6">
        <v>533877</v>
      </c>
      <c r="G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5L+</v>
      </c>
      <c r="H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Extremely Viral</v>
      </c>
      <c r="I6">
        <v>4.5734000000000004</v>
      </c>
      <c r="J6" t="str">
        <f>IF(ISBLANK(Table13[[#This Row],[Rating]]), "No", "Yes")</f>
        <v>Yes</v>
      </c>
      <c r="K6" t="str">
        <f>IF(ISBLANK(Table13[[#This Row],[Rating]]), "Not Rated", IF(Table13[[#This Row],[Rating]] &lt; 3, "Low", IF(Table13[[#This Row],[Rating]] &lt; 4, "Medium", "High")))</f>
        <v>High</v>
      </c>
      <c r="L6">
        <v>3242</v>
      </c>
      <c r="M6">
        <v>9.5</v>
      </c>
      <c r="N6" t="str">
        <f>IF(Table13[[#This Row],[Price USD]]&lt;20,"Budget",IF(Table13[[#This Row],[Price USD]]&lt;=50,"Mid-range","Premium"))</f>
        <v>Budget</v>
      </c>
      <c r="O6">
        <v>0</v>
      </c>
      <c r="P6">
        <v>0</v>
      </c>
    </row>
    <row r="7" spans="1:19" x14ac:dyDescent="0.25">
      <c r="A7" t="s">
        <v>16</v>
      </c>
      <c r="B7" t="s">
        <v>17</v>
      </c>
      <c r="C7">
        <v>6125</v>
      </c>
      <c r="D7" t="s">
        <v>3</v>
      </c>
      <c r="E7" t="s">
        <v>4</v>
      </c>
      <c r="F7">
        <v>471406</v>
      </c>
      <c r="G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">
        <v>4.3922999999999996</v>
      </c>
      <c r="J7" t="str">
        <f>IF(ISBLANK(Table13[[#This Row],[Rating]]), "No", "Yes")</f>
        <v>Yes</v>
      </c>
      <c r="K7" t="str">
        <f>IF(ISBLANK(Table13[[#This Row],[Rating]]), "Not Rated", IF(Table13[[#This Row],[Rating]] &lt; 3, "Low", IF(Table13[[#This Row],[Rating]] &lt; 4, "Medium", "High")))</f>
        <v>High</v>
      </c>
      <c r="L7">
        <v>3722</v>
      </c>
      <c r="M7">
        <v>18</v>
      </c>
      <c r="N7" t="str">
        <f>IF(Table13[[#This Row],[Price USD]]&lt;20,"Budget",IF(Table13[[#This Row],[Price USD]]&lt;=50,"Mid-range","Premium"))</f>
        <v>Budget</v>
      </c>
      <c r="O7">
        <v>0</v>
      </c>
      <c r="P7">
        <v>0</v>
      </c>
    </row>
    <row r="8" spans="1:19" x14ac:dyDescent="0.25">
      <c r="A8" t="s">
        <v>18</v>
      </c>
      <c r="B8" t="s">
        <v>19</v>
      </c>
      <c r="C8">
        <v>7083</v>
      </c>
      <c r="D8" t="s">
        <v>20</v>
      </c>
      <c r="E8" t="s">
        <v>21</v>
      </c>
      <c r="F8">
        <v>411372</v>
      </c>
      <c r="G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">
        <v>3.9620000000000002</v>
      </c>
      <c r="J8" t="str">
        <f>IF(ISBLANK(Table13[[#This Row],[Rating]]), "No", "Yes")</f>
        <v>Yes</v>
      </c>
      <c r="K8" t="str">
        <f>IF(ISBLANK(Table13[[#This Row],[Rating]]), "Not Rated", IF(Table13[[#This Row],[Rating]] &lt; 3, "Low", IF(Table13[[#This Row],[Rating]] &lt; 4, "Medium", "High")))</f>
        <v>Medium</v>
      </c>
      <c r="L8">
        <v>6048</v>
      </c>
      <c r="M8">
        <v>68</v>
      </c>
      <c r="N8" t="str">
        <f>IF(Table13[[#This Row],[Price USD]]&lt;20,"Budget",IF(Table13[[#This Row],[Price USD]]&lt;=50,"Mid-range","Premium"))</f>
        <v>Premium</v>
      </c>
      <c r="O8">
        <v>0</v>
      </c>
      <c r="P8">
        <v>0</v>
      </c>
    </row>
    <row r="9" spans="1:19" x14ac:dyDescent="0.25">
      <c r="A9" t="s">
        <v>22</v>
      </c>
      <c r="B9" t="s">
        <v>23</v>
      </c>
      <c r="C9">
        <v>6169</v>
      </c>
      <c r="D9" t="s">
        <v>24</v>
      </c>
      <c r="E9" t="s">
        <v>13</v>
      </c>
      <c r="F9">
        <v>404142</v>
      </c>
      <c r="G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">
        <v>4.2111999999999998</v>
      </c>
      <c r="J9" t="str">
        <f>IF(ISBLANK(Table13[[#This Row],[Rating]]), "No", "Yes")</f>
        <v>Yes</v>
      </c>
      <c r="K9" t="str">
        <f>IF(ISBLANK(Table13[[#This Row],[Rating]]), "Not Rated", IF(Table13[[#This Row],[Rating]] &lt; 3, "Low", IF(Table13[[#This Row],[Rating]] &lt; 4, "Medium", "High")))</f>
        <v>High</v>
      </c>
      <c r="L9">
        <v>5851</v>
      </c>
      <c r="M9">
        <v>39</v>
      </c>
      <c r="N9" t="str">
        <f>IF(Table13[[#This Row],[Price USD]]&lt;20,"Budget",IF(Table13[[#This Row],[Price USD]]&lt;=50,"Mid-range","Premium"))</f>
        <v>Mid-range</v>
      </c>
      <c r="O9">
        <v>0</v>
      </c>
      <c r="P9">
        <v>0</v>
      </c>
    </row>
    <row r="10" spans="1:19" x14ac:dyDescent="0.25">
      <c r="A10" t="s">
        <v>25</v>
      </c>
      <c r="B10" t="s">
        <v>26</v>
      </c>
      <c r="C10">
        <v>8001</v>
      </c>
      <c r="D10" t="s">
        <v>27</v>
      </c>
      <c r="E10" t="s">
        <v>13</v>
      </c>
      <c r="F10">
        <v>403801</v>
      </c>
      <c r="G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">
        <v>4.4958</v>
      </c>
      <c r="J10" t="str">
        <f>IF(ISBLANK(Table13[[#This Row],[Rating]]), "No", "Yes")</f>
        <v>Yes</v>
      </c>
      <c r="K10" t="str">
        <f>IF(ISBLANK(Table13[[#This Row],[Rating]]), "Not Rated", IF(Table13[[#This Row],[Rating]] &lt; 3, "Low", IF(Table13[[#This Row],[Rating]] &lt; 4, "Medium", "High")))</f>
        <v>High</v>
      </c>
      <c r="L10">
        <v>6158</v>
      </c>
      <c r="M10">
        <v>36</v>
      </c>
      <c r="N10" t="str">
        <f>IF(Table13[[#This Row],[Price USD]]&lt;20,"Budget",IF(Table13[[#This Row],[Price USD]]&lt;=50,"Mid-range","Premium"))</f>
        <v>Mid-range</v>
      </c>
      <c r="O10">
        <v>0</v>
      </c>
      <c r="P10">
        <v>0</v>
      </c>
    </row>
    <row r="11" spans="1:19" x14ac:dyDescent="0.25">
      <c r="A11" t="s">
        <v>28</v>
      </c>
      <c r="B11" t="s">
        <v>29</v>
      </c>
      <c r="C11">
        <v>6189</v>
      </c>
      <c r="D11" t="s">
        <v>30</v>
      </c>
      <c r="E11" t="s">
        <v>8</v>
      </c>
      <c r="F11">
        <v>389213</v>
      </c>
      <c r="G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">
        <v>4.3975</v>
      </c>
      <c r="J11" t="str">
        <f>IF(ISBLANK(Table13[[#This Row],[Rating]]), "No", "Yes")</f>
        <v>Yes</v>
      </c>
      <c r="K11" t="str">
        <f>IF(ISBLANK(Table13[[#This Row],[Rating]]), "Not Rated", IF(Table13[[#This Row],[Rating]] &lt; 3, "Low", IF(Table13[[#This Row],[Rating]] &lt; 4, "Medium", "High")))</f>
        <v>High</v>
      </c>
      <c r="L11">
        <v>2136</v>
      </c>
      <c r="M11">
        <v>35</v>
      </c>
      <c r="N11" t="str">
        <f>IF(Table13[[#This Row],[Price USD]]&lt;20,"Budget",IF(Table13[[#This Row],[Price USD]]&lt;=50,"Mid-range","Premium"))</f>
        <v>Mid-range</v>
      </c>
      <c r="O11">
        <v>0</v>
      </c>
      <c r="P11">
        <v>0</v>
      </c>
    </row>
    <row r="12" spans="1:19" x14ac:dyDescent="0.25">
      <c r="A12" t="s">
        <v>31</v>
      </c>
      <c r="B12" t="s">
        <v>32</v>
      </c>
      <c r="C12">
        <v>6041</v>
      </c>
      <c r="D12" t="s">
        <v>33</v>
      </c>
      <c r="E12" t="s">
        <v>21</v>
      </c>
      <c r="F12">
        <v>388775</v>
      </c>
      <c r="G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">
        <v>4.1022999999999996</v>
      </c>
      <c r="J12" t="str">
        <f>IF(ISBLANK(Table13[[#This Row],[Rating]]), "No", "Yes")</f>
        <v>Yes</v>
      </c>
      <c r="K12" t="str">
        <f>IF(ISBLANK(Table13[[#This Row],[Rating]]), "Not Rated", IF(Table13[[#This Row],[Rating]] &lt; 3, "Low", IF(Table13[[#This Row],[Rating]] &lt; 4, "Medium", "High")))</f>
        <v>High</v>
      </c>
      <c r="L12">
        <v>3148</v>
      </c>
      <c r="M12">
        <v>70</v>
      </c>
      <c r="N12" t="str">
        <f>IF(Table13[[#This Row],[Price USD]]&lt;20,"Budget",IF(Table13[[#This Row],[Price USD]]&lt;=50,"Mid-range","Premium"))</f>
        <v>Premium</v>
      </c>
      <c r="O12">
        <v>0</v>
      </c>
      <c r="P12">
        <v>0</v>
      </c>
    </row>
    <row r="13" spans="1:19" x14ac:dyDescent="0.25">
      <c r="A13" t="s">
        <v>34</v>
      </c>
      <c r="B13" t="s">
        <v>35</v>
      </c>
      <c r="C13">
        <v>6041</v>
      </c>
      <c r="D13" t="s">
        <v>33</v>
      </c>
      <c r="E13" t="s">
        <v>21</v>
      </c>
      <c r="F13">
        <v>373877</v>
      </c>
      <c r="G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3">
        <v>4.0244999999999997</v>
      </c>
      <c r="J13" t="str">
        <f>IF(ISBLANK(Table13[[#This Row],[Rating]]), "No", "Yes")</f>
        <v>Yes</v>
      </c>
      <c r="K13" t="str">
        <f>IF(ISBLANK(Table13[[#This Row],[Rating]]), "Not Rated", IF(Table13[[#This Row],[Rating]] &lt; 3, "Low", IF(Table13[[#This Row],[Rating]] &lt; 4, "Medium", "High")))</f>
        <v>High</v>
      </c>
      <c r="L13">
        <v>4168</v>
      </c>
      <c r="M13">
        <v>70</v>
      </c>
      <c r="N13" t="str">
        <f>IF(Table13[[#This Row],[Price USD]]&lt;20,"Budget",IF(Table13[[#This Row],[Price USD]]&lt;=50,"Mid-range","Premium"))</f>
        <v>Premium</v>
      </c>
      <c r="O13">
        <v>0</v>
      </c>
      <c r="P13">
        <v>0</v>
      </c>
    </row>
    <row r="14" spans="1:19" x14ac:dyDescent="0.25">
      <c r="A14" t="s">
        <v>36</v>
      </c>
      <c r="B14" t="s">
        <v>37</v>
      </c>
      <c r="C14">
        <v>6247</v>
      </c>
      <c r="D14" t="s">
        <v>38</v>
      </c>
      <c r="E14" t="s">
        <v>4</v>
      </c>
      <c r="F14">
        <v>359649</v>
      </c>
      <c r="G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4">
        <v>4.2662000000000004</v>
      </c>
      <c r="J14" t="str">
        <f>IF(ISBLANK(Table13[[#This Row],[Rating]]), "No", "Yes")</f>
        <v>Yes</v>
      </c>
      <c r="K14" t="str">
        <f>IF(ISBLANK(Table13[[#This Row],[Rating]]), "Not Rated", IF(Table13[[#This Row],[Rating]] &lt; 3, "Low", IF(Table13[[#This Row],[Rating]] &lt; 4, "Medium", "High")))</f>
        <v>High</v>
      </c>
      <c r="L14">
        <v>1157</v>
      </c>
      <c r="M14">
        <v>24</v>
      </c>
      <c r="N14" t="str">
        <f>IF(Table13[[#This Row],[Price USD]]&lt;20,"Budget",IF(Table13[[#This Row],[Price USD]]&lt;=50,"Mid-range","Premium"))</f>
        <v>Mid-range</v>
      </c>
      <c r="O14">
        <v>0</v>
      </c>
      <c r="P14">
        <v>0</v>
      </c>
    </row>
    <row r="15" spans="1:19" x14ac:dyDescent="0.25">
      <c r="A15" t="s">
        <v>39</v>
      </c>
      <c r="B15" t="s">
        <v>40</v>
      </c>
      <c r="C15">
        <v>6234</v>
      </c>
      <c r="D15" t="s">
        <v>7</v>
      </c>
      <c r="E15" t="s">
        <v>8</v>
      </c>
      <c r="F15">
        <v>338410</v>
      </c>
      <c r="G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5">
        <v>4.1429</v>
      </c>
      <c r="J15" t="str">
        <f>IF(ISBLANK(Table13[[#This Row],[Rating]]), "No", "Yes")</f>
        <v>Yes</v>
      </c>
      <c r="K15" t="str">
        <f>IF(ISBLANK(Table13[[#This Row],[Rating]]), "Not Rated", IF(Table13[[#This Row],[Rating]] &lt; 3, "Low", IF(Table13[[#This Row],[Rating]] &lt; 4, "Medium", "High")))</f>
        <v>High</v>
      </c>
      <c r="L15">
        <v>1609</v>
      </c>
      <c r="M15">
        <v>30.8</v>
      </c>
      <c r="N15" t="str">
        <f>IF(Table13[[#This Row],[Price USD]]&lt;20,"Budget",IF(Table13[[#This Row],[Price USD]]&lt;=50,"Mid-range","Premium"))</f>
        <v>Mid-range</v>
      </c>
      <c r="O15">
        <v>0</v>
      </c>
      <c r="P15">
        <v>0</v>
      </c>
    </row>
    <row r="16" spans="1:19" x14ac:dyDescent="0.25">
      <c r="A16" t="s">
        <v>41</v>
      </c>
      <c r="B16" t="s">
        <v>42</v>
      </c>
      <c r="C16">
        <v>7083</v>
      </c>
      <c r="D16" t="s">
        <v>20</v>
      </c>
      <c r="E16" t="s">
        <v>8</v>
      </c>
      <c r="F16">
        <v>328059</v>
      </c>
      <c r="G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6">
        <v>4.4329999999999998</v>
      </c>
      <c r="J16" t="str">
        <f>IF(ISBLANK(Table13[[#This Row],[Rating]]), "No", "Yes")</f>
        <v>Yes</v>
      </c>
      <c r="K16" t="str">
        <f>IF(ISBLANK(Table13[[#This Row],[Rating]]), "Not Rated", IF(Table13[[#This Row],[Rating]] &lt; 3, "Low", IF(Table13[[#This Row],[Rating]] &lt; 4, "Medium", "High")))</f>
        <v>High</v>
      </c>
      <c r="L16">
        <v>2037</v>
      </c>
      <c r="M16">
        <v>38</v>
      </c>
      <c r="N16" t="str">
        <f>IF(Table13[[#This Row],[Price USD]]&lt;20,"Budget",IF(Table13[[#This Row],[Price USD]]&lt;=50,"Mid-range","Premium"))</f>
        <v>Mid-range</v>
      </c>
      <c r="O16">
        <v>0</v>
      </c>
      <c r="P16">
        <v>1</v>
      </c>
    </row>
    <row r="17" spans="1:16" x14ac:dyDescent="0.25">
      <c r="A17" t="s">
        <v>43</v>
      </c>
      <c r="B17" t="s">
        <v>44</v>
      </c>
      <c r="C17">
        <v>6209</v>
      </c>
      <c r="D17" t="s">
        <v>45</v>
      </c>
      <c r="E17" t="s">
        <v>8</v>
      </c>
      <c r="F17">
        <v>316297</v>
      </c>
      <c r="G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7">
        <v>4.1779000000000002</v>
      </c>
      <c r="J17" t="str">
        <f>IF(ISBLANK(Table13[[#This Row],[Rating]]), "No", "Yes")</f>
        <v>Yes</v>
      </c>
      <c r="K17" t="str">
        <f>IF(ISBLANK(Table13[[#This Row],[Rating]]), "Not Rated", IF(Table13[[#This Row],[Rating]] &lt; 3, "Low", IF(Table13[[#This Row],[Rating]] &lt; 4, "Medium", "High")))</f>
        <v>High</v>
      </c>
      <c r="L17">
        <v>4560</v>
      </c>
      <c r="M17">
        <v>19</v>
      </c>
      <c r="N17" t="str">
        <f>IF(Table13[[#This Row],[Price USD]]&lt;20,"Budget",IF(Table13[[#This Row],[Price USD]]&lt;=50,"Mid-range","Premium"))</f>
        <v>Budget</v>
      </c>
      <c r="O17">
        <v>0</v>
      </c>
      <c r="P17">
        <v>0</v>
      </c>
    </row>
    <row r="18" spans="1:16" x14ac:dyDescent="0.25">
      <c r="A18" t="s">
        <v>46</v>
      </c>
      <c r="B18" t="s">
        <v>47</v>
      </c>
      <c r="C18">
        <v>5987</v>
      </c>
      <c r="D18" t="s">
        <v>48</v>
      </c>
      <c r="E18" t="s">
        <v>49</v>
      </c>
      <c r="F18">
        <v>302951</v>
      </c>
      <c r="G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8">
        <v>4.26</v>
      </c>
      <c r="J18" t="str">
        <f>IF(ISBLANK(Table13[[#This Row],[Rating]]), "No", "Yes")</f>
        <v>Yes</v>
      </c>
      <c r="K18" t="str">
        <f>IF(ISBLANK(Table13[[#This Row],[Rating]]), "Not Rated", IF(Table13[[#This Row],[Rating]] &lt; 3, "Low", IF(Table13[[#This Row],[Rating]] &lt; 4, "Medium", "High")))</f>
        <v>High</v>
      </c>
      <c r="L18">
        <v>3262</v>
      </c>
      <c r="M18">
        <v>48</v>
      </c>
      <c r="N18" t="str">
        <f>IF(Table13[[#This Row],[Price USD]]&lt;20,"Budget",IF(Table13[[#This Row],[Price USD]]&lt;=50,"Mid-range","Premium"))</f>
        <v>Mid-range</v>
      </c>
      <c r="O18">
        <v>0</v>
      </c>
      <c r="P18">
        <v>0</v>
      </c>
    </row>
    <row r="19" spans="1:16" x14ac:dyDescent="0.25">
      <c r="A19" t="s">
        <v>50</v>
      </c>
      <c r="B19" t="s">
        <v>51</v>
      </c>
      <c r="C19">
        <v>7083</v>
      </c>
      <c r="D19" t="s">
        <v>20</v>
      </c>
      <c r="E19" t="s">
        <v>8</v>
      </c>
      <c r="F19">
        <v>300467</v>
      </c>
      <c r="G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9">
        <v>4.1561000000000003</v>
      </c>
      <c r="J19" t="str">
        <f>IF(ISBLANK(Table13[[#This Row],[Rating]]), "No", "Yes")</f>
        <v>Yes</v>
      </c>
      <c r="K19" t="str">
        <f>IF(ISBLANK(Table13[[#This Row],[Rating]]), "Not Rated", IF(Table13[[#This Row],[Rating]] &lt; 3, "Low", IF(Table13[[#This Row],[Rating]] &lt; 4, "Medium", "High")))</f>
        <v>High</v>
      </c>
      <c r="L19">
        <v>1602</v>
      </c>
      <c r="M19">
        <v>78</v>
      </c>
      <c r="N19" t="str">
        <f>IF(Table13[[#This Row],[Price USD]]&lt;20,"Budget",IF(Table13[[#This Row],[Price USD]]&lt;=50,"Mid-range","Premium"))</f>
        <v>Premium</v>
      </c>
      <c r="O19">
        <v>0</v>
      </c>
      <c r="P19">
        <v>0</v>
      </c>
    </row>
    <row r="20" spans="1:16" x14ac:dyDescent="0.25">
      <c r="A20" t="s">
        <v>52</v>
      </c>
      <c r="B20" t="s">
        <v>53</v>
      </c>
      <c r="C20">
        <v>5972</v>
      </c>
      <c r="D20" t="s">
        <v>54</v>
      </c>
      <c r="E20" t="s">
        <v>21</v>
      </c>
      <c r="F20">
        <v>300432</v>
      </c>
      <c r="G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0">
        <v>4.5199999999999996</v>
      </c>
      <c r="J20" t="str">
        <f>IF(ISBLANK(Table13[[#This Row],[Rating]]), "No", "Yes")</f>
        <v>Yes</v>
      </c>
      <c r="K20" t="str">
        <f>IF(ISBLANK(Table13[[#This Row],[Rating]]), "Not Rated", IF(Table13[[#This Row],[Rating]] &lt; 3, "Low", IF(Table13[[#This Row],[Rating]] &lt; 4, "Medium", "High")))</f>
        <v>High</v>
      </c>
      <c r="L20">
        <v>7539</v>
      </c>
      <c r="M20">
        <v>38</v>
      </c>
      <c r="N20" t="str">
        <f>IF(Table13[[#This Row],[Price USD]]&lt;20,"Budget",IF(Table13[[#This Row],[Price USD]]&lt;=50,"Mid-range","Premium"))</f>
        <v>Mid-range</v>
      </c>
      <c r="O20">
        <v>0</v>
      </c>
      <c r="P20">
        <v>0</v>
      </c>
    </row>
    <row r="21" spans="1:16" x14ac:dyDescent="0.25">
      <c r="A21" t="s">
        <v>55</v>
      </c>
      <c r="B21" t="s">
        <v>56</v>
      </c>
      <c r="C21">
        <v>6234</v>
      </c>
      <c r="D21" t="s">
        <v>7</v>
      </c>
      <c r="E21" t="s">
        <v>8</v>
      </c>
      <c r="F21">
        <v>295071</v>
      </c>
      <c r="G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1">
        <v>4.5034999999999998</v>
      </c>
      <c r="J21" t="str">
        <f>IF(ISBLANK(Table13[[#This Row],[Rating]]), "No", "Yes")</f>
        <v>Yes</v>
      </c>
      <c r="K21" t="str">
        <f>IF(ISBLANK(Table13[[#This Row],[Rating]]), "Not Rated", IF(Table13[[#This Row],[Rating]] &lt; 3, "Low", IF(Table13[[#This Row],[Rating]] &lt; 4, "Medium", "High")))</f>
        <v>High</v>
      </c>
      <c r="L21">
        <v>1289</v>
      </c>
      <c r="M21">
        <v>8.9</v>
      </c>
      <c r="N21" t="str">
        <f>IF(Table13[[#This Row],[Price USD]]&lt;20,"Budget",IF(Table13[[#This Row],[Price USD]]&lt;=50,"Mid-range","Premium"))</f>
        <v>Budget</v>
      </c>
      <c r="O21">
        <v>0</v>
      </c>
      <c r="P21">
        <v>0</v>
      </c>
    </row>
    <row r="22" spans="1:16" x14ac:dyDescent="0.25">
      <c r="A22" t="s">
        <v>57</v>
      </c>
      <c r="B22" t="s">
        <v>58</v>
      </c>
      <c r="C22">
        <v>7083</v>
      </c>
      <c r="D22" t="s">
        <v>20</v>
      </c>
      <c r="E22" t="s">
        <v>8</v>
      </c>
      <c r="F22">
        <v>290028</v>
      </c>
      <c r="G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2">
        <v>4.3491999999999997</v>
      </c>
      <c r="J22" t="str">
        <f>IF(ISBLANK(Table13[[#This Row],[Rating]]), "No", "Yes")</f>
        <v>Yes</v>
      </c>
      <c r="K22" t="str">
        <f>IF(ISBLANK(Table13[[#This Row],[Rating]]), "Not Rated", IF(Table13[[#This Row],[Rating]] &lt; 3, "Low", IF(Table13[[#This Row],[Rating]] &lt; 4, "Medium", "High")))</f>
        <v>High</v>
      </c>
      <c r="L22">
        <v>3439</v>
      </c>
      <c r="M22">
        <v>90</v>
      </c>
      <c r="N22" t="str">
        <f>IF(Table13[[#This Row],[Price USD]]&lt;20,"Budget",IF(Table13[[#This Row],[Price USD]]&lt;=50,"Mid-range","Premium"))</f>
        <v>Premium</v>
      </c>
      <c r="O22">
        <v>0</v>
      </c>
      <c r="P22">
        <v>0</v>
      </c>
    </row>
    <row r="23" spans="1:16" x14ac:dyDescent="0.25">
      <c r="A23" t="s">
        <v>59</v>
      </c>
      <c r="B23" t="s">
        <v>60</v>
      </c>
      <c r="C23">
        <v>4348</v>
      </c>
      <c r="D23" t="s">
        <v>61</v>
      </c>
      <c r="E23" t="s">
        <v>13</v>
      </c>
      <c r="F23">
        <v>282865</v>
      </c>
      <c r="G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3">
        <v>4.3628</v>
      </c>
      <c r="J23" t="str">
        <f>IF(ISBLANK(Table13[[#This Row],[Rating]]), "No", "Yes")</f>
        <v>Yes</v>
      </c>
      <c r="K23" t="str">
        <f>IF(ISBLANK(Table13[[#This Row],[Rating]]), "Not Rated", IF(Table13[[#This Row],[Rating]] &lt; 3, "Low", IF(Table13[[#This Row],[Rating]] &lt; 4, "Medium", "High")))</f>
        <v>High</v>
      </c>
      <c r="L23">
        <v>8733</v>
      </c>
      <c r="M23">
        <v>39</v>
      </c>
      <c r="N23" t="str">
        <f>IF(Table13[[#This Row],[Price USD]]&lt;20,"Budget",IF(Table13[[#This Row],[Price USD]]&lt;=50,"Mid-range","Premium"))</f>
        <v>Mid-range</v>
      </c>
      <c r="O23">
        <v>0</v>
      </c>
      <c r="P23">
        <v>0</v>
      </c>
    </row>
    <row r="24" spans="1:16" x14ac:dyDescent="0.25">
      <c r="A24" t="s">
        <v>62</v>
      </c>
      <c r="B24" t="s">
        <v>63</v>
      </c>
      <c r="C24">
        <v>6234</v>
      </c>
      <c r="D24" t="s">
        <v>7</v>
      </c>
      <c r="E24" t="s">
        <v>8</v>
      </c>
      <c r="F24">
        <v>281928</v>
      </c>
      <c r="G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4">
        <v>3.7715000000000001</v>
      </c>
      <c r="J24" t="str">
        <f>IF(ISBLANK(Table13[[#This Row],[Rating]]), "No", "Yes")</f>
        <v>Yes</v>
      </c>
      <c r="K24" t="str">
        <f>IF(ISBLANK(Table13[[#This Row],[Rating]]), "Not Rated", IF(Table13[[#This Row],[Rating]] &lt; 3, "Low", IF(Table13[[#This Row],[Rating]] &lt; 4, "Medium", "High")))</f>
        <v>Medium</v>
      </c>
      <c r="L24">
        <v>2118</v>
      </c>
      <c r="M24">
        <v>8.9</v>
      </c>
      <c r="N24" t="str">
        <f>IF(Table13[[#This Row],[Price USD]]&lt;20,"Budget",IF(Table13[[#This Row],[Price USD]]&lt;=50,"Mid-range","Premium"))</f>
        <v>Budget</v>
      </c>
      <c r="O24">
        <v>0</v>
      </c>
      <c r="P24">
        <v>0</v>
      </c>
    </row>
    <row r="25" spans="1:16" x14ac:dyDescent="0.25">
      <c r="A25" t="s">
        <v>64</v>
      </c>
      <c r="B25" t="s">
        <v>65</v>
      </c>
      <c r="C25">
        <v>6341</v>
      </c>
      <c r="D25" t="s">
        <v>66</v>
      </c>
      <c r="E25" t="s">
        <v>13</v>
      </c>
      <c r="F25">
        <v>275846</v>
      </c>
      <c r="G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5">
        <v>4.4398999999999997</v>
      </c>
      <c r="J25" t="str">
        <f>IF(ISBLANK(Table13[[#This Row],[Rating]]), "No", "Yes")</f>
        <v>Yes</v>
      </c>
      <c r="K25" t="str">
        <f>IF(ISBLANK(Table13[[#This Row],[Rating]]), "Not Rated", IF(Table13[[#This Row],[Rating]] &lt; 3, "Low", IF(Table13[[#This Row],[Rating]] &lt; 4, "Medium", "High")))</f>
        <v>High</v>
      </c>
      <c r="L25">
        <v>1182</v>
      </c>
      <c r="M25">
        <v>34</v>
      </c>
      <c r="N25" t="str">
        <f>IF(Table13[[#This Row],[Price USD]]&lt;20,"Budget",IF(Table13[[#This Row],[Price USD]]&lt;=50,"Mid-range","Premium"))</f>
        <v>Mid-range</v>
      </c>
      <c r="O25">
        <v>0</v>
      </c>
      <c r="P25">
        <v>0</v>
      </c>
    </row>
    <row r="26" spans="1:16" x14ac:dyDescent="0.25">
      <c r="A26" t="s">
        <v>67</v>
      </c>
      <c r="B26" t="s">
        <v>68</v>
      </c>
      <c r="C26">
        <v>7083</v>
      </c>
      <c r="D26" t="s">
        <v>20</v>
      </c>
      <c r="E26" t="s">
        <v>69</v>
      </c>
      <c r="F26">
        <v>274915</v>
      </c>
      <c r="G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6">
        <v>4.2908999999999997</v>
      </c>
      <c r="J26" t="str">
        <f>IF(ISBLANK(Table13[[#This Row],[Rating]]), "No", "Yes")</f>
        <v>Yes</v>
      </c>
      <c r="K26" t="str">
        <f>IF(ISBLANK(Table13[[#This Row],[Rating]]), "Not Rated", IF(Table13[[#This Row],[Rating]] &lt; 3, "Low", IF(Table13[[#This Row],[Rating]] &lt; 4, "Medium", "High")))</f>
        <v>High</v>
      </c>
      <c r="L26">
        <v>2554</v>
      </c>
      <c r="M26">
        <v>80</v>
      </c>
      <c r="N26" t="str">
        <f>IF(Table13[[#This Row],[Price USD]]&lt;20,"Budget",IF(Table13[[#This Row],[Price USD]]&lt;=50,"Mid-range","Premium"))</f>
        <v>Premium</v>
      </c>
      <c r="O26">
        <v>0</v>
      </c>
      <c r="P26">
        <v>0</v>
      </c>
    </row>
    <row r="27" spans="1:16" x14ac:dyDescent="0.25">
      <c r="A27" t="s">
        <v>70</v>
      </c>
      <c r="B27" t="s">
        <v>71</v>
      </c>
      <c r="C27">
        <v>3902</v>
      </c>
      <c r="D27" t="s">
        <v>72</v>
      </c>
      <c r="E27" t="s">
        <v>13</v>
      </c>
      <c r="F27">
        <v>266116</v>
      </c>
      <c r="G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7">
        <v>4.3383000000000003</v>
      </c>
      <c r="J27" t="str">
        <f>IF(ISBLANK(Table13[[#This Row],[Rating]]), "No", "Yes")</f>
        <v>Yes</v>
      </c>
      <c r="K27" t="str">
        <f>IF(ISBLANK(Table13[[#This Row],[Rating]]), "Not Rated", IF(Table13[[#This Row],[Rating]] &lt; 3, "Low", IF(Table13[[#This Row],[Rating]] &lt; 4, "Medium", "High")))</f>
        <v>High</v>
      </c>
      <c r="L27">
        <v>3837</v>
      </c>
      <c r="M27">
        <v>3</v>
      </c>
      <c r="N27" t="str">
        <f>IF(Table13[[#This Row],[Price USD]]&lt;20,"Budget",IF(Table13[[#This Row],[Price USD]]&lt;=50,"Mid-range","Premium"))</f>
        <v>Budget</v>
      </c>
      <c r="O27">
        <v>0</v>
      </c>
      <c r="P27">
        <v>1</v>
      </c>
    </row>
    <row r="28" spans="1:16" x14ac:dyDescent="0.25">
      <c r="A28" t="s">
        <v>73</v>
      </c>
      <c r="B28" t="s">
        <v>74</v>
      </c>
      <c r="C28">
        <v>7075</v>
      </c>
      <c r="D28" t="s">
        <v>75</v>
      </c>
      <c r="E28" t="s">
        <v>21</v>
      </c>
      <c r="F28">
        <v>265050</v>
      </c>
      <c r="G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8">
        <v>4.4840999999999998</v>
      </c>
      <c r="J28" t="str">
        <f>IF(ISBLANK(Table13[[#This Row],[Rating]]), "No", "Yes")</f>
        <v>Yes</v>
      </c>
      <c r="K28" t="str">
        <f>IF(ISBLANK(Table13[[#This Row],[Rating]]), "Not Rated", IF(Table13[[#This Row],[Rating]] &lt; 3, "Low", IF(Table13[[#This Row],[Rating]] &lt; 4, "Medium", "High")))</f>
        <v>High</v>
      </c>
      <c r="L28">
        <v>7292</v>
      </c>
      <c r="M28">
        <v>38</v>
      </c>
      <c r="N28" t="str">
        <f>IF(Table13[[#This Row],[Price USD]]&lt;20,"Budget",IF(Table13[[#This Row],[Price USD]]&lt;=50,"Mid-range","Premium"))</f>
        <v>Mid-range</v>
      </c>
      <c r="O28">
        <v>0</v>
      </c>
      <c r="P28">
        <v>0</v>
      </c>
    </row>
    <row r="29" spans="1:16" x14ac:dyDescent="0.25">
      <c r="A29" t="s">
        <v>76</v>
      </c>
      <c r="B29" t="s">
        <v>77</v>
      </c>
      <c r="C29">
        <v>6073</v>
      </c>
      <c r="D29" t="s">
        <v>78</v>
      </c>
      <c r="E29" t="s">
        <v>8</v>
      </c>
      <c r="F29">
        <v>262434</v>
      </c>
      <c r="G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29">
        <v>4.3375000000000004</v>
      </c>
      <c r="J29" t="str">
        <f>IF(ISBLANK(Table13[[#This Row],[Rating]]), "No", "Yes")</f>
        <v>Yes</v>
      </c>
      <c r="K29" t="str">
        <f>IF(ISBLANK(Table13[[#This Row],[Rating]]), "Not Rated", IF(Table13[[#This Row],[Rating]] &lt; 3, "Low", IF(Table13[[#This Row],[Rating]] &lt; 4, "Medium", "High")))</f>
        <v>High</v>
      </c>
      <c r="L29">
        <v>5393</v>
      </c>
      <c r="M29">
        <v>122</v>
      </c>
      <c r="N29" t="str">
        <f>IF(Table13[[#This Row],[Price USD]]&lt;20,"Budget",IF(Table13[[#This Row],[Price USD]]&lt;=50,"Mid-range","Premium"))</f>
        <v>Premium</v>
      </c>
      <c r="O29">
        <v>0</v>
      </c>
      <c r="P29">
        <v>0</v>
      </c>
    </row>
    <row r="30" spans="1:16" x14ac:dyDescent="0.25">
      <c r="A30" t="s">
        <v>79</v>
      </c>
      <c r="B30" t="s">
        <v>80</v>
      </c>
      <c r="C30">
        <v>6234</v>
      </c>
      <c r="D30" t="s">
        <v>7</v>
      </c>
      <c r="E30" t="s">
        <v>8</v>
      </c>
      <c r="F30">
        <v>258456</v>
      </c>
      <c r="G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0">
        <v>4.1471999999999998</v>
      </c>
      <c r="J30" t="str">
        <f>IF(ISBLANK(Table13[[#This Row],[Rating]]), "No", "Yes")</f>
        <v>Yes</v>
      </c>
      <c r="K30" t="str">
        <f>IF(ISBLANK(Table13[[#This Row],[Rating]]), "Not Rated", IF(Table13[[#This Row],[Rating]] &lt; 3, "Low", IF(Table13[[#This Row],[Rating]] &lt; 4, "Medium", "High")))</f>
        <v>High</v>
      </c>
      <c r="L30">
        <v>2052</v>
      </c>
      <c r="M30">
        <v>6.5</v>
      </c>
      <c r="N30" t="str">
        <f>IF(Table13[[#This Row],[Price USD]]&lt;20,"Budget",IF(Table13[[#This Row],[Price USD]]&lt;=50,"Mid-range","Premium"))</f>
        <v>Budget</v>
      </c>
      <c r="O30">
        <v>0</v>
      </c>
      <c r="P30">
        <v>0</v>
      </c>
    </row>
    <row r="31" spans="1:16" x14ac:dyDescent="0.25">
      <c r="A31" t="s">
        <v>81</v>
      </c>
      <c r="B31" t="s">
        <v>82</v>
      </c>
      <c r="C31">
        <v>6189</v>
      </c>
      <c r="D31" t="s">
        <v>30</v>
      </c>
      <c r="E31" t="s">
        <v>13</v>
      </c>
      <c r="F31">
        <v>252846</v>
      </c>
      <c r="G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1">
        <v>4.3727999999999998</v>
      </c>
      <c r="J31" t="str">
        <f>IF(ISBLANK(Table13[[#This Row],[Rating]]), "No", "Yes")</f>
        <v>Yes</v>
      </c>
      <c r="K31" t="str">
        <f>IF(ISBLANK(Table13[[#This Row],[Rating]]), "Not Rated", IF(Table13[[#This Row],[Rating]] &lt; 3, "Low", IF(Table13[[#This Row],[Rating]] &lt; 4, "Medium", "High")))</f>
        <v>High</v>
      </c>
      <c r="L31">
        <v>3305</v>
      </c>
      <c r="M31">
        <v>34</v>
      </c>
      <c r="N31" t="str">
        <f>IF(Table13[[#This Row],[Price USD]]&lt;20,"Budget",IF(Table13[[#This Row],[Price USD]]&lt;=50,"Mid-range","Premium"))</f>
        <v>Mid-range</v>
      </c>
      <c r="O31">
        <v>0</v>
      </c>
      <c r="P31">
        <v>0</v>
      </c>
    </row>
    <row r="32" spans="1:16" x14ac:dyDescent="0.25">
      <c r="A32" t="s">
        <v>83</v>
      </c>
      <c r="B32" t="s">
        <v>84</v>
      </c>
      <c r="C32">
        <v>6169</v>
      </c>
      <c r="D32" t="s">
        <v>24</v>
      </c>
      <c r="E32" t="s">
        <v>69</v>
      </c>
      <c r="F32">
        <v>248887</v>
      </c>
      <c r="G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2">
        <v>4.3236999999999997</v>
      </c>
      <c r="J32" t="str">
        <f>IF(ISBLANK(Table13[[#This Row],[Rating]]), "No", "Yes")</f>
        <v>Yes</v>
      </c>
      <c r="K32" t="str">
        <f>IF(ISBLANK(Table13[[#This Row],[Rating]]), "Not Rated", IF(Table13[[#This Row],[Rating]] &lt; 3, "Low", IF(Table13[[#This Row],[Rating]] &lt; 4, "Medium", "High")))</f>
        <v>High</v>
      </c>
      <c r="L32">
        <v>2354</v>
      </c>
      <c r="M32">
        <v>52</v>
      </c>
      <c r="N32" t="str">
        <f>IF(Table13[[#This Row],[Price USD]]&lt;20,"Budget",IF(Table13[[#This Row],[Price USD]]&lt;=50,"Mid-range","Premium"))</f>
        <v>Premium</v>
      </c>
      <c r="O32">
        <v>0</v>
      </c>
      <c r="P32">
        <v>0</v>
      </c>
    </row>
    <row r="33" spans="1:16" x14ac:dyDescent="0.25">
      <c r="A33" t="s">
        <v>85</v>
      </c>
      <c r="B33" t="s">
        <v>86</v>
      </c>
      <c r="C33">
        <v>6041</v>
      </c>
      <c r="D33" t="s">
        <v>33</v>
      </c>
      <c r="E33" t="s">
        <v>13</v>
      </c>
      <c r="F33">
        <v>245976</v>
      </c>
      <c r="G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3">
        <v>4.1478000000000002</v>
      </c>
      <c r="J33" t="str">
        <f>IF(ISBLANK(Table13[[#This Row],[Rating]]), "No", "Yes")</f>
        <v>Yes</v>
      </c>
      <c r="K33" t="str">
        <f>IF(ISBLANK(Table13[[#This Row],[Rating]]), "Not Rated", IF(Table13[[#This Row],[Rating]] &lt; 3, "Low", IF(Table13[[#This Row],[Rating]] &lt; 4, "Medium", "High")))</f>
        <v>High</v>
      </c>
      <c r="L33">
        <v>2361</v>
      </c>
      <c r="M33">
        <v>40</v>
      </c>
      <c r="N33" t="str">
        <f>IF(Table13[[#This Row],[Price USD]]&lt;20,"Budget",IF(Table13[[#This Row],[Price USD]]&lt;=50,"Mid-range","Premium"))</f>
        <v>Mid-range</v>
      </c>
      <c r="O33">
        <v>0</v>
      </c>
      <c r="P33">
        <v>0</v>
      </c>
    </row>
    <row r="34" spans="1:16" x14ac:dyDescent="0.25">
      <c r="A34" t="s">
        <v>87</v>
      </c>
      <c r="B34" t="s">
        <v>88</v>
      </c>
      <c r="C34">
        <v>6247</v>
      </c>
      <c r="D34" t="s">
        <v>38</v>
      </c>
      <c r="E34" t="s">
        <v>69</v>
      </c>
      <c r="F34">
        <v>245435</v>
      </c>
      <c r="G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4">
        <v>4.0262000000000002</v>
      </c>
      <c r="J34" t="str">
        <f>IF(ISBLANK(Table13[[#This Row],[Rating]]), "No", "Yes")</f>
        <v>Yes</v>
      </c>
      <c r="K34" t="str">
        <f>IF(ISBLANK(Table13[[#This Row],[Rating]]), "Not Rated", IF(Table13[[#This Row],[Rating]] &lt; 3, "Low", IF(Table13[[#This Row],[Rating]] &lt; 4, "Medium", "High")))</f>
        <v>High</v>
      </c>
      <c r="L34">
        <v>4427</v>
      </c>
      <c r="M34">
        <v>49</v>
      </c>
      <c r="N34" t="str">
        <f>IF(Table13[[#This Row],[Price USD]]&lt;20,"Budget",IF(Table13[[#This Row],[Price USD]]&lt;=50,"Mid-range","Premium"))</f>
        <v>Mid-range</v>
      </c>
      <c r="O34">
        <v>0</v>
      </c>
      <c r="P34">
        <v>0</v>
      </c>
    </row>
    <row r="35" spans="1:16" x14ac:dyDescent="0.25">
      <c r="A35" t="s">
        <v>89</v>
      </c>
      <c r="B35" t="s">
        <v>90</v>
      </c>
      <c r="C35">
        <v>6234</v>
      </c>
      <c r="D35" t="s">
        <v>7</v>
      </c>
      <c r="E35" t="s">
        <v>21</v>
      </c>
      <c r="F35">
        <v>240783</v>
      </c>
      <c r="G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5">
        <v>4.3987999999999996</v>
      </c>
      <c r="J35" t="str">
        <f>IF(ISBLANK(Table13[[#This Row],[Rating]]), "No", "Yes")</f>
        <v>Yes</v>
      </c>
      <c r="K35" t="str">
        <f>IF(ISBLANK(Table13[[#This Row],[Rating]]), "Not Rated", IF(Table13[[#This Row],[Rating]] &lt; 3, "Low", IF(Table13[[#This Row],[Rating]] &lt; 4, "Medium", "High")))</f>
        <v>High</v>
      </c>
      <c r="L35">
        <v>1620</v>
      </c>
      <c r="M35">
        <v>10.9</v>
      </c>
      <c r="N35" t="str">
        <f>IF(Table13[[#This Row],[Price USD]]&lt;20,"Budget",IF(Table13[[#This Row],[Price USD]]&lt;=50,"Mid-range","Premium"))</f>
        <v>Budget</v>
      </c>
      <c r="O35">
        <v>0</v>
      </c>
      <c r="P35">
        <v>0</v>
      </c>
    </row>
    <row r="36" spans="1:16" x14ac:dyDescent="0.25">
      <c r="A36" t="s">
        <v>91</v>
      </c>
      <c r="B36" t="s">
        <v>92</v>
      </c>
      <c r="C36">
        <v>5668</v>
      </c>
      <c r="D36" t="s">
        <v>93</v>
      </c>
      <c r="E36" t="s">
        <v>8</v>
      </c>
      <c r="F36">
        <v>234295</v>
      </c>
      <c r="G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6">
        <v>4.5454999999999997</v>
      </c>
      <c r="J36" t="str">
        <f>IF(ISBLANK(Table13[[#This Row],[Rating]]), "No", "Yes")</f>
        <v>Yes</v>
      </c>
      <c r="K36" t="str">
        <f>IF(ISBLANK(Table13[[#This Row],[Rating]]), "Not Rated", IF(Table13[[#This Row],[Rating]] &lt; 3, "Low", IF(Table13[[#This Row],[Rating]] &lt; 4, "Medium", "High")))</f>
        <v>High</v>
      </c>
      <c r="L36">
        <v>7412</v>
      </c>
      <c r="M36">
        <v>92</v>
      </c>
      <c r="N36" t="str">
        <f>IF(Table13[[#This Row],[Price USD]]&lt;20,"Budget",IF(Table13[[#This Row],[Price USD]]&lt;=50,"Mid-range","Premium"))</f>
        <v>Premium</v>
      </c>
      <c r="O36">
        <v>0</v>
      </c>
      <c r="P36">
        <v>0</v>
      </c>
    </row>
    <row r="37" spans="1:16" x14ac:dyDescent="0.25">
      <c r="A37" t="s">
        <v>94</v>
      </c>
      <c r="B37" t="s">
        <v>95</v>
      </c>
      <c r="C37">
        <v>5987</v>
      </c>
      <c r="D37" t="s">
        <v>48</v>
      </c>
      <c r="E37" t="s">
        <v>49</v>
      </c>
      <c r="F37">
        <v>231004</v>
      </c>
      <c r="G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7">
        <v>4.1513</v>
      </c>
      <c r="J37" t="str">
        <f>IF(ISBLANK(Table13[[#This Row],[Rating]]), "No", "Yes")</f>
        <v>Yes</v>
      </c>
      <c r="K37" t="str">
        <f>IF(ISBLANK(Table13[[#This Row],[Rating]]), "Not Rated", IF(Table13[[#This Row],[Rating]] &lt; 3, "Low", IF(Table13[[#This Row],[Rating]] &lt; 4, "Medium", "High")))</f>
        <v>High</v>
      </c>
      <c r="L37">
        <v>2049</v>
      </c>
      <c r="M37">
        <v>38</v>
      </c>
      <c r="N37" t="str">
        <f>IF(Table13[[#This Row],[Price USD]]&lt;20,"Budget",IF(Table13[[#This Row],[Price USD]]&lt;=50,"Mid-range","Premium"))</f>
        <v>Mid-range</v>
      </c>
      <c r="O37">
        <v>0</v>
      </c>
      <c r="P37">
        <v>0</v>
      </c>
    </row>
    <row r="38" spans="1:16" x14ac:dyDescent="0.25">
      <c r="A38" t="s">
        <v>96</v>
      </c>
      <c r="B38" t="s">
        <v>97</v>
      </c>
      <c r="C38">
        <v>7083</v>
      </c>
      <c r="D38" t="s">
        <v>20</v>
      </c>
      <c r="E38" t="s">
        <v>8</v>
      </c>
      <c r="F38">
        <v>216418</v>
      </c>
      <c r="G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8">
        <v>4.1863000000000001</v>
      </c>
      <c r="J38" t="str">
        <f>IF(ISBLANK(Table13[[#This Row],[Rating]]), "No", "Yes")</f>
        <v>Yes</v>
      </c>
      <c r="K38" t="str">
        <f>IF(ISBLANK(Table13[[#This Row],[Rating]]), "Not Rated", IF(Table13[[#This Row],[Rating]] &lt; 3, "Low", IF(Table13[[#This Row],[Rating]] &lt; 4, "Medium", "High")))</f>
        <v>High</v>
      </c>
      <c r="L38">
        <v>2561</v>
      </c>
      <c r="M38">
        <v>49</v>
      </c>
      <c r="N38" t="str">
        <f>IF(Table13[[#This Row],[Price USD]]&lt;20,"Budget",IF(Table13[[#This Row],[Price USD]]&lt;=50,"Mid-range","Premium"))</f>
        <v>Mid-range</v>
      </c>
      <c r="O38">
        <v>0</v>
      </c>
      <c r="P38">
        <v>0</v>
      </c>
    </row>
    <row r="39" spans="1:16" x14ac:dyDescent="0.25">
      <c r="A39" t="s">
        <v>98</v>
      </c>
      <c r="B39" t="s">
        <v>99</v>
      </c>
      <c r="C39">
        <v>7083</v>
      </c>
      <c r="D39" t="s">
        <v>20</v>
      </c>
      <c r="E39" t="s">
        <v>8</v>
      </c>
      <c r="F39">
        <v>214435</v>
      </c>
      <c r="G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39">
        <v>4.2008000000000001</v>
      </c>
      <c r="J39" t="str">
        <f>IF(ISBLANK(Table13[[#This Row],[Rating]]), "No", "Yes")</f>
        <v>Yes</v>
      </c>
      <c r="K39" t="str">
        <f>IF(ISBLANK(Table13[[#This Row],[Rating]]), "Not Rated", IF(Table13[[#This Row],[Rating]] &lt; 3, "Low", IF(Table13[[#This Row],[Rating]] &lt; 4, "Medium", "High")))</f>
        <v>High</v>
      </c>
      <c r="L39">
        <v>1265</v>
      </c>
      <c r="M39">
        <v>74</v>
      </c>
      <c r="N39" t="str">
        <f>IF(Table13[[#This Row],[Price USD]]&lt;20,"Budget",IF(Table13[[#This Row],[Price USD]]&lt;=50,"Mid-range","Premium"))</f>
        <v>Premium</v>
      </c>
      <c r="O39">
        <v>0</v>
      </c>
      <c r="P39">
        <v>0</v>
      </c>
    </row>
    <row r="40" spans="1:16" x14ac:dyDescent="0.25">
      <c r="A40" t="s">
        <v>100</v>
      </c>
      <c r="B40" t="s">
        <v>101</v>
      </c>
      <c r="C40">
        <v>6014</v>
      </c>
      <c r="D40" t="s">
        <v>102</v>
      </c>
      <c r="E40" t="s">
        <v>21</v>
      </c>
      <c r="F40">
        <v>210786</v>
      </c>
      <c r="G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0">
        <v>3.9904000000000002</v>
      </c>
      <c r="J40" t="str">
        <f>IF(ISBLANK(Table13[[#This Row],[Rating]]), "No", "Yes")</f>
        <v>Yes</v>
      </c>
      <c r="K40" t="str">
        <f>IF(ISBLANK(Table13[[#This Row],[Rating]]), "Not Rated", IF(Table13[[#This Row],[Rating]] &lt; 3, "Low", IF(Table13[[#This Row],[Rating]] &lt; 4, "Medium", "High")))</f>
        <v>Medium</v>
      </c>
      <c r="L40">
        <v>5309</v>
      </c>
      <c r="M40">
        <v>52</v>
      </c>
      <c r="N40" t="str">
        <f>IF(Table13[[#This Row],[Price USD]]&lt;20,"Budget",IF(Table13[[#This Row],[Price USD]]&lt;=50,"Mid-range","Premium"))</f>
        <v>Premium</v>
      </c>
      <c r="O40">
        <v>0</v>
      </c>
      <c r="P40">
        <v>0</v>
      </c>
    </row>
    <row r="41" spans="1:16" x14ac:dyDescent="0.25">
      <c r="A41" t="s">
        <v>103</v>
      </c>
      <c r="B41" t="s">
        <v>104</v>
      </c>
      <c r="C41">
        <v>8008</v>
      </c>
      <c r="D41" t="s">
        <v>105</v>
      </c>
      <c r="E41" t="s">
        <v>106</v>
      </c>
      <c r="F41">
        <v>209716</v>
      </c>
      <c r="G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1">
        <v>3.9546999999999999</v>
      </c>
      <c r="J41" t="str">
        <f>IF(ISBLANK(Table13[[#This Row],[Rating]]), "No", "Yes")</f>
        <v>Yes</v>
      </c>
      <c r="K41" t="str">
        <f>IF(ISBLANK(Table13[[#This Row],[Rating]]), "Not Rated", IF(Table13[[#This Row],[Rating]] &lt; 3, "Low", IF(Table13[[#This Row],[Rating]] &lt; 4, "Medium", "High")))</f>
        <v>Medium</v>
      </c>
      <c r="L41">
        <v>2849</v>
      </c>
      <c r="M41">
        <v>32</v>
      </c>
      <c r="N41" t="str">
        <f>IF(Table13[[#This Row],[Price USD]]&lt;20,"Budget",IF(Table13[[#This Row],[Price USD]]&lt;=50,"Mid-range","Premium"))</f>
        <v>Mid-range</v>
      </c>
      <c r="O41">
        <v>0</v>
      </c>
      <c r="P41">
        <v>0</v>
      </c>
    </row>
    <row r="42" spans="1:16" x14ac:dyDescent="0.25">
      <c r="A42" t="s">
        <v>107</v>
      </c>
      <c r="B42" t="s">
        <v>108</v>
      </c>
      <c r="C42">
        <v>6041</v>
      </c>
      <c r="D42" t="s">
        <v>33</v>
      </c>
      <c r="E42" t="s">
        <v>21</v>
      </c>
      <c r="F42">
        <v>209577</v>
      </c>
      <c r="G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2">
        <v>3.9510000000000001</v>
      </c>
      <c r="J42" t="str">
        <f>IF(ISBLANK(Table13[[#This Row],[Rating]]), "No", "Yes")</f>
        <v>Yes</v>
      </c>
      <c r="K42" t="str">
        <f>IF(ISBLANK(Table13[[#This Row],[Rating]]), "Not Rated", IF(Table13[[#This Row],[Rating]] &lt; 3, "Low", IF(Table13[[#This Row],[Rating]] &lt; 4, "Medium", "High")))</f>
        <v>Medium</v>
      </c>
      <c r="L42">
        <v>2041</v>
      </c>
      <c r="M42">
        <v>49</v>
      </c>
      <c r="N42" t="str">
        <f>IF(Table13[[#This Row],[Price USD]]&lt;20,"Budget",IF(Table13[[#This Row],[Price USD]]&lt;=50,"Mid-range","Premium"))</f>
        <v>Mid-range</v>
      </c>
      <c r="O42">
        <v>0</v>
      </c>
      <c r="P42">
        <v>0</v>
      </c>
    </row>
    <row r="43" spans="1:16" x14ac:dyDescent="0.25">
      <c r="A43" t="s">
        <v>109</v>
      </c>
      <c r="B43" t="s">
        <v>110</v>
      </c>
      <c r="C43">
        <v>6289</v>
      </c>
      <c r="D43" t="s">
        <v>111</v>
      </c>
      <c r="E43" t="s">
        <v>21</v>
      </c>
      <c r="F43">
        <v>206494</v>
      </c>
      <c r="G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3">
        <v>4.2923999999999998</v>
      </c>
      <c r="J43" t="str">
        <f>IF(ISBLANK(Table13[[#This Row],[Rating]]), "No", "Yes")</f>
        <v>Yes</v>
      </c>
      <c r="K43" t="str">
        <f>IF(ISBLANK(Table13[[#This Row],[Rating]]), "Not Rated", IF(Table13[[#This Row],[Rating]] &lt; 3, "Low", IF(Table13[[#This Row],[Rating]] &lt; 4, "Medium", "High")))</f>
        <v>High</v>
      </c>
      <c r="L43">
        <v>2449</v>
      </c>
      <c r="M43">
        <v>54</v>
      </c>
      <c r="N43" t="str">
        <f>IF(Table13[[#This Row],[Price USD]]&lt;20,"Budget",IF(Table13[[#This Row],[Price USD]]&lt;=50,"Mid-range","Premium"))</f>
        <v>Premium</v>
      </c>
      <c r="O43">
        <v>0</v>
      </c>
      <c r="P43">
        <v>0</v>
      </c>
    </row>
    <row r="44" spans="1:16" x14ac:dyDescent="0.25">
      <c r="A44" t="s">
        <v>112</v>
      </c>
      <c r="B44" t="s">
        <v>113</v>
      </c>
      <c r="C44">
        <v>6041</v>
      </c>
      <c r="D44" t="s">
        <v>33</v>
      </c>
      <c r="E44" t="s">
        <v>4</v>
      </c>
      <c r="F44">
        <v>202204</v>
      </c>
      <c r="G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4">
        <v>3.7724000000000002</v>
      </c>
      <c r="J44" t="str">
        <f>IF(ISBLANK(Table13[[#This Row],[Rating]]), "No", "Yes")</f>
        <v>Yes</v>
      </c>
      <c r="K44" t="str">
        <f>IF(ISBLANK(Table13[[#This Row],[Rating]]), "Not Rated", IF(Table13[[#This Row],[Rating]] &lt; 3, "Low", IF(Table13[[#This Row],[Rating]] &lt; 4, "Medium", "High")))</f>
        <v>Medium</v>
      </c>
      <c r="L44">
        <v>1226</v>
      </c>
      <c r="M44">
        <v>29</v>
      </c>
      <c r="N44" t="str">
        <f>IF(Table13[[#This Row],[Price USD]]&lt;20,"Budget",IF(Table13[[#This Row],[Price USD]]&lt;=50,"Mid-range","Premium"))</f>
        <v>Mid-range</v>
      </c>
      <c r="O44">
        <v>0</v>
      </c>
      <c r="P44">
        <v>0</v>
      </c>
    </row>
    <row r="45" spans="1:16" x14ac:dyDescent="0.25">
      <c r="A45" t="s">
        <v>114</v>
      </c>
      <c r="B45" t="s">
        <v>115</v>
      </c>
      <c r="C45">
        <v>6218</v>
      </c>
      <c r="D45" t="s">
        <v>116</v>
      </c>
      <c r="E45" t="s">
        <v>21</v>
      </c>
      <c r="F45">
        <v>201776</v>
      </c>
      <c r="G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5">
        <v>4.4469000000000003</v>
      </c>
      <c r="J45" t="str">
        <f>IF(ISBLANK(Table13[[#This Row],[Rating]]), "No", "Yes")</f>
        <v>Yes</v>
      </c>
      <c r="K45" t="str">
        <f>IF(ISBLANK(Table13[[#This Row],[Rating]]), "Not Rated", IF(Table13[[#This Row],[Rating]] &lt; 3, "Low", IF(Table13[[#This Row],[Rating]] &lt; 4, "Medium", "High")))</f>
        <v>High</v>
      </c>
      <c r="L45">
        <v>2515</v>
      </c>
      <c r="M45">
        <v>78</v>
      </c>
      <c r="N45" t="str">
        <f>IF(Table13[[#This Row],[Price USD]]&lt;20,"Budget",IF(Table13[[#This Row],[Price USD]]&lt;=50,"Mid-range","Premium"))</f>
        <v>Premium</v>
      </c>
      <c r="O45">
        <v>1</v>
      </c>
      <c r="P45">
        <v>0</v>
      </c>
    </row>
    <row r="46" spans="1:16" x14ac:dyDescent="0.25">
      <c r="A46" t="s">
        <v>117</v>
      </c>
      <c r="B46" t="s">
        <v>118</v>
      </c>
      <c r="C46">
        <v>6285</v>
      </c>
      <c r="D46" t="s">
        <v>119</v>
      </c>
      <c r="E46" t="s">
        <v>8</v>
      </c>
      <c r="F46">
        <v>200087</v>
      </c>
      <c r="G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6">
        <v>4.3826000000000001</v>
      </c>
      <c r="J46" t="str">
        <f>IF(ISBLANK(Table13[[#This Row],[Rating]]), "No", "Yes")</f>
        <v>Yes</v>
      </c>
      <c r="K46" t="str">
        <f>IF(ISBLANK(Table13[[#This Row],[Rating]]), "Not Rated", IF(Table13[[#This Row],[Rating]] &lt; 3, "Low", IF(Table13[[#This Row],[Rating]] &lt; 4, "Medium", "High")))</f>
        <v>High</v>
      </c>
      <c r="L46">
        <v>1137</v>
      </c>
      <c r="M46">
        <v>12.99</v>
      </c>
      <c r="N46" t="str">
        <f>IF(Table13[[#This Row],[Price USD]]&lt;20,"Budget",IF(Table13[[#This Row],[Price USD]]&lt;=50,"Mid-range","Premium"))</f>
        <v>Budget</v>
      </c>
      <c r="O46">
        <v>0</v>
      </c>
      <c r="P46">
        <v>0</v>
      </c>
    </row>
    <row r="47" spans="1:16" x14ac:dyDescent="0.25">
      <c r="A47" t="s">
        <v>120</v>
      </c>
      <c r="B47" t="s">
        <v>121</v>
      </c>
      <c r="C47">
        <v>6234</v>
      </c>
      <c r="D47" t="s">
        <v>7</v>
      </c>
      <c r="E47" t="s">
        <v>8</v>
      </c>
      <c r="F47">
        <v>195325</v>
      </c>
      <c r="G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7">
        <v>4.4547999999999996</v>
      </c>
      <c r="J47" t="str">
        <f>IF(ISBLANK(Table13[[#This Row],[Rating]]), "No", "Yes")</f>
        <v>Yes</v>
      </c>
      <c r="K47" t="str">
        <f>IF(ISBLANK(Table13[[#This Row],[Rating]]), "Not Rated", IF(Table13[[#This Row],[Rating]] &lt; 3, "Low", IF(Table13[[#This Row],[Rating]] &lt; 4, "Medium", "High")))</f>
        <v>High</v>
      </c>
      <c r="L47">
        <v>708</v>
      </c>
      <c r="M47">
        <v>11.7</v>
      </c>
      <c r="N47" t="str">
        <f>IF(Table13[[#This Row],[Price USD]]&lt;20,"Budget",IF(Table13[[#This Row],[Price USD]]&lt;=50,"Mid-range","Premium"))</f>
        <v>Budget</v>
      </c>
      <c r="O47">
        <v>0</v>
      </c>
      <c r="P47">
        <v>0</v>
      </c>
    </row>
    <row r="48" spans="1:16" x14ac:dyDescent="0.25">
      <c r="A48" t="s">
        <v>122</v>
      </c>
      <c r="B48" t="s">
        <v>123</v>
      </c>
      <c r="C48">
        <v>3733</v>
      </c>
      <c r="D48" t="s">
        <v>124</v>
      </c>
      <c r="E48" t="s">
        <v>69</v>
      </c>
      <c r="F48">
        <v>194892</v>
      </c>
      <c r="G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8">
        <v>4.3292000000000002</v>
      </c>
      <c r="J48" t="str">
        <f>IF(ISBLANK(Table13[[#This Row],[Rating]]), "No", "Yes")</f>
        <v>Yes</v>
      </c>
      <c r="K48" t="str">
        <f>IF(ISBLANK(Table13[[#This Row],[Rating]]), "Not Rated", IF(Table13[[#This Row],[Rating]] &lt; 3, "Low", IF(Table13[[#This Row],[Rating]] &lt; 4, "Medium", "High")))</f>
        <v>High</v>
      </c>
      <c r="L48">
        <v>4526</v>
      </c>
      <c r="M48">
        <v>17</v>
      </c>
      <c r="N48" t="str">
        <f>IF(Table13[[#This Row],[Price USD]]&lt;20,"Budget",IF(Table13[[#This Row],[Price USD]]&lt;=50,"Mid-range","Premium"))</f>
        <v>Budget</v>
      </c>
      <c r="O48">
        <v>0</v>
      </c>
      <c r="P48">
        <v>0</v>
      </c>
    </row>
    <row r="49" spans="1:16" x14ac:dyDescent="0.25">
      <c r="A49" t="s">
        <v>125</v>
      </c>
      <c r="B49" t="s">
        <v>126</v>
      </c>
      <c r="C49">
        <v>6041</v>
      </c>
      <c r="D49" t="s">
        <v>33</v>
      </c>
      <c r="E49" t="s">
        <v>13</v>
      </c>
      <c r="F49">
        <v>190401</v>
      </c>
      <c r="G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49">
        <v>4.5018000000000002</v>
      </c>
      <c r="J49" t="str">
        <f>IF(ISBLANK(Table13[[#This Row],[Rating]]), "No", "Yes")</f>
        <v>Yes</v>
      </c>
      <c r="K49" t="str">
        <f>IF(ISBLANK(Table13[[#This Row],[Rating]]), "Not Rated", IF(Table13[[#This Row],[Rating]] &lt; 3, "Low", IF(Table13[[#This Row],[Rating]] &lt; 4, "Medium", "High")))</f>
        <v>High</v>
      </c>
      <c r="L49">
        <v>2449</v>
      </c>
      <c r="M49">
        <v>40</v>
      </c>
      <c r="N49" t="str">
        <f>IF(Table13[[#This Row],[Price USD]]&lt;20,"Budget",IF(Table13[[#This Row],[Price USD]]&lt;=50,"Mid-range","Premium"))</f>
        <v>Mid-range</v>
      </c>
      <c r="O49">
        <v>0</v>
      </c>
      <c r="P49">
        <v>0</v>
      </c>
    </row>
    <row r="50" spans="1:16" x14ac:dyDescent="0.25">
      <c r="A50" t="s">
        <v>127</v>
      </c>
      <c r="B50" t="s">
        <v>128</v>
      </c>
      <c r="C50">
        <v>6234</v>
      </c>
      <c r="D50" t="s">
        <v>7</v>
      </c>
      <c r="E50" t="s">
        <v>8</v>
      </c>
      <c r="F50">
        <v>190367</v>
      </c>
      <c r="G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0">
        <v>4.1577999999999999</v>
      </c>
      <c r="J50" t="str">
        <f>IF(ISBLANK(Table13[[#This Row],[Rating]]), "No", "Yes")</f>
        <v>Yes</v>
      </c>
      <c r="K50" t="str">
        <f>IF(ISBLANK(Table13[[#This Row],[Rating]]), "Not Rated", IF(Table13[[#This Row],[Rating]] &lt; 3, "Low", IF(Table13[[#This Row],[Rating]] &lt; 4, "Medium", "High")))</f>
        <v>High</v>
      </c>
      <c r="L50">
        <v>957</v>
      </c>
      <c r="M50">
        <v>11.1</v>
      </c>
      <c r="N50" t="str">
        <f>IF(Table13[[#This Row],[Price USD]]&lt;20,"Budget",IF(Table13[[#This Row],[Price USD]]&lt;=50,"Mid-range","Premium"))</f>
        <v>Budget</v>
      </c>
      <c r="O50">
        <v>0</v>
      </c>
      <c r="P50">
        <v>0</v>
      </c>
    </row>
    <row r="51" spans="1:16" x14ac:dyDescent="0.25">
      <c r="A51" t="s">
        <v>129</v>
      </c>
      <c r="B51" t="s">
        <v>130</v>
      </c>
      <c r="C51">
        <v>6234</v>
      </c>
      <c r="D51" t="s">
        <v>7</v>
      </c>
      <c r="E51" t="s">
        <v>8</v>
      </c>
      <c r="F51">
        <v>190345</v>
      </c>
      <c r="G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1">
        <v>4.0411000000000001</v>
      </c>
      <c r="J51" t="str">
        <f>IF(ISBLANK(Table13[[#This Row],[Rating]]), "No", "Yes")</f>
        <v>Yes</v>
      </c>
      <c r="K51" t="str">
        <f>IF(ISBLANK(Table13[[#This Row],[Rating]]), "Not Rated", IF(Table13[[#This Row],[Rating]] &lt; 3, "Low", IF(Table13[[#This Row],[Rating]] &lt; 4, "Medium", "High")))</f>
        <v>High</v>
      </c>
      <c r="L51">
        <v>755</v>
      </c>
      <c r="M51">
        <v>11.1</v>
      </c>
      <c r="N51" t="str">
        <f>IF(Table13[[#This Row],[Price USD]]&lt;20,"Budget",IF(Table13[[#This Row],[Price USD]]&lt;=50,"Mid-range","Premium"))</f>
        <v>Budget</v>
      </c>
      <c r="O51">
        <v>0</v>
      </c>
      <c r="P51">
        <v>0</v>
      </c>
    </row>
    <row r="52" spans="1:16" x14ac:dyDescent="0.25">
      <c r="A52" t="s">
        <v>131</v>
      </c>
      <c r="B52" t="s">
        <v>132</v>
      </c>
      <c r="C52">
        <v>4171</v>
      </c>
      <c r="D52" t="s">
        <v>133</v>
      </c>
      <c r="E52" t="s">
        <v>69</v>
      </c>
      <c r="F52">
        <v>185939</v>
      </c>
      <c r="G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2">
        <v>4.5015000000000001</v>
      </c>
      <c r="J52" t="str">
        <f>IF(ISBLANK(Table13[[#This Row],[Rating]]), "No", "Yes")</f>
        <v>Yes</v>
      </c>
      <c r="K52" t="str">
        <f>IF(ISBLANK(Table13[[#This Row],[Rating]]), "Not Rated", IF(Table13[[#This Row],[Rating]] &lt; 3, "Low", IF(Table13[[#This Row],[Rating]] &lt; 4, "Medium", "High")))</f>
        <v>High</v>
      </c>
      <c r="L52">
        <v>1029</v>
      </c>
      <c r="M52">
        <v>42</v>
      </c>
      <c r="N52" t="str">
        <f>IF(Table13[[#This Row],[Price USD]]&lt;20,"Budget",IF(Table13[[#This Row],[Price USD]]&lt;=50,"Mid-range","Premium"))</f>
        <v>Mid-range</v>
      </c>
      <c r="O52">
        <v>0</v>
      </c>
      <c r="P52">
        <v>0</v>
      </c>
    </row>
    <row r="53" spans="1:16" x14ac:dyDescent="0.25">
      <c r="A53" t="s">
        <v>134</v>
      </c>
      <c r="B53" t="s">
        <v>135</v>
      </c>
      <c r="C53">
        <v>1254</v>
      </c>
      <c r="D53" t="s">
        <v>136</v>
      </c>
      <c r="E53" t="s">
        <v>13</v>
      </c>
      <c r="F53">
        <v>185324</v>
      </c>
      <c r="G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3">
        <v>4.5293999999999999</v>
      </c>
      <c r="J53" t="str">
        <f>IF(ISBLANK(Table13[[#This Row],[Rating]]), "No", "Yes")</f>
        <v>Yes</v>
      </c>
      <c r="K53" t="str">
        <f>IF(ISBLANK(Table13[[#This Row],[Rating]]), "Not Rated", IF(Table13[[#This Row],[Rating]] &lt; 3, "Low", IF(Table13[[#This Row],[Rating]] &lt; 4, "Medium", "High")))</f>
        <v>High</v>
      </c>
      <c r="L53">
        <v>4375</v>
      </c>
      <c r="M53">
        <v>38</v>
      </c>
      <c r="N53" t="str">
        <f>IF(Table13[[#This Row],[Price USD]]&lt;20,"Budget",IF(Table13[[#This Row],[Price USD]]&lt;=50,"Mid-range","Premium"))</f>
        <v>Mid-range</v>
      </c>
      <c r="O53">
        <v>0</v>
      </c>
      <c r="P53">
        <v>0</v>
      </c>
    </row>
    <row r="54" spans="1:16" x14ac:dyDescent="0.25">
      <c r="A54" t="s">
        <v>137</v>
      </c>
      <c r="B54" t="s">
        <v>138</v>
      </c>
      <c r="C54">
        <v>6041</v>
      </c>
      <c r="D54" t="s">
        <v>33</v>
      </c>
      <c r="E54" t="s">
        <v>13</v>
      </c>
      <c r="F54">
        <v>184011</v>
      </c>
      <c r="G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4">
        <v>4.4278000000000004</v>
      </c>
      <c r="J54" t="str">
        <f>IF(ISBLANK(Table13[[#This Row],[Rating]]), "No", "Yes")</f>
        <v>Yes</v>
      </c>
      <c r="K54" t="str">
        <f>IF(ISBLANK(Table13[[#This Row],[Rating]]), "Not Rated", IF(Table13[[#This Row],[Rating]] &lt; 3, "Low", IF(Table13[[#This Row],[Rating]] &lt; 4, "Medium", "High")))</f>
        <v>High</v>
      </c>
      <c r="L54">
        <v>1725</v>
      </c>
      <c r="M54">
        <v>68</v>
      </c>
      <c r="N54" t="str">
        <f>IF(Table13[[#This Row],[Price USD]]&lt;20,"Budget",IF(Table13[[#This Row],[Price USD]]&lt;=50,"Mid-range","Premium"))</f>
        <v>Premium</v>
      </c>
      <c r="O54">
        <v>0</v>
      </c>
      <c r="P54">
        <v>0</v>
      </c>
    </row>
    <row r="55" spans="1:16" x14ac:dyDescent="0.25">
      <c r="A55" t="s">
        <v>139</v>
      </c>
      <c r="B55" t="s">
        <v>140</v>
      </c>
      <c r="C55">
        <v>5674</v>
      </c>
      <c r="D55" t="s">
        <v>141</v>
      </c>
      <c r="E55" t="s">
        <v>13</v>
      </c>
      <c r="F55">
        <v>182201</v>
      </c>
      <c r="G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5">
        <v>4.1921999999999997</v>
      </c>
      <c r="J55" t="str">
        <f>IF(ISBLANK(Table13[[#This Row],[Rating]]), "No", "Yes")</f>
        <v>Yes</v>
      </c>
      <c r="K55" t="str">
        <f>IF(ISBLANK(Table13[[#This Row],[Rating]]), "Not Rated", IF(Table13[[#This Row],[Rating]] &lt; 3, "Low", IF(Table13[[#This Row],[Rating]] &lt; 4, "Medium", "High")))</f>
        <v>High</v>
      </c>
      <c r="L55">
        <v>2955</v>
      </c>
      <c r="M55">
        <v>35</v>
      </c>
      <c r="N55" t="str">
        <f>IF(Table13[[#This Row],[Price USD]]&lt;20,"Budget",IF(Table13[[#This Row],[Price USD]]&lt;=50,"Mid-range","Premium"))</f>
        <v>Mid-range</v>
      </c>
      <c r="O55">
        <v>0</v>
      </c>
      <c r="P55">
        <v>0</v>
      </c>
    </row>
    <row r="56" spans="1:16" x14ac:dyDescent="0.25">
      <c r="A56" t="s">
        <v>142</v>
      </c>
      <c r="B56" t="s">
        <v>143</v>
      </c>
      <c r="C56">
        <v>6341</v>
      </c>
      <c r="D56" t="s">
        <v>66</v>
      </c>
      <c r="E56" t="s">
        <v>144</v>
      </c>
      <c r="F56">
        <v>179137</v>
      </c>
      <c r="G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6">
        <v>4.2217000000000002</v>
      </c>
      <c r="J56" t="str">
        <f>IF(ISBLANK(Table13[[#This Row],[Rating]]), "No", "Yes")</f>
        <v>Yes</v>
      </c>
      <c r="K56" t="str">
        <f>IF(ISBLANK(Table13[[#This Row],[Rating]]), "Not Rated", IF(Table13[[#This Row],[Rating]] &lt; 3, "Low", IF(Table13[[#This Row],[Rating]] &lt; 4, "Medium", "High")))</f>
        <v>High</v>
      </c>
      <c r="L56">
        <v>406</v>
      </c>
      <c r="M56">
        <v>13</v>
      </c>
      <c r="N56" t="str">
        <f>IF(Table13[[#This Row],[Price USD]]&lt;20,"Budget",IF(Table13[[#This Row],[Price USD]]&lt;=50,"Mid-range","Premium"))</f>
        <v>Budget</v>
      </c>
      <c r="O56">
        <v>0</v>
      </c>
      <c r="P56">
        <v>0</v>
      </c>
    </row>
    <row r="57" spans="1:16" x14ac:dyDescent="0.25">
      <c r="A57" t="s">
        <v>145</v>
      </c>
      <c r="B57" t="s">
        <v>146</v>
      </c>
      <c r="C57">
        <v>8001</v>
      </c>
      <c r="D57" t="s">
        <v>27</v>
      </c>
      <c r="E57" t="s">
        <v>21</v>
      </c>
      <c r="F57">
        <v>177152</v>
      </c>
      <c r="G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7">
        <v>4.3154000000000003</v>
      </c>
      <c r="J57" t="str">
        <f>IF(ISBLANK(Table13[[#This Row],[Rating]]), "No", "Yes")</f>
        <v>Yes</v>
      </c>
      <c r="K57" t="str">
        <f>IF(ISBLANK(Table13[[#This Row],[Rating]]), "Not Rated", IF(Table13[[#This Row],[Rating]] &lt; 3, "Low", IF(Table13[[#This Row],[Rating]] &lt; 4, "Medium", "High")))</f>
        <v>High</v>
      </c>
      <c r="L57">
        <v>1931</v>
      </c>
      <c r="M57">
        <v>60</v>
      </c>
      <c r="N57" t="str">
        <f>IF(Table13[[#This Row],[Price USD]]&lt;20,"Budget",IF(Table13[[#This Row],[Price USD]]&lt;=50,"Mid-range","Premium"))</f>
        <v>Premium</v>
      </c>
      <c r="O57">
        <v>0</v>
      </c>
      <c r="P57">
        <v>0</v>
      </c>
    </row>
    <row r="58" spans="1:16" x14ac:dyDescent="0.25">
      <c r="A58" t="s">
        <v>147</v>
      </c>
      <c r="B58" t="s">
        <v>148</v>
      </c>
      <c r="C58">
        <v>6189</v>
      </c>
      <c r="D58" t="s">
        <v>30</v>
      </c>
      <c r="E58" t="s">
        <v>149</v>
      </c>
      <c r="F58">
        <v>176653</v>
      </c>
      <c r="G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8">
        <v>4.1086999999999998</v>
      </c>
      <c r="J58" t="str">
        <f>IF(ISBLANK(Table13[[#This Row],[Rating]]), "No", "Yes")</f>
        <v>Yes</v>
      </c>
      <c r="K58" t="str">
        <f>IF(ISBLANK(Table13[[#This Row],[Rating]]), "Not Rated", IF(Table13[[#This Row],[Rating]] &lt; 3, "Low", IF(Table13[[#This Row],[Rating]] &lt; 4, "Medium", "High")))</f>
        <v>High</v>
      </c>
      <c r="L58">
        <v>1886</v>
      </c>
      <c r="M58">
        <v>42</v>
      </c>
      <c r="N58" t="str">
        <f>IF(Table13[[#This Row],[Price USD]]&lt;20,"Budget",IF(Table13[[#This Row],[Price USD]]&lt;=50,"Mid-range","Premium"))</f>
        <v>Mid-range</v>
      </c>
      <c r="O58">
        <v>0</v>
      </c>
      <c r="P58">
        <v>0</v>
      </c>
    </row>
    <row r="59" spans="1:16" x14ac:dyDescent="0.25">
      <c r="A59" t="s">
        <v>150</v>
      </c>
      <c r="B59" t="s">
        <v>151</v>
      </c>
      <c r="C59">
        <v>7083</v>
      </c>
      <c r="D59" t="s">
        <v>20</v>
      </c>
      <c r="E59" t="s">
        <v>21</v>
      </c>
      <c r="F59">
        <v>174857</v>
      </c>
      <c r="G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59">
        <v>4.3106999999999998</v>
      </c>
      <c r="J59" t="str">
        <f>IF(ISBLANK(Table13[[#This Row],[Rating]]), "No", "Yes")</f>
        <v>Yes</v>
      </c>
      <c r="K59" t="str">
        <f>IF(ISBLANK(Table13[[#This Row],[Rating]]), "Not Rated", IF(Table13[[#This Row],[Rating]] &lt; 3, "Low", IF(Table13[[#This Row],[Rating]] &lt; 4, "Medium", "High")))</f>
        <v>High</v>
      </c>
      <c r="L59">
        <v>1651</v>
      </c>
      <c r="M59">
        <v>68</v>
      </c>
      <c r="N59" t="str">
        <f>IF(Table13[[#This Row],[Price USD]]&lt;20,"Budget",IF(Table13[[#This Row],[Price USD]]&lt;=50,"Mid-range","Premium"))</f>
        <v>Premium</v>
      </c>
      <c r="O59">
        <v>0</v>
      </c>
      <c r="P59">
        <v>0</v>
      </c>
    </row>
    <row r="60" spans="1:16" x14ac:dyDescent="0.25">
      <c r="A60" t="s">
        <v>152</v>
      </c>
      <c r="B60" t="s">
        <v>153</v>
      </c>
      <c r="C60">
        <v>6073</v>
      </c>
      <c r="D60" t="s">
        <v>78</v>
      </c>
      <c r="E60" t="s">
        <v>21</v>
      </c>
      <c r="F60">
        <v>174483</v>
      </c>
      <c r="G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0">
        <v>4.0827</v>
      </c>
      <c r="J60" t="str">
        <f>IF(ISBLANK(Table13[[#This Row],[Rating]]), "No", "Yes")</f>
        <v>Yes</v>
      </c>
      <c r="K60" t="str">
        <f>IF(ISBLANK(Table13[[#This Row],[Rating]]), "Not Rated", IF(Table13[[#This Row],[Rating]] &lt; 3, "Low", IF(Table13[[#This Row],[Rating]] &lt; 4, "Medium", "High")))</f>
        <v>High</v>
      </c>
      <c r="L60">
        <v>2442</v>
      </c>
      <c r="M60">
        <v>105</v>
      </c>
      <c r="N60" t="str">
        <f>IF(Table13[[#This Row],[Price USD]]&lt;20,"Budget",IF(Table13[[#This Row],[Price USD]]&lt;=50,"Mid-range","Premium"))</f>
        <v>Premium</v>
      </c>
      <c r="O60">
        <v>0</v>
      </c>
      <c r="P60">
        <v>0</v>
      </c>
    </row>
    <row r="61" spans="1:16" x14ac:dyDescent="0.25">
      <c r="A61" t="s">
        <v>154</v>
      </c>
      <c r="B61" t="s">
        <v>155</v>
      </c>
      <c r="C61">
        <v>6285</v>
      </c>
      <c r="D61" t="s">
        <v>119</v>
      </c>
      <c r="E61" t="s">
        <v>149</v>
      </c>
      <c r="F61">
        <v>174319</v>
      </c>
      <c r="G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1">
        <v>3.8980000000000001</v>
      </c>
      <c r="J61" t="str">
        <f>IF(ISBLANK(Table13[[#This Row],[Rating]]), "No", "Yes")</f>
        <v>Yes</v>
      </c>
      <c r="K61" t="str">
        <f>IF(ISBLANK(Table13[[#This Row],[Rating]]), "Not Rated", IF(Table13[[#This Row],[Rating]] &lt; 3, "Low", IF(Table13[[#This Row],[Rating]] &lt; 4, "Medium", "High")))</f>
        <v>Medium</v>
      </c>
      <c r="L61">
        <v>1598</v>
      </c>
      <c r="M61">
        <v>10.99</v>
      </c>
      <c r="N61" t="str">
        <f>IF(Table13[[#This Row],[Price USD]]&lt;20,"Budget",IF(Table13[[#This Row],[Price USD]]&lt;=50,"Mid-range","Premium"))</f>
        <v>Budget</v>
      </c>
      <c r="O61">
        <v>0</v>
      </c>
      <c r="P61">
        <v>0</v>
      </c>
    </row>
    <row r="62" spans="1:16" x14ac:dyDescent="0.25">
      <c r="A62" t="s">
        <v>156</v>
      </c>
      <c r="B62" t="s">
        <v>157</v>
      </c>
      <c r="C62">
        <v>5644</v>
      </c>
      <c r="D62" t="s">
        <v>158</v>
      </c>
      <c r="E62" t="s">
        <v>21</v>
      </c>
      <c r="F62">
        <v>171118</v>
      </c>
      <c r="G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2">
        <v>4.6058000000000003</v>
      </c>
      <c r="J62" t="str">
        <f>IF(ISBLANK(Table13[[#This Row],[Rating]]), "No", "Yes")</f>
        <v>Yes</v>
      </c>
      <c r="K62" t="str">
        <f>IF(ISBLANK(Table13[[#This Row],[Rating]]), "Not Rated", IF(Table13[[#This Row],[Rating]] &lt; 3, "Low", IF(Table13[[#This Row],[Rating]] &lt; 4, "Medium", "High")))</f>
        <v>High</v>
      </c>
      <c r="L62">
        <v>3440</v>
      </c>
      <c r="M62">
        <v>66</v>
      </c>
      <c r="N62" t="str">
        <f>IF(Table13[[#This Row],[Price USD]]&lt;20,"Budget",IF(Table13[[#This Row],[Price USD]]&lt;=50,"Mid-range","Premium"))</f>
        <v>Premium</v>
      </c>
      <c r="O62">
        <v>0</v>
      </c>
      <c r="P62">
        <v>0</v>
      </c>
    </row>
    <row r="63" spans="1:16" x14ac:dyDescent="0.25">
      <c r="A63" t="s">
        <v>159</v>
      </c>
      <c r="B63" t="s">
        <v>160</v>
      </c>
      <c r="C63">
        <v>6285</v>
      </c>
      <c r="D63" t="s">
        <v>119</v>
      </c>
      <c r="E63" t="s">
        <v>8</v>
      </c>
      <c r="F63">
        <v>169217</v>
      </c>
      <c r="G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3">
        <v>4.4073000000000002</v>
      </c>
      <c r="J63" t="str">
        <f>IF(ISBLANK(Table13[[#This Row],[Rating]]), "No", "Yes")</f>
        <v>Yes</v>
      </c>
      <c r="K63" t="str">
        <f>IF(ISBLANK(Table13[[#This Row],[Rating]]), "Not Rated", IF(Table13[[#This Row],[Rating]] &lt; 3, "Low", IF(Table13[[#This Row],[Rating]] &lt; 4, "Medium", "High")))</f>
        <v>High</v>
      </c>
      <c r="L63">
        <v>1964</v>
      </c>
      <c r="M63">
        <v>9.99</v>
      </c>
      <c r="N63" t="str">
        <f>IF(Table13[[#This Row],[Price USD]]&lt;20,"Budget",IF(Table13[[#This Row],[Price USD]]&lt;=50,"Mid-range","Premium"))</f>
        <v>Budget</v>
      </c>
      <c r="O63">
        <v>0</v>
      </c>
      <c r="P63">
        <v>0</v>
      </c>
    </row>
    <row r="64" spans="1:16" x14ac:dyDescent="0.25">
      <c r="A64" t="s">
        <v>161</v>
      </c>
      <c r="B64" t="s">
        <v>162</v>
      </c>
      <c r="C64">
        <v>6195</v>
      </c>
      <c r="D64" t="s">
        <v>163</v>
      </c>
      <c r="E64" t="s">
        <v>21</v>
      </c>
      <c r="F64">
        <v>167407</v>
      </c>
      <c r="G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4">
        <v>4.3483000000000001</v>
      </c>
      <c r="J64" t="str">
        <f>IF(ISBLANK(Table13[[#This Row],[Rating]]), "No", "Yes")</f>
        <v>Yes</v>
      </c>
      <c r="K64" t="str">
        <f>IF(ISBLANK(Table13[[#This Row],[Rating]]), "Not Rated", IF(Table13[[#This Row],[Rating]] &lt; 3, "Low", IF(Table13[[#This Row],[Rating]] &lt; 4, "Medium", "High")))</f>
        <v>High</v>
      </c>
      <c r="L64">
        <v>1470</v>
      </c>
      <c r="M64">
        <v>74</v>
      </c>
      <c r="N64" t="str">
        <f>IF(Table13[[#This Row],[Price USD]]&lt;20,"Budget",IF(Table13[[#This Row],[Price USD]]&lt;=50,"Mid-range","Premium"))</f>
        <v>Premium</v>
      </c>
      <c r="O64">
        <v>0</v>
      </c>
      <c r="P64">
        <v>0</v>
      </c>
    </row>
    <row r="65" spans="1:16" x14ac:dyDescent="0.25">
      <c r="A65" t="s">
        <v>164</v>
      </c>
      <c r="B65" t="s">
        <v>165</v>
      </c>
      <c r="C65">
        <v>4171</v>
      </c>
      <c r="D65" t="s">
        <v>133</v>
      </c>
      <c r="E65" t="s">
        <v>8</v>
      </c>
      <c r="F65">
        <v>166423</v>
      </c>
      <c r="G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5">
        <v>4.2442000000000002</v>
      </c>
      <c r="J65" t="str">
        <f>IF(ISBLANK(Table13[[#This Row],[Rating]]), "No", "Yes")</f>
        <v>Yes</v>
      </c>
      <c r="K65" t="str">
        <f>IF(ISBLANK(Table13[[#This Row],[Rating]]), "Not Rated", IF(Table13[[#This Row],[Rating]] &lt; 3, "Low", IF(Table13[[#This Row],[Rating]] &lt; 4, "Medium", "High")))</f>
        <v>High</v>
      </c>
      <c r="L65">
        <v>2911</v>
      </c>
      <c r="M65">
        <v>82</v>
      </c>
      <c r="N65" t="str">
        <f>IF(Table13[[#This Row],[Price USD]]&lt;20,"Budget",IF(Table13[[#This Row],[Price USD]]&lt;=50,"Mid-range","Premium"))</f>
        <v>Premium</v>
      </c>
      <c r="O65">
        <v>0</v>
      </c>
      <c r="P65">
        <v>0</v>
      </c>
    </row>
    <row r="66" spans="1:16" x14ac:dyDescent="0.25">
      <c r="A66" t="s">
        <v>166</v>
      </c>
      <c r="B66" t="s">
        <v>167</v>
      </c>
      <c r="C66">
        <v>6234</v>
      </c>
      <c r="D66" t="s">
        <v>7</v>
      </c>
      <c r="E66" t="s">
        <v>69</v>
      </c>
      <c r="F66">
        <v>164697</v>
      </c>
      <c r="G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6">
        <v>4.3735999999999997</v>
      </c>
      <c r="J66" t="str">
        <f>IF(ISBLANK(Table13[[#This Row],[Rating]]), "No", "Yes")</f>
        <v>Yes</v>
      </c>
      <c r="K66" t="str">
        <f>IF(ISBLANK(Table13[[#This Row],[Rating]]), "Not Rated", IF(Table13[[#This Row],[Rating]] &lt; 3, "Low", IF(Table13[[#This Row],[Rating]] &lt; 4, "Medium", "High")))</f>
        <v>High</v>
      </c>
      <c r="L66">
        <v>637</v>
      </c>
      <c r="M66">
        <v>13.3</v>
      </c>
      <c r="N66" t="str">
        <f>IF(Table13[[#This Row],[Price USD]]&lt;20,"Budget",IF(Table13[[#This Row],[Price USD]]&lt;=50,"Mid-range","Premium"))</f>
        <v>Budget</v>
      </c>
      <c r="O66">
        <v>0</v>
      </c>
      <c r="P66">
        <v>0</v>
      </c>
    </row>
    <row r="67" spans="1:16" x14ac:dyDescent="0.25">
      <c r="A67" t="s">
        <v>168</v>
      </c>
      <c r="B67" t="s">
        <v>169</v>
      </c>
      <c r="C67">
        <v>6189</v>
      </c>
      <c r="D67" t="s">
        <v>30</v>
      </c>
      <c r="E67" t="s">
        <v>21</v>
      </c>
      <c r="F67">
        <v>162336</v>
      </c>
      <c r="G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7">
        <v>3.9994999999999998</v>
      </c>
      <c r="J67" t="str">
        <f>IF(ISBLANK(Table13[[#This Row],[Rating]]), "No", "Yes")</f>
        <v>Yes</v>
      </c>
      <c r="K67" t="str">
        <f>IF(ISBLANK(Table13[[#This Row],[Rating]]), "Not Rated", IF(Table13[[#This Row],[Rating]] &lt; 3, "Low", IF(Table13[[#This Row],[Rating]] &lt; 4, "Medium", "High")))</f>
        <v>Medium</v>
      </c>
      <c r="L67">
        <v>1927</v>
      </c>
      <c r="M67">
        <v>39</v>
      </c>
      <c r="N67" t="str">
        <f>IF(Table13[[#This Row],[Price USD]]&lt;20,"Budget",IF(Table13[[#This Row],[Price USD]]&lt;=50,"Mid-range","Premium"))</f>
        <v>Mid-range</v>
      </c>
      <c r="O67">
        <v>0</v>
      </c>
      <c r="P67">
        <v>0</v>
      </c>
    </row>
    <row r="68" spans="1:16" x14ac:dyDescent="0.25">
      <c r="A68" t="s">
        <v>170</v>
      </c>
      <c r="B68" t="s">
        <v>171</v>
      </c>
      <c r="C68">
        <v>6189</v>
      </c>
      <c r="D68" t="s">
        <v>30</v>
      </c>
      <c r="E68" t="s">
        <v>8</v>
      </c>
      <c r="F68">
        <v>159339</v>
      </c>
      <c r="G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8">
        <v>4.4249000000000001</v>
      </c>
      <c r="J68" t="str">
        <f>IF(ISBLANK(Table13[[#This Row],[Rating]]), "No", "Yes")</f>
        <v>Yes</v>
      </c>
      <c r="K68" t="str">
        <f>IF(ISBLANK(Table13[[#This Row],[Rating]]), "Not Rated", IF(Table13[[#This Row],[Rating]] &lt; 3, "Low", IF(Table13[[#This Row],[Rating]] &lt; 4, "Medium", "High")))</f>
        <v>High</v>
      </c>
      <c r="L68">
        <v>1918</v>
      </c>
      <c r="M68">
        <v>45</v>
      </c>
      <c r="N68" t="str">
        <f>IF(Table13[[#This Row],[Price USD]]&lt;20,"Budget",IF(Table13[[#This Row],[Price USD]]&lt;=50,"Mid-range","Premium"))</f>
        <v>Mid-range</v>
      </c>
      <c r="O68">
        <v>0</v>
      </c>
      <c r="P68">
        <v>0</v>
      </c>
    </row>
    <row r="69" spans="1:16" x14ac:dyDescent="0.25">
      <c r="A69" t="s">
        <v>172</v>
      </c>
      <c r="B69" t="s">
        <v>173</v>
      </c>
      <c r="C69">
        <v>4348</v>
      </c>
      <c r="D69" t="s">
        <v>61</v>
      </c>
      <c r="E69" t="s">
        <v>13</v>
      </c>
      <c r="F69">
        <v>159149</v>
      </c>
      <c r="G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69">
        <v>4.1635999999999997</v>
      </c>
      <c r="J69" t="str">
        <f>IF(ISBLANK(Table13[[#This Row],[Rating]]), "No", "Yes")</f>
        <v>Yes</v>
      </c>
      <c r="K69" t="str">
        <f>IF(ISBLANK(Table13[[#This Row],[Rating]]), "Not Rated", IF(Table13[[#This Row],[Rating]] &lt; 3, "Low", IF(Table13[[#This Row],[Rating]] &lt; 4, "Medium", "High")))</f>
        <v>High</v>
      </c>
      <c r="L69">
        <v>1351</v>
      </c>
      <c r="M69">
        <v>46</v>
      </c>
      <c r="N69" t="str">
        <f>IF(Table13[[#This Row],[Price USD]]&lt;20,"Budget",IF(Table13[[#This Row],[Price USD]]&lt;=50,"Mid-range","Premium"))</f>
        <v>Mid-range</v>
      </c>
      <c r="O69">
        <v>0</v>
      </c>
      <c r="P69">
        <v>0</v>
      </c>
    </row>
    <row r="70" spans="1:16" x14ac:dyDescent="0.25">
      <c r="A70" t="s">
        <v>174</v>
      </c>
      <c r="B70" t="s">
        <v>175</v>
      </c>
      <c r="C70">
        <v>7075</v>
      </c>
      <c r="D70" t="s">
        <v>75</v>
      </c>
      <c r="E70" t="s">
        <v>21</v>
      </c>
      <c r="F70">
        <v>151868</v>
      </c>
      <c r="G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0">
        <v>4.5631000000000004</v>
      </c>
      <c r="J70" t="str">
        <f>IF(ISBLANK(Table13[[#This Row],[Rating]]), "No", "Yes")</f>
        <v>Yes</v>
      </c>
      <c r="K70" t="str">
        <f>IF(ISBLANK(Table13[[#This Row],[Rating]]), "Not Rated", IF(Table13[[#This Row],[Rating]] &lt; 3, "Low", IF(Table13[[#This Row],[Rating]] &lt; 4, "Medium", "High")))</f>
        <v>High</v>
      </c>
      <c r="L70">
        <v>4523</v>
      </c>
      <c r="M70">
        <v>38</v>
      </c>
      <c r="N70" t="str">
        <f>IF(Table13[[#This Row],[Price USD]]&lt;20,"Budget",IF(Table13[[#This Row],[Price USD]]&lt;=50,"Mid-range","Premium"))</f>
        <v>Mid-range</v>
      </c>
      <c r="O70">
        <v>0</v>
      </c>
      <c r="P70">
        <v>0</v>
      </c>
    </row>
    <row r="71" spans="1:16" x14ac:dyDescent="0.25">
      <c r="A71" t="s">
        <v>176</v>
      </c>
      <c r="B71" t="s">
        <v>177</v>
      </c>
      <c r="C71">
        <v>6285</v>
      </c>
      <c r="D71" t="s">
        <v>119</v>
      </c>
      <c r="E71" t="s">
        <v>13</v>
      </c>
      <c r="F71">
        <v>150051</v>
      </c>
      <c r="G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1">
        <v>4.3775000000000004</v>
      </c>
      <c r="J71" t="str">
        <f>IF(ISBLANK(Table13[[#This Row],[Rating]]), "No", "Yes")</f>
        <v>Yes</v>
      </c>
      <c r="K71" t="str">
        <f>IF(ISBLANK(Table13[[#This Row],[Rating]]), "Not Rated", IF(Table13[[#This Row],[Rating]] &lt; 3, "Low", IF(Table13[[#This Row],[Rating]] &lt; 4, "Medium", "High")))</f>
        <v>High</v>
      </c>
      <c r="L71">
        <v>1547</v>
      </c>
      <c r="M71">
        <v>11.99</v>
      </c>
      <c r="N71" t="str">
        <f>IF(Table13[[#This Row],[Price USD]]&lt;20,"Budget",IF(Table13[[#This Row],[Price USD]]&lt;=50,"Mid-range","Premium"))</f>
        <v>Budget</v>
      </c>
      <c r="O71">
        <v>0</v>
      </c>
      <c r="P71">
        <v>0</v>
      </c>
    </row>
    <row r="72" spans="1:16" x14ac:dyDescent="0.25">
      <c r="A72" t="s">
        <v>178</v>
      </c>
      <c r="B72" t="s">
        <v>179</v>
      </c>
      <c r="C72">
        <v>5972</v>
      </c>
      <c r="D72" t="s">
        <v>54</v>
      </c>
      <c r="E72" t="s">
        <v>13</v>
      </c>
      <c r="F72">
        <v>146805</v>
      </c>
      <c r="G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2">
        <v>4.3738000000000001</v>
      </c>
      <c r="J72" t="str">
        <f>IF(ISBLANK(Table13[[#This Row],[Rating]]), "No", "Yes")</f>
        <v>Yes</v>
      </c>
      <c r="K72" t="str">
        <f>IF(ISBLANK(Table13[[#This Row],[Rating]]), "Not Rated", IF(Table13[[#This Row],[Rating]] &lt; 3, "Low", IF(Table13[[#This Row],[Rating]] &lt; 4, "Medium", "High")))</f>
        <v>High</v>
      </c>
      <c r="L72">
        <v>4727</v>
      </c>
      <c r="M72">
        <v>24</v>
      </c>
      <c r="N72" t="str">
        <f>IF(Table13[[#This Row],[Price USD]]&lt;20,"Budget",IF(Table13[[#This Row],[Price USD]]&lt;=50,"Mid-range","Premium"))</f>
        <v>Mid-range</v>
      </c>
      <c r="O72">
        <v>0</v>
      </c>
      <c r="P72">
        <v>0</v>
      </c>
    </row>
    <row r="73" spans="1:16" x14ac:dyDescent="0.25">
      <c r="A73" t="s">
        <v>180</v>
      </c>
      <c r="B73" t="s">
        <v>181</v>
      </c>
      <c r="C73">
        <v>6189</v>
      </c>
      <c r="D73" t="s">
        <v>30</v>
      </c>
      <c r="E73" t="s">
        <v>21</v>
      </c>
      <c r="F73">
        <v>146036</v>
      </c>
      <c r="G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3">
        <v>4.4623999999999997</v>
      </c>
      <c r="J73" t="str">
        <f>IF(ISBLANK(Table13[[#This Row],[Rating]]), "No", "Yes")</f>
        <v>Yes</v>
      </c>
      <c r="K73" t="str">
        <f>IF(ISBLANK(Table13[[#This Row],[Rating]]), "Not Rated", IF(Table13[[#This Row],[Rating]] &lt; 3, "Low", IF(Table13[[#This Row],[Rating]] &lt; 4, "Medium", "High")))</f>
        <v>High</v>
      </c>
      <c r="L73">
        <v>1449</v>
      </c>
      <c r="M73">
        <v>39</v>
      </c>
      <c r="N73" t="str">
        <f>IF(Table13[[#This Row],[Price USD]]&lt;20,"Budget",IF(Table13[[#This Row],[Price USD]]&lt;=50,"Mid-range","Premium"))</f>
        <v>Mid-range</v>
      </c>
      <c r="O73">
        <v>0</v>
      </c>
      <c r="P73">
        <v>0</v>
      </c>
    </row>
    <row r="74" spans="1:16" x14ac:dyDescent="0.25">
      <c r="A74" t="s">
        <v>182</v>
      </c>
      <c r="B74" t="s">
        <v>183</v>
      </c>
      <c r="C74">
        <v>6295</v>
      </c>
      <c r="D74" t="s">
        <v>184</v>
      </c>
      <c r="E74" t="s">
        <v>49</v>
      </c>
      <c r="F74">
        <v>145749</v>
      </c>
      <c r="G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4">
        <v>4.5392999999999999</v>
      </c>
      <c r="J74" t="str">
        <f>IF(ISBLANK(Table13[[#This Row],[Rating]]), "No", "Yes")</f>
        <v>Yes</v>
      </c>
      <c r="K74" t="str">
        <f>IF(ISBLANK(Table13[[#This Row],[Rating]]), "Not Rated", IF(Table13[[#This Row],[Rating]] &lt; 3, "Low", IF(Table13[[#This Row],[Rating]] &lt; 4, "Medium", "High")))</f>
        <v>High</v>
      </c>
      <c r="L74">
        <v>1452</v>
      </c>
      <c r="M74">
        <v>16</v>
      </c>
      <c r="N74" t="str">
        <f>IF(Table13[[#This Row],[Price USD]]&lt;20,"Budget",IF(Table13[[#This Row],[Price USD]]&lt;=50,"Mid-range","Premium"))</f>
        <v>Budget</v>
      </c>
      <c r="O74">
        <v>0</v>
      </c>
      <c r="P74">
        <v>0</v>
      </c>
    </row>
    <row r="75" spans="1:16" x14ac:dyDescent="0.25">
      <c r="A75" t="s">
        <v>185</v>
      </c>
      <c r="B75" t="s">
        <v>186</v>
      </c>
      <c r="C75">
        <v>7083</v>
      </c>
      <c r="D75" t="s">
        <v>20</v>
      </c>
      <c r="E75" t="s">
        <v>21</v>
      </c>
      <c r="F75">
        <v>145717</v>
      </c>
      <c r="G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5">
        <v>4.1535000000000002</v>
      </c>
      <c r="J75" t="str">
        <f>IF(ISBLANK(Table13[[#This Row],[Rating]]), "No", "Yes")</f>
        <v>Yes</v>
      </c>
      <c r="K75" t="str">
        <f>IF(ISBLANK(Table13[[#This Row],[Rating]]), "Not Rated", IF(Table13[[#This Row],[Rating]] &lt; 3, "Low", IF(Table13[[#This Row],[Rating]] &lt; 4, "Medium", "High")))</f>
        <v>High</v>
      </c>
      <c r="L75">
        <v>1993</v>
      </c>
      <c r="M75">
        <v>62</v>
      </c>
      <c r="N75" t="str">
        <f>IF(Table13[[#This Row],[Price USD]]&lt;20,"Budget",IF(Table13[[#This Row],[Price USD]]&lt;=50,"Mid-range","Premium"))</f>
        <v>Premium</v>
      </c>
      <c r="O75">
        <v>0</v>
      </c>
      <c r="P75">
        <v>0</v>
      </c>
    </row>
    <row r="76" spans="1:16" x14ac:dyDescent="0.25">
      <c r="A76" t="s">
        <v>187</v>
      </c>
      <c r="B76" t="s">
        <v>188</v>
      </c>
      <c r="C76">
        <v>6125</v>
      </c>
      <c r="D76" t="s">
        <v>3</v>
      </c>
      <c r="E76" t="s">
        <v>21</v>
      </c>
      <c r="F76">
        <v>143173</v>
      </c>
      <c r="G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6">
        <v>4.4481000000000002</v>
      </c>
      <c r="J76" t="str">
        <f>IF(ISBLANK(Table13[[#This Row],[Rating]]), "No", "Yes")</f>
        <v>Yes</v>
      </c>
      <c r="K76" t="str">
        <f>IF(ISBLANK(Table13[[#This Row],[Rating]]), "Not Rated", IF(Table13[[#This Row],[Rating]] &lt; 3, "Low", IF(Table13[[#This Row],[Rating]] &lt; 4, "Medium", "High")))</f>
        <v>High</v>
      </c>
      <c r="L76">
        <v>1859</v>
      </c>
      <c r="M76">
        <v>33</v>
      </c>
      <c r="N76" t="str">
        <f>IF(Table13[[#This Row],[Price USD]]&lt;20,"Budget",IF(Table13[[#This Row],[Price USD]]&lt;=50,"Mid-range","Premium"))</f>
        <v>Mid-range</v>
      </c>
      <c r="O76">
        <v>0</v>
      </c>
      <c r="P76">
        <v>0</v>
      </c>
    </row>
    <row r="77" spans="1:16" x14ac:dyDescent="0.25">
      <c r="A77" t="s">
        <v>189</v>
      </c>
      <c r="B77" t="s">
        <v>190</v>
      </c>
      <c r="C77">
        <v>6041</v>
      </c>
      <c r="D77" t="s">
        <v>33</v>
      </c>
      <c r="E77" t="s">
        <v>13</v>
      </c>
      <c r="F77">
        <v>142010</v>
      </c>
      <c r="G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7">
        <v>4.4814999999999996</v>
      </c>
      <c r="J77" t="str">
        <f>IF(ISBLANK(Table13[[#This Row],[Rating]]), "No", "Yes")</f>
        <v>Yes</v>
      </c>
      <c r="K77" t="str">
        <f>IF(ISBLANK(Table13[[#This Row],[Rating]]), "Not Rated", IF(Table13[[#This Row],[Rating]] &lt; 3, "Low", IF(Table13[[#This Row],[Rating]] &lt; 4, "Medium", "High")))</f>
        <v>High</v>
      </c>
      <c r="L77">
        <v>1836</v>
      </c>
      <c r="M77">
        <v>50</v>
      </c>
      <c r="N77" t="str">
        <f>IF(Table13[[#This Row],[Price USD]]&lt;20,"Budget",IF(Table13[[#This Row],[Price USD]]&lt;=50,"Mid-range","Premium"))</f>
        <v>Mid-range</v>
      </c>
      <c r="O77">
        <v>0</v>
      </c>
      <c r="P77">
        <v>0</v>
      </c>
    </row>
    <row r="78" spans="1:16" x14ac:dyDescent="0.25">
      <c r="A78" t="s">
        <v>191</v>
      </c>
      <c r="B78" t="s">
        <v>192</v>
      </c>
      <c r="C78">
        <v>4171</v>
      </c>
      <c r="D78" t="s">
        <v>133</v>
      </c>
      <c r="E78" t="s">
        <v>21</v>
      </c>
      <c r="F78">
        <v>140024</v>
      </c>
      <c r="G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8">
        <v>4.4431000000000003</v>
      </c>
      <c r="J78" t="str">
        <f>IF(ISBLANK(Table13[[#This Row],[Rating]]), "No", "Yes")</f>
        <v>Yes</v>
      </c>
      <c r="K78" t="str">
        <f>IF(ISBLANK(Table13[[#This Row],[Rating]]), "Not Rated", IF(Table13[[#This Row],[Rating]] &lt; 3, "Low", IF(Table13[[#This Row],[Rating]] &lt; 4, "Medium", "High")))</f>
        <v>High</v>
      </c>
      <c r="L78">
        <v>1686</v>
      </c>
      <c r="M78">
        <v>12</v>
      </c>
      <c r="N78" t="str">
        <f>IF(Table13[[#This Row],[Price USD]]&lt;20,"Budget",IF(Table13[[#This Row],[Price USD]]&lt;=50,"Mid-range","Premium"))</f>
        <v>Budget</v>
      </c>
      <c r="O78">
        <v>0</v>
      </c>
      <c r="P78">
        <v>0</v>
      </c>
    </row>
    <row r="79" spans="1:16" x14ac:dyDescent="0.25">
      <c r="A79" t="s">
        <v>193</v>
      </c>
      <c r="B79" t="s">
        <v>194</v>
      </c>
      <c r="C79">
        <v>6355</v>
      </c>
      <c r="D79" t="s">
        <v>195</v>
      </c>
      <c r="E79" t="s">
        <v>8</v>
      </c>
      <c r="F79">
        <v>139007</v>
      </c>
      <c r="G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79">
        <v>3.6634000000000002</v>
      </c>
      <c r="J79" t="str">
        <f>IF(ISBLANK(Table13[[#This Row],[Rating]]), "No", "Yes")</f>
        <v>Yes</v>
      </c>
      <c r="K79" t="str">
        <f>IF(ISBLANK(Table13[[#This Row],[Rating]]), "Not Rated", IF(Table13[[#This Row],[Rating]] &lt; 3, "Low", IF(Table13[[#This Row],[Rating]] &lt; 4, "Medium", "High")))</f>
        <v>Medium</v>
      </c>
      <c r="L79">
        <v>906</v>
      </c>
      <c r="M79">
        <v>38</v>
      </c>
      <c r="N79" t="str">
        <f>IF(Table13[[#This Row],[Price USD]]&lt;20,"Budget",IF(Table13[[#This Row],[Price USD]]&lt;=50,"Mid-range","Premium"))</f>
        <v>Mid-range</v>
      </c>
      <c r="O79">
        <v>0</v>
      </c>
      <c r="P79">
        <v>0</v>
      </c>
    </row>
    <row r="80" spans="1:16" x14ac:dyDescent="0.25">
      <c r="A80" t="s">
        <v>196</v>
      </c>
      <c r="B80" t="s">
        <v>197</v>
      </c>
      <c r="C80">
        <v>6209</v>
      </c>
      <c r="D80" t="s">
        <v>45</v>
      </c>
      <c r="E80" t="s">
        <v>149</v>
      </c>
      <c r="F80">
        <v>136726</v>
      </c>
      <c r="G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0">
        <v>4.2061999999999999</v>
      </c>
      <c r="J80" t="str">
        <f>IF(ISBLANK(Table13[[#This Row],[Rating]]), "No", "Yes")</f>
        <v>Yes</v>
      </c>
      <c r="K80" t="str">
        <f>IF(ISBLANK(Table13[[#This Row],[Rating]]), "Not Rated", IF(Table13[[#This Row],[Rating]] &lt; 3, "Low", IF(Table13[[#This Row],[Rating]] &lt; 4, "Medium", "High")))</f>
        <v>High</v>
      </c>
      <c r="L80">
        <v>1329</v>
      </c>
      <c r="M80">
        <v>28</v>
      </c>
      <c r="N80" t="str">
        <f>IF(Table13[[#This Row],[Price USD]]&lt;20,"Budget",IF(Table13[[#This Row],[Price USD]]&lt;=50,"Mid-range","Premium"))</f>
        <v>Mid-range</v>
      </c>
      <c r="O80">
        <v>0</v>
      </c>
      <c r="P80">
        <v>0</v>
      </c>
    </row>
    <row r="81" spans="1:16" x14ac:dyDescent="0.25">
      <c r="A81" t="s">
        <v>198</v>
      </c>
      <c r="B81" t="s">
        <v>199</v>
      </c>
      <c r="C81">
        <v>6130</v>
      </c>
      <c r="D81" t="s">
        <v>200</v>
      </c>
      <c r="E81" t="s">
        <v>201</v>
      </c>
      <c r="F81">
        <v>136640</v>
      </c>
      <c r="G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1">
        <v>4.0094000000000003</v>
      </c>
      <c r="J81" t="str">
        <f>IF(ISBLANK(Table13[[#This Row],[Rating]]), "No", "Yes")</f>
        <v>Yes</v>
      </c>
      <c r="K81" t="str">
        <f>IF(ISBLANK(Table13[[#This Row],[Rating]]), "Not Rated", IF(Table13[[#This Row],[Rating]] &lt; 3, "Low", IF(Table13[[#This Row],[Rating]] &lt; 4, "Medium", "High")))</f>
        <v>High</v>
      </c>
      <c r="L81">
        <v>427</v>
      </c>
      <c r="M81">
        <v>89</v>
      </c>
      <c r="N81" t="str">
        <f>IF(Table13[[#This Row],[Price USD]]&lt;20,"Budget",IF(Table13[[#This Row],[Price USD]]&lt;=50,"Mid-range","Premium"))</f>
        <v>Premium</v>
      </c>
      <c r="O81">
        <v>0</v>
      </c>
      <c r="P81">
        <v>0</v>
      </c>
    </row>
    <row r="82" spans="1:16" x14ac:dyDescent="0.25">
      <c r="A82" t="s">
        <v>202</v>
      </c>
      <c r="B82" t="s">
        <v>203</v>
      </c>
      <c r="C82">
        <v>5922</v>
      </c>
      <c r="D82" t="s">
        <v>204</v>
      </c>
      <c r="E82" t="s">
        <v>21</v>
      </c>
      <c r="F82">
        <v>134089</v>
      </c>
      <c r="G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2">
        <v>4.4997999999999996</v>
      </c>
      <c r="J82" t="str">
        <f>IF(ISBLANK(Table13[[#This Row],[Rating]]), "No", "Yes")</f>
        <v>Yes</v>
      </c>
      <c r="K82" t="str">
        <f>IF(ISBLANK(Table13[[#This Row],[Rating]]), "Not Rated", IF(Table13[[#This Row],[Rating]] &lt; 3, "Low", IF(Table13[[#This Row],[Rating]] &lt; 4, "Medium", "High")))</f>
        <v>High</v>
      </c>
      <c r="L82">
        <v>7763</v>
      </c>
      <c r="M82">
        <v>49</v>
      </c>
      <c r="N82" t="str">
        <f>IF(Table13[[#This Row],[Price USD]]&lt;20,"Budget",IF(Table13[[#This Row],[Price USD]]&lt;=50,"Mid-range","Premium"))</f>
        <v>Mid-range</v>
      </c>
      <c r="O82">
        <v>0</v>
      </c>
      <c r="P82">
        <v>0</v>
      </c>
    </row>
    <row r="83" spans="1:16" x14ac:dyDescent="0.25">
      <c r="A83" t="s">
        <v>205</v>
      </c>
      <c r="B83" t="s">
        <v>206</v>
      </c>
      <c r="C83">
        <v>6169</v>
      </c>
      <c r="D83" t="s">
        <v>24</v>
      </c>
      <c r="E83" t="s">
        <v>21</v>
      </c>
      <c r="F83">
        <v>133769</v>
      </c>
      <c r="G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3">
        <v>4.0491000000000001</v>
      </c>
      <c r="J83" t="str">
        <f>IF(ISBLANK(Table13[[#This Row],[Rating]]), "No", "Yes")</f>
        <v>Yes</v>
      </c>
      <c r="K83" t="str">
        <f>IF(ISBLANK(Table13[[#This Row],[Rating]]), "Not Rated", IF(Table13[[#This Row],[Rating]] &lt; 3, "Low", IF(Table13[[#This Row],[Rating]] &lt; 4, "Medium", "High")))</f>
        <v>High</v>
      </c>
      <c r="L83">
        <v>1670</v>
      </c>
      <c r="M83">
        <v>48</v>
      </c>
      <c r="N83" t="str">
        <f>IF(Table13[[#This Row],[Price USD]]&lt;20,"Budget",IF(Table13[[#This Row],[Price USD]]&lt;=50,"Mid-range","Premium"))</f>
        <v>Mid-range</v>
      </c>
      <c r="O83">
        <v>0</v>
      </c>
      <c r="P83">
        <v>0</v>
      </c>
    </row>
    <row r="84" spans="1:16" x14ac:dyDescent="0.25">
      <c r="A84" t="s">
        <v>207</v>
      </c>
      <c r="B84" t="s">
        <v>208</v>
      </c>
      <c r="C84">
        <v>5337</v>
      </c>
      <c r="D84" t="s">
        <v>209</v>
      </c>
      <c r="E84" t="s">
        <v>13</v>
      </c>
      <c r="F84">
        <v>133163</v>
      </c>
      <c r="G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4">
        <v>4.8284000000000002</v>
      </c>
      <c r="J84" t="str">
        <f>IF(ISBLANK(Table13[[#This Row],[Rating]]), "No", "Yes")</f>
        <v>Yes</v>
      </c>
      <c r="K84" t="str">
        <f>IF(ISBLANK(Table13[[#This Row],[Rating]]), "Not Rated", IF(Table13[[#This Row],[Rating]] &lt; 3, "Low", IF(Table13[[#This Row],[Rating]] &lt; 4, "Medium", "High")))</f>
        <v>High</v>
      </c>
      <c r="L84">
        <v>2827</v>
      </c>
      <c r="M84">
        <v>13</v>
      </c>
      <c r="N84" t="str">
        <f>IF(Table13[[#This Row],[Price USD]]&lt;20,"Budget",IF(Table13[[#This Row],[Price USD]]&lt;=50,"Mid-range","Premium"))</f>
        <v>Budget</v>
      </c>
      <c r="O84">
        <v>0</v>
      </c>
      <c r="P84">
        <v>0</v>
      </c>
    </row>
    <row r="85" spans="1:16" x14ac:dyDescent="0.25">
      <c r="A85" t="s">
        <v>210</v>
      </c>
      <c r="B85" t="s">
        <v>211</v>
      </c>
      <c r="C85">
        <v>4348</v>
      </c>
      <c r="D85" t="s">
        <v>61</v>
      </c>
      <c r="E85" t="s">
        <v>4</v>
      </c>
      <c r="F85">
        <v>132861</v>
      </c>
      <c r="G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5">
        <v>4.1990999999999996</v>
      </c>
      <c r="J85" t="str">
        <f>IF(ISBLANK(Table13[[#This Row],[Rating]]), "No", "Yes")</f>
        <v>Yes</v>
      </c>
      <c r="K85" t="str">
        <f>IF(ISBLANK(Table13[[#This Row],[Rating]]), "Not Rated", IF(Table13[[#This Row],[Rating]] &lt; 3, "Low", IF(Table13[[#This Row],[Rating]] &lt; 4, "Medium", "High")))</f>
        <v>High</v>
      </c>
      <c r="L85">
        <v>2200</v>
      </c>
      <c r="M85">
        <v>19</v>
      </c>
      <c r="N85" t="str">
        <f>IF(Table13[[#This Row],[Price USD]]&lt;20,"Budget",IF(Table13[[#This Row],[Price USD]]&lt;=50,"Mid-range","Premium"))</f>
        <v>Budget</v>
      </c>
      <c r="O85">
        <v>0</v>
      </c>
      <c r="P85">
        <v>0</v>
      </c>
    </row>
    <row r="86" spans="1:16" x14ac:dyDescent="0.25">
      <c r="A86" t="s">
        <v>212</v>
      </c>
      <c r="B86" t="s">
        <v>213</v>
      </c>
      <c r="C86">
        <v>6234</v>
      </c>
      <c r="D86" t="s">
        <v>7</v>
      </c>
      <c r="E86" t="s">
        <v>8</v>
      </c>
      <c r="F86">
        <v>132601</v>
      </c>
      <c r="G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6">
        <v>3.4453999999999998</v>
      </c>
      <c r="J86" t="str">
        <f>IF(ISBLANK(Table13[[#This Row],[Rating]]), "No", "Yes")</f>
        <v>Yes</v>
      </c>
      <c r="K86" t="str">
        <f>IF(ISBLANK(Table13[[#This Row],[Rating]]), "Not Rated", IF(Table13[[#This Row],[Rating]] &lt; 3, "Low", IF(Table13[[#This Row],[Rating]] &lt; 4, "Medium", "High")))</f>
        <v>Medium</v>
      </c>
      <c r="L86">
        <v>1109</v>
      </c>
      <c r="M86">
        <v>7.8</v>
      </c>
      <c r="N86" t="str">
        <f>IF(Table13[[#This Row],[Price USD]]&lt;20,"Budget",IF(Table13[[#This Row],[Price USD]]&lt;=50,"Mid-range","Premium"))</f>
        <v>Budget</v>
      </c>
      <c r="O86">
        <v>0</v>
      </c>
      <c r="P86">
        <v>0</v>
      </c>
    </row>
    <row r="87" spans="1:16" x14ac:dyDescent="0.25">
      <c r="A87" t="s">
        <v>214</v>
      </c>
      <c r="B87" t="s">
        <v>215</v>
      </c>
      <c r="C87">
        <v>8001</v>
      </c>
      <c r="D87" t="s">
        <v>27</v>
      </c>
      <c r="E87" t="s">
        <v>21</v>
      </c>
      <c r="F87">
        <v>131912</v>
      </c>
      <c r="G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7">
        <v>4.4484000000000004</v>
      </c>
      <c r="J87" t="str">
        <f>IF(ISBLANK(Table13[[#This Row],[Rating]]), "No", "Yes")</f>
        <v>Yes</v>
      </c>
      <c r="K87" t="str">
        <f>IF(ISBLANK(Table13[[#This Row],[Rating]]), "Not Rated", IF(Table13[[#This Row],[Rating]] &lt; 3, "Low", IF(Table13[[#This Row],[Rating]] &lt; 4, "Medium", "High")))</f>
        <v>High</v>
      </c>
      <c r="L87">
        <v>1327</v>
      </c>
      <c r="M87">
        <v>48</v>
      </c>
      <c r="N87" t="str">
        <f>IF(Table13[[#This Row],[Price USD]]&lt;20,"Budget",IF(Table13[[#This Row],[Price USD]]&lt;=50,"Mid-range","Premium"))</f>
        <v>Mid-range</v>
      </c>
      <c r="O87">
        <v>0</v>
      </c>
      <c r="P87">
        <v>0</v>
      </c>
    </row>
    <row r="88" spans="1:16" x14ac:dyDescent="0.25">
      <c r="A88" t="s">
        <v>216</v>
      </c>
      <c r="B88" t="s">
        <v>217</v>
      </c>
      <c r="C88">
        <v>6041</v>
      </c>
      <c r="D88" t="s">
        <v>33</v>
      </c>
      <c r="E88" t="s">
        <v>8</v>
      </c>
      <c r="F88">
        <v>129875</v>
      </c>
      <c r="G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8">
        <v>4.2123999999999997</v>
      </c>
      <c r="J88" t="str">
        <f>IF(ISBLANK(Table13[[#This Row],[Rating]]), "No", "Yes")</f>
        <v>Yes</v>
      </c>
      <c r="K88" t="str">
        <f>IF(ISBLANK(Table13[[#This Row],[Rating]]), "Not Rated", IF(Table13[[#This Row],[Rating]] &lt; 3, "Low", IF(Table13[[#This Row],[Rating]] &lt; 4, "Medium", "High")))</f>
        <v>High</v>
      </c>
      <c r="L88">
        <v>1610</v>
      </c>
      <c r="M88">
        <v>89</v>
      </c>
      <c r="N88" t="str">
        <f>IF(Table13[[#This Row],[Price USD]]&lt;20,"Budget",IF(Table13[[#This Row],[Price USD]]&lt;=50,"Mid-range","Premium"))</f>
        <v>Premium</v>
      </c>
      <c r="O88">
        <v>0</v>
      </c>
      <c r="P88">
        <v>0</v>
      </c>
    </row>
    <row r="89" spans="1:16" x14ac:dyDescent="0.25">
      <c r="A89" t="s">
        <v>218</v>
      </c>
      <c r="B89" t="s">
        <v>219</v>
      </c>
      <c r="C89">
        <v>6073</v>
      </c>
      <c r="D89" t="s">
        <v>78</v>
      </c>
      <c r="E89" t="s">
        <v>220</v>
      </c>
      <c r="F89">
        <v>127982</v>
      </c>
      <c r="G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89">
        <v>4.3017000000000003</v>
      </c>
      <c r="J89" t="str">
        <f>IF(ISBLANK(Table13[[#This Row],[Rating]]), "No", "Yes")</f>
        <v>Yes</v>
      </c>
      <c r="K89" t="str">
        <f>IF(ISBLANK(Table13[[#This Row],[Rating]]), "Not Rated", IF(Table13[[#This Row],[Rating]] &lt; 3, "Low", IF(Table13[[#This Row],[Rating]] &lt; 4, "Medium", "High")))</f>
        <v>High</v>
      </c>
      <c r="L89">
        <v>1495</v>
      </c>
      <c r="M89">
        <v>72</v>
      </c>
      <c r="N89" t="str">
        <f>IF(Table13[[#This Row],[Price USD]]&lt;20,"Budget",IF(Table13[[#This Row],[Price USD]]&lt;=50,"Mid-range","Premium"))</f>
        <v>Premium</v>
      </c>
      <c r="O89">
        <v>0</v>
      </c>
      <c r="P89">
        <v>0</v>
      </c>
    </row>
    <row r="90" spans="1:16" x14ac:dyDescent="0.25">
      <c r="A90" t="s">
        <v>221</v>
      </c>
      <c r="B90" t="s">
        <v>222</v>
      </c>
      <c r="C90">
        <v>6285</v>
      </c>
      <c r="D90" t="s">
        <v>119</v>
      </c>
      <c r="E90" t="s">
        <v>13</v>
      </c>
      <c r="F90">
        <v>127819</v>
      </c>
      <c r="G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0">
        <v>3.6097999999999999</v>
      </c>
      <c r="J90" t="str">
        <f>IF(ISBLANK(Table13[[#This Row],[Rating]]), "No", "Yes")</f>
        <v>Yes</v>
      </c>
      <c r="K90" t="str">
        <f>IF(ISBLANK(Table13[[#This Row],[Rating]]), "Not Rated", IF(Table13[[#This Row],[Rating]] &lt; 3, "Low", IF(Table13[[#This Row],[Rating]] &lt; 4, "Medium", "High")))</f>
        <v>Medium</v>
      </c>
      <c r="L90">
        <v>2968</v>
      </c>
      <c r="M90">
        <v>11.99</v>
      </c>
      <c r="N90" t="str">
        <f>IF(Table13[[#This Row],[Price USD]]&lt;20,"Budget",IF(Table13[[#This Row],[Price USD]]&lt;=50,"Mid-range","Premium"))</f>
        <v>Budget</v>
      </c>
      <c r="O90">
        <v>0</v>
      </c>
      <c r="P90">
        <v>0</v>
      </c>
    </row>
    <row r="91" spans="1:16" x14ac:dyDescent="0.25">
      <c r="A91" t="s">
        <v>223</v>
      </c>
      <c r="B91" t="s">
        <v>224</v>
      </c>
      <c r="C91">
        <v>5972</v>
      </c>
      <c r="D91" t="s">
        <v>54</v>
      </c>
      <c r="E91" t="s">
        <v>8</v>
      </c>
      <c r="F91">
        <v>127405</v>
      </c>
      <c r="G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1">
        <v>4.2781000000000002</v>
      </c>
      <c r="J91" t="str">
        <f>IF(ISBLANK(Table13[[#This Row],[Rating]]), "No", "Yes")</f>
        <v>Yes</v>
      </c>
      <c r="K91" t="str">
        <f>IF(ISBLANK(Table13[[#This Row],[Rating]]), "Not Rated", IF(Table13[[#This Row],[Rating]] &lt; 3, "Low", IF(Table13[[#This Row],[Rating]] &lt; 4, "Medium", "High")))</f>
        <v>High</v>
      </c>
      <c r="L91">
        <v>2571</v>
      </c>
      <c r="M91">
        <v>36</v>
      </c>
      <c r="N91" t="str">
        <f>IF(Table13[[#This Row],[Price USD]]&lt;20,"Budget",IF(Table13[[#This Row],[Price USD]]&lt;=50,"Mid-range","Premium"))</f>
        <v>Mid-range</v>
      </c>
      <c r="O91">
        <v>0</v>
      </c>
      <c r="P91">
        <v>0</v>
      </c>
    </row>
    <row r="92" spans="1:16" x14ac:dyDescent="0.25">
      <c r="A92" t="s">
        <v>225</v>
      </c>
      <c r="B92" t="s">
        <v>226</v>
      </c>
      <c r="C92">
        <v>3902</v>
      </c>
      <c r="D92" t="s">
        <v>72</v>
      </c>
      <c r="E92" t="s">
        <v>149</v>
      </c>
      <c r="F92">
        <v>126673</v>
      </c>
      <c r="G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2">
        <v>4.375</v>
      </c>
      <c r="J92" t="str">
        <f>IF(ISBLANK(Table13[[#This Row],[Rating]]), "No", "Yes")</f>
        <v>Yes</v>
      </c>
      <c r="K92" t="str">
        <f>IF(ISBLANK(Table13[[#This Row],[Rating]]), "Not Rated", IF(Table13[[#This Row],[Rating]] &lt; 3, "Low", IF(Table13[[#This Row],[Rating]] &lt; 4, "Medium", "High")))</f>
        <v>High</v>
      </c>
      <c r="L92">
        <v>528</v>
      </c>
      <c r="M92">
        <v>18</v>
      </c>
      <c r="N92" t="str">
        <f>IF(Table13[[#This Row],[Price USD]]&lt;20,"Budget",IF(Table13[[#This Row],[Price USD]]&lt;=50,"Mid-range","Premium"))</f>
        <v>Budget</v>
      </c>
      <c r="O92">
        <v>0</v>
      </c>
      <c r="P92">
        <v>0</v>
      </c>
    </row>
    <row r="93" spans="1:16" x14ac:dyDescent="0.25">
      <c r="A93" t="s">
        <v>227</v>
      </c>
      <c r="B93" t="s">
        <v>228</v>
      </c>
      <c r="C93">
        <v>6117</v>
      </c>
      <c r="D93" t="s">
        <v>229</v>
      </c>
      <c r="E93" t="s">
        <v>69</v>
      </c>
      <c r="F93">
        <v>126177</v>
      </c>
      <c r="G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3">
        <v>4.2447999999999997</v>
      </c>
      <c r="J93" t="str">
        <f>IF(ISBLANK(Table13[[#This Row],[Rating]]), "No", "Yes")</f>
        <v>Yes</v>
      </c>
      <c r="K93" t="str">
        <f>IF(ISBLANK(Table13[[#This Row],[Rating]]), "Not Rated", IF(Table13[[#This Row],[Rating]] &lt; 3, "Low", IF(Table13[[#This Row],[Rating]] &lt; 4, "Medium", "High")))</f>
        <v>High</v>
      </c>
      <c r="L93">
        <v>1928</v>
      </c>
      <c r="M93">
        <v>50</v>
      </c>
      <c r="N93" t="str">
        <f>IF(Table13[[#This Row],[Price USD]]&lt;20,"Budget",IF(Table13[[#This Row],[Price USD]]&lt;=50,"Mid-range","Premium"))</f>
        <v>Mid-range</v>
      </c>
      <c r="O93">
        <v>0</v>
      </c>
      <c r="P93">
        <v>0</v>
      </c>
    </row>
    <row r="94" spans="1:16" x14ac:dyDescent="0.25">
      <c r="A94" t="s">
        <v>230</v>
      </c>
      <c r="B94" t="s">
        <v>231</v>
      </c>
      <c r="C94">
        <v>4348</v>
      </c>
      <c r="D94" t="s">
        <v>61</v>
      </c>
      <c r="E94" t="s">
        <v>69</v>
      </c>
      <c r="F94">
        <v>125801</v>
      </c>
      <c r="G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4">
        <v>4.1886999999999999</v>
      </c>
      <c r="J94" t="str">
        <f>IF(ISBLANK(Table13[[#This Row],[Rating]]), "No", "Yes")</f>
        <v>Yes</v>
      </c>
      <c r="K94" t="str">
        <f>IF(ISBLANK(Table13[[#This Row],[Rating]]), "Not Rated", IF(Table13[[#This Row],[Rating]] &lt; 3, "Low", IF(Table13[[#This Row],[Rating]] &lt; 4, "Medium", "High")))</f>
        <v>High</v>
      </c>
      <c r="L94">
        <v>2411</v>
      </c>
      <c r="M94">
        <v>64</v>
      </c>
      <c r="N94" t="str">
        <f>IF(Table13[[#This Row],[Price USD]]&lt;20,"Budget",IF(Table13[[#This Row],[Price USD]]&lt;=50,"Mid-range","Premium"))</f>
        <v>Premium</v>
      </c>
      <c r="O94">
        <v>0</v>
      </c>
      <c r="P94">
        <v>0</v>
      </c>
    </row>
    <row r="95" spans="1:16" x14ac:dyDescent="0.25">
      <c r="A95" t="s">
        <v>232</v>
      </c>
      <c r="B95" t="s">
        <v>233</v>
      </c>
      <c r="C95">
        <v>4348</v>
      </c>
      <c r="D95" t="s">
        <v>61</v>
      </c>
      <c r="E95" t="s">
        <v>4</v>
      </c>
      <c r="F95">
        <v>125611</v>
      </c>
      <c r="G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5">
        <v>4.2836999999999996</v>
      </c>
      <c r="J95" t="str">
        <f>IF(ISBLANK(Table13[[#This Row],[Rating]]), "No", "Yes")</f>
        <v>Yes</v>
      </c>
      <c r="K95" t="str">
        <f>IF(ISBLANK(Table13[[#This Row],[Rating]]), "Not Rated", IF(Table13[[#This Row],[Rating]] &lt; 3, "Low", IF(Table13[[#This Row],[Rating]] &lt; 4, "Medium", "High")))</f>
        <v>High</v>
      </c>
      <c r="L95">
        <v>2957</v>
      </c>
      <c r="M95">
        <v>28</v>
      </c>
      <c r="N95" t="str">
        <f>IF(Table13[[#This Row],[Price USD]]&lt;20,"Budget",IF(Table13[[#This Row],[Price USD]]&lt;=50,"Mid-range","Premium"))</f>
        <v>Mid-range</v>
      </c>
      <c r="O95">
        <v>0</v>
      </c>
      <c r="P95">
        <v>0</v>
      </c>
    </row>
    <row r="96" spans="1:16" x14ac:dyDescent="0.25">
      <c r="A96" t="s">
        <v>234</v>
      </c>
      <c r="B96" t="s">
        <v>235</v>
      </c>
      <c r="C96">
        <v>7083</v>
      </c>
      <c r="D96" t="s">
        <v>20</v>
      </c>
      <c r="E96" t="s">
        <v>149</v>
      </c>
      <c r="F96">
        <v>124160</v>
      </c>
      <c r="G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6">
        <v>3.7473000000000001</v>
      </c>
      <c r="J96" t="str">
        <f>IF(ISBLANK(Table13[[#This Row],[Rating]]), "No", "Yes")</f>
        <v>Yes</v>
      </c>
      <c r="K96" t="str">
        <f>IF(ISBLANK(Table13[[#This Row],[Rating]]), "Not Rated", IF(Table13[[#This Row],[Rating]] &lt; 3, "Low", IF(Table13[[#This Row],[Rating]] &lt; 4, "Medium", "High")))</f>
        <v>Medium</v>
      </c>
      <c r="L96">
        <v>1484</v>
      </c>
      <c r="M96">
        <v>64</v>
      </c>
      <c r="N96" t="str">
        <f>IF(Table13[[#This Row],[Price USD]]&lt;20,"Budget",IF(Table13[[#This Row],[Price USD]]&lt;=50,"Mid-range","Premium"))</f>
        <v>Premium</v>
      </c>
      <c r="O96">
        <v>0</v>
      </c>
      <c r="P96">
        <v>0</v>
      </c>
    </row>
    <row r="97" spans="1:16" x14ac:dyDescent="0.25">
      <c r="A97" t="s">
        <v>236</v>
      </c>
      <c r="B97" t="s">
        <v>237</v>
      </c>
      <c r="C97">
        <v>3297</v>
      </c>
      <c r="D97" t="s">
        <v>238</v>
      </c>
      <c r="E97" t="s">
        <v>4</v>
      </c>
      <c r="F97">
        <v>123439</v>
      </c>
      <c r="G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7">
        <v>4.6818</v>
      </c>
      <c r="J97" t="str">
        <f>IF(ISBLANK(Table13[[#This Row],[Rating]]), "No", "Yes")</f>
        <v>Yes</v>
      </c>
      <c r="K97" t="str">
        <f>IF(ISBLANK(Table13[[#This Row],[Rating]]), "Not Rated", IF(Table13[[#This Row],[Rating]] &lt; 3, "Low", IF(Table13[[#This Row],[Rating]] &lt; 4, "Medium", "High")))</f>
        <v>High</v>
      </c>
      <c r="L97">
        <v>3595</v>
      </c>
      <c r="M97">
        <v>10</v>
      </c>
      <c r="N97" t="str">
        <f>IF(Table13[[#This Row],[Price USD]]&lt;20,"Budget",IF(Table13[[#This Row],[Price USD]]&lt;=50,"Mid-range","Premium"))</f>
        <v>Budget</v>
      </c>
      <c r="O97">
        <v>0</v>
      </c>
      <c r="P97">
        <v>0</v>
      </c>
    </row>
    <row r="98" spans="1:16" x14ac:dyDescent="0.25">
      <c r="A98" t="s">
        <v>239</v>
      </c>
      <c r="B98" t="s">
        <v>240</v>
      </c>
      <c r="C98">
        <v>6073</v>
      </c>
      <c r="D98" t="s">
        <v>78</v>
      </c>
      <c r="E98" t="s">
        <v>21</v>
      </c>
      <c r="F98">
        <v>123202</v>
      </c>
      <c r="G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8">
        <v>4.1349999999999998</v>
      </c>
      <c r="J98" t="str">
        <f>IF(ISBLANK(Table13[[#This Row],[Rating]]), "No", "Yes")</f>
        <v>Yes</v>
      </c>
      <c r="K98" t="str">
        <f>IF(ISBLANK(Table13[[#This Row],[Rating]]), "Not Rated", IF(Table13[[#This Row],[Rating]] &lt; 3, "Low", IF(Table13[[#This Row],[Rating]] &lt; 4, "Medium", "High")))</f>
        <v>High</v>
      </c>
      <c r="L98">
        <v>2281</v>
      </c>
      <c r="M98">
        <v>80</v>
      </c>
      <c r="N98" t="str">
        <f>IF(Table13[[#This Row],[Price USD]]&lt;20,"Budget",IF(Table13[[#This Row],[Price USD]]&lt;=50,"Mid-range","Premium"))</f>
        <v>Premium</v>
      </c>
      <c r="O98">
        <v>0</v>
      </c>
      <c r="P98">
        <v>0</v>
      </c>
    </row>
    <row r="99" spans="1:16" x14ac:dyDescent="0.25">
      <c r="A99" t="s">
        <v>241</v>
      </c>
      <c r="B99" t="s">
        <v>242</v>
      </c>
      <c r="C99">
        <v>6169</v>
      </c>
      <c r="D99" t="s">
        <v>24</v>
      </c>
      <c r="E99" t="s">
        <v>144</v>
      </c>
      <c r="F99">
        <v>121678</v>
      </c>
      <c r="G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99">
        <v>4.2121000000000004</v>
      </c>
      <c r="J99" t="str">
        <f>IF(ISBLANK(Table13[[#This Row],[Rating]]), "No", "Yes")</f>
        <v>Yes</v>
      </c>
      <c r="K99" t="str">
        <f>IF(ISBLANK(Table13[[#This Row],[Rating]]), "Not Rated", IF(Table13[[#This Row],[Rating]] &lt; 3, "Low", IF(Table13[[#This Row],[Rating]] &lt; 4, "Medium", "High")))</f>
        <v>High</v>
      </c>
      <c r="L99">
        <v>5841</v>
      </c>
      <c r="M99">
        <v>14</v>
      </c>
      <c r="N99" t="str">
        <f>IF(Table13[[#This Row],[Price USD]]&lt;20,"Budget",IF(Table13[[#This Row],[Price USD]]&lt;=50,"Mid-range","Premium"))</f>
        <v>Budget</v>
      </c>
      <c r="O99">
        <v>0</v>
      </c>
      <c r="P99">
        <v>0</v>
      </c>
    </row>
    <row r="100" spans="1:16" x14ac:dyDescent="0.25">
      <c r="A100" t="s">
        <v>243</v>
      </c>
      <c r="B100" t="s">
        <v>244</v>
      </c>
      <c r="C100">
        <v>6234</v>
      </c>
      <c r="D100" t="s">
        <v>7</v>
      </c>
      <c r="E100" t="s">
        <v>13</v>
      </c>
      <c r="F100">
        <v>121486</v>
      </c>
      <c r="G1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0">
        <v>4.0068000000000001</v>
      </c>
      <c r="J100" t="str">
        <f>IF(ISBLANK(Table13[[#This Row],[Rating]]), "No", "Yes")</f>
        <v>Yes</v>
      </c>
      <c r="K100" t="str">
        <f>IF(ISBLANK(Table13[[#This Row],[Rating]]), "Not Rated", IF(Table13[[#This Row],[Rating]] &lt; 3, "Low", IF(Table13[[#This Row],[Rating]] &lt; 4, "Medium", "High")))</f>
        <v>High</v>
      </c>
      <c r="L100">
        <v>888</v>
      </c>
      <c r="M100">
        <v>9</v>
      </c>
      <c r="N100" t="str">
        <f>IF(Table13[[#This Row],[Price USD]]&lt;20,"Budget",IF(Table13[[#This Row],[Price USD]]&lt;=50,"Mid-range","Premium"))</f>
        <v>Budget</v>
      </c>
      <c r="O100">
        <v>0</v>
      </c>
      <c r="P100">
        <v>0</v>
      </c>
    </row>
    <row r="101" spans="1:16" x14ac:dyDescent="0.25">
      <c r="A101" t="s">
        <v>245</v>
      </c>
      <c r="B101" t="s">
        <v>246</v>
      </c>
      <c r="C101">
        <v>5668</v>
      </c>
      <c r="D101" t="s">
        <v>93</v>
      </c>
      <c r="E101" t="s">
        <v>8</v>
      </c>
      <c r="F101">
        <v>121149</v>
      </c>
      <c r="G1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1">
        <v>4.4898999999999996</v>
      </c>
      <c r="J101" t="str">
        <f>IF(ISBLANK(Table13[[#This Row],[Rating]]), "No", "Yes")</f>
        <v>Yes</v>
      </c>
      <c r="K101" t="str">
        <f>IF(ISBLANK(Table13[[#This Row],[Rating]]), "Not Rated", IF(Table13[[#This Row],[Rating]] &lt; 3, "Low", IF(Table13[[#This Row],[Rating]] &lt; 4, "Medium", "High")))</f>
        <v>High</v>
      </c>
      <c r="L101">
        <v>1382</v>
      </c>
      <c r="M101">
        <v>92</v>
      </c>
      <c r="N101" t="str">
        <f>IF(Table13[[#This Row],[Price USD]]&lt;20,"Budget",IF(Table13[[#This Row],[Price USD]]&lt;=50,"Mid-range","Premium"))</f>
        <v>Premium</v>
      </c>
      <c r="O101">
        <v>0</v>
      </c>
      <c r="P101">
        <v>0</v>
      </c>
    </row>
    <row r="102" spans="1:16" x14ac:dyDescent="0.25">
      <c r="A102" t="s">
        <v>247</v>
      </c>
      <c r="B102" t="s">
        <v>248</v>
      </c>
      <c r="C102">
        <v>6189</v>
      </c>
      <c r="D102" t="s">
        <v>30</v>
      </c>
      <c r="E102" t="s">
        <v>21</v>
      </c>
      <c r="F102">
        <v>120381</v>
      </c>
      <c r="G1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2">
        <v>4.1551999999999998</v>
      </c>
      <c r="J102" t="str">
        <f>IF(ISBLANK(Table13[[#This Row],[Rating]]), "No", "Yes")</f>
        <v>Yes</v>
      </c>
      <c r="K102" t="str">
        <f>IF(ISBLANK(Table13[[#This Row],[Rating]]), "Not Rated", IF(Table13[[#This Row],[Rating]] &lt; 3, "Low", IF(Table13[[#This Row],[Rating]] &lt; 4, "Medium", "High")))</f>
        <v>High</v>
      </c>
      <c r="L102">
        <v>992</v>
      </c>
      <c r="M102">
        <v>29</v>
      </c>
      <c r="N102" t="str">
        <f>IF(Table13[[#This Row],[Price USD]]&lt;20,"Budget",IF(Table13[[#This Row],[Price USD]]&lt;=50,"Mid-range","Premium"))</f>
        <v>Mid-range</v>
      </c>
      <c r="O102">
        <v>0</v>
      </c>
      <c r="P102">
        <v>0</v>
      </c>
    </row>
    <row r="103" spans="1:16" x14ac:dyDescent="0.25">
      <c r="A103" t="s">
        <v>249</v>
      </c>
      <c r="B103" t="s">
        <v>250</v>
      </c>
      <c r="C103">
        <v>6352</v>
      </c>
      <c r="D103" t="s">
        <v>251</v>
      </c>
      <c r="E103" t="s">
        <v>4</v>
      </c>
      <c r="F103">
        <v>119797</v>
      </c>
      <c r="G1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3">
        <v>4.4484000000000004</v>
      </c>
      <c r="J103" t="str">
        <f>IF(ISBLANK(Table13[[#This Row],[Rating]]), "No", "Yes")</f>
        <v>Yes</v>
      </c>
      <c r="K103" t="str">
        <f>IF(ISBLANK(Table13[[#This Row],[Rating]]), "Not Rated", IF(Table13[[#This Row],[Rating]] &lt; 3, "Low", IF(Table13[[#This Row],[Rating]] &lt; 4, "Medium", "High")))</f>
        <v>High</v>
      </c>
      <c r="L103">
        <v>533</v>
      </c>
      <c r="M103">
        <v>24</v>
      </c>
      <c r="N103" t="str">
        <f>IF(Table13[[#This Row],[Price USD]]&lt;20,"Budget",IF(Table13[[#This Row],[Price USD]]&lt;=50,"Mid-range","Premium"))</f>
        <v>Mid-range</v>
      </c>
      <c r="O103">
        <v>0</v>
      </c>
      <c r="P103">
        <v>0</v>
      </c>
    </row>
    <row r="104" spans="1:16" x14ac:dyDescent="0.25">
      <c r="A104" t="s">
        <v>252</v>
      </c>
      <c r="B104" t="s">
        <v>253</v>
      </c>
      <c r="C104">
        <v>6145</v>
      </c>
      <c r="D104" t="s">
        <v>254</v>
      </c>
      <c r="E104" t="s">
        <v>4</v>
      </c>
      <c r="F104">
        <v>118586</v>
      </c>
      <c r="G1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4">
        <v>4.1303999999999998</v>
      </c>
      <c r="J104" t="str">
        <f>IF(ISBLANK(Table13[[#This Row],[Rating]]), "No", "Yes")</f>
        <v>Yes</v>
      </c>
      <c r="K104" t="str">
        <f>IF(ISBLANK(Table13[[#This Row],[Rating]]), "Not Rated", IF(Table13[[#This Row],[Rating]] &lt; 3, "Low", IF(Table13[[#This Row],[Rating]] &lt; 4, "Medium", "High")))</f>
        <v>High</v>
      </c>
      <c r="L104">
        <v>1350</v>
      </c>
      <c r="M104">
        <v>18</v>
      </c>
      <c r="N104" t="str">
        <f>IF(Table13[[#This Row],[Price USD]]&lt;20,"Budget",IF(Table13[[#This Row],[Price USD]]&lt;=50,"Mid-range","Premium"))</f>
        <v>Budget</v>
      </c>
      <c r="O104">
        <v>0</v>
      </c>
      <c r="P104">
        <v>0</v>
      </c>
    </row>
    <row r="105" spans="1:16" x14ac:dyDescent="0.25">
      <c r="A105" t="s">
        <v>255</v>
      </c>
      <c r="B105" t="s">
        <v>256</v>
      </c>
      <c r="C105">
        <v>6189</v>
      </c>
      <c r="D105" t="s">
        <v>30</v>
      </c>
      <c r="E105" t="s">
        <v>8</v>
      </c>
      <c r="F105">
        <v>118258</v>
      </c>
      <c r="G1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5">
        <v>4.5438999999999998</v>
      </c>
      <c r="J105" t="str">
        <f>IF(ISBLANK(Table13[[#This Row],[Rating]]), "No", "Yes")</f>
        <v>Yes</v>
      </c>
      <c r="K105" t="str">
        <f>IF(ISBLANK(Table13[[#This Row],[Rating]]), "Not Rated", IF(Table13[[#This Row],[Rating]] &lt; 3, "Low", IF(Table13[[#This Row],[Rating]] &lt; 4, "Medium", "High")))</f>
        <v>High</v>
      </c>
      <c r="L105">
        <v>1024</v>
      </c>
      <c r="M105">
        <v>42</v>
      </c>
      <c r="N105" t="str">
        <f>IF(Table13[[#This Row],[Price USD]]&lt;20,"Budget",IF(Table13[[#This Row],[Price USD]]&lt;=50,"Mid-range","Premium"))</f>
        <v>Mid-range</v>
      </c>
      <c r="O105">
        <v>0</v>
      </c>
      <c r="P105">
        <v>0</v>
      </c>
    </row>
    <row r="106" spans="1:16" x14ac:dyDescent="0.25">
      <c r="A106" t="s">
        <v>257</v>
      </c>
      <c r="B106" t="s">
        <v>258</v>
      </c>
      <c r="C106">
        <v>3902</v>
      </c>
      <c r="D106" t="s">
        <v>72</v>
      </c>
      <c r="E106" t="s">
        <v>8</v>
      </c>
      <c r="F106">
        <v>113866</v>
      </c>
      <c r="G1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6">
        <v>4.125</v>
      </c>
      <c r="J106" t="str">
        <f>IF(ISBLANK(Table13[[#This Row],[Rating]]), "No", "Yes")</f>
        <v>Yes</v>
      </c>
      <c r="K106" t="str">
        <f>IF(ISBLANK(Table13[[#This Row],[Rating]]), "Not Rated", IF(Table13[[#This Row],[Rating]] &lt; 3, "Low", IF(Table13[[#This Row],[Rating]] &lt; 4, "Medium", "High")))</f>
        <v>High</v>
      </c>
      <c r="L106">
        <v>1488</v>
      </c>
      <c r="M106">
        <v>20</v>
      </c>
      <c r="N106" t="str">
        <f>IF(Table13[[#This Row],[Price USD]]&lt;20,"Budget",IF(Table13[[#This Row],[Price USD]]&lt;=50,"Mid-range","Premium"))</f>
        <v>Mid-range</v>
      </c>
      <c r="O106">
        <v>0</v>
      </c>
      <c r="P106">
        <v>0</v>
      </c>
    </row>
    <row r="107" spans="1:16" x14ac:dyDescent="0.25">
      <c r="A107" t="s">
        <v>259</v>
      </c>
      <c r="B107" t="s">
        <v>260</v>
      </c>
      <c r="C107">
        <v>6041</v>
      </c>
      <c r="D107" t="s">
        <v>33</v>
      </c>
      <c r="E107" t="s">
        <v>21</v>
      </c>
      <c r="F107">
        <v>113656</v>
      </c>
      <c r="G1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7">
        <v>4.4442000000000004</v>
      </c>
      <c r="J107" t="str">
        <f>IF(ISBLANK(Table13[[#This Row],[Rating]]), "No", "Yes")</f>
        <v>Yes</v>
      </c>
      <c r="K107" t="str">
        <f>IF(ISBLANK(Table13[[#This Row],[Rating]]), "Not Rated", IF(Table13[[#This Row],[Rating]] &lt; 3, "Low", IF(Table13[[#This Row],[Rating]] &lt; 4, "Medium", "High")))</f>
        <v>High</v>
      </c>
      <c r="L107">
        <v>2483</v>
      </c>
      <c r="M107">
        <v>110</v>
      </c>
      <c r="N107" t="str">
        <f>IF(Table13[[#This Row],[Price USD]]&lt;20,"Budget",IF(Table13[[#This Row],[Price USD]]&lt;=50,"Mid-range","Premium"))</f>
        <v>Premium</v>
      </c>
      <c r="O107">
        <v>0</v>
      </c>
      <c r="P107">
        <v>0</v>
      </c>
    </row>
    <row r="108" spans="1:16" x14ac:dyDescent="0.25">
      <c r="A108" t="s">
        <v>261</v>
      </c>
      <c r="B108" t="s">
        <v>262</v>
      </c>
      <c r="C108">
        <v>7083</v>
      </c>
      <c r="D108" t="s">
        <v>20</v>
      </c>
      <c r="E108" t="s">
        <v>13</v>
      </c>
      <c r="F108">
        <v>113466</v>
      </c>
      <c r="G1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8">
        <v>3.9426000000000001</v>
      </c>
      <c r="J108" t="str">
        <f>IF(ISBLANK(Table13[[#This Row],[Rating]]), "No", "Yes")</f>
        <v>Yes</v>
      </c>
      <c r="K108" t="str">
        <f>IF(ISBLANK(Table13[[#This Row],[Rating]]), "Not Rated", IF(Table13[[#This Row],[Rating]] &lt; 3, "Low", IF(Table13[[#This Row],[Rating]] &lt; 4, "Medium", "High")))</f>
        <v>Medium</v>
      </c>
      <c r="L108">
        <v>2702</v>
      </c>
      <c r="M108">
        <v>34</v>
      </c>
      <c r="N108" t="str">
        <f>IF(Table13[[#This Row],[Price USD]]&lt;20,"Budget",IF(Table13[[#This Row],[Price USD]]&lt;=50,"Mid-range","Premium"))</f>
        <v>Mid-range</v>
      </c>
      <c r="O108">
        <v>0</v>
      </c>
      <c r="P108">
        <v>0</v>
      </c>
    </row>
    <row r="109" spans="1:16" x14ac:dyDescent="0.25">
      <c r="A109" t="s">
        <v>263</v>
      </c>
      <c r="B109" t="s">
        <v>264</v>
      </c>
      <c r="C109">
        <v>6189</v>
      </c>
      <c r="D109" t="s">
        <v>30</v>
      </c>
      <c r="E109" t="s">
        <v>8</v>
      </c>
      <c r="F109">
        <v>112842</v>
      </c>
      <c r="G1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09">
        <v>4.4710000000000001</v>
      </c>
      <c r="J109" t="str">
        <f>IF(ISBLANK(Table13[[#This Row],[Rating]]), "No", "Yes")</f>
        <v>Yes</v>
      </c>
      <c r="K109" t="str">
        <f>IF(ISBLANK(Table13[[#This Row],[Rating]]), "Not Rated", IF(Table13[[#This Row],[Rating]] &lt; 3, "Low", IF(Table13[[#This Row],[Rating]] &lt; 4, "Medium", "High")))</f>
        <v>High</v>
      </c>
      <c r="L109">
        <v>1412</v>
      </c>
      <c r="M109">
        <v>45</v>
      </c>
      <c r="N109" t="str">
        <f>IF(Table13[[#This Row],[Price USD]]&lt;20,"Budget",IF(Table13[[#This Row],[Price USD]]&lt;=50,"Mid-range","Premium"))</f>
        <v>Mid-range</v>
      </c>
      <c r="O109">
        <v>0</v>
      </c>
      <c r="P109">
        <v>0</v>
      </c>
    </row>
    <row r="110" spans="1:16" x14ac:dyDescent="0.25">
      <c r="A110" t="s">
        <v>265</v>
      </c>
      <c r="B110" t="s">
        <v>266</v>
      </c>
      <c r="C110">
        <v>6218</v>
      </c>
      <c r="D110" t="s">
        <v>116</v>
      </c>
      <c r="E110" t="s">
        <v>69</v>
      </c>
      <c r="F110">
        <v>112588</v>
      </c>
      <c r="G1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0">
        <v>4.5419999999999998</v>
      </c>
      <c r="J110" t="str">
        <f>IF(ISBLANK(Table13[[#This Row],[Rating]]), "No", "Yes")</f>
        <v>Yes</v>
      </c>
      <c r="K110" t="str">
        <f>IF(ISBLANK(Table13[[#This Row],[Rating]]), "Not Rated", IF(Table13[[#This Row],[Rating]] &lt; 3, "Low", IF(Table13[[#This Row],[Rating]] &lt; 4, "Medium", "High")))</f>
        <v>High</v>
      </c>
      <c r="L110">
        <v>524</v>
      </c>
      <c r="M110">
        <v>45</v>
      </c>
      <c r="N110" t="str">
        <f>IF(Table13[[#This Row],[Price USD]]&lt;20,"Budget",IF(Table13[[#This Row],[Price USD]]&lt;=50,"Mid-range","Premium"))</f>
        <v>Mid-range</v>
      </c>
      <c r="O110">
        <v>0</v>
      </c>
      <c r="P110">
        <v>0</v>
      </c>
    </row>
    <row r="111" spans="1:16" x14ac:dyDescent="0.25">
      <c r="A111" t="s">
        <v>267</v>
      </c>
      <c r="B111" t="s">
        <v>268</v>
      </c>
      <c r="C111">
        <v>6084</v>
      </c>
      <c r="D111" t="s">
        <v>269</v>
      </c>
      <c r="E111" t="s">
        <v>21</v>
      </c>
      <c r="F111">
        <v>112101</v>
      </c>
      <c r="G1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1">
        <v>4.0810000000000004</v>
      </c>
      <c r="J111" t="str">
        <f>IF(ISBLANK(Table13[[#This Row],[Rating]]), "No", "Yes")</f>
        <v>Yes</v>
      </c>
      <c r="K111" t="str">
        <f>IF(ISBLANK(Table13[[#This Row],[Rating]]), "Not Rated", IF(Table13[[#This Row],[Rating]] &lt; 3, "Low", IF(Table13[[#This Row],[Rating]] &lt; 4, "Medium", "High")))</f>
        <v>High</v>
      </c>
      <c r="L111">
        <v>2951</v>
      </c>
      <c r="M111">
        <v>245</v>
      </c>
      <c r="N111" t="str">
        <f>IF(Table13[[#This Row],[Price USD]]&lt;20,"Budget",IF(Table13[[#This Row],[Price USD]]&lt;=50,"Mid-range","Premium"))</f>
        <v>Premium</v>
      </c>
      <c r="O111">
        <v>0</v>
      </c>
      <c r="P111">
        <v>0</v>
      </c>
    </row>
    <row r="112" spans="1:16" x14ac:dyDescent="0.25">
      <c r="A112" t="s">
        <v>270</v>
      </c>
      <c r="B112" t="s">
        <v>271</v>
      </c>
      <c r="C112">
        <v>6236</v>
      </c>
      <c r="D112" t="s">
        <v>272</v>
      </c>
      <c r="E112" t="s">
        <v>21</v>
      </c>
      <c r="F112">
        <v>111513</v>
      </c>
      <c r="G1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2">
        <v>4.4044999999999996</v>
      </c>
      <c r="J112" t="str">
        <f>IF(ISBLANK(Table13[[#This Row],[Rating]]), "No", "Yes")</f>
        <v>Yes</v>
      </c>
      <c r="K112" t="str">
        <f>IF(ISBLANK(Table13[[#This Row],[Rating]]), "Not Rated", IF(Table13[[#This Row],[Rating]] &lt; 3, "Low", IF(Table13[[#This Row],[Rating]] &lt; 4, "Medium", "High")))</f>
        <v>High</v>
      </c>
      <c r="L112">
        <v>3434</v>
      </c>
      <c r="M112">
        <v>100</v>
      </c>
      <c r="N112" t="str">
        <f>IF(Table13[[#This Row],[Price USD]]&lt;20,"Budget",IF(Table13[[#This Row],[Price USD]]&lt;=50,"Mid-range","Premium"))</f>
        <v>Premium</v>
      </c>
      <c r="O112">
        <v>0</v>
      </c>
      <c r="P112">
        <v>0</v>
      </c>
    </row>
    <row r="113" spans="1:16" x14ac:dyDescent="0.25">
      <c r="A113" t="s">
        <v>273</v>
      </c>
      <c r="B113" t="s">
        <v>274</v>
      </c>
      <c r="C113">
        <v>6189</v>
      </c>
      <c r="D113" t="s">
        <v>30</v>
      </c>
      <c r="E113" t="s">
        <v>144</v>
      </c>
      <c r="F113">
        <v>111141</v>
      </c>
      <c r="G1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3">
        <v>4.3727999999999998</v>
      </c>
      <c r="J113" t="str">
        <f>IF(ISBLANK(Table13[[#This Row],[Rating]]), "No", "Yes")</f>
        <v>Yes</v>
      </c>
      <c r="K113" t="str">
        <f>IF(ISBLANK(Table13[[#This Row],[Rating]]), "Not Rated", IF(Table13[[#This Row],[Rating]] &lt; 3, "Low", IF(Table13[[#This Row],[Rating]] &lt; 4, "Medium", "High")))</f>
        <v>High</v>
      </c>
      <c r="L113">
        <v>3305</v>
      </c>
      <c r="M113">
        <v>15</v>
      </c>
      <c r="N113" t="str">
        <f>IF(Table13[[#This Row],[Price USD]]&lt;20,"Budget",IF(Table13[[#This Row],[Price USD]]&lt;=50,"Mid-range","Premium"))</f>
        <v>Budget</v>
      </c>
      <c r="O113">
        <v>0</v>
      </c>
      <c r="P113">
        <v>0</v>
      </c>
    </row>
    <row r="114" spans="1:16" x14ac:dyDescent="0.25">
      <c r="A114" t="s">
        <v>275</v>
      </c>
      <c r="B114" t="s">
        <v>276</v>
      </c>
      <c r="C114">
        <v>6219</v>
      </c>
      <c r="D114" t="s">
        <v>277</v>
      </c>
      <c r="E114" t="s">
        <v>144</v>
      </c>
      <c r="F114">
        <v>110141</v>
      </c>
      <c r="G1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4">
        <v>4.6959999999999997</v>
      </c>
      <c r="J114" t="str">
        <f>IF(ISBLANK(Table13[[#This Row],[Rating]]), "No", "Yes")</f>
        <v>Yes</v>
      </c>
      <c r="K114" t="str">
        <f>IF(ISBLANK(Table13[[#This Row],[Rating]]), "Not Rated", IF(Table13[[#This Row],[Rating]] &lt; 3, "Low", IF(Table13[[#This Row],[Rating]] &lt; 4, "Medium", "High")))</f>
        <v>High</v>
      </c>
      <c r="L114">
        <v>4598</v>
      </c>
      <c r="M114">
        <v>18</v>
      </c>
      <c r="N114" t="str">
        <f>IF(Table13[[#This Row],[Price USD]]&lt;20,"Budget",IF(Table13[[#This Row],[Price USD]]&lt;=50,"Mid-range","Premium"))</f>
        <v>Budget</v>
      </c>
      <c r="O114">
        <v>0</v>
      </c>
      <c r="P114">
        <v>0</v>
      </c>
    </row>
    <row r="115" spans="1:16" x14ac:dyDescent="0.25">
      <c r="A115" t="s">
        <v>278</v>
      </c>
      <c r="B115" t="s">
        <v>279</v>
      </c>
      <c r="C115">
        <v>6234</v>
      </c>
      <c r="D115" t="s">
        <v>7</v>
      </c>
      <c r="E115" t="s">
        <v>8</v>
      </c>
      <c r="F115">
        <v>109679</v>
      </c>
      <c r="G1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5">
        <v>3.8389000000000002</v>
      </c>
      <c r="J115" t="str">
        <f>IF(ISBLANK(Table13[[#This Row],[Rating]]), "No", "Yes")</f>
        <v>Yes</v>
      </c>
      <c r="K115" t="str">
        <f>IF(ISBLANK(Table13[[#This Row],[Rating]]), "Not Rated", IF(Table13[[#This Row],[Rating]] &lt; 3, "Low", IF(Table13[[#This Row],[Rating]] &lt; 4, "Medium", "High")))</f>
        <v>Medium</v>
      </c>
      <c r="L115">
        <v>329</v>
      </c>
      <c r="M115">
        <v>7.2</v>
      </c>
      <c r="N115" t="str">
        <f>IF(Table13[[#This Row],[Price USD]]&lt;20,"Budget",IF(Table13[[#This Row],[Price USD]]&lt;=50,"Mid-range","Premium"))</f>
        <v>Budget</v>
      </c>
      <c r="O115">
        <v>0</v>
      </c>
      <c r="P115">
        <v>0</v>
      </c>
    </row>
    <row r="116" spans="1:16" x14ac:dyDescent="0.25">
      <c r="A116" t="s">
        <v>280</v>
      </c>
      <c r="B116" t="s">
        <v>281</v>
      </c>
      <c r="C116">
        <v>6169</v>
      </c>
      <c r="D116" t="s">
        <v>24</v>
      </c>
      <c r="E116" t="s">
        <v>21</v>
      </c>
      <c r="F116">
        <v>109521</v>
      </c>
      <c r="G1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6">
        <v>4.5094000000000003</v>
      </c>
      <c r="J116" t="str">
        <f>IF(ISBLANK(Table13[[#This Row],[Rating]]), "No", "Yes")</f>
        <v>Yes</v>
      </c>
      <c r="K116" t="str">
        <f>IF(ISBLANK(Table13[[#This Row],[Rating]]), "Not Rated", IF(Table13[[#This Row],[Rating]] &lt; 3, "Low", IF(Table13[[#This Row],[Rating]] &lt; 4, "Medium", "High")))</f>
        <v>High</v>
      </c>
      <c r="L116">
        <v>1062</v>
      </c>
      <c r="M116">
        <v>48</v>
      </c>
      <c r="N116" t="str">
        <f>IF(Table13[[#This Row],[Price USD]]&lt;20,"Budget",IF(Table13[[#This Row],[Price USD]]&lt;=50,"Mid-range","Premium"))</f>
        <v>Mid-range</v>
      </c>
      <c r="O116">
        <v>0</v>
      </c>
      <c r="P116">
        <v>0</v>
      </c>
    </row>
    <row r="117" spans="1:16" x14ac:dyDescent="0.25">
      <c r="A117" t="s">
        <v>282</v>
      </c>
      <c r="B117" t="s">
        <v>283</v>
      </c>
      <c r="C117">
        <v>6234</v>
      </c>
      <c r="D117" t="s">
        <v>7</v>
      </c>
      <c r="E117" t="s">
        <v>8</v>
      </c>
      <c r="F117">
        <v>108468</v>
      </c>
      <c r="G1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7">
        <v>4.5373999999999999</v>
      </c>
      <c r="J117" t="str">
        <f>IF(ISBLANK(Table13[[#This Row],[Rating]]), "No", "Yes")</f>
        <v>Yes</v>
      </c>
      <c r="K117" t="str">
        <f>IF(ISBLANK(Table13[[#This Row],[Rating]]), "Not Rated", IF(Table13[[#This Row],[Rating]] &lt; 3, "Low", IF(Table13[[#This Row],[Rating]] &lt; 4, "Medium", "High")))</f>
        <v>High</v>
      </c>
      <c r="L117">
        <v>655</v>
      </c>
      <c r="M117">
        <v>10</v>
      </c>
      <c r="N117" t="str">
        <f>IF(Table13[[#This Row],[Price USD]]&lt;20,"Budget",IF(Table13[[#This Row],[Price USD]]&lt;=50,"Mid-range","Premium"))</f>
        <v>Budget</v>
      </c>
      <c r="O117">
        <v>0</v>
      </c>
      <c r="P117">
        <v>0</v>
      </c>
    </row>
    <row r="118" spans="1:16" x14ac:dyDescent="0.25">
      <c r="A118" t="s">
        <v>284</v>
      </c>
      <c r="B118" t="s">
        <v>285</v>
      </c>
      <c r="C118">
        <v>6134</v>
      </c>
      <c r="D118" t="s">
        <v>286</v>
      </c>
      <c r="E118" t="s">
        <v>21</v>
      </c>
      <c r="F118">
        <v>107607</v>
      </c>
      <c r="G1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8">
        <v>3.6775000000000002</v>
      </c>
      <c r="J118" t="str">
        <f>IF(ISBLANK(Table13[[#This Row],[Rating]]), "No", "Yes")</f>
        <v>Yes</v>
      </c>
      <c r="K118" t="str">
        <f>IF(ISBLANK(Table13[[#This Row],[Rating]]), "Not Rated", IF(Table13[[#This Row],[Rating]] &lt; 3, "Low", IF(Table13[[#This Row],[Rating]] &lt; 4, "Medium", "High")))</f>
        <v>Medium</v>
      </c>
      <c r="L118">
        <v>1327</v>
      </c>
      <c r="M118">
        <v>28</v>
      </c>
      <c r="N118" t="str">
        <f>IF(Table13[[#This Row],[Price USD]]&lt;20,"Budget",IF(Table13[[#This Row],[Price USD]]&lt;=50,"Mid-range","Premium"))</f>
        <v>Mid-range</v>
      </c>
      <c r="O118">
        <v>0</v>
      </c>
      <c r="P118">
        <v>0</v>
      </c>
    </row>
    <row r="119" spans="1:16" x14ac:dyDescent="0.25">
      <c r="A119" t="s">
        <v>287</v>
      </c>
      <c r="B119" t="s">
        <v>288</v>
      </c>
      <c r="C119">
        <v>6189</v>
      </c>
      <c r="D119" t="s">
        <v>30</v>
      </c>
      <c r="E119" t="s">
        <v>8</v>
      </c>
      <c r="F119">
        <v>106447</v>
      </c>
      <c r="G1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19">
        <v>4.2613000000000003</v>
      </c>
      <c r="J119" t="str">
        <f>IF(ISBLANK(Table13[[#This Row],[Rating]]), "No", "Yes")</f>
        <v>Yes</v>
      </c>
      <c r="K119" t="str">
        <f>IF(ISBLANK(Table13[[#This Row],[Rating]]), "Not Rated", IF(Table13[[#This Row],[Rating]] &lt; 3, "Low", IF(Table13[[#This Row],[Rating]] &lt; 4, "Medium", "High")))</f>
        <v>High</v>
      </c>
      <c r="L119">
        <v>750</v>
      </c>
      <c r="M119">
        <v>45</v>
      </c>
      <c r="N119" t="str">
        <f>IF(Table13[[#This Row],[Price USD]]&lt;20,"Budget",IF(Table13[[#This Row],[Price USD]]&lt;=50,"Mid-range","Premium"))</f>
        <v>Mid-range</v>
      </c>
      <c r="O119">
        <v>0</v>
      </c>
      <c r="P119">
        <v>0</v>
      </c>
    </row>
    <row r="120" spans="1:16" x14ac:dyDescent="0.25">
      <c r="A120" t="s">
        <v>289</v>
      </c>
      <c r="B120" t="s">
        <v>290</v>
      </c>
      <c r="C120">
        <v>6234</v>
      </c>
      <c r="D120" t="s">
        <v>7</v>
      </c>
      <c r="E120" t="s">
        <v>8</v>
      </c>
      <c r="F120">
        <v>106253</v>
      </c>
      <c r="G1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0">
        <v>3.7505000000000002</v>
      </c>
      <c r="J120" t="str">
        <f>IF(ISBLANK(Table13[[#This Row],[Rating]]), "No", "Yes")</f>
        <v>Yes</v>
      </c>
      <c r="K120" t="str">
        <f>IF(ISBLANK(Table13[[#This Row],[Rating]]), "Not Rated", IF(Table13[[#This Row],[Rating]] &lt; 3, "Low", IF(Table13[[#This Row],[Rating]] &lt; 4, "Medium", "High")))</f>
        <v>Medium</v>
      </c>
      <c r="L120">
        <v>501</v>
      </c>
      <c r="M120">
        <v>12.2</v>
      </c>
      <c r="N120" t="str">
        <f>IF(Table13[[#This Row],[Price USD]]&lt;20,"Budget",IF(Table13[[#This Row],[Price USD]]&lt;=50,"Mid-range","Premium"))</f>
        <v>Budget</v>
      </c>
      <c r="O120">
        <v>0</v>
      </c>
      <c r="P120">
        <v>0</v>
      </c>
    </row>
    <row r="121" spans="1:16" x14ac:dyDescent="0.25">
      <c r="A121" t="s">
        <v>291</v>
      </c>
      <c r="B121" t="s">
        <v>292</v>
      </c>
      <c r="C121">
        <v>6234</v>
      </c>
      <c r="D121" t="s">
        <v>7</v>
      </c>
      <c r="E121" t="s">
        <v>8</v>
      </c>
      <c r="F121">
        <v>106124</v>
      </c>
      <c r="G1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1">
        <v>4.4640000000000004</v>
      </c>
      <c r="J121" t="str">
        <f>IF(ISBLANK(Table13[[#This Row],[Rating]]), "No", "Yes")</f>
        <v>Yes</v>
      </c>
      <c r="K121" t="str">
        <f>IF(ISBLANK(Table13[[#This Row],[Rating]]), "Not Rated", IF(Table13[[#This Row],[Rating]] &lt; 3, "Low", IF(Table13[[#This Row],[Rating]] &lt; 4, "Medium", "High")))</f>
        <v>High</v>
      </c>
      <c r="L121">
        <v>431</v>
      </c>
      <c r="M121">
        <v>7.5</v>
      </c>
      <c r="N121" t="str">
        <f>IF(Table13[[#This Row],[Price USD]]&lt;20,"Budget",IF(Table13[[#This Row],[Price USD]]&lt;=50,"Mid-range","Premium"))</f>
        <v>Budget</v>
      </c>
      <c r="O121">
        <v>0</v>
      </c>
      <c r="P121">
        <v>0</v>
      </c>
    </row>
    <row r="122" spans="1:16" x14ac:dyDescent="0.25">
      <c r="A122" t="s">
        <v>293</v>
      </c>
      <c r="B122" t="s">
        <v>294</v>
      </c>
      <c r="C122">
        <v>5674</v>
      </c>
      <c r="D122" t="s">
        <v>141</v>
      </c>
      <c r="E122" t="s">
        <v>21</v>
      </c>
      <c r="F122">
        <v>105730</v>
      </c>
      <c r="G1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2">
        <v>4.3403999999999998</v>
      </c>
      <c r="J122" t="str">
        <f>IF(ISBLANK(Table13[[#This Row],[Rating]]), "No", "Yes")</f>
        <v>Yes</v>
      </c>
      <c r="K122" t="str">
        <f>IF(ISBLANK(Table13[[#This Row],[Rating]]), "Not Rated", IF(Table13[[#This Row],[Rating]] &lt; 3, "Low", IF(Table13[[#This Row],[Rating]] &lt; 4, "Medium", "High")))</f>
        <v>High</v>
      </c>
      <c r="L122">
        <v>2961</v>
      </c>
      <c r="M122">
        <v>51</v>
      </c>
      <c r="N122" t="str">
        <f>IF(Table13[[#This Row],[Price USD]]&lt;20,"Budget",IF(Table13[[#This Row],[Price USD]]&lt;=50,"Mid-range","Premium"))</f>
        <v>Premium</v>
      </c>
      <c r="O122">
        <v>0</v>
      </c>
      <c r="P122">
        <v>0</v>
      </c>
    </row>
    <row r="123" spans="1:16" x14ac:dyDescent="0.25">
      <c r="A123" t="s">
        <v>295</v>
      </c>
      <c r="B123" t="s">
        <v>296</v>
      </c>
      <c r="C123">
        <v>6295</v>
      </c>
      <c r="D123" t="s">
        <v>184</v>
      </c>
      <c r="E123" t="s">
        <v>69</v>
      </c>
      <c r="F123">
        <v>104838</v>
      </c>
      <c r="G1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3">
        <v>4.6148999999999996</v>
      </c>
      <c r="J123" t="str">
        <f>IF(ISBLANK(Table13[[#This Row],[Rating]]), "No", "Yes")</f>
        <v>Yes</v>
      </c>
      <c r="K123" t="str">
        <f>IF(ISBLANK(Table13[[#This Row],[Rating]]), "Not Rated", IF(Table13[[#This Row],[Rating]] &lt; 3, "Low", IF(Table13[[#This Row],[Rating]] &lt; 4, "Medium", "High")))</f>
        <v>High</v>
      </c>
      <c r="L123">
        <v>1197</v>
      </c>
      <c r="M123">
        <v>16</v>
      </c>
      <c r="N123" t="str">
        <f>IF(Table13[[#This Row],[Price USD]]&lt;20,"Budget",IF(Table13[[#This Row],[Price USD]]&lt;=50,"Mid-range","Premium"))</f>
        <v>Budget</v>
      </c>
      <c r="O123">
        <v>0</v>
      </c>
      <c r="P123">
        <v>0</v>
      </c>
    </row>
    <row r="124" spans="1:16" x14ac:dyDescent="0.25">
      <c r="A124" t="s">
        <v>297</v>
      </c>
      <c r="B124" t="s">
        <v>298</v>
      </c>
      <c r="C124">
        <v>6169</v>
      </c>
      <c r="D124" t="s">
        <v>24</v>
      </c>
      <c r="E124" t="s">
        <v>21</v>
      </c>
      <c r="F124">
        <v>104812</v>
      </c>
      <c r="G1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4">
        <v>4.3654999999999999</v>
      </c>
      <c r="J124" t="str">
        <f>IF(ISBLANK(Table13[[#This Row],[Rating]]), "No", "Yes")</f>
        <v>Yes</v>
      </c>
      <c r="K124" t="str">
        <f>IF(ISBLANK(Table13[[#This Row],[Rating]]), "Not Rated", IF(Table13[[#This Row],[Rating]] &lt; 3, "Low", IF(Table13[[#This Row],[Rating]] &lt; 4, "Medium", "High")))</f>
        <v>High</v>
      </c>
      <c r="L124">
        <v>2071</v>
      </c>
      <c r="M124">
        <v>58</v>
      </c>
      <c r="N124" t="str">
        <f>IF(Table13[[#This Row],[Price USD]]&lt;20,"Budget",IF(Table13[[#This Row],[Price USD]]&lt;=50,"Mid-range","Premium"))</f>
        <v>Premium</v>
      </c>
      <c r="O124">
        <v>0</v>
      </c>
      <c r="P124">
        <v>0</v>
      </c>
    </row>
    <row r="125" spans="1:16" x14ac:dyDescent="0.25">
      <c r="A125" t="s">
        <v>299</v>
      </c>
      <c r="B125" t="s">
        <v>300</v>
      </c>
      <c r="C125">
        <v>6041</v>
      </c>
      <c r="D125" t="s">
        <v>33</v>
      </c>
      <c r="E125" t="s">
        <v>21</v>
      </c>
      <c r="F125">
        <v>104455</v>
      </c>
      <c r="G1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5">
        <v>4.5473999999999997</v>
      </c>
      <c r="J125" t="str">
        <f>IF(ISBLANK(Table13[[#This Row],[Rating]]), "No", "Yes")</f>
        <v>Yes</v>
      </c>
      <c r="K125" t="str">
        <f>IF(ISBLANK(Table13[[#This Row],[Rating]]), "Not Rated", IF(Table13[[#This Row],[Rating]] &lt; 3, "Low", IF(Table13[[#This Row],[Rating]] &lt; 4, "Medium", "High")))</f>
        <v>High</v>
      </c>
      <c r="L125">
        <v>1098</v>
      </c>
      <c r="M125">
        <v>92</v>
      </c>
      <c r="N125" t="str">
        <f>IF(Table13[[#This Row],[Price USD]]&lt;20,"Budget",IF(Table13[[#This Row],[Price USD]]&lt;=50,"Mid-range","Premium"))</f>
        <v>Premium</v>
      </c>
      <c r="O125">
        <v>0</v>
      </c>
      <c r="P125">
        <v>0</v>
      </c>
    </row>
    <row r="126" spans="1:16" x14ac:dyDescent="0.25">
      <c r="A126" t="s">
        <v>301</v>
      </c>
      <c r="B126" t="s">
        <v>302</v>
      </c>
      <c r="C126">
        <v>4348</v>
      </c>
      <c r="D126" t="s">
        <v>61</v>
      </c>
      <c r="E126" t="s">
        <v>21</v>
      </c>
      <c r="F126">
        <v>103629</v>
      </c>
      <c r="G1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6">
        <v>4.4843000000000002</v>
      </c>
      <c r="J126" t="str">
        <f>IF(ISBLANK(Table13[[#This Row],[Rating]]), "No", "Yes")</f>
        <v>Yes</v>
      </c>
      <c r="K126" t="str">
        <f>IF(ISBLANK(Table13[[#This Row],[Rating]]), "Not Rated", IF(Table13[[#This Row],[Rating]] &lt; 3, "Low", IF(Table13[[#This Row],[Rating]] &lt; 4, "Medium", "High")))</f>
        <v>High</v>
      </c>
      <c r="L126">
        <v>1687</v>
      </c>
      <c r="M126">
        <v>56</v>
      </c>
      <c r="N126" t="str">
        <f>IF(Table13[[#This Row],[Price USD]]&lt;20,"Budget",IF(Table13[[#This Row],[Price USD]]&lt;=50,"Mid-range","Premium"))</f>
        <v>Premium</v>
      </c>
      <c r="O126">
        <v>0</v>
      </c>
      <c r="P126">
        <v>0</v>
      </c>
    </row>
    <row r="127" spans="1:16" x14ac:dyDescent="0.25">
      <c r="A127" t="s">
        <v>303</v>
      </c>
      <c r="B127" t="s">
        <v>304</v>
      </c>
      <c r="C127">
        <v>3733</v>
      </c>
      <c r="D127" t="s">
        <v>124</v>
      </c>
      <c r="E127" t="s">
        <v>69</v>
      </c>
      <c r="F127">
        <v>103131</v>
      </c>
      <c r="G1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7">
        <v>4.6207000000000003</v>
      </c>
      <c r="J127" t="str">
        <f>IF(ISBLANK(Table13[[#This Row],[Rating]]), "No", "Yes")</f>
        <v>Yes</v>
      </c>
      <c r="K127" t="str">
        <f>IF(ISBLANK(Table13[[#This Row],[Rating]]), "Not Rated", IF(Table13[[#This Row],[Rating]] &lt; 3, "Low", IF(Table13[[#This Row],[Rating]] &lt; 4, "Medium", "High")))</f>
        <v>High</v>
      </c>
      <c r="L127">
        <v>1769</v>
      </c>
      <c r="M127">
        <v>32</v>
      </c>
      <c r="N127" t="str">
        <f>IF(Table13[[#This Row],[Price USD]]&lt;20,"Budget",IF(Table13[[#This Row],[Price USD]]&lt;=50,"Mid-range","Premium"))</f>
        <v>Mid-range</v>
      </c>
      <c r="O127">
        <v>0</v>
      </c>
      <c r="P127">
        <v>0</v>
      </c>
    </row>
    <row r="128" spans="1:16" x14ac:dyDescent="0.25">
      <c r="A128" t="s">
        <v>305</v>
      </c>
      <c r="B128" t="s">
        <v>306</v>
      </c>
      <c r="C128">
        <v>5674</v>
      </c>
      <c r="D128" t="s">
        <v>141</v>
      </c>
      <c r="E128" t="s">
        <v>69</v>
      </c>
      <c r="F128">
        <v>102859</v>
      </c>
      <c r="G1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8">
        <v>4.5335000000000001</v>
      </c>
      <c r="J128" t="str">
        <f>IF(ISBLANK(Table13[[#This Row],[Rating]]), "No", "Yes")</f>
        <v>Yes</v>
      </c>
      <c r="K128" t="str">
        <f>IF(ISBLANK(Table13[[#This Row],[Rating]]), "Not Rated", IF(Table13[[#This Row],[Rating]] &lt; 3, "Low", IF(Table13[[#This Row],[Rating]] &lt; 4, "Medium", "High")))</f>
        <v>High</v>
      </c>
      <c r="L128">
        <v>1522</v>
      </c>
      <c r="M128">
        <v>41</v>
      </c>
      <c r="N128" t="str">
        <f>IF(Table13[[#This Row],[Price USD]]&lt;20,"Budget",IF(Table13[[#This Row],[Price USD]]&lt;=50,"Mid-range","Premium"))</f>
        <v>Mid-range</v>
      </c>
      <c r="O128">
        <v>0</v>
      </c>
      <c r="P128">
        <v>0</v>
      </c>
    </row>
    <row r="129" spans="1:16" x14ac:dyDescent="0.25">
      <c r="A129" t="s">
        <v>307</v>
      </c>
      <c r="B129" t="s">
        <v>308</v>
      </c>
      <c r="C129">
        <v>6209</v>
      </c>
      <c r="D129" t="s">
        <v>45</v>
      </c>
      <c r="E129" t="s">
        <v>8</v>
      </c>
      <c r="F129">
        <v>102327</v>
      </c>
      <c r="G1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29">
        <v>3.9750000000000001</v>
      </c>
      <c r="J129" t="str">
        <f>IF(ISBLANK(Table13[[#This Row],[Rating]]), "No", "Yes")</f>
        <v>Yes</v>
      </c>
      <c r="K129" t="str">
        <f>IF(ISBLANK(Table13[[#This Row],[Rating]]), "Not Rated", IF(Table13[[#This Row],[Rating]] &lt; 3, "Low", IF(Table13[[#This Row],[Rating]] &lt; 4, "Medium", "High")))</f>
        <v>Medium</v>
      </c>
      <c r="L129">
        <v>1562</v>
      </c>
      <c r="M129">
        <v>19</v>
      </c>
      <c r="N129" t="str">
        <f>IF(Table13[[#This Row],[Price USD]]&lt;20,"Budget",IF(Table13[[#This Row],[Price USD]]&lt;=50,"Mid-range","Premium"))</f>
        <v>Budget</v>
      </c>
      <c r="O129">
        <v>0</v>
      </c>
      <c r="P129">
        <v>0</v>
      </c>
    </row>
    <row r="130" spans="1:16" x14ac:dyDescent="0.25">
      <c r="A130" t="s">
        <v>309</v>
      </c>
      <c r="B130" t="s">
        <v>310</v>
      </c>
      <c r="C130">
        <v>6218</v>
      </c>
      <c r="D130" t="s">
        <v>116</v>
      </c>
      <c r="E130" t="s">
        <v>8</v>
      </c>
      <c r="F130">
        <v>101394</v>
      </c>
      <c r="G1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30">
        <v>4.2173999999999996</v>
      </c>
      <c r="J130" t="str">
        <f>IF(ISBLANK(Table13[[#This Row],[Rating]]), "No", "Yes")</f>
        <v>Yes</v>
      </c>
      <c r="K130" t="str">
        <f>IF(ISBLANK(Table13[[#This Row],[Rating]]), "Not Rated", IF(Table13[[#This Row],[Rating]] &lt; 3, "Low", IF(Table13[[#This Row],[Rating]] &lt; 4, "Medium", "High")))</f>
        <v>High</v>
      </c>
      <c r="L130">
        <v>1173</v>
      </c>
      <c r="M130">
        <v>56</v>
      </c>
      <c r="N130" t="str">
        <f>IF(Table13[[#This Row],[Price USD]]&lt;20,"Budget",IF(Table13[[#This Row],[Price USD]]&lt;=50,"Mid-range","Premium"))</f>
        <v>Premium</v>
      </c>
      <c r="O130">
        <v>0</v>
      </c>
      <c r="P130">
        <v>0</v>
      </c>
    </row>
    <row r="131" spans="1:16" x14ac:dyDescent="0.25">
      <c r="A131" t="s">
        <v>311</v>
      </c>
      <c r="B131" t="s">
        <v>312</v>
      </c>
      <c r="C131">
        <v>7075</v>
      </c>
      <c r="D131" t="s">
        <v>75</v>
      </c>
      <c r="E131" t="s">
        <v>149</v>
      </c>
      <c r="F131">
        <v>101158</v>
      </c>
      <c r="G1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1L–5L</v>
      </c>
      <c r="H1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Viral</v>
      </c>
      <c r="I131">
        <v>4.4641000000000002</v>
      </c>
      <c r="J131" t="str">
        <f>IF(ISBLANK(Table13[[#This Row],[Rating]]), "No", "Yes")</f>
        <v>Yes</v>
      </c>
      <c r="K131" t="str">
        <f>IF(ISBLANK(Table13[[#This Row],[Rating]]), "Not Rated", IF(Table13[[#This Row],[Rating]] &lt; 3, "Low", IF(Table13[[#This Row],[Rating]] &lt; 4, "Medium", "High")))</f>
        <v>High</v>
      </c>
      <c r="L131">
        <v>2965</v>
      </c>
      <c r="M131">
        <v>48</v>
      </c>
      <c r="N131" t="str">
        <f>IF(Table13[[#This Row],[Price USD]]&lt;20,"Budget",IF(Table13[[#This Row],[Price USD]]&lt;=50,"Mid-range","Premium"))</f>
        <v>Mid-range</v>
      </c>
      <c r="O131">
        <v>0</v>
      </c>
      <c r="P131">
        <v>0</v>
      </c>
    </row>
    <row r="132" spans="1:16" x14ac:dyDescent="0.25">
      <c r="A132" t="s">
        <v>2103</v>
      </c>
      <c r="B132" t="s">
        <v>2104</v>
      </c>
      <c r="C132">
        <v>6169</v>
      </c>
      <c r="D132" t="s">
        <v>24</v>
      </c>
      <c r="E132" t="s">
        <v>220</v>
      </c>
      <c r="F132">
        <v>13592</v>
      </c>
      <c r="G1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2">
        <v>4.25</v>
      </c>
      <c r="J132" t="str">
        <f>IF(ISBLANK(Table13[[#This Row],[Rating]]), "No", "Yes")</f>
        <v>Yes</v>
      </c>
      <c r="K132" t="str">
        <f>IF(ISBLANK(Table13[[#This Row],[Rating]]), "Not Rated", IF(Table13[[#This Row],[Rating]] &lt; 3, "Low", IF(Table13[[#This Row],[Rating]] &lt; 4, "Medium", "High")))</f>
        <v>High</v>
      </c>
      <c r="L132">
        <v>4</v>
      </c>
      <c r="M132">
        <v>20</v>
      </c>
      <c r="N132" t="str">
        <f>IF(Table13[[#This Row],[Price USD]]&lt;20,"Budget",IF(Table13[[#This Row],[Price USD]]&lt;=50,"Mid-range","Premium"))</f>
        <v>Mid-range</v>
      </c>
      <c r="O132">
        <v>0</v>
      </c>
      <c r="P132">
        <v>0</v>
      </c>
    </row>
    <row r="133" spans="1:16" x14ac:dyDescent="0.25">
      <c r="A133" t="s">
        <v>2479</v>
      </c>
      <c r="B133" t="s">
        <v>2480</v>
      </c>
      <c r="C133">
        <v>6169</v>
      </c>
      <c r="D133" t="s">
        <v>24</v>
      </c>
      <c r="E133" t="s">
        <v>220</v>
      </c>
      <c r="F133">
        <v>10406</v>
      </c>
      <c r="G1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3">
        <v>4.1666999999999996</v>
      </c>
      <c r="J133" t="str">
        <f>IF(ISBLANK(Table13[[#This Row],[Rating]]), "No", "Yes")</f>
        <v>Yes</v>
      </c>
      <c r="K133" t="str">
        <f>IF(ISBLANK(Table13[[#This Row],[Rating]]), "Not Rated", IF(Table13[[#This Row],[Rating]] &lt; 3, "Low", IF(Table13[[#This Row],[Rating]] &lt; 4, "Medium", "High")))</f>
        <v>High</v>
      </c>
      <c r="L133">
        <v>6</v>
      </c>
      <c r="M133">
        <v>28</v>
      </c>
      <c r="N133" t="str">
        <f>IF(Table13[[#This Row],[Price USD]]&lt;20,"Budget",IF(Table13[[#This Row],[Price USD]]&lt;=50,"Mid-range","Premium"))</f>
        <v>Mid-range</v>
      </c>
      <c r="O133">
        <v>0</v>
      </c>
      <c r="P133">
        <v>0</v>
      </c>
    </row>
    <row r="134" spans="1:16" x14ac:dyDescent="0.25">
      <c r="A134" t="s">
        <v>1826</v>
      </c>
      <c r="B134" t="s">
        <v>1827</v>
      </c>
      <c r="C134">
        <v>6041</v>
      </c>
      <c r="D134" t="s">
        <v>33</v>
      </c>
      <c r="E134" t="s">
        <v>220</v>
      </c>
      <c r="F134">
        <v>16760</v>
      </c>
      <c r="G1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4">
        <v>3.5</v>
      </c>
      <c r="J134" t="str">
        <f>IF(ISBLANK(Table13[[#This Row],[Rating]]), "No", "Yes")</f>
        <v>Yes</v>
      </c>
      <c r="K134" t="str">
        <f>IF(ISBLANK(Table13[[#This Row],[Rating]]), "Not Rated", IF(Table13[[#This Row],[Rating]] &lt; 3, "Low", IF(Table13[[#This Row],[Rating]] &lt; 4, "Medium", "High")))</f>
        <v>Medium</v>
      </c>
      <c r="L134">
        <v>6</v>
      </c>
      <c r="M134">
        <v>27</v>
      </c>
      <c r="N134" t="str">
        <f>IF(Table13[[#This Row],[Price USD]]&lt;20,"Budget",IF(Table13[[#This Row],[Price USD]]&lt;=50,"Mid-range","Premium"))</f>
        <v>Mid-range</v>
      </c>
      <c r="O134">
        <v>0</v>
      </c>
      <c r="P134">
        <v>1</v>
      </c>
    </row>
    <row r="135" spans="1:16" x14ac:dyDescent="0.25">
      <c r="A135" t="s">
        <v>2244</v>
      </c>
      <c r="B135" t="s">
        <v>2245</v>
      </c>
      <c r="C135">
        <v>7083</v>
      </c>
      <c r="D135" t="s">
        <v>20</v>
      </c>
      <c r="E135" t="s">
        <v>220</v>
      </c>
      <c r="F135">
        <v>12280</v>
      </c>
      <c r="G1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5">
        <v>5</v>
      </c>
      <c r="J135" t="str">
        <f>IF(ISBLANK(Table13[[#This Row],[Rating]]), "No", "Yes")</f>
        <v>Yes</v>
      </c>
      <c r="K135" t="str">
        <f>IF(ISBLANK(Table13[[#This Row],[Rating]]), "Not Rated", IF(Table13[[#This Row],[Rating]] &lt; 3, "Low", IF(Table13[[#This Row],[Rating]] &lt; 4, "Medium", "High")))</f>
        <v>High</v>
      </c>
      <c r="L135">
        <v>7</v>
      </c>
      <c r="M135">
        <v>28</v>
      </c>
      <c r="N135" t="str">
        <f>IF(Table13[[#This Row],[Price USD]]&lt;20,"Budget",IF(Table13[[#This Row],[Price USD]]&lt;=50,"Mid-range","Premium"))</f>
        <v>Mid-range</v>
      </c>
      <c r="O135">
        <v>0</v>
      </c>
      <c r="P135">
        <v>1</v>
      </c>
    </row>
    <row r="136" spans="1:16" x14ac:dyDescent="0.25">
      <c r="A136" t="s">
        <v>2143</v>
      </c>
      <c r="B136" t="s">
        <v>2144</v>
      </c>
      <c r="C136">
        <v>6236</v>
      </c>
      <c r="D136" t="s">
        <v>272</v>
      </c>
      <c r="E136" t="s">
        <v>144</v>
      </c>
      <c r="F136">
        <v>13165</v>
      </c>
      <c r="G1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6">
        <v>4.7142999999999997</v>
      </c>
      <c r="J136" t="str">
        <f>IF(ISBLANK(Table13[[#This Row],[Rating]]), "No", "Yes")</f>
        <v>Yes</v>
      </c>
      <c r="K136" t="str">
        <f>IF(ISBLANK(Table13[[#This Row],[Rating]]), "Not Rated", IF(Table13[[#This Row],[Rating]] &lt; 3, "Low", IF(Table13[[#This Row],[Rating]] &lt; 4, "Medium", "High")))</f>
        <v>High</v>
      </c>
      <c r="L136">
        <v>7</v>
      </c>
      <c r="M136">
        <v>30</v>
      </c>
      <c r="N136" t="str">
        <f>IF(Table13[[#This Row],[Price USD]]&lt;20,"Budget",IF(Table13[[#This Row],[Price USD]]&lt;=50,"Mid-range","Premium"))</f>
        <v>Mid-range</v>
      </c>
      <c r="O136">
        <v>0</v>
      </c>
      <c r="P136">
        <v>0</v>
      </c>
    </row>
    <row r="137" spans="1:16" x14ac:dyDescent="0.25">
      <c r="A137" t="s">
        <v>1648</v>
      </c>
      <c r="B137" t="s">
        <v>1649</v>
      </c>
      <c r="C137">
        <v>3728</v>
      </c>
      <c r="D137" t="s">
        <v>458</v>
      </c>
      <c r="E137" t="s">
        <v>220</v>
      </c>
      <c r="F137">
        <v>19378</v>
      </c>
      <c r="G1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7">
        <v>4</v>
      </c>
      <c r="J137" t="str">
        <f>IF(ISBLANK(Table13[[#This Row],[Rating]]), "No", "Yes")</f>
        <v>Yes</v>
      </c>
      <c r="K137" t="str">
        <f>IF(ISBLANK(Table13[[#This Row],[Rating]]), "Not Rated", IF(Table13[[#This Row],[Rating]] &lt; 3, "Low", IF(Table13[[#This Row],[Rating]] &lt; 4, "Medium", "High")))</f>
        <v>High</v>
      </c>
      <c r="L137">
        <v>7</v>
      </c>
      <c r="M137">
        <v>19</v>
      </c>
      <c r="N137" t="str">
        <f>IF(Table13[[#This Row],[Price USD]]&lt;20,"Budget",IF(Table13[[#This Row],[Price USD]]&lt;=50,"Mid-range","Premium"))</f>
        <v>Budget</v>
      </c>
      <c r="O137">
        <v>0</v>
      </c>
      <c r="P137">
        <v>0</v>
      </c>
    </row>
    <row r="138" spans="1:16" x14ac:dyDescent="0.25">
      <c r="A138" t="s">
        <v>2475</v>
      </c>
      <c r="B138" t="s">
        <v>2476</v>
      </c>
      <c r="C138">
        <v>1741</v>
      </c>
      <c r="D138" t="s">
        <v>388</v>
      </c>
      <c r="E138" t="s">
        <v>220</v>
      </c>
      <c r="F138">
        <v>10432</v>
      </c>
      <c r="G1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8">
        <v>3.875</v>
      </c>
      <c r="J138" t="str">
        <f>IF(ISBLANK(Table13[[#This Row],[Rating]]), "No", "Yes")</f>
        <v>Yes</v>
      </c>
      <c r="K138" t="str">
        <f>IF(ISBLANK(Table13[[#This Row],[Rating]]), "Not Rated", IF(Table13[[#This Row],[Rating]] &lt; 3, "Low", IF(Table13[[#This Row],[Rating]] &lt; 4, "Medium", "High")))</f>
        <v>Medium</v>
      </c>
      <c r="L138">
        <v>8</v>
      </c>
      <c r="M138">
        <v>130</v>
      </c>
      <c r="N138" t="str">
        <f>IF(Table13[[#This Row],[Price USD]]&lt;20,"Budget",IF(Table13[[#This Row],[Price USD]]&lt;=50,"Mid-range","Premium"))</f>
        <v>Premium</v>
      </c>
      <c r="O138">
        <v>0</v>
      </c>
      <c r="P138">
        <v>1</v>
      </c>
    </row>
    <row r="139" spans="1:16" x14ac:dyDescent="0.25">
      <c r="A139" t="s">
        <v>2386</v>
      </c>
      <c r="B139" t="s">
        <v>2387</v>
      </c>
      <c r="C139">
        <v>5674</v>
      </c>
      <c r="D139" t="s">
        <v>141</v>
      </c>
      <c r="E139" t="s">
        <v>220</v>
      </c>
      <c r="F139">
        <v>11164</v>
      </c>
      <c r="G1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39">
        <v>3.4443999999999999</v>
      </c>
      <c r="J139" t="str">
        <f>IF(ISBLANK(Table13[[#This Row],[Rating]]), "No", "Yes")</f>
        <v>Yes</v>
      </c>
      <c r="K139" t="str">
        <f>IF(ISBLANK(Table13[[#This Row],[Rating]]), "Not Rated", IF(Table13[[#This Row],[Rating]] &lt; 3, "Low", IF(Table13[[#This Row],[Rating]] &lt; 4, "Medium", "High")))</f>
        <v>Medium</v>
      </c>
      <c r="L139">
        <v>9</v>
      </c>
      <c r="M139">
        <v>46</v>
      </c>
      <c r="N139" t="str">
        <f>IF(Table13[[#This Row],[Price USD]]&lt;20,"Budget",IF(Table13[[#This Row],[Price USD]]&lt;=50,"Mid-range","Premium"))</f>
        <v>Mid-range</v>
      </c>
      <c r="O139">
        <v>0</v>
      </c>
      <c r="P139">
        <v>0</v>
      </c>
    </row>
    <row r="140" spans="1:16" x14ac:dyDescent="0.25">
      <c r="A140" t="s">
        <v>2364</v>
      </c>
      <c r="B140" t="s">
        <v>2365</v>
      </c>
      <c r="C140">
        <v>1741</v>
      </c>
      <c r="D140" t="s">
        <v>388</v>
      </c>
      <c r="E140" t="s">
        <v>220</v>
      </c>
      <c r="F140">
        <v>11331</v>
      </c>
      <c r="G1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0">
        <v>4.6666999999999996</v>
      </c>
      <c r="J140" t="str">
        <f>IF(ISBLANK(Table13[[#This Row],[Rating]]), "No", "Yes")</f>
        <v>Yes</v>
      </c>
      <c r="K140" t="str">
        <f>IF(ISBLANK(Table13[[#This Row],[Rating]]), "Not Rated", IF(Table13[[#This Row],[Rating]] &lt; 3, "Low", IF(Table13[[#This Row],[Rating]] &lt; 4, "Medium", "High")))</f>
        <v>High</v>
      </c>
      <c r="L140">
        <v>9</v>
      </c>
      <c r="M140">
        <v>49</v>
      </c>
      <c r="N140" t="str">
        <f>IF(Table13[[#This Row],[Price USD]]&lt;20,"Budget",IF(Table13[[#This Row],[Price USD]]&lt;=50,"Mid-range","Premium"))</f>
        <v>Mid-range</v>
      </c>
      <c r="O140">
        <v>0</v>
      </c>
      <c r="P140">
        <v>1</v>
      </c>
    </row>
    <row r="141" spans="1:16" x14ac:dyDescent="0.25">
      <c r="A141" t="s">
        <v>2232</v>
      </c>
      <c r="B141" t="s">
        <v>2233</v>
      </c>
      <c r="C141">
        <v>1254</v>
      </c>
      <c r="D141" t="s">
        <v>136</v>
      </c>
      <c r="E141" t="s">
        <v>220</v>
      </c>
      <c r="F141">
        <v>12369</v>
      </c>
      <c r="G1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1">
        <v>4.6666999999999996</v>
      </c>
      <c r="J141" t="str">
        <f>IF(ISBLANK(Table13[[#This Row],[Rating]]), "No", "Yes")</f>
        <v>Yes</v>
      </c>
      <c r="K141" t="str">
        <f>IF(ISBLANK(Table13[[#This Row],[Rating]]), "Not Rated", IF(Table13[[#This Row],[Rating]] &lt; 3, "Low", IF(Table13[[#This Row],[Rating]] &lt; 4, "Medium", "High")))</f>
        <v>High</v>
      </c>
      <c r="L141">
        <v>9</v>
      </c>
      <c r="M141">
        <v>25</v>
      </c>
      <c r="N141" t="str">
        <f>IF(Table13[[#This Row],[Price USD]]&lt;20,"Budget",IF(Table13[[#This Row],[Price USD]]&lt;=50,"Mid-range","Premium"))</f>
        <v>Mid-range</v>
      </c>
      <c r="O141">
        <v>0</v>
      </c>
      <c r="P141">
        <v>0</v>
      </c>
    </row>
    <row r="142" spans="1:16" x14ac:dyDescent="0.25">
      <c r="A142" t="s">
        <v>2173</v>
      </c>
      <c r="B142" t="s">
        <v>2174</v>
      </c>
      <c r="C142">
        <v>7083</v>
      </c>
      <c r="D142" t="s">
        <v>20</v>
      </c>
      <c r="E142" t="s">
        <v>220</v>
      </c>
      <c r="F142">
        <v>12819</v>
      </c>
      <c r="G1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2">
        <v>4.4443999999999999</v>
      </c>
      <c r="J142" t="str">
        <f>IF(ISBLANK(Table13[[#This Row],[Rating]]), "No", "Yes")</f>
        <v>Yes</v>
      </c>
      <c r="K142" t="str">
        <f>IF(ISBLANK(Table13[[#This Row],[Rating]]), "Not Rated", IF(Table13[[#This Row],[Rating]] &lt; 3, "Low", IF(Table13[[#This Row],[Rating]] &lt; 4, "Medium", "High")))</f>
        <v>High</v>
      </c>
      <c r="L142">
        <v>9</v>
      </c>
      <c r="M142">
        <v>74</v>
      </c>
      <c r="N142" t="str">
        <f>IF(Table13[[#This Row],[Price USD]]&lt;20,"Budget",IF(Table13[[#This Row],[Price USD]]&lt;=50,"Mid-range","Premium"))</f>
        <v>Premium</v>
      </c>
      <c r="O142">
        <v>0</v>
      </c>
      <c r="P142">
        <v>1</v>
      </c>
    </row>
    <row r="143" spans="1:16" x14ac:dyDescent="0.25">
      <c r="A143" t="s">
        <v>1908</v>
      </c>
      <c r="B143" t="s">
        <v>1909</v>
      </c>
      <c r="C143">
        <v>6341</v>
      </c>
      <c r="D143" t="s">
        <v>66</v>
      </c>
      <c r="E143" t="s">
        <v>220</v>
      </c>
      <c r="F143">
        <v>15686</v>
      </c>
      <c r="G1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3">
        <v>4.4443999999999999</v>
      </c>
      <c r="J143" t="str">
        <f>IF(ISBLANK(Table13[[#This Row],[Rating]]), "No", "Yes")</f>
        <v>Yes</v>
      </c>
      <c r="K143" t="str">
        <f>IF(ISBLANK(Table13[[#This Row],[Rating]]), "Not Rated", IF(Table13[[#This Row],[Rating]] &lt; 3, "Low", IF(Table13[[#This Row],[Rating]] &lt; 4, "Medium", "High")))</f>
        <v>High</v>
      </c>
      <c r="L143">
        <v>9</v>
      </c>
      <c r="M143">
        <v>64</v>
      </c>
      <c r="N143" t="str">
        <f>IF(Table13[[#This Row],[Price USD]]&lt;20,"Budget",IF(Table13[[#This Row],[Price USD]]&lt;=50,"Mid-range","Premium"))</f>
        <v>Premium</v>
      </c>
      <c r="O143">
        <v>0</v>
      </c>
      <c r="P143">
        <v>0</v>
      </c>
    </row>
    <row r="144" spans="1:16" x14ac:dyDescent="0.25">
      <c r="A144" t="s">
        <v>2406</v>
      </c>
      <c r="B144" t="s">
        <v>2407</v>
      </c>
      <c r="C144">
        <v>6195</v>
      </c>
      <c r="D144" t="s">
        <v>163</v>
      </c>
      <c r="E144" t="s">
        <v>220</v>
      </c>
      <c r="F144">
        <v>10973</v>
      </c>
      <c r="G1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4">
        <v>3.7</v>
      </c>
      <c r="J144" t="str">
        <f>IF(ISBLANK(Table13[[#This Row],[Rating]]), "No", "Yes")</f>
        <v>Yes</v>
      </c>
      <c r="K144" t="str">
        <f>IF(ISBLANK(Table13[[#This Row],[Rating]]), "Not Rated", IF(Table13[[#This Row],[Rating]] &lt; 3, "Low", IF(Table13[[#This Row],[Rating]] &lt; 4, "Medium", "High")))</f>
        <v>Medium</v>
      </c>
      <c r="L144">
        <v>10</v>
      </c>
      <c r="M144">
        <v>25</v>
      </c>
      <c r="N144" t="str">
        <f>IF(Table13[[#This Row],[Price USD]]&lt;20,"Budget",IF(Table13[[#This Row],[Price USD]]&lt;=50,"Mid-range","Premium"))</f>
        <v>Mid-range</v>
      </c>
      <c r="O144">
        <v>0</v>
      </c>
      <c r="P144">
        <v>0</v>
      </c>
    </row>
    <row r="145" spans="1:16" x14ac:dyDescent="0.25">
      <c r="A145" t="s">
        <v>2316</v>
      </c>
      <c r="B145" t="s">
        <v>2317</v>
      </c>
      <c r="C145">
        <v>3902</v>
      </c>
      <c r="D145" t="s">
        <v>72</v>
      </c>
      <c r="E145" t="s">
        <v>201</v>
      </c>
      <c r="F145">
        <v>11736</v>
      </c>
      <c r="G1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5">
        <v>3.6</v>
      </c>
      <c r="J145" t="str">
        <f>IF(ISBLANK(Table13[[#This Row],[Rating]]), "No", "Yes")</f>
        <v>Yes</v>
      </c>
      <c r="K145" t="str">
        <f>IF(ISBLANK(Table13[[#This Row],[Rating]]), "Not Rated", IF(Table13[[#This Row],[Rating]] &lt; 3, "Low", IF(Table13[[#This Row],[Rating]] &lt; 4, "Medium", "High")))</f>
        <v>Medium</v>
      </c>
      <c r="L145">
        <v>10</v>
      </c>
      <c r="M145">
        <v>24</v>
      </c>
      <c r="N145" t="str">
        <f>IF(Table13[[#This Row],[Price USD]]&lt;20,"Budget",IF(Table13[[#This Row],[Price USD]]&lt;=50,"Mid-range","Premium"))</f>
        <v>Mid-range</v>
      </c>
      <c r="O145">
        <v>0</v>
      </c>
      <c r="P145">
        <v>0</v>
      </c>
    </row>
    <row r="146" spans="1:16" x14ac:dyDescent="0.25">
      <c r="A146" t="s">
        <v>1910</v>
      </c>
      <c r="B146" t="s">
        <v>1911</v>
      </c>
      <c r="C146">
        <v>6041</v>
      </c>
      <c r="D146" t="s">
        <v>33</v>
      </c>
      <c r="E146" t="s">
        <v>220</v>
      </c>
      <c r="F146">
        <v>15655</v>
      </c>
      <c r="G1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6">
        <v>4.2</v>
      </c>
      <c r="J146" t="str">
        <f>IF(ISBLANK(Table13[[#This Row],[Rating]]), "No", "Yes")</f>
        <v>Yes</v>
      </c>
      <c r="K146" t="str">
        <f>IF(ISBLANK(Table13[[#This Row],[Rating]]), "Not Rated", IF(Table13[[#This Row],[Rating]] &lt; 3, "Low", IF(Table13[[#This Row],[Rating]] &lt; 4, "Medium", "High")))</f>
        <v>High</v>
      </c>
      <c r="L146">
        <v>10</v>
      </c>
      <c r="M146">
        <v>88</v>
      </c>
      <c r="N146" t="str">
        <f>IF(Table13[[#This Row],[Price USD]]&lt;20,"Budget",IF(Table13[[#This Row],[Price USD]]&lt;=50,"Mid-range","Premium"))</f>
        <v>Premium</v>
      </c>
      <c r="O146">
        <v>0</v>
      </c>
      <c r="P146">
        <v>1</v>
      </c>
    </row>
    <row r="147" spans="1:16" x14ac:dyDescent="0.25">
      <c r="A147" t="s">
        <v>1454</v>
      </c>
      <c r="B147" t="s">
        <v>1455</v>
      </c>
      <c r="C147">
        <v>6234</v>
      </c>
      <c r="D147" t="s">
        <v>7</v>
      </c>
      <c r="E147" t="s">
        <v>220</v>
      </c>
      <c r="F147">
        <v>23001</v>
      </c>
      <c r="G1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7">
        <v>4.5</v>
      </c>
      <c r="J147" t="str">
        <f>IF(ISBLANK(Table13[[#This Row],[Rating]]), "No", "Yes")</f>
        <v>Yes</v>
      </c>
      <c r="K147" t="str">
        <f>IF(ISBLANK(Table13[[#This Row],[Rating]]), "Not Rated", IF(Table13[[#This Row],[Rating]] &lt; 3, "Low", IF(Table13[[#This Row],[Rating]] &lt; 4, "Medium", "High")))</f>
        <v>High</v>
      </c>
      <c r="L147">
        <v>10</v>
      </c>
      <c r="M147">
        <v>22</v>
      </c>
      <c r="N147" t="str">
        <f>IF(Table13[[#This Row],[Price USD]]&lt;20,"Budget",IF(Table13[[#This Row],[Price USD]]&lt;=50,"Mid-range","Premium"))</f>
        <v>Mid-range</v>
      </c>
      <c r="O147">
        <v>0</v>
      </c>
      <c r="P147">
        <v>0</v>
      </c>
    </row>
    <row r="148" spans="1:16" x14ac:dyDescent="0.25">
      <c r="A148" t="s">
        <v>2212</v>
      </c>
      <c r="B148" t="s">
        <v>2213</v>
      </c>
      <c r="C148">
        <v>5644</v>
      </c>
      <c r="D148" t="s">
        <v>158</v>
      </c>
      <c r="E148" t="s">
        <v>149</v>
      </c>
      <c r="F148">
        <v>12571</v>
      </c>
      <c r="G1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8">
        <v>3.3635999999999999</v>
      </c>
      <c r="J148" t="str">
        <f>IF(ISBLANK(Table13[[#This Row],[Rating]]), "No", "Yes")</f>
        <v>Yes</v>
      </c>
      <c r="K148" t="str">
        <f>IF(ISBLANK(Table13[[#This Row],[Rating]]), "Not Rated", IF(Table13[[#This Row],[Rating]] &lt; 3, "Low", IF(Table13[[#This Row],[Rating]] &lt; 4, "Medium", "High")))</f>
        <v>Medium</v>
      </c>
      <c r="L148">
        <v>11</v>
      </c>
      <c r="M148">
        <v>86</v>
      </c>
      <c r="N148" t="str">
        <f>IF(Table13[[#This Row],[Price USD]]&lt;20,"Budget",IF(Table13[[#This Row],[Price USD]]&lt;=50,"Mid-range","Premium"))</f>
        <v>Premium</v>
      </c>
      <c r="O148">
        <v>0</v>
      </c>
      <c r="P148">
        <v>0</v>
      </c>
    </row>
    <row r="149" spans="1:16" x14ac:dyDescent="0.25">
      <c r="A149" t="s">
        <v>2511</v>
      </c>
      <c r="B149" t="s">
        <v>2512</v>
      </c>
      <c r="C149">
        <v>6235</v>
      </c>
      <c r="D149" t="s">
        <v>1166</v>
      </c>
      <c r="E149" t="s">
        <v>69</v>
      </c>
      <c r="F149">
        <v>10245</v>
      </c>
      <c r="G1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49">
        <v>4.0833000000000004</v>
      </c>
      <c r="J149" t="str">
        <f>IF(ISBLANK(Table13[[#This Row],[Rating]]), "No", "Yes")</f>
        <v>Yes</v>
      </c>
      <c r="K149" t="str">
        <f>IF(ISBLANK(Table13[[#This Row],[Rating]]), "Not Rated", IF(Table13[[#This Row],[Rating]] &lt; 3, "Low", IF(Table13[[#This Row],[Rating]] &lt; 4, "Medium", "High")))</f>
        <v>High</v>
      </c>
      <c r="L149">
        <v>12</v>
      </c>
      <c r="M149">
        <v>15</v>
      </c>
      <c r="N149" t="str">
        <f>IF(Table13[[#This Row],[Price USD]]&lt;20,"Budget",IF(Table13[[#This Row],[Price USD]]&lt;=50,"Mid-range","Premium"))</f>
        <v>Budget</v>
      </c>
      <c r="O149">
        <v>0</v>
      </c>
      <c r="P149">
        <v>0</v>
      </c>
    </row>
    <row r="150" spans="1:16" x14ac:dyDescent="0.25">
      <c r="A150" t="s">
        <v>2466</v>
      </c>
      <c r="B150" t="s">
        <v>2467</v>
      </c>
      <c r="C150">
        <v>6073</v>
      </c>
      <c r="D150" t="s">
        <v>78</v>
      </c>
      <c r="E150" t="s">
        <v>220</v>
      </c>
      <c r="F150">
        <v>10461</v>
      </c>
      <c r="G1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0">
        <v>4.0833000000000004</v>
      </c>
      <c r="J150" t="str">
        <f>IF(ISBLANK(Table13[[#This Row],[Rating]]), "No", "Yes")</f>
        <v>Yes</v>
      </c>
      <c r="K150" t="str">
        <f>IF(ISBLANK(Table13[[#This Row],[Rating]]), "Not Rated", IF(Table13[[#This Row],[Rating]] &lt; 3, "Low", IF(Table13[[#This Row],[Rating]] &lt; 4, "Medium", "High")))</f>
        <v>High</v>
      </c>
      <c r="L150">
        <v>12</v>
      </c>
      <c r="M150">
        <v>93</v>
      </c>
      <c r="N150" t="str">
        <f>IF(Table13[[#This Row],[Price USD]]&lt;20,"Budget",IF(Table13[[#This Row],[Price USD]]&lt;=50,"Mid-range","Premium"))</f>
        <v>Premium</v>
      </c>
      <c r="O150">
        <v>0</v>
      </c>
      <c r="P150">
        <v>0</v>
      </c>
    </row>
    <row r="151" spans="1:16" x14ac:dyDescent="0.25">
      <c r="A151" t="s">
        <v>2362</v>
      </c>
      <c r="B151" t="s">
        <v>2363</v>
      </c>
      <c r="C151">
        <v>3902</v>
      </c>
      <c r="D151" t="s">
        <v>72</v>
      </c>
      <c r="E151" t="s">
        <v>220</v>
      </c>
      <c r="F151">
        <v>11340</v>
      </c>
      <c r="G1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1">
        <v>4.5833000000000004</v>
      </c>
      <c r="J151" t="str">
        <f>IF(ISBLANK(Table13[[#This Row],[Rating]]), "No", "Yes")</f>
        <v>Yes</v>
      </c>
      <c r="K151" t="str">
        <f>IF(ISBLANK(Table13[[#This Row],[Rating]]), "Not Rated", IF(Table13[[#This Row],[Rating]] &lt; 3, "Low", IF(Table13[[#This Row],[Rating]] &lt; 4, "Medium", "High")))</f>
        <v>High</v>
      </c>
      <c r="L151">
        <v>12</v>
      </c>
      <c r="M151">
        <v>15</v>
      </c>
      <c r="N151" t="str">
        <f>IF(Table13[[#This Row],[Price USD]]&lt;20,"Budget",IF(Table13[[#This Row],[Price USD]]&lt;=50,"Mid-range","Premium"))</f>
        <v>Budget</v>
      </c>
      <c r="O151">
        <v>0</v>
      </c>
      <c r="P151">
        <v>0</v>
      </c>
    </row>
    <row r="152" spans="1:16" x14ac:dyDescent="0.25">
      <c r="A152" t="s">
        <v>2191</v>
      </c>
      <c r="B152" t="s">
        <v>2192</v>
      </c>
      <c r="C152">
        <v>6236</v>
      </c>
      <c r="D152" t="s">
        <v>272</v>
      </c>
      <c r="E152" t="s">
        <v>21</v>
      </c>
      <c r="F152">
        <v>12680</v>
      </c>
      <c r="G1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2">
        <v>4.5833000000000004</v>
      </c>
      <c r="J152" t="str">
        <f>IF(ISBLANK(Table13[[#This Row],[Rating]]), "No", "Yes")</f>
        <v>Yes</v>
      </c>
      <c r="K152" t="str">
        <f>IF(ISBLANK(Table13[[#This Row],[Rating]]), "Not Rated", IF(Table13[[#This Row],[Rating]] &lt; 3, "Low", IF(Table13[[#This Row],[Rating]] &lt; 4, "Medium", "High")))</f>
        <v>High</v>
      </c>
      <c r="L152">
        <v>12</v>
      </c>
      <c r="M152">
        <v>85</v>
      </c>
      <c r="N152" t="str">
        <f>IF(Table13[[#This Row],[Price USD]]&lt;20,"Budget",IF(Table13[[#This Row],[Price USD]]&lt;=50,"Mid-range","Premium"))</f>
        <v>Premium</v>
      </c>
      <c r="O152">
        <v>0</v>
      </c>
      <c r="P152">
        <v>0</v>
      </c>
    </row>
    <row r="153" spans="1:16" x14ac:dyDescent="0.25">
      <c r="A153" t="s">
        <v>2324</v>
      </c>
      <c r="B153" t="s">
        <v>2325</v>
      </c>
      <c r="C153">
        <v>6073</v>
      </c>
      <c r="D153" t="s">
        <v>78</v>
      </c>
      <c r="E153" t="s">
        <v>220</v>
      </c>
      <c r="F153">
        <v>11638</v>
      </c>
      <c r="G1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3">
        <v>4.0769000000000002</v>
      </c>
      <c r="J153" t="str">
        <f>IF(ISBLANK(Table13[[#This Row],[Rating]]), "No", "Yes")</f>
        <v>Yes</v>
      </c>
      <c r="K153" t="str">
        <f>IF(ISBLANK(Table13[[#This Row],[Rating]]), "Not Rated", IF(Table13[[#This Row],[Rating]] &lt; 3, "Low", IF(Table13[[#This Row],[Rating]] &lt; 4, "Medium", "High")))</f>
        <v>High</v>
      </c>
      <c r="L153">
        <v>13</v>
      </c>
      <c r="M153">
        <v>95</v>
      </c>
      <c r="N153" t="str">
        <f>IF(Table13[[#This Row],[Price USD]]&lt;20,"Budget",IF(Table13[[#This Row],[Price USD]]&lt;=50,"Mid-range","Premium"))</f>
        <v>Premium</v>
      </c>
      <c r="O153">
        <v>0</v>
      </c>
      <c r="P153">
        <v>0</v>
      </c>
    </row>
    <row r="154" spans="1:16" x14ac:dyDescent="0.25">
      <c r="A154" t="s">
        <v>2083</v>
      </c>
      <c r="B154" t="s">
        <v>2084</v>
      </c>
      <c r="C154">
        <v>6201</v>
      </c>
      <c r="D154" t="s">
        <v>367</v>
      </c>
      <c r="E154" t="s">
        <v>220</v>
      </c>
      <c r="F154">
        <v>13729</v>
      </c>
      <c r="G1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4">
        <v>4.4615</v>
      </c>
      <c r="J154" t="str">
        <f>IF(ISBLANK(Table13[[#This Row],[Rating]]), "No", "Yes")</f>
        <v>Yes</v>
      </c>
      <c r="K154" t="str">
        <f>IF(ISBLANK(Table13[[#This Row],[Rating]]), "Not Rated", IF(Table13[[#This Row],[Rating]] &lt; 3, "Low", IF(Table13[[#This Row],[Rating]] &lt; 4, "Medium", "High")))</f>
        <v>High</v>
      </c>
      <c r="L154">
        <v>13</v>
      </c>
      <c r="M154">
        <v>380</v>
      </c>
      <c r="N154" t="str">
        <f>IF(Table13[[#This Row],[Price USD]]&lt;20,"Budget",IF(Table13[[#This Row],[Price USD]]&lt;=50,"Mid-range","Premium"))</f>
        <v>Premium</v>
      </c>
      <c r="O154">
        <v>1</v>
      </c>
      <c r="P154">
        <v>0</v>
      </c>
    </row>
    <row r="155" spans="1:16" x14ac:dyDescent="0.25">
      <c r="A155" t="s">
        <v>1679</v>
      </c>
      <c r="B155" t="s">
        <v>1680</v>
      </c>
      <c r="C155">
        <v>6189</v>
      </c>
      <c r="D155" t="s">
        <v>30</v>
      </c>
      <c r="E155" t="s">
        <v>8</v>
      </c>
      <c r="F155">
        <v>18565</v>
      </c>
      <c r="G1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5">
        <v>4</v>
      </c>
      <c r="J155" t="str">
        <f>IF(ISBLANK(Table13[[#This Row],[Rating]]), "No", "Yes")</f>
        <v>Yes</v>
      </c>
      <c r="K155" t="str">
        <f>IF(ISBLANK(Table13[[#This Row],[Rating]]), "Not Rated", IF(Table13[[#This Row],[Rating]] &lt; 3, "Low", IF(Table13[[#This Row],[Rating]] &lt; 4, "Medium", "High")))</f>
        <v>High</v>
      </c>
      <c r="L155">
        <v>13</v>
      </c>
      <c r="M155">
        <v>20</v>
      </c>
      <c r="N155" t="str">
        <f>IF(Table13[[#This Row],[Price USD]]&lt;20,"Budget",IF(Table13[[#This Row],[Price USD]]&lt;=50,"Mid-range","Premium"))</f>
        <v>Mid-range</v>
      </c>
      <c r="O155">
        <v>1</v>
      </c>
      <c r="P155">
        <v>0</v>
      </c>
    </row>
    <row r="156" spans="1:16" x14ac:dyDescent="0.25">
      <c r="A156" t="s">
        <v>2432</v>
      </c>
      <c r="B156" t="s">
        <v>2433</v>
      </c>
      <c r="C156">
        <v>6117</v>
      </c>
      <c r="D156" t="s">
        <v>229</v>
      </c>
      <c r="E156" t="s">
        <v>220</v>
      </c>
      <c r="F156">
        <v>10728</v>
      </c>
      <c r="G1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6">
        <v>4.1429</v>
      </c>
      <c r="J156" t="str">
        <f>IF(ISBLANK(Table13[[#This Row],[Rating]]), "No", "Yes")</f>
        <v>Yes</v>
      </c>
      <c r="K156" t="str">
        <f>IF(ISBLANK(Table13[[#This Row],[Rating]]), "Not Rated", IF(Table13[[#This Row],[Rating]] &lt; 3, "Low", IF(Table13[[#This Row],[Rating]] &lt; 4, "Medium", "High")))</f>
        <v>High</v>
      </c>
      <c r="L156">
        <v>14</v>
      </c>
      <c r="M156">
        <v>32</v>
      </c>
      <c r="N156" t="str">
        <f>IF(Table13[[#This Row],[Price USD]]&lt;20,"Budget",IF(Table13[[#This Row],[Price USD]]&lt;=50,"Mid-range","Premium"))</f>
        <v>Mid-range</v>
      </c>
      <c r="O156">
        <v>0</v>
      </c>
      <c r="P156">
        <v>0</v>
      </c>
    </row>
    <row r="157" spans="1:16" x14ac:dyDescent="0.25">
      <c r="A157" t="s">
        <v>2358</v>
      </c>
      <c r="B157" t="s">
        <v>2359</v>
      </c>
      <c r="C157">
        <v>6352</v>
      </c>
      <c r="D157" t="s">
        <v>251</v>
      </c>
      <c r="E157" t="s">
        <v>21</v>
      </c>
      <c r="F157">
        <v>11380</v>
      </c>
      <c r="G1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7">
        <v>3.7856999999999998</v>
      </c>
      <c r="J157" t="str">
        <f>IF(ISBLANK(Table13[[#This Row],[Rating]]), "No", "Yes")</f>
        <v>Yes</v>
      </c>
      <c r="K157" t="str">
        <f>IF(ISBLANK(Table13[[#This Row],[Rating]]), "Not Rated", IF(Table13[[#This Row],[Rating]] &lt; 3, "Low", IF(Table13[[#This Row],[Rating]] &lt; 4, "Medium", "High")))</f>
        <v>Medium</v>
      </c>
      <c r="L157">
        <v>14</v>
      </c>
      <c r="M157">
        <v>25</v>
      </c>
      <c r="N157" t="str">
        <f>IF(Table13[[#This Row],[Price USD]]&lt;20,"Budget",IF(Table13[[#This Row],[Price USD]]&lt;=50,"Mid-range","Premium"))</f>
        <v>Mid-range</v>
      </c>
      <c r="O157">
        <v>0</v>
      </c>
      <c r="P157">
        <v>0</v>
      </c>
    </row>
    <row r="158" spans="1:16" x14ac:dyDescent="0.25">
      <c r="A158" t="s">
        <v>2067</v>
      </c>
      <c r="B158" t="s">
        <v>2068</v>
      </c>
      <c r="C158">
        <v>6089</v>
      </c>
      <c r="D158" t="s">
        <v>605</v>
      </c>
      <c r="E158" t="s">
        <v>149</v>
      </c>
      <c r="F158">
        <v>13898</v>
      </c>
      <c r="G1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8">
        <v>4.2142999999999997</v>
      </c>
      <c r="J158" t="str">
        <f>IF(ISBLANK(Table13[[#This Row],[Rating]]), "No", "Yes")</f>
        <v>Yes</v>
      </c>
      <c r="K158" t="str">
        <f>IF(ISBLANK(Table13[[#This Row],[Rating]]), "Not Rated", IF(Table13[[#This Row],[Rating]] &lt; 3, "Low", IF(Table13[[#This Row],[Rating]] &lt; 4, "Medium", "High")))</f>
        <v>High</v>
      </c>
      <c r="L158">
        <v>14</v>
      </c>
      <c r="M158">
        <v>42</v>
      </c>
      <c r="N158" t="str">
        <f>IF(Table13[[#This Row],[Price USD]]&lt;20,"Budget",IF(Table13[[#This Row],[Price USD]]&lt;=50,"Mid-range","Premium"))</f>
        <v>Mid-range</v>
      </c>
      <c r="O158">
        <v>0</v>
      </c>
      <c r="P158">
        <v>0</v>
      </c>
    </row>
    <row r="159" spans="1:16" x14ac:dyDescent="0.25">
      <c r="A159" t="s">
        <v>1993</v>
      </c>
      <c r="B159" t="s">
        <v>1994</v>
      </c>
      <c r="C159">
        <v>6272</v>
      </c>
      <c r="D159" t="s">
        <v>1711</v>
      </c>
      <c r="E159" t="s">
        <v>347</v>
      </c>
      <c r="F159">
        <v>14832</v>
      </c>
      <c r="G1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59">
        <v>4.0713999999999997</v>
      </c>
      <c r="J159" t="str">
        <f>IF(ISBLANK(Table13[[#This Row],[Rating]]), "No", "Yes")</f>
        <v>Yes</v>
      </c>
      <c r="K159" t="str">
        <f>IF(ISBLANK(Table13[[#This Row],[Rating]]), "Not Rated", IF(Table13[[#This Row],[Rating]] &lt; 3, "Low", IF(Table13[[#This Row],[Rating]] &lt; 4, "Medium", "High")))</f>
        <v>High</v>
      </c>
      <c r="L159">
        <v>14</v>
      </c>
      <c r="M159">
        <v>49</v>
      </c>
      <c r="N159" t="str">
        <f>IF(Table13[[#This Row],[Price USD]]&lt;20,"Budget",IF(Table13[[#This Row],[Price USD]]&lt;=50,"Mid-range","Premium"))</f>
        <v>Mid-range</v>
      </c>
      <c r="O159">
        <v>0</v>
      </c>
      <c r="P159">
        <v>0</v>
      </c>
    </row>
    <row r="160" spans="1:16" x14ac:dyDescent="0.25">
      <c r="A160" t="s">
        <v>2521</v>
      </c>
      <c r="B160" t="s">
        <v>2522</v>
      </c>
      <c r="C160">
        <v>3902</v>
      </c>
      <c r="D160" t="s">
        <v>72</v>
      </c>
      <c r="E160" t="s">
        <v>69</v>
      </c>
      <c r="F160">
        <v>10162</v>
      </c>
      <c r="G1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0">
        <v>4.4000000000000004</v>
      </c>
      <c r="J160" t="str">
        <f>IF(ISBLANK(Table13[[#This Row],[Rating]]), "No", "Yes")</f>
        <v>Yes</v>
      </c>
      <c r="K160" t="str">
        <f>IF(ISBLANK(Table13[[#This Row],[Rating]]), "Not Rated", IF(Table13[[#This Row],[Rating]] &lt; 3, "Low", IF(Table13[[#This Row],[Rating]] &lt; 4, "Medium", "High")))</f>
        <v>High</v>
      </c>
      <c r="L160">
        <v>15</v>
      </c>
      <c r="M160">
        <v>5.5</v>
      </c>
      <c r="N160" t="str">
        <f>IF(Table13[[#This Row],[Price USD]]&lt;20,"Budget",IF(Table13[[#This Row],[Price USD]]&lt;=50,"Mid-range","Premium"))</f>
        <v>Budget</v>
      </c>
      <c r="O160">
        <v>0</v>
      </c>
      <c r="P160">
        <v>0</v>
      </c>
    </row>
    <row r="161" spans="1:16" x14ac:dyDescent="0.25">
      <c r="A161" t="s">
        <v>2124</v>
      </c>
      <c r="B161" t="s">
        <v>2125</v>
      </c>
      <c r="C161">
        <v>6751</v>
      </c>
      <c r="D161" t="s">
        <v>1738</v>
      </c>
      <c r="E161" t="s">
        <v>8</v>
      </c>
      <c r="F161">
        <v>13371</v>
      </c>
      <c r="G1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1">
        <v>4.7332999999999998</v>
      </c>
      <c r="J161" t="str">
        <f>IF(ISBLANK(Table13[[#This Row],[Rating]]), "No", "Yes")</f>
        <v>Yes</v>
      </c>
      <c r="K161" t="str">
        <f>IF(ISBLANK(Table13[[#This Row],[Rating]]), "Not Rated", IF(Table13[[#This Row],[Rating]] &lt; 3, "Low", IF(Table13[[#This Row],[Rating]] &lt; 4, "Medium", "High")))</f>
        <v>High</v>
      </c>
      <c r="L161">
        <v>15</v>
      </c>
      <c r="M161">
        <v>29</v>
      </c>
      <c r="N161" t="str">
        <f>IF(Table13[[#This Row],[Price USD]]&lt;20,"Budget",IF(Table13[[#This Row],[Price USD]]&lt;=50,"Mid-range","Premium"))</f>
        <v>Mid-range</v>
      </c>
      <c r="O161">
        <v>1</v>
      </c>
      <c r="P161">
        <v>0</v>
      </c>
    </row>
    <row r="162" spans="1:16" x14ac:dyDescent="0.25">
      <c r="A162" t="s">
        <v>1382</v>
      </c>
      <c r="B162" t="s">
        <v>1383</v>
      </c>
      <c r="C162">
        <v>6234</v>
      </c>
      <c r="D162" t="s">
        <v>7</v>
      </c>
      <c r="E162" t="s">
        <v>220</v>
      </c>
      <c r="F162">
        <v>24451</v>
      </c>
      <c r="G1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2">
        <v>4.0625</v>
      </c>
      <c r="J162" t="str">
        <f>IF(ISBLANK(Table13[[#This Row],[Rating]]), "No", "Yes")</f>
        <v>Yes</v>
      </c>
      <c r="K162" t="str">
        <f>IF(ISBLANK(Table13[[#This Row],[Rating]]), "Not Rated", IF(Table13[[#This Row],[Rating]] &lt; 3, "Low", IF(Table13[[#This Row],[Rating]] &lt; 4, "Medium", "High")))</f>
        <v>High</v>
      </c>
      <c r="L162">
        <v>16</v>
      </c>
      <c r="M162">
        <v>40.700000000000003</v>
      </c>
      <c r="N162" t="str">
        <f>IF(Table13[[#This Row],[Price USD]]&lt;20,"Budget",IF(Table13[[#This Row],[Price USD]]&lt;=50,"Mid-range","Premium"))</f>
        <v>Mid-range</v>
      </c>
      <c r="O162">
        <v>0</v>
      </c>
      <c r="P162">
        <v>0</v>
      </c>
    </row>
    <row r="163" spans="1:16" x14ac:dyDescent="0.25">
      <c r="A163" t="s">
        <v>2450</v>
      </c>
      <c r="B163" t="s">
        <v>2451</v>
      </c>
      <c r="C163">
        <v>6751</v>
      </c>
      <c r="D163" t="s">
        <v>1738</v>
      </c>
      <c r="E163" t="s">
        <v>8</v>
      </c>
      <c r="F163">
        <v>10568</v>
      </c>
      <c r="G1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3">
        <v>4.5881999999999996</v>
      </c>
      <c r="J163" t="str">
        <f>IF(ISBLANK(Table13[[#This Row],[Rating]]), "No", "Yes")</f>
        <v>Yes</v>
      </c>
      <c r="K163" t="str">
        <f>IF(ISBLANK(Table13[[#This Row],[Rating]]), "Not Rated", IF(Table13[[#This Row],[Rating]] &lt; 3, "Low", IF(Table13[[#This Row],[Rating]] &lt; 4, "Medium", "High")))</f>
        <v>High</v>
      </c>
      <c r="L163">
        <v>17</v>
      </c>
      <c r="M163">
        <v>29</v>
      </c>
      <c r="N163" t="str">
        <f>IF(Table13[[#This Row],[Price USD]]&lt;20,"Budget",IF(Table13[[#This Row],[Price USD]]&lt;=50,"Mid-range","Premium"))</f>
        <v>Mid-range</v>
      </c>
      <c r="O163">
        <v>1</v>
      </c>
      <c r="P163">
        <v>0</v>
      </c>
    </row>
    <row r="164" spans="1:16" x14ac:dyDescent="0.25">
      <c r="A164" t="s">
        <v>2052</v>
      </c>
      <c r="B164" t="s">
        <v>2053</v>
      </c>
      <c r="C164">
        <v>4348</v>
      </c>
      <c r="D164" t="s">
        <v>61</v>
      </c>
      <c r="E164" t="s">
        <v>21</v>
      </c>
      <c r="F164">
        <v>14153</v>
      </c>
      <c r="G1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4">
        <v>4.4706000000000001</v>
      </c>
      <c r="J164" t="str">
        <f>IF(ISBLANK(Table13[[#This Row],[Rating]]), "No", "Yes")</f>
        <v>Yes</v>
      </c>
      <c r="K164" t="str">
        <f>IF(ISBLANK(Table13[[#This Row],[Rating]]), "Not Rated", IF(Table13[[#This Row],[Rating]] &lt; 3, "Low", IF(Table13[[#This Row],[Rating]] &lt; 4, "Medium", "High")))</f>
        <v>High</v>
      </c>
      <c r="L164">
        <v>17</v>
      </c>
      <c r="M164">
        <v>24</v>
      </c>
      <c r="N164" t="str">
        <f>IF(Table13[[#This Row],[Price USD]]&lt;20,"Budget",IF(Table13[[#This Row],[Price USD]]&lt;=50,"Mid-range","Premium"))</f>
        <v>Mid-range</v>
      </c>
      <c r="O164">
        <v>0</v>
      </c>
      <c r="P164">
        <v>0</v>
      </c>
    </row>
    <row r="165" spans="1:16" x14ac:dyDescent="0.25">
      <c r="A165" t="s">
        <v>2546</v>
      </c>
      <c r="B165" t="s">
        <v>2547</v>
      </c>
      <c r="C165">
        <v>6235</v>
      </c>
      <c r="D165" t="s">
        <v>1166</v>
      </c>
      <c r="E165" t="s">
        <v>149</v>
      </c>
      <c r="F165">
        <v>10008</v>
      </c>
      <c r="G1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5">
        <v>4.5556000000000001</v>
      </c>
      <c r="J165" t="str">
        <f>IF(ISBLANK(Table13[[#This Row],[Rating]]), "No", "Yes")</f>
        <v>Yes</v>
      </c>
      <c r="K165" t="str">
        <f>IF(ISBLANK(Table13[[#This Row],[Rating]]), "Not Rated", IF(Table13[[#This Row],[Rating]] &lt; 3, "Low", IF(Table13[[#This Row],[Rating]] &lt; 4, "Medium", "High")))</f>
        <v>High</v>
      </c>
      <c r="L165">
        <v>18</v>
      </c>
      <c r="M165">
        <v>20</v>
      </c>
      <c r="N165" t="str">
        <f>IF(Table13[[#This Row],[Price USD]]&lt;20,"Budget",IF(Table13[[#This Row],[Price USD]]&lt;=50,"Mid-range","Premium"))</f>
        <v>Mid-range</v>
      </c>
      <c r="O165">
        <v>0</v>
      </c>
      <c r="P165">
        <v>1</v>
      </c>
    </row>
    <row r="166" spans="1:16" x14ac:dyDescent="0.25">
      <c r="A166" t="s">
        <v>1114</v>
      </c>
      <c r="B166" t="s">
        <v>1115</v>
      </c>
      <c r="C166">
        <v>6041</v>
      </c>
      <c r="D166" t="s">
        <v>33</v>
      </c>
      <c r="E166" t="s">
        <v>220</v>
      </c>
      <c r="F166">
        <v>32077</v>
      </c>
      <c r="G1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6">
        <v>4.4211</v>
      </c>
      <c r="J166" t="str">
        <f>IF(ISBLANK(Table13[[#This Row],[Rating]]), "No", "Yes")</f>
        <v>Yes</v>
      </c>
      <c r="K166" t="str">
        <f>IF(ISBLANK(Table13[[#This Row],[Rating]]), "Not Rated", IF(Table13[[#This Row],[Rating]] &lt; 3, "Low", IF(Table13[[#This Row],[Rating]] &lt; 4, "Medium", "High")))</f>
        <v>High</v>
      </c>
      <c r="L166">
        <v>19</v>
      </c>
      <c r="M166">
        <v>68</v>
      </c>
      <c r="N166" t="str">
        <f>IF(Table13[[#This Row],[Price USD]]&lt;20,"Budget",IF(Table13[[#This Row],[Price USD]]&lt;=50,"Mid-range","Premium"))</f>
        <v>Premium</v>
      </c>
      <c r="O166">
        <v>1</v>
      </c>
      <c r="P166">
        <v>0</v>
      </c>
    </row>
    <row r="167" spans="1:16" x14ac:dyDescent="0.25">
      <c r="A167" t="s">
        <v>2216</v>
      </c>
      <c r="B167" t="s">
        <v>2217</v>
      </c>
      <c r="C167">
        <v>3902</v>
      </c>
      <c r="D167" t="s">
        <v>72</v>
      </c>
      <c r="E167" t="s">
        <v>347</v>
      </c>
      <c r="F167">
        <v>12554</v>
      </c>
      <c r="G1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7">
        <v>4.4000000000000004</v>
      </c>
      <c r="J167" t="str">
        <f>IF(ISBLANK(Table13[[#This Row],[Rating]]), "No", "Yes")</f>
        <v>Yes</v>
      </c>
      <c r="K167" t="str">
        <f>IF(ISBLANK(Table13[[#This Row],[Rating]]), "Not Rated", IF(Table13[[#This Row],[Rating]] &lt; 3, "Low", IF(Table13[[#This Row],[Rating]] &lt; 4, "Medium", "High")))</f>
        <v>High</v>
      </c>
      <c r="L167">
        <v>20</v>
      </c>
      <c r="M167">
        <v>10</v>
      </c>
      <c r="N167" t="str">
        <f>IF(Table13[[#This Row],[Price USD]]&lt;20,"Budget",IF(Table13[[#This Row],[Price USD]]&lt;=50,"Mid-range","Premium"))</f>
        <v>Budget</v>
      </c>
      <c r="O167">
        <v>0</v>
      </c>
      <c r="P167">
        <v>0</v>
      </c>
    </row>
    <row r="168" spans="1:16" x14ac:dyDescent="0.25">
      <c r="A168" t="s">
        <v>2203</v>
      </c>
      <c r="B168" t="s">
        <v>2204</v>
      </c>
      <c r="C168">
        <v>6041</v>
      </c>
      <c r="D168" t="s">
        <v>33</v>
      </c>
      <c r="E168" t="s">
        <v>21</v>
      </c>
      <c r="F168">
        <v>12625</v>
      </c>
      <c r="G1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8">
        <v>4.1500000000000004</v>
      </c>
      <c r="J168" t="str">
        <f>IF(ISBLANK(Table13[[#This Row],[Rating]]), "No", "Yes")</f>
        <v>Yes</v>
      </c>
      <c r="K168" t="str">
        <f>IF(ISBLANK(Table13[[#This Row],[Rating]]), "Not Rated", IF(Table13[[#This Row],[Rating]] &lt; 3, "Low", IF(Table13[[#This Row],[Rating]] &lt; 4, "Medium", "High")))</f>
        <v>High</v>
      </c>
      <c r="L168">
        <v>20</v>
      </c>
      <c r="M168">
        <v>112</v>
      </c>
      <c r="N168" t="str">
        <f>IF(Table13[[#This Row],[Price USD]]&lt;20,"Budget",IF(Table13[[#This Row],[Price USD]]&lt;=50,"Mid-range","Premium"))</f>
        <v>Premium</v>
      </c>
      <c r="O168">
        <v>0</v>
      </c>
      <c r="P168">
        <v>0</v>
      </c>
    </row>
    <row r="169" spans="1:16" x14ac:dyDescent="0.25">
      <c r="A169" t="s">
        <v>2137</v>
      </c>
      <c r="B169" t="s">
        <v>2138</v>
      </c>
      <c r="C169">
        <v>3902</v>
      </c>
      <c r="D169" t="s">
        <v>72</v>
      </c>
      <c r="E169" t="s">
        <v>8</v>
      </c>
      <c r="F169">
        <v>13252</v>
      </c>
      <c r="G1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69">
        <v>3.3</v>
      </c>
      <c r="J169" t="str">
        <f>IF(ISBLANK(Table13[[#This Row],[Rating]]), "No", "Yes")</f>
        <v>Yes</v>
      </c>
      <c r="K169" t="str">
        <f>IF(ISBLANK(Table13[[#This Row],[Rating]]), "Not Rated", IF(Table13[[#This Row],[Rating]] &lt; 3, "Low", IF(Table13[[#This Row],[Rating]] &lt; 4, "Medium", "High")))</f>
        <v>Medium</v>
      </c>
      <c r="L169">
        <v>20</v>
      </c>
      <c r="M169">
        <v>20</v>
      </c>
      <c r="N169" t="str">
        <f>IF(Table13[[#This Row],[Price USD]]&lt;20,"Budget",IF(Table13[[#This Row],[Price USD]]&lt;=50,"Mid-range","Premium"))</f>
        <v>Mid-range</v>
      </c>
      <c r="O169">
        <v>0</v>
      </c>
      <c r="P169">
        <v>0</v>
      </c>
    </row>
    <row r="170" spans="1:16" x14ac:dyDescent="0.25">
      <c r="A170" t="s">
        <v>2528</v>
      </c>
      <c r="B170" t="s">
        <v>2529</v>
      </c>
      <c r="C170">
        <v>6218</v>
      </c>
      <c r="D170" t="s">
        <v>116</v>
      </c>
      <c r="E170" t="s">
        <v>144</v>
      </c>
      <c r="F170">
        <v>10130</v>
      </c>
      <c r="G1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0">
        <v>3.0455000000000001</v>
      </c>
      <c r="J170" t="str">
        <f>IF(ISBLANK(Table13[[#This Row],[Rating]]), "No", "Yes")</f>
        <v>Yes</v>
      </c>
      <c r="K170" t="str">
        <f>IF(ISBLANK(Table13[[#This Row],[Rating]]), "Not Rated", IF(Table13[[#This Row],[Rating]] &lt; 3, "Low", IF(Table13[[#This Row],[Rating]] &lt; 4, "Medium", "High")))</f>
        <v>Medium</v>
      </c>
      <c r="L170">
        <v>22</v>
      </c>
      <c r="M170">
        <v>35</v>
      </c>
      <c r="N170" t="str">
        <f>IF(Table13[[#This Row],[Price USD]]&lt;20,"Budget",IF(Table13[[#This Row],[Price USD]]&lt;=50,"Mid-range","Premium"))</f>
        <v>Mid-range</v>
      </c>
      <c r="O170">
        <v>0</v>
      </c>
      <c r="P170">
        <v>0</v>
      </c>
    </row>
    <row r="171" spans="1:16" x14ac:dyDescent="0.25">
      <c r="A171" t="s">
        <v>2145</v>
      </c>
      <c r="B171" t="s">
        <v>2146</v>
      </c>
      <c r="C171">
        <v>7037</v>
      </c>
      <c r="D171" t="s">
        <v>1718</v>
      </c>
      <c r="E171" t="s">
        <v>69</v>
      </c>
      <c r="F171">
        <v>13055</v>
      </c>
      <c r="G1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1">
        <v>4.5909000000000004</v>
      </c>
      <c r="J171" t="str">
        <f>IF(ISBLANK(Table13[[#This Row],[Rating]]), "No", "Yes")</f>
        <v>Yes</v>
      </c>
      <c r="K171" t="str">
        <f>IF(ISBLANK(Table13[[#This Row],[Rating]]), "Not Rated", IF(Table13[[#This Row],[Rating]] &lt; 3, "Low", IF(Table13[[#This Row],[Rating]] &lt; 4, "Medium", "High")))</f>
        <v>High</v>
      </c>
      <c r="L171">
        <v>22</v>
      </c>
      <c r="M171">
        <v>10.99</v>
      </c>
      <c r="N171" t="str">
        <f>IF(Table13[[#This Row],[Price USD]]&lt;20,"Budget",IF(Table13[[#This Row],[Price USD]]&lt;=50,"Mid-range","Premium"))</f>
        <v>Budget</v>
      </c>
      <c r="O171">
        <v>0</v>
      </c>
      <c r="P171">
        <v>0</v>
      </c>
    </row>
    <row r="172" spans="1:16" x14ac:dyDescent="0.25">
      <c r="A172" t="s">
        <v>1452</v>
      </c>
      <c r="B172" t="s">
        <v>1453</v>
      </c>
      <c r="C172">
        <v>6125</v>
      </c>
      <c r="D172" t="s">
        <v>3</v>
      </c>
      <c r="E172" t="s">
        <v>220</v>
      </c>
      <c r="F172">
        <v>23044</v>
      </c>
      <c r="G1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2">
        <v>4.3635999999999999</v>
      </c>
      <c r="J172" t="str">
        <f>IF(ISBLANK(Table13[[#This Row],[Rating]]), "No", "Yes")</f>
        <v>Yes</v>
      </c>
      <c r="K172" t="str">
        <f>IF(ISBLANK(Table13[[#This Row],[Rating]]), "Not Rated", IF(Table13[[#This Row],[Rating]] &lt; 3, "Low", IF(Table13[[#This Row],[Rating]] &lt; 4, "Medium", "High")))</f>
        <v>High</v>
      </c>
      <c r="L172">
        <v>22</v>
      </c>
      <c r="M172">
        <v>35</v>
      </c>
      <c r="N172" t="str">
        <f>IF(Table13[[#This Row],[Price USD]]&lt;20,"Budget",IF(Table13[[#This Row],[Price USD]]&lt;=50,"Mid-range","Premium"))</f>
        <v>Mid-range</v>
      </c>
      <c r="O172">
        <v>0</v>
      </c>
      <c r="P172">
        <v>0</v>
      </c>
    </row>
    <row r="173" spans="1:16" x14ac:dyDescent="0.25">
      <c r="A173" t="s">
        <v>937</v>
      </c>
      <c r="B173" t="s">
        <v>938</v>
      </c>
      <c r="C173">
        <v>7083</v>
      </c>
      <c r="D173" t="s">
        <v>20</v>
      </c>
      <c r="E173" t="s">
        <v>220</v>
      </c>
      <c r="F173">
        <v>39446</v>
      </c>
      <c r="G1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3">
        <v>2.5</v>
      </c>
      <c r="J173" t="str">
        <f>IF(ISBLANK(Table13[[#This Row],[Rating]]), "No", "Yes")</f>
        <v>Yes</v>
      </c>
      <c r="K173" t="str">
        <f>IF(ISBLANK(Table13[[#This Row],[Rating]]), "Not Rated", IF(Table13[[#This Row],[Rating]] &lt; 3, "Low", IF(Table13[[#This Row],[Rating]] &lt; 4, "Medium", "High")))</f>
        <v>Low</v>
      </c>
      <c r="L173">
        <v>22</v>
      </c>
      <c r="M173">
        <v>26</v>
      </c>
      <c r="N173" t="str">
        <f>IF(Table13[[#This Row],[Price USD]]&lt;20,"Budget",IF(Table13[[#This Row],[Price USD]]&lt;=50,"Mid-range","Premium"))</f>
        <v>Mid-range</v>
      </c>
      <c r="O173">
        <v>0</v>
      </c>
      <c r="P173">
        <v>0</v>
      </c>
    </row>
    <row r="174" spans="1:16" x14ac:dyDescent="0.25">
      <c r="A174" t="s">
        <v>2534</v>
      </c>
      <c r="B174" t="s">
        <v>2535</v>
      </c>
      <c r="C174">
        <v>5987</v>
      </c>
      <c r="D174" t="s">
        <v>48</v>
      </c>
      <c r="E174" t="s">
        <v>49</v>
      </c>
      <c r="F174">
        <v>10079</v>
      </c>
      <c r="G1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4">
        <v>4.125</v>
      </c>
      <c r="J174" t="str">
        <f>IF(ISBLANK(Table13[[#This Row],[Rating]]), "No", "Yes")</f>
        <v>Yes</v>
      </c>
      <c r="K174" t="str">
        <f>IF(ISBLANK(Table13[[#This Row],[Rating]]), "Not Rated", IF(Table13[[#This Row],[Rating]] &lt; 3, "Low", IF(Table13[[#This Row],[Rating]] &lt; 4, "Medium", "High")))</f>
        <v>High</v>
      </c>
      <c r="L174">
        <v>24</v>
      </c>
      <c r="M174">
        <v>22</v>
      </c>
      <c r="N174" t="str">
        <f>IF(Table13[[#This Row],[Price USD]]&lt;20,"Budget",IF(Table13[[#This Row],[Price USD]]&lt;=50,"Mid-range","Premium"))</f>
        <v>Mid-range</v>
      </c>
      <c r="O174">
        <v>0</v>
      </c>
      <c r="P174">
        <v>0</v>
      </c>
    </row>
    <row r="175" spans="1:16" x14ac:dyDescent="0.25">
      <c r="A175" t="s">
        <v>2392</v>
      </c>
      <c r="B175" t="s">
        <v>2393</v>
      </c>
      <c r="C175">
        <v>6341</v>
      </c>
      <c r="D175" t="s">
        <v>66</v>
      </c>
      <c r="E175" t="s">
        <v>13</v>
      </c>
      <c r="F175">
        <v>11114</v>
      </c>
      <c r="G1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5">
        <v>3.8</v>
      </c>
      <c r="J175" t="str">
        <f>IF(ISBLANK(Table13[[#This Row],[Rating]]), "No", "Yes")</f>
        <v>Yes</v>
      </c>
      <c r="K175" t="str">
        <f>IF(ISBLANK(Table13[[#This Row],[Rating]]), "Not Rated", IF(Table13[[#This Row],[Rating]] &lt; 3, "Low", IF(Table13[[#This Row],[Rating]] &lt; 4, "Medium", "High")))</f>
        <v>Medium</v>
      </c>
      <c r="L175">
        <v>25</v>
      </c>
      <c r="M175">
        <v>26</v>
      </c>
      <c r="N175" t="str">
        <f>IF(Table13[[#This Row],[Price USD]]&lt;20,"Budget",IF(Table13[[#This Row],[Price USD]]&lt;=50,"Mid-range","Premium"))</f>
        <v>Mid-range</v>
      </c>
      <c r="O175">
        <v>0</v>
      </c>
      <c r="P175">
        <v>0</v>
      </c>
    </row>
    <row r="176" spans="1:16" x14ac:dyDescent="0.25">
      <c r="A176" t="s">
        <v>2181</v>
      </c>
      <c r="B176" t="s">
        <v>2182</v>
      </c>
      <c r="C176">
        <v>6014</v>
      </c>
      <c r="D176" t="s">
        <v>102</v>
      </c>
      <c r="E176" t="s">
        <v>69</v>
      </c>
      <c r="F176">
        <v>12733</v>
      </c>
      <c r="G1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6">
        <v>4.3600000000000003</v>
      </c>
      <c r="J176" t="str">
        <f>IF(ISBLANK(Table13[[#This Row],[Rating]]), "No", "Yes")</f>
        <v>Yes</v>
      </c>
      <c r="K176" t="str">
        <f>IF(ISBLANK(Table13[[#This Row],[Rating]]), "Not Rated", IF(Table13[[#This Row],[Rating]] &lt; 3, "Low", IF(Table13[[#This Row],[Rating]] &lt; 4, "Medium", "High")))</f>
        <v>High</v>
      </c>
      <c r="L176">
        <v>25</v>
      </c>
      <c r="M176">
        <v>9</v>
      </c>
      <c r="N176" t="str">
        <f>IF(Table13[[#This Row],[Price USD]]&lt;20,"Budget",IF(Table13[[#This Row],[Price USD]]&lt;=50,"Mid-range","Premium"))</f>
        <v>Budget</v>
      </c>
      <c r="O176">
        <v>0</v>
      </c>
      <c r="P176">
        <v>0</v>
      </c>
    </row>
    <row r="177" spans="1:16" x14ac:dyDescent="0.25">
      <c r="A177" t="s">
        <v>1774</v>
      </c>
      <c r="B177" t="s">
        <v>1775</v>
      </c>
      <c r="C177">
        <v>5644</v>
      </c>
      <c r="D177" t="s">
        <v>158</v>
      </c>
      <c r="E177" t="s">
        <v>21</v>
      </c>
      <c r="F177">
        <v>17355</v>
      </c>
      <c r="G1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7">
        <v>4.84</v>
      </c>
      <c r="J177" t="str">
        <f>IF(ISBLANK(Table13[[#This Row],[Rating]]), "No", "Yes")</f>
        <v>Yes</v>
      </c>
      <c r="K177" t="str">
        <f>IF(ISBLANK(Table13[[#This Row],[Rating]]), "Not Rated", IF(Table13[[#This Row],[Rating]] &lt; 3, "Low", IF(Table13[[#This Row],[Rating]] &lt; 4, "Medium", "High")))</f>
        <v>High</v>
      </c>
      <c r="L177">
        <v>25</v>
      </c>
      <c r="M177">
        <v>99</v>
      </c>
      <c r="N177" t="str">
        <f>IF(Table13[[#This Row],[Price USD]]&lt;20,"Budget",IF(Table13[[#This Row],[Price USD]]&lt;=50,"Mid-range","Premium"))</f>
        <v>Premium</v>
      </c>
      <c r="O177">
        <v>0</v>
      </c>
      <c r="P177">
        <v>0</v>
      </c>
    </row>
    <row r="178" spans="1:16" x14ac:dyDescent="0.25">
      <c r="A178" t="s">
        <v>1646</v>
      </c>
      <c r="B178" t="s">
        <v>1647</v>
      </c>
      <c r="C178">
        <v>6073</v>
      </c>
      <c r="D178" t="s">
        <v>78</v>
      </c>
      <c r="E178" t="s">
        <v>220</v>
      </c>
      <c r="F178">
        <v>19425</v>
      </c>
      <c r="G1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8">
        <v>4.16</v>
      </c>
      <c r="J178" t="str">
        <f>IF(ISBLANK(Table13[[#This Row],[Rating]]), "No", "Yes")</f>
        <v>Yes</v>
      </c>
      <c r="K178" t="str">
        <f>IF(ISBLANK(Table13[[#This Row],[Rating]]), "Not Rated", IF(Table13[[#This Row],[Rating]] &lt; 3, "Low", IF(Table13[[#This Row],[Rating]] &lt; 4, "Medium", "High")))</f>
        <v>High</v>
      </c>
      <c r="L178">
        <v>25</v>
      </c>
      <c r="M178">
        <v>130</v>
      </c>
      <c r="N178" t="str">
        <f>IF(Table13[[#This Row],[Price USD]]&lt;20,"Budget",IF(Table13[[#This Row],[Price USD]]&lt;=50,"Mid-range","Premium"))</f>
        <v>Premium</v>
      </c>
      <c r="O178">
        <v>0</v>
      </c>
      <c r="P178">
        <v>0</v>
      </c>
    </row>
    <row r="179" spans="1:16" x14ac:dyDescent="0.25">
      <c r="A179" t="s">
        <v>2281</v>
      </c>
      <c r="B179" t="s">
        <v>2282</v>
      </c>
      <c r="C179">
        <v>6316</v>
      </c>
      <c r="D179" t="s">
        <v>563</v>
      </c>
      <c r="E179" t="s">
        <v>149</v>
      </c>
      <c r="F179">
        <v>11916</v>
      </c>
      <c r="G1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79">
        <v>4</v>
      </c>
      <c r="J179" t="str">
        <f>IF(ISBLANK(Table13[[#This Row],[Rating]]), "No", "Yes")</f>
        <v>Yes</v>
      </c>
      <c r="K179" t="str">
        <f>IF(ISBLANK(Table13[[#This Row],[Rating]]), "Not Rated", IF(Table13[[#This Row],[Rating]] &lt; 3, "Low", IF(Table13[[#This Row],[Rating]] &lt; 4, "Medium", "High")))</f>
        <v>High</v>
      </c>
      <c r="L179">
        <v>26</v>
      </c>
      <c r="M179">
        <v>45</v>
      </c>
      <c r="N179" t="str">
        <f>IF(Table13[[#This Row],[Price USD]]&lt;20,"Budget",IF(Table13[[#This Row],[Price USD]]&lt;=50,"Mid-range","Premium"))</f>
        <v>Mid-range</v>
      </c>
      <c r="O179">
        <v>0</v>
      </c>
      <c r="P179">
        <v>0</v>
      </c>
    </row>
    <row r="180" spans="1:16" x14ac:dyDescent="0.25">
      <c r="A180" t="s">
        <v>1960</v>
      </c>
      <c r="B180" t="s">
        <v>1961</v>
      </c>
      <c r="C180">
        <v>6236</v>
      </c>
      <c r="D180" t="s">
        <v>272</v>
      </c>
      <c r="E180" t="s">
        <v>347</v>
      </c>
      <c r="F180">
        <v>15090</v>
      </c>
      <c r="G1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0">
        <v>2.8077000000000001</v>
      </c>
      <c r="J180" t="str">
        <f>IF(ISBLANK(Table13[[#This Row],[Rating]]), "No", "Yes")</f>
        <v>Yes</v>
      </c>
      <c r="K180" t="str">
        <f>IF(ISBLANK(Table13[[#This Row],[Rating]]), "Not Rated", IF(Table13[[#This Row],[Rating]] &lt; 3, "Low", IF(Table13[[#This Row],[Rating]] &lt; 4, "Medium", "High")))</f>
        <v>Low</v>
      </c>
      <c r="L180">
        <v>26</v>
      </c>
      <c r="M180">
        <v>55</v>
      </c>
      <c r="N180" t="str">
        <f>IF(Table13[[#This Row],[Price USD]]&lt;20,"Budget",IF(Table13[[#This Row],[Price USD]]&lt;=50,"Mid-range","Premium"))</f>
        <v>Premium</v>
      </c>
      <c r="O180">
        <v>0</v>
      </c>
      <c r="P180">
        <v>0</v>
      </c>
    </row>
    <row r="181" spans="1:16" x14ac:dyDescent="0.25">
      <c r="A181" t="s">
        <v>2515</v>
      </c>
      <c r="B181" t="s">
        <v>2516</v>
      </c>
      <c r="C181">
        <v>6207</v>
      </c>
      <c r="D181" t="s">
        <v>914</v>
      </c>
      <c r="E181" t="s">
        <v>201</v>
      </c>
      <c r="F181">
        <v>10216</v>
      </c>
      <c r="G1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1">
        <v>4.0713999999999997</v>
      </c>
      <c r="J181" t="str">
        <f>IF(ISBLANK(Table13[[#This Row],[Rating]]), "No", "Yes")</f>
        <v>Yes</v>
      </c>
      <c r="K181" t="str">
        <f>IF(ISBLANK(Table13[[#This Row],[Rating]]), "Not Rated", IF(Table13[[#This Row],[Rating]] &lt; 3, "Low", IF(Table13[[#This Row],[Rating]] &lt; 4, "Medium", "High")))</f>
        <v>High</v>
      </c>
      <c r="L181">
        <v>28</v>
      </c>
      <c r="M181">
        <v>63</v>
      </c>
      <c r="N181" t="str">
        <f>IF(Table13[[#This Row],[Price USD]]&lt;20,"Budget",IF(Table13[[#This Row],[Price USD]]&lt;=50,"Mid-range","Premium"))</f>
        <v>Premium</v>
      </c>
      <c r="O181">
        <v>0</v>
      </c>
      <c r="P181">
        <v>0</v>
      </c>
    </row>
    <row r="182" spans="1:16" x14ac:dyDescent="0.25">
      <c r="A182" t="s">
        <v>2408</v>
      </c>
      <c r="B182" t="s">
        <v>2409</v>
      </c>
      <c r="C182">
        <v>5857</v>
      </c>
      <c r="D182" t="s">
        <v>433</v>
      </c>
      <c r="E182" t="s">
        <v>220</v>
      </c>
      <c r="F182">
        <v>10949</v>
      </c>
      <c r="G1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2">
        <v>3.931</v>
      </c>
      <c r="J182" t="str">
        <f>IF(ISBLANK(Table13[[#This Row],[Rating]]), "No", "Yes")</f>
        <v>Yes</v>
      </c>
      <c r="K182" t="str">
        <f>IF(ISBLANK(Table13[[#This Row],[Rating]]), "Not Rated", IF(Table13[[#This Row],[Rating]] &lt; 3, "Low", IF(Table13[[#This Row],[Rating]] &lt; 4, "Medium", "High")))</f>
        <v>Medium</v>
      </c>
      <c r="L182">
        <v>29</v>
      </c>
      <c r="M182">
        <v>28</v>
      </c>
      <c r="N182" t="str">
        <f>IF(Table13[[#This Row],[Price USD]]&lt;20,"Budget",IF(Table13[[#This Row],[Price USD]]&lt;=50,"Mid-range","Premium"))</f>
        <v>Mid-range</v>
      </c>
      <c r="O182">
        <v>0</v>
      </c>
      <c r="P182">
        <v>0</v>
      </c>
    </row>
    <row r="183" spans="1:16" x14ac:dyDescent="0.25">
      <c r="A183" t="s">
        <v>1988</v>
      </c>
      <c r="B183" t="s">
        <v>1989</v>
      </c>
      <c r="C183">
        <v>3902</v>
      </c>
      <c r="D183" t="s">
        <v>72</v>
      </c>
      <c r="E183" t="s">
        <v>8</v>
      </c>
      <c r="F183">
        <v>14845</v>
      </c>
      <c r="G1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3">
        <v>4.5861999999999998</v>
      </c>
      <c r="J183" t="str">
        <f>IF(ISBLANK(Table13[[#This Row],[Rating]]), "No", "Yes")</f>
        <v>Yes</v>
      </c>
      <c r="K183" t="str">
        <f>IF(ISBLANK(Table13[[#This Row],[Rating]]), "Not Rated", IF(Table13[[#This Row],[Rating]] &lt; 3, "Low", IF(Table13[[#This Row],[Rating]] &lt; 4, "Medium", "High")))</f>
        <v>High</v>
      </c>
      <c r="L183">
        <v>29</v>
      </c>
      <c r="M183">
        <v>17</v>
      </c>
      <c r="N183" t="str">
        <f>IF(Table13[[#This Row],[Price USD]]&lt;20,"Budget",IF(Table13[[#This Row],[Price USD]]&lt;=50,"Mid-range","Premium"))</f>
        <v>Budget</v>
      </c>
      <c r="O183">
        <v>0</v>
      </c>
      <c r="P183">
        <v>0</v>
      </c>
    </row>
    <row r="184" spans="1:16" x14ac:dyDescent="0.25">
      <c r="A184" t="s">
        <v>2019</v>
      </c>
      <c r="B184" t="s">
        <v>2020</v>
      </c>
      <c r="C184">
        <v>6195</v>
      </c>
      <c r="D184" t="s">
        <v>163</v>
      </c>
      <c r="E184" t="s">
        <v>21</v>
      </c>
      <c r="F184">
        <v>14541</v>
      </c>
      <c r="G1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4">
        <v>3.2332999999999998</v>
      </c>
      <c r="J184" t="str">
        <f>IF(ISBLANK(Table13[[#This Row],[Rating]]), "No", "Yes")</f>
        <v>Yes</v>
      </c>
      <c r="K184" t="str">
        <f>IF(ISBLANK(Table13[[#This Row],[Rating]]), "Not Rated", IF(Table13[[#This Row],[Rating]] &lt; 3, "Low", IF(Table13[[#This Row],[Rating]] &lt; 4, "Medium", "High")))</f>
        <v>Medium</v>
      </c>
      <c r="L184">
        <v>30</v>
      </c>
      <c r="M184">
        <v>20</v>
      </c>
      <c r="N184" t="str">
        <f>IF(Table13[[#This Row],[Price USD]]&lt;20,"Budget",IF(Table13[[#This Row],[Price USD]]&lt;=50,"Mid-range","Premium"))</f>
        <v>Mid-range</v>
      </c>
      <c r="O184">
        <v>0</v>
      </c>
      <c r="P184">
        <v>0</v>
      </c>
    </row>
    <row r="185" spans="1:16" x14ac:dyDescent="0.25">
      <c r="A185" t="s">
        <v>1944</v>
      </c>
      <c r="B185" t="s">
        <v>1945</v>
      </c>
      <c r="C185">
        <v>1073</v>
      </c>
      <c r="D185" t="s">
        <v>767</v>
      </c>
      <c r="E185" t="s">
        <v>4</v>
      </c>
      <c r="F185">
        <v>15332</v>
      </c>
      <c r="G1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5">
        <v>3.4</v>
      </c>
      <c r="J185" t="str">
        <f>IF(ISBLANK(Table13[[#This Row],[Rating]]), "No", "Yes")</f>
        <v>Yes</v>
      </c>
      <c r="K185" t="str">
        <f>IF(ISBLANK(Table13[[#This Row],[Rating]]), "Not Rated", IF(Table13[[#This Row],[Rating]] &lt; 3, "Low", IF(Table13[[#This Row],[Rating]] &lt; 4, "Medium", "High")))</f>
        <v>Medium</v>
      </c>
      <c r="L185">
        <v>30</v>
      </c>
      <c r="M185">
        <v>45</v>
      </c>
      <c r="N185" t="str">
        <f>IF(Table13[[#This Row],[Price USD]]&lt;20,"Budget",IF(Table13[[#This Row],[Price USD]]&lt;=50,"Mid-range","Premium"))</f>
        <v>Mid-range</v>
      </c>
      <c r="O185">
        <v>0</v>
      </c>
      <c r="P185">
        <v>0</v>
      </c>
    </row>
    <row r="186" spans="1:16" x14ac:dyDescent="0.25">
      <c r="A186" t="s">
        <v>2526</v>
      </c>
      <c r="B186" t="s">
        <v>2527</v>
      </c>
      <c r="C186">
        <v>5644</v>
      </c>
      <c r="D186" t="s">
        <v>158</v>
      </c>
      <c r="E186" t="s">
        <v>13</v>
      </c>
      <c r="F186">
        <v>10137</v>
      </c>
      <c r="G1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6">
        <v>4.4062999999999999</v>
      </c>
      <c r="J186" t="str">
        <f>IF(ISBLANK(Table13[[#This Row],[Rating]]), "No", "Yes")</f>
        <v>Yes</v>
      </c>
      <c r="K186" t="str">
        <f>IF(ISBLANK(Table13[[#This Row],[Rating]]), "Not Rated", IF(Table13[[#This Row],[Rating]] &lt; 3, "Low", IF(Table13[[#This Row],[Rating]] &lt; 4, "Medium", "High")))</f>
        <v>High</v>
      </c>
      <c r="L186">
        <v>32</v>
      </c>
      <c r="M186">
        <v>53</v>
      </c>
      <c r="N186" t="str">
        <f>IF(Table13[[#This Row],[Price USD]]&lt;20,"Budget",IF(Table13[[#This Row],[Price USD]]&lt;=50,"Mid-range","Premium"))</f>
        <v>Premium</v>
      </c>
      <c r="O186">
        <v>0</v>
      </c>
      <c r="P186">
        <v>0</v>
      </c>
    </row>
    <row r="187" spans="1:16" x14ac:dyDescent="0.25">
      <c r="A187" t="s">
        <v>2430</v>
      </c>
      <c r="B187" t="s">
        <v>2431</v>
      </c>
      <c r="C187">
        <v>6356</v>
      </c>
      <c r="D187" t="s">
        <v>1885</v>
      </c>
      <c r="E187" t="s">
        <v>144</v>
      </c>
      <c r="F187">
        <v>10759</v>
      </c>
      <c r="G1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7">
        <v>3.6875</v>
      </c>
      <c r="J187" t="str">
        <f>IF(ISBLANK(Table13[[#This Row],[Rating]]), "No", "Yes")</f>
        <v>Yes</v>
      </c>
      <c r="K187" t="str">
        <f>IF(ISBLANK(Table13[[#This Row],[Rating]]), "Not Rated", IF(Table13[[#This Row],[Rating]] &lt; 3, "Low", IF(Table13[[#This Row],[Rating]] &lt; 4, "Medium", "High")))</f>
        <v>Medium</v>
      </c>
      <c r="L187">
        <v>32</v>
      </c>
      <c r="M187">
        <v>92</v>
      </c>
      <c r="N187" t="str">
        <f>IF(Table13[[#This Row],[Price USD]]&lt;20,"Budget",IF(Table13[[#This Row],[Price USD]]&lt;=50,"Mid-range","Premium"))</f>
        <v>Premium</v>
      </c>
      <c r="O187">
        <v>0</v>
      </c>
      <c r="P187">
        <v>0</v>
      </c>
    </row>
    <row r="188" spans="1:16" x14ac:dyDescent="0.25">
      <c r="A188" t="s">
        <v>2396</v>
      </c>
      <c r="B188" t="s">
        <v>2397</v>
      </c>
      <c r="C188">
        <v>8008</v>
      </c>
      <c r="D188" t="s">
        <v>105</v>
      </c>
      <c r="E188" t="s">
        <v>106</v>
      </c>
      <c r="F188">
        <v>11103</v>
      </c>
      <c r="G1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8">
        <v>4.0312999999999999</v>
      </c>
      <c r="J188" t="str">
        <f>IF(ISBLANK(Table13[[#This Row],[Rating]]), "No", "Yes")</f>
        <v>Yes</v>
      </c>
      <c r="K188" t="str">
        <f>IF(ISBLANK(Table13[[#This Row],[Rating]]), "Not Rated", IF(Table13[[#This Row],[Rating]] &lt; 3, "Low", IF(Table13[[#This Row],[Rating]] &lt; 4, "Medium", "High")))</f>
        <v>High</v>
      </c>
      <c r="L188">
        <v>32</v>
      </c>
      <c r="M188">
        <v>24</v>
      </c>
      <c r="N188" t="str">
        <f>IF(Table13[[#This Row],[Price USD]]&lt;20,"Budget",IF(Table13[[#This Row],[Price USD]]&lt;=50,"Mid-range","Premium"))</f>
        <v>Mid-range</v>
      </c>
      <c r="O188">
        <v>0</v>
      </c>
      <c r="P188">
        <v>0</v>
      </c>
    </row>
    <row r="189" spans="1:16" x14ac:dyDescent="0.25">
      <c r="A189" t="s">
        <v>1782</v>
      </c>
      <c r="B189" t="s">
        <v>1783</v>
      </c>
      <c r="C189">
        <v>4164</v>
      </c>
      <c r="D189" t="s">
        <v>623</v>
      </c>
      <c r="E189" t="s">
        <v>220</v>
      </c>
      <c r="F189">
        <v>17238</v>
      </c>
      <c r="G1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89">
        <v>3.7879</v>
      </c>
      <c r="J189" t="str">
        <f>IF(ISBLANK(Table13[[#This Row],[Rating]]), "No", "Yes")</f>
        <v>Yes</v>
      </c>
      <c r="K189" t="str">
        <f>IF(ISBLANK(Table13[[#This Row],[Rating]]), "Not Rated", IF(Table13[[#This Row],[Rating]] &lt; 3, "Low", IF(Table13[[#This Row],[Rating]] &lt; 4, "Medium", "High")))</f>
        <v>Medium</v>
      </c>
      <c r="L189">
        <v>33</v>
      </c>
      <c r="M189">
        <v>59</v>
      </c>
      <c r="N189" t="str">
        <f>IF(Table13[[#This Row],[Price USD]]&lt;20,"Budget",IF(Table13[[#This Row],[Price USD]]&lt;=50,"Mid-range","Premium"))</f>
        <v>Premium</v>
      </c>
      <c r="O189">
        <v>0</v>
      </c>
      <c r="P189">
        <v>0</v>
      </c>
    </row>
    <row r="190" spans="1:16" x14ac:dyDescent="0.25">
      <c r="A190" t="s">
        <v>2279</v>
      </c>
      <c r="B190" t="s">
        <v>2280</v>
      </c>
      <c r="C190">
        <v>6283</v>
      </c>
      <c r="D190" t="s">
        <v>1696</v>
      </c>
      <c r="E190" t="s">
        <v>144</v>
      </c>
      <c r="F190">
        <v>11971</v>
      </c>
      <c r="G1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0">
        <v>4</v>
      </c>
      <c r="J190" t="str">
        <f>IF(ISBLANK(Table13[[#This Row],[Rating]]), "No", "Yes")</f>
        <v>Yes</v>
      </c>
      <c r="K190" t="str">
        <f>IF(ISBLANK(Table13[[#This Row],[Rating]]), "Not Rated", IF(Table13[[#This Row],[Rating]] &lt; 3, "Low", IF(Table13[[#This Row],[Rating]] &lt; 4, "Medium", "High")))</f>
        <v>High</v>
      </c>
      <c r="L190">
        <v>34</v>
      </c>
      <c r="M190">
        <v>22</v>
      </c>
      <c r="N190" t="str">
        <f>IF(Table13[[#This Row],[Price USD]]&lt;20,"Budget",IF(Table13[[#This Row],[Price USD]]&lt;=50,"Mid-range","Premium"))</f>
        <v>Mid-range</v>
      </c>
      <c r="O190">
        <v>0</v>
      </c>
      <c r="P190">
        <v>0</v>
      </c>
    </row>
    <row r="191" spans="1:16" x14ac:dyDescent="0.25">
      <c r="A191" t="s">
        <v>2260</v>
      </c>
      <c r="B191" t="s">
        <v>2261</v>
      </c>
      <c r="C191">
        <v>8017</v>
      </c>
      <c r="D191" t="s">
        <v>620</v>
      </c>
      <c r="E191" t="s">
        <v>13</v>
      </c>
      <c r="F191">
        <v>12154</v>
      </c>
      <c r="G1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1">
        <v>4.0881999999999996</v>
      </c>
      <c r="J191" t="str">
        <f>IF(ISBLANK(Table13[[#This Row],[Rating]]), "No", "Yes")</f>
        <v>Yes</v>
      </c>
      <c r="K191" t="str">
        <f>IF(ISBLANK(Table13[[#This Row],[Rating]]), "Not Rated", IF(Table13[[#This Row],[Rating]] &lt; 3, "Low", IF(Table13[[#This Row],[Rating]] &lt; 4, "Medium", "High")))</f>
        <v>High</v>
      </c>
      <c r="L191">
        <v>34</v>
      </c>
      <c r="M191">
        <v>14</v>
      </c>
      <c r="N191" t="str">
        <f>IF(Table13[[#This Row],[Price USD]]&lt;20,"Budget",IF(Table13[[#This Row],[Price USD]]&lt;=50,"Mid-range","Premium"))</f>
        <v>Budget</v>
      </c>
      <c r="O191">
        <v>0</v>
      </c>
      <c r="P191">
        <v>0</v>
      </c>
    </row>
    <row r="192" spans="1:16" x14ac:dyDescent="0.25">
      <c r="A192" t="s">
        <v>1322</v>
      </c>
      <c r="B192" t="s">
        <v>1323</v>
      </c>
      <c r="C192">
        <v>3902</v>
      </c>
      <c r="D192" t="s">
        <v>72</v>
      </c>
      <c r="E192" t="s">
        <v>149</v>
      </c>
      <c r="F192">
        <v>26055</v>
      </c>
      <c r="G1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2">
        <v>3.9117999999999999</v>
      </c>
      <c r="J192" t="str">
        <f>IF(ISBLANK(Table13[[#This Row],[Rating]]), "No", "Yes")</f>
        <v>Yes</v>
      </c>
      <c r="K192" t="str">
        <f>IF(ISBLANK(Table13[[#This Row],[Rating]]), "Not Rated", IF(Table13[[#This Row],[Rating]] &lt; 3, "Low", IF(Table13[[#This Row],[Rating]] &lt; 4, "Medium", "High")))</f>
        <v>Medium</v>
      </c>
      <c r="L192">
        <v>34</v>
      </c>
      <c r="M192">
        <v>3.5</v>
      </c>
      <c r="N192" t="str">
        <f>IF(Table13[[#This Row],[Price USD]]&lt;20,"Budget",IF(Table13[[#This Row],[Price USD]]&lt;=50,"Mid-range","Premium"))</f>
        <v>Budget</v>
      </c>
      <c r="O192">
        <v>0</v>
      </c>
      <c r="P192">
        <v>0</v>
      </c>
    </row>
    <row r="193" spans="1:16" x14ac:dyDescent="0.25">
      <c r="A193" t="s">
        <v>1843</v>
      </c>
      <c r="B193" t="s">
        <v>1844</v>
      </c>
      <c r="C193">
        <v>7083</v>
      </c>
      <c r="D193" t="s">
        <v>20</v>
      </c>
      <c r="E193" t="s">
        <v>144</v>
      </c>
      <c r="F193">
        <v>16632</v>
      </c>
      <c r="G1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3">
        <v>4.1429</v>
      </c>
      <c r="J193" t="str">
        <f>IF(ISBLANK(Table13[[#This Row],[Rating]]), "No", "Yes")</f>
        <v>Yes</v>
      </c>
      <c r="K193" t="str">
        <f>IF(ISBLANK(Table13[[#This Row],[Rating]]), "Not Rated", IF(Table13[[#This Row],[Rating]] &lt; 3, "Low", IF(Table13[[#This Row],[Rating]] &lt; 4, "Medium", "High")))</f>
        <v>High</v>
      </c>
      <c r="L193">
        <v>35</v>
      </c>
      <c r="M193">
        <v>16</v>
      </c>
      <c r="N193" t="str">
        <f>IF(Table13[[#This Row],[Price USD]]&lt;20,"Budget",IF(Table13[[#This Row],[Price USD]]&lt;=50,"Mid-range","Premium"))</f>
        <v>Budget</v>
      </c>
      <c r="O193">
        <v>0</v>
      </c>
      <c r="P193">
        <v>0</v>
      </c>
    </row>
    <row r="194" spans="1:16" x14ac:dyDescent="0.25">
      <c r="A194" t="s">
        <v>2328</v>
      </c>
      <c r="B194" t="s">
        <v>2329</v>
      </c>
      <c r="C194">
        <v>3902</v>
      </c>
      <c r="D194" t="s">
        <v>72</v>
      </c>
      <c r="E194" t="s">
        <v>69</v>
      </c>
      <c r="F194">
        <v>11589</v>
      </c>
      <c r="G1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4">
        <v>3.8889</v>
      </c>
      <c r="J194" t="str">
        <f>IF(ISBLANK(Table13[[#This Row],[Rating]]), "No", "Yes")</f>
        <v>Yes</v>
      </c>
      <c r="K194" t="str">
        <f>IF(ISBLANK(Table13[[#This Row],[Rating]]), "Not Rated", IF(Table13[[#This Row],[Rating]] &lt; 3, "Low", IF(Table13[[#This Row],[Rating]] &lt; 4, "Medium", "High")))</f>
        <v>Medium</v>
      </c>
      <c r="L194">
        <v>36</v>
      </c>
      <c r="M194">
        <v>5.5</v>
      </c>
      <c r="N194" t="str">
        <f>IF(Table13[[#This Row],[Price USD]]&lt;20,"Budget",IF(Table13[[#This Row],[Price USD]]&lt;=50,"Mid-range","Premium"))</f>
        <v>Budget</v>
      </c>
      <c r="O194">
        <v>0</v>
      </c>
      <c r="P194">
        <v>0</v>
      </c>
    </row>
    <row r="195" spans="1:16" x14ac:dyDescent="0.25">
      <c r="A195" t="s">
        <v>1714</v>
      </c>
      <c r="B195" t="s">
        <v>1715</v>
      </c>
      <c r="C195">
        <v>8008</v>
      </c>
      <c r="D195" t="s">
        <v>105</v>
      </c>
      <c r="E195" t="s">
        <v>106</v>
      </c>
      <c r="F195">
        <v>17964</v>
      </c>
      <c r="G1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5">
        <v>4.8056000000000001</v>
      </c>
      <c r="J195" t="str">
        <f>IF(ISBLANK(Table13[[#This Row],[Rating]]), "No", "Yes")</f>
        <v>Yes</v>
      </c>
      <c r="K195" t="str">
        <f>IF(ISBLANK(Table13[[#This Row],[Rating]]), "Not Rated", IF(Table13[[#This Row],[Rating]] &lt; 3, "Low", IF(Table13[[#This Row],[Rating]] &lt; 4, "Medium", "High")))</f>
        <v>High</v>
      </c>
      <c r="L195">
        <v>36</v>
      </c>
      <c r="M195">
        <v>24</v>
      </c>
      <c r="N195" t="str">
        <f>IF(Table13[[#This Row],[Price USD]]&lt;20,"Budget",IF(Table13[[#This Row],[Price USD]]&lt;=50,"Mid-range","Premium"))</f>
        <v>Mid-range</v>
      </c>
      <c r="O195">
        <v>0</v>
      </c>
      <c r="P195">
        <v>0</v>
      </c>
    </row>
    <row r="196" spans="1:16" x14ac:dyDescent="0.25">
      <c r="A196" t="s">
        <v>2402</v>
      </c>
      <c r="B196" t="s">
        <v>2403</v>
      </c>
      <c r="C196">
        <v>6089</v>
      </c>
      <c r="D196" t="s">
        <v>605</v>
      </c>
      <c r="E196" t="s">
        <v>8</v>
      </c>
      <c r="F196">
        <v>11042</v>
      </c>
      <c r="G1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6">
        <v>4.4595000000000002</v>
      </c>
      <c r="J196" t="str">
        <f>IF(ISBLANK(Table13[[#This Row],[Rating]]), "No", "Yes")</f>
        <v>Yes</v>
      </c>
      <c r="K196" t="str">
        <f>IF(ISBLANK(Table13[[#This Row],[Rating]]), "Not Rated", IF(Table13[[#This Row],[Rating]] &lt; 3, "Low", IF(Table13[[#This Row],[Rating]] &lt; 4, "Medium", "High")))</f>
        <v>High</v>
      </c>
      <c r="L196">
        <v>37</v>
      </c>
      <c r="M196">
        <v>92</v>
      </c>
      <c r="N196" t="str">
        <f>IF(Table13[[#This Row],[Price USD]]&lt;20,"Budget",IF(Table13[[#This Row],[Price USD]]&lt;=50,"Mid-range","Premium"))</f>
        <v>Premium</v>
      </c>
      <c r="O196">
        <v>0</v>
      </c>
      <c r="P196">
        <v>0</v>
      </c>
    </row>
    <row r="197" spans="1:16" x14ac:dyDescent="0.25">
      <c r="A197" t="s">
        <v>2149</v>
      </c>
      <c r="B197" t="s">
        <v>2150</v>
      </c>
      <c r="C197">
        <v>6125</v>
      </c>
      <c r="D197" t="s">
        <v>3</v>
      </c>
      <c r="E197" t="s">
        <v>21</v>
      </c>
      <c r="F197">
        <v>13024</v>
      </c>
      <c r="G1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7">
        <v>3.5135000000000001</v>
      </c>
      <c r="J197" t="str">
        <f>IF(ISBLANK(Table13[[#This Row],[Rating]]), "No", "Yes")</f>
        <v>Yes</v>
      </c>
      <c r="K197" t="str">
        <f>IF(ISBLANK(Table13[[#This Row],[Rating]]), "Not Rated", IF(Table13[[#This Row],[Rating]] &lt; 3, "Low", IF(Table13[[#This Row],[Rating]] &lt; 4, "Medium", "High")))</f>
        <v>Medium</v>
      </c>
      <c r="L197">
        <v>37</v>
      </c>
      <c r="M197">
        <v>23</v>
      </c>
      <c r="N197" t="str">
        <f>IF(Table13[[#This Row],[Price USD]]&lt;20,"Budget",IF(Table13[[#This Row],[Price USD]]&lt;=50,"Mid-range","Premium"))</f>
        <v>Mid-range</v>
      </c>
      <c r="O197">
        <v>0</v>
      </c>
      <c r="P197">
        <v>0</v>
      </c>
    </row>
    <row r="198" spans="1:16" x14ac:dyDescent="0.25">
      <c r="A198" t="s">
        <v>1978</v>
      </c>
      <c r="B198" t="s">
        <v>1979</v>
      </c>
      <c r="C198">
        <v>6352</v>
      </c>
      <c r="D198" t="s">
        <v>251</v>
      </c>
      <c r="E198" t="s">
        <v>21</v>
      </c>
      <c r="F198">
        <v>14985</v>
      </c>
      <c r="G1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8">
        <v>4.4865000000000004</v>
      </c>
      <c r="J198" t="str">
        <f>IF(ISBLANK(Table13[[#This Row],[Rating]]), "No", "Yes")</f>
        <v>Yes</v>
      </c>
      <c r="K198" t="str">
        <f>IF(ISBLANK(Table13[[#This Row],[Rating]]), "Not Rated", IF(Table13[[#This Row],[Rating]] &lt; 3, "Low", IF(Table13[[#This Row],[Rating]] &lt; 4, "Medium", "High")))</f>
        <v>High</v>
      </c>
      <c r="L198">
        <v>37</v>
      </c>
      <c r="M198">
        <v>35</v>
      </c>
      <c r="N198" t="str">
        <f>IF(Table13[[#This Row],[Price USD]]&lt;20,"Budget",IF(Table13[[#This Row],[Price USD]]&lt;=50,"Mid-range","Premium"))</f>
        <v>Mid-range</v>
      </c>
      <c r="O198">
        <v>0</v>
      </c>
      <c r="P198">
        <v>0</v>
      </c>
    </row>
    <row r="199" spans="1:16" x14ac:dyDescent="0.25">
      <c r="A199" t="s">
        <v>1780</v>
      </c>
      <c r="B199" t="s">
        <v>1781</v>
      </c>
      <c r="C199">
        <v>6341</v>
      </c>
      <c r="D199" t="s">
        <v>66</v>
      </c>
      <c r="E199" t="s">
        <v>21</v>
      </c>
      <c r="F199">
        <v>17313</v>
      </c>
      <c r="G1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99">
        <v>4.3243</v>
      </c>
      <c r="J199" t="str">
        <f>IF(ISBLANK(Table13[[#This Row],[Rating]]), "No", "Yes")</f>
        <v>Yes</v>
      </c>
      <c r="K199" t="str">
        <f>IF(ISBLANK(Table13[[#This Row],[Rating]]), "Not Rated", IF(Table13[[#This Row],[Rating]] &lt; 3, "Low", IF(Table13[[#This Row],[Rating]] &lt; 4, "Medium", "High")))</f>
        <v>High</v>
      </c>
      <c r="L199">
        <v>37</v>
      </c>
      <c r="M199">
        <v>37</v>
      </c>
      <c r="N199" t="str">
        <f>IF(Table13[[#This Row],[Price USD]]&lt;20,"Budget",IF(Table13[[#This Row],[Price USD]]&lt;=50,"Mid-range","Premium"))</f>
        <v>Mid-range</v>
      </c>
      <c r="O199">
        <v>0</v>
      </c>
      <c r="P199">
        <v>0</v>
      </c>
    </row>
    <row r="200" spans="1:16" x14ac:dyDescent="0.25">
      <c r="A200" t="s">
        <v>1416</v>
      </c>
      <c r="B200" t="s">
        <v>1417</v>
      </c>
      <c r="C200">
        <v>6041</v>
      </c>
      <c r="D200" t="s">
        <v>33</v>
      </c>
      <c r="E200" t="s">
        <v>220</v>
      </c>
      <c r="F200">
        <v>23678</v>
      </c>
      <c r="G2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0">
        <v>4.5404999999999998</v>
      </c>
      <c r="J200" t="str">
        <f>IF(ISBLANK(Table13[[#This Row],[Rating]]), "No", "Yes")</f>
        <v>Yes</v>
      </c>
      <c r="K200" t="str">
        <f>IF(ISBLANK(Table13[[#This Row],[Rating]]), "Not Rated", IF(Table13[[#This Row],[Rating]] &lt; 3, "Low", IF(Table13[[#This Row],[Rating]] &lt; 4, "Medium", "High")))</f>
        <v>High</v>
      </c>
      <c r="L200">
        <v>37</v>
      </c>
      <c r="M200">
        <v>27</v>
      </c>
      <c r="N200" t="str">
        <f>IF(Table13[[#This Row],[Price USD]]&lt;20,"Budget",IF(Table13[[#This Row],[Price USD]]&lt;=50,"Mid-range","Premium"))</f>
        <v>Mid-range</v>
      </c>
      <c r="O200">
        <v>1</v>
      </c>
      <c r="P200">
        <v>0</v>
      </c>
    </row>
    <row r="201" spans="1:16" x14ac:dyDescent="0.25">
      <c r="A201" t="s">
        <v>2195</v>
      </c>
      <c r="B201" t="s">
        <v>2196</v>
      </c>
      <c r="C201">
        <v>7037</v>
      </c>
      <c r="D201" t="s">
        <v>1718</v>
      </c>
      <c r="E201" t="s">
        <v>347</v>
      </c>
      <c r="F201">
        <v>12668</v>
      </c>
      <c r="G2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1">
        <v>4.3947000000000003</v>
      </c>
      <c r="J201" t="str">
        <f>IF(ISBLANK(Table13[[#This Row],[Rating]]), "No", "Yes")</f>
        <v>Yes</v>
      </c>
      <c r="K201" t="str">
        <f>IF(ISBLANK(Table13[[#This Row],[Rating]]), "Not Rated", IF(Table13[[#This Row],[Rating]] &lt; 3, "Low", IF(Table13[[#This Row],[Rating]] &lt; 4, "Medium", "High")))</f>
        <v>High</v>
      </c>
      <c r="L201">
        <v>38</v>
      </c>
      <c r="M201">
        <v>299</v>
      </c>
      <c r="N201" t="str">
        <f>IF(Table13[[#This Row],[Price USD]]&lt;20,"Budget",IF(Table13[[#This Row],[Price USD]]&lt;=50,"Mid-range","Premium"))</f>
        <v>Premium</v>
      </c>
      <c r="O201">
        <v>0</v>
      </c>
      <c r="P201">
        <v>0</v>
      </c>
    </row>
    <row r="202" spans="1:16" x14ac:dyDescent="0.25">
      <c r="A202" t="s">
        <v>2105</v>
      </c>
      <c r="B202" t="s">
        <v>2106</v>
      </c>
      <c r="C202">
        <v>6225</v>
      </c>
      <c r="D202" t="s">
        <v>640</v>
      </c>
      <c r="E202" t="s">
        <v>106</v>
      </c>
      <c r="F202">
        <v>13586</v>
      </c>
      <c r="G2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2">
        <v>3.7631999999999999</v>
      </c>
      <c r="J202" t="str">
        <f>IF(ISBLANK(Table13[[#This Row],[Rating]]), "No", "Yes")</f>
        <v>Yes</v>
      </c>
      <c r="K202" t="str">
        <f>IF(ISBLANK(Table13[[#This Row],[Rating]]), "Not Rated", IF(Table13[[#This Row],[Rating]] &lt; 3, "Low", IF(Table13[[#This Row],[Rating]] &lt; 4, "Medium", "High")))</f>
        <v>Medium</v>
      </c>
      <c r="L202">
        <v>38</v>
      </c>
      <c r="M202">
        <v>25</v>
      </c>
      <c r="N202" t="str">
        <f>IF(Table13[[#This Row],[Price USD]]&lt;20,"Budget",IF(Table13[[#This Row],[Price USD]]&lt;=50,"Mid-range","Premium"))</f>
        <v>Mid-range</v>
      </c>
      <c r="O202">
        <v>0</v>
      </c>
      <c r="P202">
        <v>0</v>
      </c>
    </row>
    <row r="203" spans="1:16" x14ac:dyDescent="0.25">
      <c r="A203" t="s">
        <v>1102</v>
      </c>
      <c r="B203" t="s">
        <v>1103</v>
      </c>
      <c r="C203">
        <v>3902</v>
      </c>
      <c r="D203" t="s">
        <v>72</v>
      </c>
      <c r="E203" t="s">
        <v>69</v>
      </c>
      <c r="F203">
        <v>32212</v>
      </c>
      <c r="G2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3">
        <v>4.3684000000000003</v>
      </c>
      <c r="J203" t="str">
        <f>IF(ISBLANK(Table13[[#This Row],[Rating]]), "No", "Yes")</f>
        <v>Yes</v>
      </c>
      <c r="K203" t="str">
        <f>IF(ISBLANK(Table13[[#This Row],[Rating]]), "Not Rated", IF(Table13[[#This Row],[Rating]] &lt; 3, "Low", IF(Table13[[#This Row],[Rating]] &lt; 4, "Medium", "High")))</f>
        <v>High</v>
      </c>
      <c r="L203">
        <v>38</v>
      </c>
      <c r="M203">
        <v>10</v>
      </c>
      <c r="N203" t="str">
        <f>IF(Table13[[#This Row],[Price USD]]&lt;20,"Budget",IF(Table13[[#This Row],[Price USD]]&lt;=50,"Mid-range","Premium"))</f>
        <v>Budget</v>
      </c>
      <c r="O203">
        <v>0</v>
      </c>
      <c r="P203">
        <v>0</v>
      </c>
    </row>
    <row r="204" spans="1:16" x14ac:dyDescent="0.25">
      <c r="A204" t="s">
        <v>866</v>
      </c>
      <c r="B204" t="s">
        <v>867</v>
      </c>
      <c r="C204">
        <v>6125</v>
      </c>
      <c r="D204" t="s">
        <v>3</v>
      </c>
      <c r="E204" t="s">
        <v>220</v>
      </c>
      <c r="F204">
        <v>41957</v>
      </c>
      <c r="G2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4">
        <v>4.2632000000000003</v>
      </c>
      <c r="J204" t="str">
        <f>IF(ISBLANK(Table13[[#This Row],[Rating]]), "No", "Yes")</f>
        <v>Yes</v>
      </c>
      <c r="K204" t="str">
        <f>IF(ISBLANK(Table13[[#This Row],[Rating]]), "Not Rated", IF(Table13[[#This Row],[Rating]] &lt; 3, "Low", IF(Table13[[#This Row],[Rating]] &lt; 4, "Medium", "High")))</f>
        <v>High</v>
      </c>
      <c r="L204">
        <v>38</v>
      </c>
      <c r="M204">
        <v>21</v>
      </c>
      <c r="N204" t="str">
        <f>IF(Table13[[#This Row],[Price USD]]&lt;20,"Budget",IF(Table13[[#This Row],[Price USD]]&lt;=50,"Mid-range","Premium"))</f>
        <v>Mid-range</v>
      </c>
      <c r="O204">
        <v>1</v>
      </c>
      <c r="P204">
        <v>0</v>
      </c>
    </row>
    <row r="205" spans="1:16" x14ac:dyDescent="0.25">
      <c r="A205" t="s">
        <v>2499</v>
      </c>
      <c r="B205" t="s">
        <v>2500</v>
      </c>
      <c r="C205">
        <v>3902</v>
      </c>
      <c r="D205" t="s">
        <v>72</v>
      </c>
      <c r="E205" t="s">
        <v>69</v>
      </c>
      <c r="F205">
        <v>10299</v>
      </c>
      <c r="G2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5">
        <v>3.6922999999999999</v>
      </c>
      <c r="J205" t="str">
        <f>IF(ISBLANK(Table13[[#This Row],[Rating]]), "No", "Yes")</f>
        <v>Yes</v>
      </c>
      <c r="K205" t="str">
        <f>IF(ISBLANK(Table13[[#This Row],[Rating]]), "Not Rated", IF(Table13[[#This Row],[Rating]] &lt; 3, "Low", IF(Table13[[#This Row],[Rating]] &lt; 4, "Medium", "High")))</f>
        <v>Medium</v>
      </c>
      <c r="L205">
        <v>39</v>
      </c>
      <c r="M205">
        <v>10</v>
      </c>
      <c r="N205" t="str">
        <f>IF(Table13[[#This Row],[Price USD]]&lt;20,"Budget",IF(Table13[[#This Row],[Price USD]]&lt;=50,"Mid-range","Premium"))</f>
        <v>Budget</v>
      </c>
      <c r="O205">
        <v>0</v>
      </c>
      <c r="P205">
        <v>0</v>
      </c>
    </row>
    <row r="206" spans="1:16" x14ac:dyDescent="0.25">
      <c r="A206" t="s">
        <v>2384</v>
      </c>
      <c r="B206" t="s">
        <v>2385</v>
      </c>
      <c r="C206">
        <v>3733</v>
      </c>
      <c r="D206" t="s">
        <v>124</v>
      </c>
      <c r="E206" t="s">
        <v>21</v>
      </c>
      <c r="F206">
        <v>11217</v>
      </c>
      <c r="G2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6">
        <v>4.5385</v>
      </c>
      <c r="J206" t="str">
        <f>IF(ISBLANK(Table13[[#This Row],[Rating]]), "No", "Yes")</f>
        <v>Yes</v>
      </c>
      <c r="K206" t="str">
        <f>IF(ISBLANK(Table13[[#This Row],[Rating]]), "Not Rated", IF(Table13[[#This Row],[Rating]] &lt; 3, "Low", IF(Table13[[#This Row],[Rating]] &lt; 4, "Medium", "High")))</f>
        <v>High</v>
      </c>
      <c r="L206">
        <v>39</v>
      </c>
      <c r="M206">
        <v>73</v>
      </c>
      <c r="N206" t="str">
        <f>IF(Table13[[#This Row],[Price USD]]&lt;20,"Budget",IF(Table13[[#This Row],[Price USD]]&lt;=50,"Mid-range","Premium"))</f>
        <v>Premium</v>
      </c>
      <c r="O206">
        <v>0</v>
      </c>
      <c r="P206">
        <v>0</v>
      </c>
    </row>
    <row r="207" spans="1:16" x14ac:dyDescent="0.25">
      <c r="A207" t="s">
        <v>1970</v>
      </c>
      <c r="B207" t="s">
        <v>1971</v>
      </c>
      <c r="C207">
        <v>3728</v>
      </c>
      <c r="D207" t="s">
        <v>458</v>
      </c>
      <c r="E207" t="s">
        <v>220</v>
      </c>
      <c r="F207">
        <v>15019</v>
      </c>
      <c r="G2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7">
        <v>4.5999999999999996</v>
      </c>
      <c r="J207" t="str">
        <f>IF(ISBLANK(Table13[[#This Row],[Rating]]), "No", "Yes")</f>
        <v>Yes</v>
      </c>
      <c r="K207" t="str">
        <f>IF(ISBLANK(Table13[[#This Row],[Rating]]), "Not Rated", IF(Table13[[#This Row],[Rating]] &lt; 3, "Low", IF(Table13[[#This Row],[Rating]] &lt; 4, "Medium", "High")))</f>
        <v>High</v>
      </c>
      <c r="L207">
        <v>40</v>
      </c>
      <c r="M207">
        <v>58</v>
      </c>
      <c r="N207" t="str">
        <f>IF(Table13[[#This Row],[Price USD]]&lt;20,"Budget",IF(Table13[[#This Row],[Price USD]]&lt;=50,"Mid-range","Premium"))</f>
        <v>Premium</v>
      </c>
      <c r="O207">
        <v>1</v>
      </c>
      <c r="P207">
        <v>0</v>
      </c>
    </row>
    <row r="208" spans="1:16" x14ac:dyDescent="0.25">
      <c r="A208" t="s">
        <v>1946</v>
      </c>
      <c r="B208" t="s">
        <v>1947</v>
      </c>
      <c r="C208">
        <v>3902</v>
      </c>
      <c r="D208" t="s">
        <v>72</v>
      </c>
      <c r="E208" t="s">
        <v>347</v>
      </c>
      <c r="F208">
        <v>15323</v>
      </c>
      <c r="G2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8">
        <v>4</v>
      </c>
      <c r="J208" t="str">
        <f>IF(ISBLANK(Table13[[#This Row],[Rating]]), "No", "Yes")</f>
        <v>Yes</v>
      </c>
      <c r="K208" t="str">
        <f>IF(ISBLANK(Table13[[#This Row],[Rating]]), "Not Rated", IF(Table13[[#This Row],[Rating]] &lt; 3, "Low", IF(Table13[[#This Row],[Rating]] &lt; 4, "Medium", "High")))</f>
        <v>High</v>
      </c>
      <c r="L208">
        <v>40</v>
      </c>
      <c r="M208">
        <v>14</v>
      </c>
      <c r="N208" t="str">
        <f>IF(Table13[[#This Row],[Price USD]]&lt;20,"Budget",IF(Table13[[#This Row],[Price USD]]&lt;=50,"Mid-range","Premium"))</f>
        <v>Budget</v>
      </c>
      <c r="O208">
        <v>0</v>
      </c>
      <c r="P208">
        <v>1</v>
      </c>
    </row>
    <row r="209" spans="1:16" x14ac:dyDescent="0.25">
      <c r="A209" t="s">
        <v>1763</v>
      </c>
      <c r="B209" t="s">
        <v>1764</v>
      </c>
      <c r="C209">
        <v>3902</v>
      </c>
      <c r="D209" t="s">
        <v>72</v>
      </c>
      <c r="E209" t="s">
        <v>201</v>
      </c>
      <c r="F209">
        <v>17556</v>
      </c>
      <c r="G2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09">
        <v>3.7</v>
      </c>
      <c r="J209" t="str">
        <f>IF(ISBLANK(Table13[[#This Row],[Rating]]), "No", "Yes")</f>
        <v>Yes</v>
      </c>
      <c r="K209" t="str">
        <f>IF(ISBLANK(Table13[[#This Row],[Rating]]), "Not Rated", IF(Table13[[#This Row],[Rating]] &lt; 3, "Low", IF(Table13[[#This Row],[Rating]] &lt; 4, "Medium", "High")))</f>
        <v>Medium</v>
      </c>
      <c r="L209">
        <v>40</v>
      </c>
      <c r="M209">
        <v>12</v>
      </c>
      <c r="N209" t="str">
        <f>IF(Table13[[#This Row],[Price USD]]&lt;20,"Budget",IF(Table13[[#This Row],[Price USD]]&lt;=50,"Mid-range","Premium"))</f>
        <v>Budget</v>
      </c>
      <c r="O209">
        <v>0</v>
      </c>
      <c r="P209">
        <v>0</v>
      </c>
    </row>
    <row r="210" spans="1:16" x14ac:dyDescent="0.25">
      <c r="A210" t="s">
        <v>1701</v>
      </c>
      <c r="B210" t="s">
        <v>1702</v>
      </c>
      <c r="C210">
        <v>3733</v>
      </c>
      <c r="D210" t="s">
        <v>124</v>
      </c>
      <c r="E210" t="s">
        <v>149</v>
      </c>
      <c r="F210">
        <v>18284</v>
      </c>
      <c r="G2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0">
        <v>3.45</v>
      </c>
      <c r="J210" t="str">
        <f>IF(ISBLANK(Table13[[#This Row],[Rating]]), "No", "Yes")</f>
        <v>Yes</v>
      </c>
      <c r="K210" t="str">
        <f>IF(ISBLANK(Table13[[#This Row],[Rating]]), "Not Rated", IF(Table13[[#This Row],[Rating]] &lt; 3, "Low", IF(Table13[[#This Row],[Rating]] &lt; 4, "Medium", "High")))</f>
        <v>Medium</v>
      </c>
      <c r="L210">
        <v>40</v>
      </c>
      <c r="M210">
        <v>29</v>
      </c>
      <c r="N210" t="str">
        <f>IF(Table13[[#This Row],[Price USD]]&lt;20,"Budget",IF(Table13[[#This Row],[Price USD]]&lt;=50,"Mid-range","Premium"))</f>
        <v>Mid-range</v>
      </c>
      <c r="O210">
        <v>0</v>
      </c>
      <c r="P210">
        <v>0</v>
      </c>
    </row>
    <row r="211" spans="1:16" x14ac:dyDescent="0.25">
      <c r="A211" t="s">
        <v>1473</v>
      </c>
      <c r="B211" t="s">
        <v>1474</v>
      </c>
      <c r="C211">
        <v>6195</v>
      </c>
      <c r="D211" t="s">
        <v>163</v>
      </c>
      <c r="E211" t="s">
        <v>21</v>
      </c>
      <c r="F211">
        <v>22591</v>
      </c>
      <c r="G2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1">
        <v>4.1500000000000004</v>
      </c>
      <c r="J211" t="str">
        <f>IF(ISBLANK(Table13[[#This Row],[Rating]]), "No", "Yes")</f>
        <v>Yes</v>
      </c>
      <c r="K211" t="str">
        <f>IF(ISBLANK(Table13[[#This Row],[Rating]]), "Not Rated", IF(Table13[[#This Row],[Rating]] &lt; 3, "Low", IF(Table13[[#This Row],[Rating]] &lt; 4, "Medium", "High")))</f>
        <v>High</v>
      </c>
      <c r="L211">
        <v>40</v>
      </c>
      <c r="M211">
        <v>40</v>
      </c>
      <c r="N211" t="str">
        <f>IF(Table13[[#This Row],[Price USD]]&lt;20,"Budget",IF(Table13[[#This Row],[Price USD]]&lt;=50,"Mid-range","Premium"))</f>
        <v>Mid-range</v>
      </c>
      <c r="O211">
        <v>0</v>
      </c>
      <c r="P211">
        <v>0</v>
      </c>
    </row>
    <row r="212" spans="1:16" x14ac:dyDescent="0.25">
      <c r="A212" t="s">
        <v>953</v>
      </c>
      <c r="B212" t="s">
        <v>954</v>
      </c>
      <c r="C212">
        <v>6236</v>
      </c>
      <c r="D212" t="s">
        <v>272</v>
      </c>
      <c r="E212" t="s">
        <v>144</v>
      </c>
      <c r="F212">
        <v>38819</v>
      </c>
      <c r="G2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2">
        <v>3.1749999999999998</v>
      </c>
      <c r="J212" t="str">
        <f>IF(ISBLANK(Table13[[#This Row],[Rating]]), "No", "Yes")</f>
        <v>Yes</v>
      </c>
      <c r="K212" t="str">
        <f>IF(ISBLANK(Table13[[#This Row],[Rating]]), "Not Rated", IF(Table13[[#This Row],[Rating]] &lt; 3, "Low", IF(Table13[[#This Row],[Rating]] &lt; 4, "Medium", "High")))</f>
        <v>Medium</v>
      </c>
      <c r="L212">
        <v>40</v>
      </c>
      <c r="M212">
        <v>30</v>
      </c>
      <c r="N212" t="str">
        <f>IF(Table13[[#This Row],[Price USD]]&lt;20,"Budget",IF(Table13[[#This Row],[Price USD]]&lt;=50,"Mid-range","Premium"))</f>
        <v>Mid-range</v>
      </c>
      <c r="O212">
        <v>0</v>
      </c>
      <c r="P212">
        <v>0</v>
      </c>
    </row>
    <row r="213" spans="1:16" x14ac:dyDescent="0.25">
      <c r="A213" t="s">
        <v>2025</v>
      </c>
      <c r="B213" t="s">
        <v>2026</v>
      </c>
      <c r="C213">
        <v>5972</v>
      </c>
      <c r="D213" t="s">
        <v>54</v>
      </c>
      <c r="E213" t="s">
        <v>69</v>
      </c>
      <c r="F213">
        <v>14414</v>
      </c>
      <c r="G2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3">
        <v>4.5366</v>
      </c>
      <c r="J213" t="str">
        <f>IF(ISBLANK(Table13[[#This Row],[Rating]]), "No", "Yes")</f>
        <v>Yes</v>
      </c>
      <c r="K213" t="str">
        <f>IF(ISBLANK(Table13[[#This Row],[Rating]]), "Not Rated", IF(Table13[[#This Row],[Rating]] &lt; 3, "Low", IF(Table13[[#This Row],[Rating]] &lt; 4, "Medium", "High")))</f>
        <v>High</v>
      </c>
      <c r="L213">
        <v>41</v>
      </c>
      <c r="M213">
        <v>30</v>
      </c>
      <c r="N213" t="str">
        <f>IF(Table13[[#This Row],[Price USD]]&lt;20,"Budget",IF(Table13[[#This Row],[Price USD]]&lt;=50,"Mid-range","Premium"))</f>
        <v>Mid-range</v>
      </c>
      <c r="O213">
        <v>0</v>
      </c>
      <c r="P213">
        <v>1</v>
      </c>
    </row>
    <row r="214" spans="1:16" x14ac:dyDescent="0.25">
      <c r="A214" t="s">
        <v>1116</v>
      </c>
      <c r="B214" t="s">
        <v>1117</v>
      </c>
      <c r="C214">
        <v>3902</v>
      </c>
      <c r="D214" t="s">
        <v>72</v>
      </c>
      <c r="E214" t="s">
        <v>347</v>
      </c>
      <c r="F214">
        <v>31987</v>
      </c>
      <c r="G2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4">
        <v>4.4146000000000001</v>
      </c>
      <c r="J214" t="str">
        <f>IF(ISBLANK(Table13[[#This Row],[Rating]]), "No", "Yes")</f>
        <v>Yes</v>
      </c>
      <c r="K214" t="str">
        <f>IF(ISBLANK(Table13[[#This Row],[Rating]]), "Not Rated", IF(Table13[[#This Row],[Rating]] &lt; 3, "Low", IF(Table13[[#This Row],[Rating]] &lt; 4, "Medium", "High")))</f>
        <v>High</v>
      </c>
      <c r="L214">
        <v>41</v>
      </c>
      <c r="M214">
        <v>12</v>
      </c>
      <c r="N214" t="str">
        <f>IF(Table13[[#This Row],[Price USD]]&lt;20,"Budget",IF(Table13[[#This Row],[Price USD]]&lt;=50,"Mid-range","Premium"))</f>
        <v>Budget</v>
      </c>
      <c r="O214">
        <v>0</v>
      </c>
      <c r="P214">
        <v>0</v>
      </c>
    </row>
    <row r="215" spans="1:16" x14ac:dyDescent="0.25">
      <c r="A215" t="s">
        <v>2210</v>
      </c>
      <c r="B215" t="s">
        <v>2211</v>
      </c>
      <c r="C215">
        <v>8008</v>
      </c>
      <c r="D215" t="s">
        <v>105</v>
      </c>
      <c r="E215" t="s">
        <v>106</v>
      </c>
      <c r="F215">
        <v>12579</v>
      </c>
      <c r="G2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5">
        <v>3.6190000000000002</v>
      </c>
      <c r="J215" t="str">
        <f>IF(ISBLANK(Table13[[#This Row],[Rating]]), "No", "Yes")</f>
        <v>Yes</v>
      </c>
      <c r="K215" t="str">
        <f>IF(ISBLANK(Table13[[#This Row],[Rating]]), "Not Rated", IF(Table13[[#This Row],[Rating]] &lt; 3, "Low", IF(Table13[[#This Row],[Rating]] &lt; 4, "Medium", "High")))</f>
        <v>Medium</v>
      </c>
      <c r="L215">
        <v>42</v>
      </c>
      <c r="M215">
        <v>24</v>
      </c>
      <c r="N215" t="str">
        <f>IF(Table13[[#This Row],[Price USD]]&lt;20,"Budget",IF(Table13[[#This Row],[Price USD]]&lt;=50,"Mid-range","Premium"))</f>
        <v>Mid-range</v>
      </c>
      <c r="O215">
        <v>0</v>
      </c>
      <c r="P215">
        <v>1</v>
      </c>
    </row>
    <row r="216" spans="1:16" x14ac:dyDescent="0.25">
      <c r="A216" t="s">
        <v>1966</v>
      </c>
      <c r="B216" t="s">
        <v>1967</v>
      </c>
      <c r="C216">
        <v>6201</v>
      </c>
      <c r="D216" t="s">
        <v>367</v>
      </c>
      <c r="E216" t="s">
        <v>69</v>
      </c>
      <c r="F216">
        <v>15023</v>
      </c>
      <c r="G2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6">
        <v>4.2857000000000003</v>
      </c>
      <c r="J216" t="str">
        <f>IF(ISBLANK(Table13[[#This Row],[Rating]]), "No", "Yes")</f>
        <v>Yes</v>
      </c>
      <c r="K216" t="str">
        <f>IF(ISBLANK(Table13[[#This Row],[Rating]]), "Not Rated", IF(Table13[[#This Row],[Rating]] &lt; 3, "Low", IF(Table13[[#This Row],[Rating]] &lt; 4, "Medium", "High")))</f>
        <v>High</v>
      </c>
      <c r="L216">
        <v>42</v>
      </c>
      <c r="M216">
        <v>300</v>
      </c>
      <c r="N216" t="str">
        <f>IF(Table13[[#This Row],[Price USD]]&lt;20,"Budget",IF(Table13[[#This Row],[Price USD]]&lt;=50,"Mid-range","Premium"))</f>
        <v>Premium</v>
      </c>
      <c r="O216">
        <v>0</v>
      </c>
      <c r="P216">
        <v>0</v>
      </c>
    </row>
    <row r="217" spans="1:16" x14ac:dyDescent="0.25">
      <c r="A217" t="s">
        <v>1580</v>
      </c>
      <c r="B217" t="s">
        <v>1581</v>
      </c>
      <c r="C217">
        <v>6234</v>
      </c>
      <c r="D217" t="s">
        <v>7</v>
      </c>
      <c r="E217" t="s">
        <v>8</v>
      </c>
      <c r="F217">
        <v>20715</v>
      </c>
      <c r="G2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7">
        <v>4</v>
      </c>
      <c r="J217" t="str">
        <f>IF(ISBLANK(Table13[[#This Row],[Rating]]), "No", "Yes")</f>
        <v>Yes</v>
      </c>
      <c r="K217" t="str">
        <f>IF(ISBLANK(Table13[[#This Row],[Rating]]), "Not Rated", IF(Table13[[#This Row],[Rating]] &lt; 3, "Low", IF(Table13[[#This Row],[Rating]] &lt; 4, "Medium", "High")))</f>
        <v>High</v>
      </c>
      <c r="L217">
        <v>42</v>
      </c>
      <c r="M217">
        <v>20</v>
      </c>
      <c r="N217" t="str">
        <f>IF(Table13[[#This Row],[Price USD]]&lt;20,"Budget",IF(Table13[[#This Row],[Price USD]]&lt;=50,"Mid-range","Premium"))</f>
        <v>Mid-range</v>
      </c>
      <c r="O217">
        <v>0</v>
      </c>
      <c r="P217">
        <v>1</v>
      </c>
    </row>
    <row r="218" spans="1:16" x14ac:dyDescent="0.25">
      <c r="A218" t="s">
        <v>1479</v>
      </c>
      <c r="B218" t="s">
        <v>1480</v>
      </c>
      <c r="C218">
        <v>3733</v>
      </c>
      <c r="D218" t="s">
        <v>124</v>
      </c>
      <c r="E218" t="s">
        <v>220</v>
      </c>
      <c r="F218">
        <v>22451</v>
      </c>
      <c r="G2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8">
        <v>3.8809999999999998</v>
      </c>
      <c r="J218" t="str">
        <f>IF(ISBLANK(Table13[[#This Row],[Rating]]), "No", "Yes")</f>
        <v>Yes</v>
      </c>
      <c r="K218" t="str">
        <f>IF(ISBLANK(Table13[[#This Row],[Rating]]), "Not Rated", IF(Table13[[#This Row],[Rating]] &lt; 3, "Low", IF(Table13[[#This Row],[Rating]] &lt; 4, "Medium", "High")))</f>
        <v>Medium</v>
      </c>
      <c r="L218">
        <v>42</v>
      </c>
      <c r="M218">
        <v>29</v>
      </c>
      <c r="N218" t="str">
        <f>IF(Table13[[#This Row],[Price USD]]&lt;20,"Budget",IF(Table13[[#This Row],[Price USD]]&lt;=50,"Mid-range","Premium"))</f>
        <v>Mid-range</v>
      </c>
      <c r="O218">
        <v>0</v>
      </c>
      <c r="P218">
        <v>0</v>
      </c>
    </row>
    <row r="219" spans="1:16" x14ac:dyDescent="0.25">
      <c r="A219" t="s">
        <v>1952</v>
      </c>
      <c r="B219" t="s">
        <v>1953</v>
      </c>
      <c r="C219">
        <v>3902</v>
      </c>
      <c r="D219" t="s">
        <v>72</v>
      </c>
      <c r="E219" t="s">
        <v>149</v>
      </c>
      <c r="F219">
        <v>15171</v>
      </c>
      <c r="G2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19">
        <v>4.1364000000000001</v>
      </c>
      <c r="J219" t="str">
        <f>IF(ISBLANK(Table13[[#This Row],[Rating]]), "No", "Yes")</f>
        <v>Yes</v>
      </c>
      <c r="K219" t="str">
        <f>IF(ISBLANK(Table13[[#This Row],[Rating]]), "Not Rated", IF(Table13[[#This Row],[Rating]] &lt; 3, "Low", IF(Table13[[#This Row],[Rating]] &lt; 4, "Medium", "High")))</f>
        <v>High</v>
      </c>
      <c r="L219">
        <v>44</v>
      </c>
      <c r="M219">
        <v>18</v>
      </c>
      <c r="N219" t="str">
        <f>IF(Table13[[#This Row],[Price USD]]&lt;20,"Budget",IF(Table13[[#This Row],[Price USD]]&lt;=50,"Mid-range","Premium"))</f>
        <v>Budget</v>
      </c>
      <c r="O219">
        <v>0</v>
      </c>
      <c r="P219">
        <v>0</v>
      </c>
    </row>
    <row r="220" spans="1:16" x14ac:dyDescent="0.25">
      <c r="A220" t="s">
        <v>2426</v>
      </c>
      <c r="B220" t="s">
        <v>2427</v>
      </c>
      <c r="C220">
        <v>6218</v>
      </c>
      <c r="D220" t="s">
        <v>116</v>
      </c>
      <c r="E220" t="s">
        <v>69</v>
      </c>
      <c r="F220">
        <v>10799</v>
      </c>
      <c r="G2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0">
        <v>4.5110999999999999</v>
      </c>
      <c r="J220" t="str">
        <f>IF(ISBLANK(Table13[[#This Row],[Rating]]), "No", "Yes")</f>
        <v>Yes</v>
      </c>
      <c r="K220" t="str">
        <f>IF(ISBLANK(Table13[[#This Row],[Rating]]), "Not Rated", IF(Table13[[#This Row],[Rating]] &lt; 3, "Low", IF(Table13[[#This Row],[Rating]] &lt; 4, "Medium", "High")))</f>
        <v>High</v>
      </c>
      <c r="L220">
        <v>45</v>
      </c>
      <c r="M220">
        <v>47</v>
      </c>
      <c r="N220" t="str">
        <f>IF(Table13[[#This Row],[Price USD]]&lt;20,"Budget",IF(Table13[[#This Row],[Price USD]]&lt;=50,"Mid-range","Premium"))</f>
        <v>Mid-range</v>
      </c>
      <c r="O220">
        <v>0</v>
      </c>
      <c r="P220">
        <v>0</v>
      </c>
    </row>
    <row r="221" spans="1:16" x14ac:dyDescent="0.25">
      <c r="A221" t="s">
        <v>2005</v>
      </c>
      <c r="B221" t="s">
        <v>2006</v>
      </c>
      <c r="C221">
        <v>7050</v>
      </c>
      <c r="D221" t="s">
        <v>721</v>
      </c>
      <c r="E221" t="s">
        <v>201</v>
      </c>
      <c r="F221">
        <v>14709</v>
      </c>
      <c r="G2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1">
        <v>4.6444000000000001</v>
      </c>
      <c r="J221" t="str">
        <f>IF(ISBLANK(Table13[[#This Row],[Rating]]), "No", "Yes")</f>
        <v>Yes</v>
      </c>
      <c r="K221" t="str">
        <f>IF(ISBLANK(Table13[[#This Row],[Rating]]), "Not Rated", IF(Table13[[#This Row],[Rating]] &lt; 3, "Low", IF(Table13[[#This Row],[Rating]] &lt; 4, "Medium", "High")))</f>
        <v>High</v>
      </c>
      <c r="L221">
        <v>45</v>
      </c>
      <c r="M221">
        <v>12</v>
      </c>
      <c r="N221" t="str">
        <f>IF(Table13[[#This Row],[Price USD]]&lt;20,"Budget",IF(Table13[[#This Row],[Price USD]]&lt;=50,"Mid-range","Premium"))</f>
        <v>Budget</v>
      </c>
      <c r="O221">
        <v>0</v>
      </c>
      <c r="P221">
        <v>0</v>
      </c>
    </row>
    <row r="222" spans="1:16" x14ac:dyDescent="0.25">
      <c r="A222" t="s">
        <v>1063</v>
      </c>
      <c r="B222" t="s">
        <v>1064</v>
      </c>
      <c r="C222">
        <v>3902</v>
      </c>
      <c r="D222" t="s">
        <v>72</v>
      </c>
      <c r="E222" t="s">
        <v>21</v>
      </c>
      <c r="F222">
        <v>34044</v>
      </c>
      <c r="G2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2">
        <v>4.0217000000000001</v>
      </c>
      <c r="J222" t="str">
        <f>IF(ISBLANK(Table13[[#This Row],[Rating]]), "No", "Yes")</f>
        <v>Yes</v>
      </c>
      <c r="K222" t="str">
        <f>IF(ISBLANK(Table13[[#This Row],[Rating]]), "Not Rated", IF(Table13[[#This Row],[Rating]] &lt; 3, "Low", IF(Table13[[#This Row],[Rating]] &lt; 4, "Medium", "High")))</f>
        <v>High</v>
      </c>
      <c r="L222">
        <v>46</v>
      </c>
      <c r="M222">
        <v>18</v>
      </c>
      <c r="N222" t="str">
        <f>IF(Table13[[#This Row],[Price USD]]&lt;20,"Budget",IF(Table13[[#This Row],[Price USD]]&lt;=50,"Mid-range","Premium"))</f>
        <v>Budget</v>
      </c>
      <c r="O222">
        <v>0</v>
      </c>
      <c r="P222">
        <v>0</v>
      </c>
    </row>
    <row r="223" spans="1:16" x14ac:dyDescent="0.25">
      <c r="A223" t="s">
        <v>2334</v>
      </c>
      <c r="B223" t="s">
        <v>2335</v>
      </c>
      <c r="C223">
        <v>8017</v>
      </c>
      <c r="D223" t="s">
        <v>620</v>
      </c>
      <c r="E223" t="s">
        <v>144</v>
      </c>
      <c r="F223">
        <v>11554</v>
      </c>
      <c r="G2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3">
        <v>3.8511000000000002</v>
      </c>
      <c r="J223" t="str">
        <f>IF(ISBLANK(Table13[[#This Row],[Rating]]), "No", "Yes")</f>
        <v>Yes</v>
      </c>
      <c r="K223" t="str">
        <f>IF(ISBLANK(Table13[[#This Row],[Rating]]), "Not Rated", IF(Table13[[#This Row],[Rating]] &lt; 3, "Low", IF(Table13[[#This Row],[Rating]] &lt; 4, "Medium", "High")))</f>
        <v>Medium</v>
      </c>
      <c r="L223">
        <v>47</v>
      </c>
      <c r="M223">
        <v>5</v>
      </c>
      <c r="N223" t="str">
        <f>IF(Table13[[#This Row],[Price USD]]&lt;20,"Budget",IF(Table13[[#This Row],[Price USD]]&lt;=50,"Mid-range","Premium"))</f>
        <v>Budget</v>
      </c>
      <c r="O223">
        <v>0</v>
      </c>
      <c r="P223">
        <v>0</v>
      </c>
    </row>
    <row r="224" spans="1:16" x14ac:dyDescent="0.25">
      <c r="A224" t="s">
        <v>2118</v>
      </c>
      <c r="B224" t="s">
        <v>2119</v>
      </c>
      <c r="C224">
        <v>6175</v>
      </c>
      <c r="D224" t="s">
        <v>338</v>
      </c>
      <c r="E224" t="s">
        <v>21</v>
      </c>
      <c r="F224">
        <v>13406</v>
      </c>
      <c r="G2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4">
        <v>3.6808999999999998</v>
      </c>
      <c r="J224" t="str">
        <f>IF(ISBLANK(Table13[[#This Row],[Rating]]), "No", "Yes")</f>
        <v>Yes</v>
      </c>
      <c r="K224" t="str">
        <f>IF(ISBLANK(Table13[[#This Row],[Rating]]), "Not Rated", IF(Table13[[#This Row],[Rating]] &lt; 3, "Low", IF(Table13[[#This Row],[Rating]] &lt; 4, "Medium", "High")))</f>
        <v>Medium</v>
      </c>
      <c r="L224">
        <v>47</v>
      </c>
      <c r="M224">
        <v>20</v>
      </c>
      <c r="N224" t="str">
        <f>IF(Table13[[#This Row],[Price USD]]&lt;20,"Budget",IF(Table13[[#This Row],[Price USD]]&lt;=50,"Mid-range","Premium"))</f>
        <v>Mid-range</v>
      </c>
      <c r="O224">
        <v>0</v>
      </c>
      <c r="P224">
        <v>0</v>
      </c>
    </row>
    <row r="225" spans="1:16" x14ac:dyDescent="0.25">
      <c r="A225" t="s">
        <v>2015</v>
      </c>
      <c r="B225" t="s">
        <v>2016</v>
      </c>
      <c r="C225">
        <v>6341</v>
      </c>
      <c r="D225" t="s">
        <v>66</v>
      </c>
      <c r="E225" t="s">
        <v>13</v>
      </c>
      <c r="F225">
        <v>14565</v>
      </c>
      <c r="G2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5">
        <v>4.617</v>
      </c>
      <c r="J225" t="str">
        <f>IF(ISBLANK(Table13[[#This Row],[Rating]]), "No", "Yes")</f>
        <v>Yes</v>
      </c>
      <c r="K225" t="str">
        <f>IF(ISBLANK(Table13[[#This Row],[Rating]]), "Not Rated", IF(Table13[[#This Row],[Rating]] &lt; 3, "Low", IF(Table13[[#This Row],[Rating]] &lt; 4, "Medium", "High")))</f>
        <v>High</v>
      </c>
      <c r="L225">
        <v>47</v>
      </c>
      <c r="M225">
        <v>34</v>
      </c>
      <c r="N225" t="str">
        <f>IF(Table13[[#This Row],[Price USD]]&lt;20,"Budget",IF(Table13[[#This Row],[Price USD]]&lt;=50,"Mid-range","Premium"))</f>
        <v>Mid-range</v>
      </c>
      <c r="O225">
        <v>0</v>
      </c>
      <c r="P225">
        <v>0</v>
      </c>
    </row>
    <row r="226" spans="1:16" x14ac:dyDescent="0.25">
      <c r="A226" t="s">
        <v>2264</v>
      </c>
      <c r="B226" t="s">
        <v>2265</v>
      </c>
      <c r="C226">
        <v>7075</v>
      </c>
      <c r="D226" t="s">
        <v>75</v>
      </c>
      <c r="E226" t="s">
        <v>21</v>
      </c>
      <c r="F226">
        <v>12101</v>
      </c>
      <c r="G2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6">
        <v>4.1041999999999996</v>
      </c>
      <c r="J226" t="str">
        <f>IF(ISBLANK(Table13[[#This Row],[Rating]]), "No", "Yes")</f>
        <v>Yes</v>
      </c>
      <c r="K226" t="str">
        <f>IF(ISBLANK(Table13[[#This Row],[Rating]]), "Not Rated", IF(Table13[[#This Row],[Rating]] &lt; 3, "Low", IF(Table13[[#This Row],[Rating]] &lt; 4, "Medium", "High")))</f>
        <v>High</v>
      </c>
      <c r="L226">
        <v>48</v>
      </c>
      <c r="M226">
        <v>38</v>
      </c>
      <c r="N226" t="str">
        <f>IF(Table13[[#This Row],[Price USD]]&lt;20,"Budget",IF(Table13[[#This Row],[Price USD]]&lt;=50,"Mid-range","Premium"))</f>
        <v>Mid-range</v>
      </c>
      <c r="O226">
        <v>0</v>
      </c>
      <c r="P226">
        <v>0</v>
      </c>
    </row>
    <row r="227" spans="1:16" x14ac:dyDescent="0.25">
      <c r="A227" t="s">
        <v>2224</v>
      </c>
      <c r="B227" t="s">
        <v>2225</v>
      </c>
      <c r="C227">
        <v>3902</v>
      </c>
      <c r="D227" t="s">
        <v>72</v>
      </c>
      <c r="E227" t="s">
        <v>13</v>
      </c>
      <c r="F227">
        <v>12475</v>
      </c>
      <c r="G2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7">
        <v>4.6875</v>
      </c>
      <c r="J227" t="str">
        <f>IF(ISBLANK(Table13[[#This Row],[Rating]]), "No", "Yes")</f>
        <v>Yes</v>
      </c>
      <c r="K227" t="str">
        <f>IF(ISBLANK(Table13[[#This Row],[Rating]]), "Not Rated", IF(Table13[[#This Row],[Rating]] &lt; 3, "Low", IF(Table13[[#This Row],[Rating]] &lt; 4, "Medium", "High")))</f>
        <v>High</v>
      </c>
      <c r="L227">
        <v>48</v>
      </c>
      <c r="M227">
        <v>6</v>
      </c>
      <c r="N227" t="str">
        <f>IF(Table13[[#This Row],[Price USD]]&lt;20,"Budget",IF(Table13[[#This Row],[Price USD]]&lt;=50,"Mid-range","Premium"))</f>
        <v>Budget</v>
      </c>
      <c r="O227">
        <v>0</v>
      </c>
      <c r="P227">
        <v>0</v>
      </c>
    </row>
    <row r="228" spans="1:16" x14ac:dyDescent="0.25">
      <c r="A228" t="s">
        <v>2538</v>
      </c>
      <c r="B228" t="s">
        <v>2539</v>
      </c>
      <c r="C228">
        <v>8017</v>
      </c>
      <c r="D228" t="s">
        <v>620</v>
      </c>
      <c r="E228" t="s">
        <v>8</v>
      </c>
      <c r="F228">
        <v>10060</v>
      </c>
      <c r="G2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8">
        <v>4.0815999999999999</v>
      </c>
      <c r="J228" t="str">
        <f>IF(ISBLANK(Table13[[#This Row],[Rating]]), "No", "Yes")</f>
        <v>Yes</v>
      </c>
      <c r="K228" t="str">
        <f>IF(ISBLANK(Table13[[#This Row],[Rating]]), "Not Rated", IF(Table13[[#This Row],[Rating]] &lt; 3, "Low", IF(Table13[[#This Row],[Rating]] &lt; 4, "Medium", "High")))</f>
        <v>High</v>
      </c>
      <c r="L228">
        <v>49</v>
      </c>
      <c r="M228">
        <v>45</v>
      </c>
      <c r="N228" t="str">
        <f>IF(Table13[[#This Row],[Price USD]]&lt;20,"Budget",IF(Table13[[#This Row],[Price USD]]&lt;=50,"Mid-range","Premium"))</f>
        <v>Mid-range</v>
      </c>
      <c r="O228">
        <v>0</v>
      </c>
      <c r="P228">
        <v>0</v>
      </c>
    </row>
    <row r="229" spans="1:16" x14ac:dyDescent="0.25">
      <c r="A229" t="s">
        <v>1317</v>
      </c>
      <c r="B229" t="s">
        <v>1318</v>
      </c>
      <c r="C229">
        <v>1132</v>
      </c>
      <c r="D229" t="s">
        <v>1319</v>
      </c>
      <c r="E229" t="s">
        <v>8</v>
      </c>
      <c r="F229">
        <v>26130</v>
      </c>
      <c r="G2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29">
        <v>4.1020000000000003</v>
      </c>
      <c r="J229" t="str">
        <f>IF(ISBLANK(Table13[[#This Row],[Rating]]), "No", "Yes")</f>
        <v>Yes</v>
      </c>
      <c r="K229" t="str">
        <f>IF(ISBLANK(Table13[[#This Row],[Rating]]), "Not Rated", IF(Table13[[#This Row],[Rating]] &lt; 3, "Low", IF(Table13[[#This Row],[Rating]] &lt; 4, "Medium", "High")))</f>
        <v>High</v>
      </c>
      <c r="L229">
        <v>49</v>
      </c>
      <c r="M229">
        <v>32</v>
      </c>
      <c r="N229" t="str">
        <f>IF(Table13[[#This Row],[Price USD]]&lt;20,"Budget",IF(Table13[[#This Row],[Price USD]]&lt;=50,"Mid-range","Premium"))</f>
        <v>Mid-range</v>
      </c>
      <c r="O229">
        <v>0</v>
      </c>
      <c r="P229">
        <v>0</v>
      </c>
    </row>
    <row r="230" spans="1:16" x14ac:dyDescent="0.25">
      <c r="A230" t="s">
        <v>2087</v>
      </c>
      <c r="B230" t="s">
        <v>2088</v>
      </c>
      <c r="C230">
        <v>5674</v>
      </c>
      <c r="D230" t="s">
        <v>141</v>
      </c>
      <c r="E230" t="s">
        <v>144</v>
      </c>
      <c r="F230">
        <v>13714</v>
      </c>
      <c r="G2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0">
        <v>4.1923000000000004</v>
      </c>
      <c r="J230" t="str">
        <f>IF(ISBLANK(Table13[[#This Row],[Rating]]), "No", "Yes")</f>
        <v>Yes</v>
      </c>
      <c r="K230" t="str">
        <f>IF(ISBLANK(Table13[[#This Row],[Rating]]), "Not Rated", IF(Table13[[#This Row],[Rating]] &lt; 3, "Low", IF(Table13[[#This Row],[Rating]] &lt; 4, "Medium", "High")))</f>
        <v>High</v>
      </c>
      <c r="L230">
        <v>52</v>
      </c>
      <c r="M230">
        <v>18</v>
      </c>
      <c r="N230" t="str">
        <f>IF(Table13[[#This Row],[Price USD]]&lt;20,"Budget",IF(Table13[[#This Row],[Price USD]]&lt;=50,"Mid-range","Premium"))</f>
        <v>Budget</v>
      </c>
      <c r="O230">
        <v>0</v>
      </c>
      <c r="P230">
        <v>0</v>
      </c>
    </row>
    <row r="231" spans="1:16" x14ac:dyDescent="0.25">
      <c r="A231" t="s">
        <v>1804</v>
      </c>
      <c r="B231" t="s">
        <v>1805</v>
      </c>
      <c r="C231">
        <v>6125</v>
      </c>
      <c r="D231" t="s">
        <v>3</v>
      </c>
      <c r="E231" t="s">
        <v>144</v>
      </c>
      <c r="F231">
        <v>17031</v>
      </c>
      <c r="G2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1">
        <v>4.3076999999999996</v>
      </c>
      <c r="J231" t="str">
        <f>IF(ISBLANK(Table13[[#This Row],[Rating]]), "No", "Yes")</f>
        <v>Yes</v>
      </c>
      <c r="K231" t="str">
        <f>IF(ISBLANK(Table13[[#This Row],[Rating]]), "Not Rated", IF(Table13[[#This Row],[Rating]] &lt; 3, "Low", IF(Table13[[#This Row],[Rating]] &lt; 4, "Medium", "High")))</f>
        <v>High</v>
      </c>
      <c r="L231">
        <v>52</v>
      </c>
      <c r="M231">
        <v>15</v>
      </c>
      <c r="N231" t="str">
        <f>IF(Table13[[#This Row],[Price USD]]&lt;20,"Budget",IF(Table13[[#This Row],[Price USD]]&lt;=50,"Mid-range","Premium"))</f>
        <v>Budget</v>
      </c>
      <c r="O231">
        <v>0</v>
      </c>
      <c r="P231">
        <v>1</v>
      </c>
    </row>
    <row r="232" spans="1:16" x14ac:dyDescent="0.25">
      <c r="A232" t="s">
        <v>1495</v>
      </c>
      <c r="B232" t="s">
        <v>1496</v>
      </c>
      <c r="C232">
        <v>4348</v>
      </c>
      <c r="D232" t="s">
        <v>61</v>
      </c>
      <c r="E232" t="s">
        <v>21</v>
      </c>
      <c r="F232">
        <v>22152</v>
      </c>
      <c r="G2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2">
        <v>3.9807999999999999</v>
      </c>
      <c r="J232" t="str">
        <f>IF(ISBLANK(Table13[[#This Row],[Rating]]), "No", "Yes")</f>
        <v>Yes</v>
      </c>
      <c r="K232" t="str">
        <f>IF(ISBLANK(Table13[[#This Row],[Rating]]), "Not Rated", IF(Table13[[#This Row],[Rating]] &lt; 3, "Low", IF(Table13[[#This Row],[Rating]] &lt; 4, "Medium", "High")))</f>
        <v>Medium</v>
      </c>
      <c r="L232">
        <v>52</v>
      </c>
      <c r="M232">
        <v>18</v>
      </c>
      <c r="N232" t="str">
        <f>IF(Table13[[#This Row],[Price USD]]&lt;20,"Budget",IF(Table13[[#This Row],[Price USD]]&lt;=50,"Mid-range","Premium"))</f>
        <v>Budget</v>
      </c>
      <c r="O232">
        <v>0</v>
      </c>
      <c r="P232">
        <v>0</v>
      </c>
    </row>
    <row r="233" spans="1:16" x14ac:dyDescent="0.25">
      <c r="A233" t="s">
        <v>917</v>
      </c>
      <c r="B233" t="s">
        <v>918</v>
      </c>
      <c r="C233">
        <v>6125</v>
      </c>
      <c r="D233" t="s">
        <v>3</v>
      </c>
      <c r="E233" t="s">
        <v>220</v>
      </c>
      <c r="F233">
        <v>40254</v>
      </c>
      <c r="G2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3">
        <v>4.0191999999999997</v>
      </c>
      <c r="J233" t="str">
        <f>IF(ISBLANK(Table13[[#This Row],[Rating]]), "No", "Yes")</f>
        <v>Yes</v>
      </c>
      <c r="K233" t="str">
        <f>IF(ISBLANK(Table13[[#This Row],[Rating]]), "Not Rated", IF(Table13[[#This Row],[Rating]] &lt; 3, "Low", IF(Table13[[#This Row],[Rating]] &lt; 4, "Medium", "High")))</f>
        <v>High</v>
      </c>
      <c r="L233">
        <v>52</v>
      </c>
      <c r="M233">
        <v>45</v>
      </c>
      <c r="N233" t="str">
        <f>IF(Table13[[#This Row],[Price USD]]&lt;20,"Budget",IF(Table13[[#This Row],[Price USD]]&lt;=50,"Mid-range","Premium"))</f>
        <v>Mid-range</v>
      </c>
      <c r="O233">
        <v>0</v>
      </c>
      <c r="P233">
        <v>0</v>
      </c>
    </row>
    <row r="234" spans="1:16" x14ac:dyDescent="0.25">
      <c r="A234" t="s">
        <v>2336</v>
      </c>
      <c r="B234" t="s">
        <v>2337</v>
      </c>
      <c r="C234">
        <v>6236</v>
      </c>
      <c r="D234" t="s">
        <v>272</v>
      </c>
      <c r="E234" t="s">
        <v>69</v>
      </c>
      <c r="F234">
        <v>11527</v>
      </c>
      <c r="G2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4">
        <v>3.4906000000000001</v>
      </c>
      <c r="J234" t="str">
        <f>IF(ISBLANK(Table13[[#This Row],[Rating]]), "No", "Yes")</f>
        <v>Yes</v>
      </c>
      <c r="K234" t="str">
        <f>IF(ISBLANK(Table13[[#This Row],[Rating]]), "Not Rated", IF(Table13[[#This Row],[Rating]] &lt; 3, "Low", IF(Table13[[#This Row],[Rating]] &lt; 4, "Medium", "High")))</f>
        <v>Medium</v>
      </c>
      <c r="L234">
        <v>53</v>
      </c>
      <c r="M234">
        <v>25</v>
      </c>
      <c r="N234" t="str">
        <f>IF(Table13[[#This Row],[Price USD]]&lt;20,"Budget",IF(Table13[[#This Row],[Price USD]]&lt;=50,"Mid-range","Premium"))</f>
        <v>Mid-range</v>
      </c>
      <c r="O234">
        <v>0</v>
      </c>
      <c r="P234">
        <v>1</v>
      </c>
    </row>
    <row r="235" spans="1:16" x14ac:dyDescent="0.25">
      <c r="A235" t="s">
        <v>2120</v>
      </c>
      <c r="B235" t="s">
        <v>2121</v>
      </c>
      <c r="C235">
        <v>6256</v>
      </c>
      <c r="D235" t="s">
        <v>346</v>
      </c>
      <c r="E235" t="s">
        <v>201</v>
      </c>
      <c r="F235">
        <v>13390</v>
      </c>
      <c r="G2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5">
        <v>4.3773999999999997</v>
      </c>
      <c r="J235" t="str">
        <f>IF(ISBLANK(Table13[[#This Row],[Rating]]), "No", "Yes")</f>
        <v>Yes</v>
      </c>
      <c r="K235" t="str">
        <f>IF(ISBLANK(Table13[[#This Row],[Rating]]), "Not Rated", IF(Table13[[#This Row],[Rating]] &lt; 3, "Low", IF(Table13[[#This Row],[Rating]] &lt; 4, "Medium", "High")))</f>
        <v>High</v>
      </c>
      <c r="L235">
        <v>53</v>
      </c>
      <c r="M235">
        <v>46</v>
      </c>
      <c r="N235" t="str">
        <f>IF(Table13[[#This Row],[Price USD]]&lt;20,"Budget",IF(Table13[[#This Row],[Price USD]]&lt;=50,"Mid-range","Premium"))</f>
        <v>Mid-range</v>
      </c>
      <c r="O235">
        <v>0</v>
      </c>
      <c r="P235">
        <v>0</v>
      </c>
    </row>
    <row r="236" spans="1:16" x14ac:dyDescent="0.25">
      <c r="A236" t="s">
        <v>1828</v>
      </c>
      <c r="B236" t="s">
        <v>1829</v>
      </c>
      <c r="C236">
        <v>6041</v>
      </c>
      <c r="D236" t="s">
        <v>33</v>
      </c>
      <c r="E236" t="s">
        <v>13</v>
      </c>
      <c r="F236">
        <v>16714</v>
      </c>
      <c r="G2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6">
        <v>4.4074</v>
      </c>
      <c r="J236" t="str">
        <f>IF(ISBLANK(Table13[[#This Row],[Rating]]), "No", "Yes")</f>
        <v>Yes</v>
      </c>
      <c r="K236" t="str">
        <f>IF(ISBLANK(Table13[[#This Row],[Rating]]), "Not Rated", IF(Table13[[#This Row],[Rating]] &lt; 3, "Low", IF(Table13[[#This Row],[Rating]] &lt; 4, "Medium", "High")))</f>
        <v>High</v>
      </c>
      <c r="L236">
        <v>54</v>
      </c>
      <c r="M236">
        <v>14</v>
      </c>
      <c r="N236" t="str">
        <f>IF(Table13[[#This Row],[Price USD]]&lt;20,"Budget",IF(Table13[[#This Row],[Price USD]]&lt;=50,"Mid-range","Premium"))</f>
        <v>Budget</v>
      </c>
      <c r="O236">
        <v>0</v>
      </c>
      <c r="P236">
        <v>0</v>
      </c>
    </row>
    <row r="237" spans="1:16" x14ac:dyDescent="0.25">
      <c r="A237" t="s">
        <v>1810</v>
      </c>
      <c r="B237" t="s">
        <v>1811</v>
      </c>
      <c r="C237">
        <v>6309</v>
      </c>
      <c r="D237" t="s">
        <v>1735</v>
      </c>
      <c r="E237" t="s">
        <v>347</v>
      </c>
      <c r="F237">
        <v>16978</v>
      </c>
      <c r="G2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7">
        <v>3.9815</v>
      </c>
      <c r="J237" t="str">
        <f>IF(ISBLANK(Table13[[#This Row],[Rating]]), "No", "Yes")</f>
        <v>Yes</v>
      </c>
      <c r="K237" t="str">
        <f>IF(ISBLANK(Table13[[#This Row],[Rating]]), "Not Rated", IF(Table13[[#This Row],[Rating]] &lt; 3, "Low", IF(Table13[[#This Row],[Rating]] &lt; 4, "Medium", "High")))</f>
        <v>Medium</v>
      </c>
      <c r="L237">
        <v>54</v>
      </c>
      <c r="M237">
        <v>25</v>
      </c>
      <c r="N237" t="str">
        <f>IF(Table13[[#This Row],[Price USD]]&lt;20,"Budget",IF(Table13[[#This Row],[Price USD]]&lt;=50,"Mid-range","Premium"))</f>
        <v>Mid-range</v>
      </c>
      <c r="O237">
        <v>0</v>
      </c>
      <c r="P237">
        <v>0</v>
      </c>
    </row>
    <row r="238" spans="1:16" x14ac:dyDescent="0.25">
      <c r="A238" t="s">
        <v>2542</v>
      </c>
      <c r="B238" t="s">
        <v>2543</v>
      </c>
      <c r="C238">
        <v>6201</v>
      </c>
      <c r="D238" t="s">
        <v>367</v>
      </c>
      <c r="E238" t="s">
        <v>149</v>
      </c>
      <c r="F238">
        <v>10037</v>
      </c>
      <c r="G2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8">
        <v>3.5817999999999999</v>
      </c>
      <c r="J238" t="str">
        <f>IF(ISBLANK(Table13[[#This Row],[Rating]]), "No", "Yes")</f>
        <v>Yes</v>
      </c>
      <c r="K238" t="str">
        <f>IF(ISBLANK(Table13[[#This Row],[Rating]]), "Not Rated", IF(Table13[[#This Row],[Rating]] &lt; 3, "Low", IF(Table13[[#This Row],[Rating]] &lt; 4, "Medium", "High")))</f>
        <v>Medium</v>
      </c>
      <c r="L238">
        <v>55</v>
      </c>
      <c r="M238">
        <v>260</v>
      </c>
      <c r="N238" t="str">
        <f>IF(Table13[[#This Row],[Price USD]]&lt;20,"Budget",IF(Table13[[#This Row],[Price USD]]&lt;=50,"Mid-range","Premium"))</f>
        <v>Premium</v>
      </c>
      <c r="O238">
        <v>0</v>
      </c>
      <c r="P238">
        <v>0</v>
      </c>
    </row>
    <row r="239" spans="1:16" x14ac:dyDescent="0.25">
      <c r="A239" t="s">
        <v>2077</v>
      </c>
      <c r="B239" t="s">
        <v>2078</v>
      </c>
      <c r="C239">
        <v>6341</v>
      </c>
      <c r="D239" t="s">
        <v>66</v>
      </c>
      <c r="E239" t="s">
        <v>13</v>
      </c>
      <c r="F239">
        <v>13813</v>
      </c>
      <c r="G2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39">
        <v>4.7091000000000003</v>
      </c>
      <c r="J239" t="str">
        <f>IF(ISBLANK(Table13[[#This Row],[Rating]]), "No", "Yes")</f>
        <v>Yes</v>
      </c>
      <c r="K239" t="str">
        <f>IF(ISBLANK(Table13[[#This Row],[Rating]]), "Not Rated", IF(Table13[[#This Row],[Rating]] &lt; 3, "Low", IF(Table13[[#This Row],[Rating]] &lt; 4, "Medium", "High")))</f>
        <v>High</v>
      </c>
      <c r="L239">
        <v>55</v>
      </c>
      <c r="M239">
        <v>34</v>
      </c>
      <c r="N239" t="str">
        <f>IF(Table13[[#This Row],[Price USD]]&lt;20,"Budget",IF(Table13[[#This Row],[Price USD]]&lt;=50,"Mid-range","Premium"))</f>
        <v>Mid-range</v>
      </c>
      <c r="O239">
        <v>0</v>
      </c>
      <c r="P239">
        <v>0</v>
      </c>
    </row>
    <row r="240" spans="1:16" x14ac:dyDescent="0.25">
      <c r="A240" t="s">
        <v>1964</v>
      </c>
      <c r="B240" t="s">
        <v>1965</v>
      </c>
      <c r="C240">
        <v>3902</v>
      </c>
      <c r="D240" t="s">
        <v>72</v>
      </c>
      <c r="E240" t="s">
        <v>8</v>
      </c>
      <c r="F240">
        <v>15027</v>
      </c>
      <c r="G2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0">
        <v>4.1818</v>
      </c>
      <c r="J240" t="str">
        <f>IF(ISBLANK(Table13[[#This Row],[Rating]]), "No", "Yes")</f>
        <v>Yes</v>
      </c>
      <c r="K240" t="str">
        <f>IF(ISBLANK(Table13[[#This Row],[Rating]]), "Not Rated", IF(Table13[[#This Row],[Rating]] &lt; 3, "Low", IF(Table13[[#This Row],[Rating]] &lt; 4, "Medium", "High")))</f>
        <v>High</v>
      </c>
      <c r="L240">
        <v>55</v>
      </c>
      <c r="M240">
        <v>20</v>
      </c>
      <c r="N240" t="str">
        <f>IF(Table13[[#This Row],[Price USD]]&lt;20,"Budget",IF(Table13[[#This Row],[Price USD]]&lt;=50,"Mid-range","Premium"))</f>
        <v>Mid-range</v>
      </c>
      <c r="O240">
        <v>0</v>
      </c>
      <c r="P240">
        <v>0</v>
      </c>
    </row>
    <row r="241" spans="1:16" x14ac:dyDescent="0.25">
      <c r="A241" t="s">
        <v>1671</v>
      </c>
      <c r="B241" t="s">
        <v>1672</v>
      </c>
      <c r="C241">
        <v>6341</v>
      </c>
      <c r="D241" t="s">
        <v>66</v>
      </c>
      <c r="E241" t="s">
        <v>8</v>
      </c>
      <c r="F241">
        <v>18794</v>
      </c>
      <c r="G2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1">
        <v>4.0545</v>
      </c>
      <c r="J241" t="str">
        <f>IF(ISBLANK(Table13[[#This Row],[Rating]]), "No", "Yes")</f>
        <v>Yes</v>
      </c>
      <c r="K241" t="str">
        <f>IF(ISBLANK(Table13[[#This Row],[Rating]]), "Not Rated", IF(Table13[[#This Row],[Rating]] &lt; 3, "Low", IF(Table13[[#This Row],[Rating]] &lt; 4, "Medium", "High")))</f>
        <v>High</v>
      </c>
      <c r="L241">
        <v>55</v>
      </c>
      <c r="M241">
        <v>42</v>
      </c>
      <c r="N241" t="str">
        <f>IF(Table13[[#This Row],[Price USD]]&lt;20,"Budget",IF(Table13[[#This Row],[Price USD]]&lt;=50,"Mid-range","Premium"))</f>
        <v>Mid-range</v>
      </c>
      <c r="O241">
        <v>0</v>
      </c>
      <c r="P241">
        <v>0</v>
      </c>
    </row>
    <row r="242" spans="1:16" x14ac:dyDescent="0.25">
      <c r="A242" t="s">
        <v>1622</v>
      </c>
      <c r="B242" t="s">
        <v>1623</v>
      </c>
      <c r="C242">
        <v>6201</v>
      </c>
      <c r="D242" t="s">
        <v>367</v>
      </c>
      <c r="E242" t="s">
        <v>4</v>
      </c>
      <c r="F242">
        <v>19686</v>
      </c>
      <c r="G2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2">
        <v>3.5535999999999999</v>
      </c>
      <c r="J242" t="str">
        <f>IF(ISBLANK(Table13[[#This Row],[Rating]]), "No", "Yes")</f>
        <v>Yes</v>
      </c>
      <c r="K242" t="str">
        <f>IF(ISBLANK(Table13[[#This Row],[Rating]]), "Not Rated", IF(Table13[[#This Row],[Rating]] &lt; 3, "Low", IF(Table13[[#This Row],[Rating]] &lt; 4, "Medium", "High")))</f>
        <v>Medium</v>
      </c>
      <c r="L242">
        <v>56</v>
      </c>
      <c r="M242">
        <v>85</v>
      </c>
      <c r="N242" t="str">
        <f>IF(Table13[[#This Row],[Price USD]]&lt;20,"Budget",IF(Table13[[#This Row],[Price USD]]&lt;=50,"Mid-range","Premium"))</f>
        <v>Premium</v>
      </c>
      <c r="O242">
        <v>0</v>
      </c>
      <c r="P242">
        <v>0</v>
      </c>
    </row>
    <row r="243" spans="1:16" x14ac:dyDescent="0.25">
      <c r="A243" t="s">
        <v>2452</v>
      </c>
      <c r="B243" t="s">
        <v>2453</v>
      </c>
      <c r="C243">
        <v>6751</v>
      </c>
      <c r="D243" t="s">
        <v>1738</v>
      </c>
      <c r="E243" t="s">
        <v>13</v>
      </c>
      <c r="F243">
        <v>10558</v>
      </c>
      <c r="G2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3">
        <v>4.0876999999999999</v>
      </c>
      <c r="J243" t="str">
        <f>IF(ISBLANK(Table13[[#This Row],[Rating]]), "No", "Yes")</f>
        <v>Yes</v>
      </c>
      <c r="K243" t="str">
        <f>IF(ISBLANK(Table13[[#This Row],[Rating]]), "Not Rated", IF(Table13[[#This Row],[Rating]] &lt; 3, "Low", IF(Table13[[#This Row],[Rating]] &lt; 4, "Medium", "High")))</f>
        <v>High</v>
      </c>
      <c r="L243">
        <v>57</v>
      </c>
      <c r="M243">
        <v>19</v>
      </c>
      <c r="N243" t="str">
        <f>IF(Table13[[#This Row],[Price USD]]&lt;20,"Budget",IF(Table13[[#This Row],[Price USD]]&lt;=50,"Mid-range","Premium"))</f>
        <v>Budget</v>
      </c>
      <c r="O243">
        <v>1</v>
      </c>
      <c r="P243">
        <v>0</v>
      </c>
    </row>
    <row r="244" spans="1:16" x14ac:dyDescent="0.25">
      <c r="A244" t="s">
        <v>1596</v>
      </c>
      <c r="B244" t="s">
        <v>1597</v>
      </c>
      <c r="C244">
        <v>3902</v>
      </c>
      <c r="D244" t="s">
        <v>72</v>
      </c>
      <c r="E244" t="s">
        <v>13</v>
      </c>
      <c r="F244">
        <v>20055</v>
      </c>
      <c r="G2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4">
        <v>3.8246000000000002</v>
      </c>
      <c r="J244" t="str">
        <f>IF(ISBLANK(Table13[[#This Row],[Rating]]), "No", "Yes")</f>
        <v>Yes</v>
      </c>
      <c r="K244" t="str">
        <f>IF(ISBLANK(Table13[[#This Row],[Rating]]), "Not Rated", IF(Table13[[#This Row],[Rating]] &lt; 3, "Low", IF(Table13[[#This Row],[Rating]] &lt; 4, "Medium", "High")))</f>
        <v>Medium</v>
      </c>
      <c r="L244">
        <v>57</v>
      </c>
      <c r="M244">
        <v>10</v>
      </c>
      <c r="N244" t="str">
        <f>IF(Table13[[#This Row],[Price USD]]&lt;20,"Budget",IF(Table13[[#This Row],[Price USD]]&lt;=50,"Mid-range","Premium"))</f>
        <v>Budget</v>
      </c>
      <c r="O244">
        <v>0</v>
      </c>
      <c r="P244">
        <v>0</v>
      </c>
    </row>
    <row r="245" spans="1:16" x14ac:dyDescent="0.25">
      <c r="A245" t="s">
        <v>1035</v>
      </c>
      <c r="B245" t="s">
        <v>1036</v>
      </c>
      <c r="C245">
        <v>2082</v>
      </c>
      <c r="D245" t="s">
        <v>594</v>
      </c>
      <c r="E245" t="s">
        <v>4</v>
      </c>
      <c r="F245">
        <v>35345</v>
      </c>
      <c r="G2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5">
        <v>4.3509000000000002</v>
      </c>
      <c r="J245" t="str">
        <f>IF(ISBLANK(Table13[[#This Row],[Rating]]), "No", "Yes")</f>
        <v>Yes</v>
      </c>
      <c r="K245" t="str">
        <f>IF(ISBLANK(Table13[[#This Row],[Rating]]), "Not Rated", IF(Table13[[#This Row],[Rating]] &lt; 3, "Low", IF(Table13[[#This Row],[Rating]] &lt; 4, "Medium", "High")))</f>
        <v>High</v>
      </c>
      <c r="L245">
        <v>57</v>
      </c>
      <c r="M245">
        <v>28</v>
      </c>
      <c r="N245" t="str">
        <f>IF(Table13[[#This Row],[Price USD]]&lt;20,"Budget",IF(Table13[[#This Row],[Price USD]]&lt;=50,"Mid-range","Premium"))</f>
        <v>Mid-range</v>
      </c>
      <c r="O245">
        <v>1</v>
      </c>
      <c r="P245">
        <v>0</v>
      </c>
    </row>
    <row r="246" spans="1:16" x14ac:dyDescent="0.25">
      <c r="A246" t="s">
        <v>1212</v>
      </c>
      <c r="B246" t="s">
        <v>1213</v>
      </c>
      <c r="C246">
        <v>6285</v>
      </c>
      <c r="D246" t="s">
        <v>119</v>
      </c>
      <c r="E246" t="s">
        <v>8</v>
      </c>
      <c r="F246">
        <v>28910</v>
      </c>
      <c r="G2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6">
        <v>4.1723999999999997</v>
      </c>
      <c r="J246" t="str">
        <f>IF(ISBLANK(Table13[[#This Row],[Rating]]), "No", "Yes")</f>
        <v>Yes</v>
      </c>
      <c r="K246" t="str">
        <f>IF(ISBLANK(Table13[[#This Row],[Rating]]), "Not Rated", IF(Table13[[#This Row],[Rating]] &lt; 3, "Low", IF(Table13[[#This Row],[Rating]] &lt; 4, "Medium", "High")))</f>
        <v>High</v>
      </c>
      <c r="L246">
        <v>58</v>
      </c>
      <c r="M246">
        <v>15.99</v>
      </c>
      <c r="N246" t="str">
        <f>IF(Table13[[#This Row],[Price USD]]&lt;20,"Budget",IF(Table13[[#This Row],[Price USD]]&lt;=50,"Mid-range","Premium"))</f>
        <v>Budget</v>
      </c>
      <c r="O246">
        <v>0</v>
      </c>
      <c r="P246">
        <v>0</v>
      </c>
    </row>
    <row r="247" spans="1:16" x14ac:dyDescent="0.25">
      <c r="A247" t="s">
        <v>2416</v>
      </c>
      <c r="B247" t="s">
        <v>2417</v>
      </c>
      <c r="C247">
        <v>5626</v>
      </c>
      <c r="D247" t="s">
        <v>1069</v>
      </c>
      <c r="E247" t="s">
        <v>106</v>
      </c>
      <c r="F247">
        <v>10899</v>
      </c>
      <c r="G2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7">
        <v>4.9492000000000003</v>
      </c>
      <c r="J247" t="str">
        <f>IF(ISBLANK(Table13[[#This Row],[Rating]]), "No", "Yes")</f>
        <v>Yes</v>
      </c>
      <c r="K247" t="str">
        <f>IF(ISBLANK(Table13[[#This Row],[Rating]]), "Not Rated", IF(Table13[[#This Row],[Rating]] &lt; 3, "Low", IF(Table13[[#This Row],[Rating]] &lt; 4, "Medium", "High")))</f>
        <v>High</v>
      </c>
      <c r="L247">
        <v>59</v>
      </c>
      <c r="M247">
        <v>9</v>
      </c>
      <c r="N247" t="str">
        <f>IF(Table13[[#This Row],[Price USD]]&lt;20,"Budget",IF(Table13[[#This Row],[Price USD]]&lt;=50,"Mid-range","Premium"))</f>
        <v>Budget</v>
      </c>
      <c r="O247">
        <v>0</v>
      </c>
      <c r="P247">
        <v>0</v>
      </c>
    </row>
    <row r="248" spans="1:16" x14ac:dyDescent="0.25">
      <c r="A248" t="s">
        <v>2380</v>
      </c>
      <c r="B248" t="s">
        <v>2381</v>
      </c>
      <c r="C248">
        <v>6341</v>
      </c>
      <c r="D248" t="s">
        <v>66</v>
      </c>
      <c r="E248" t="s">
        <v>49</v>
      </c>
      <c r="F248">
        <v>11227</v>
      </c>
      <c r="G2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8">
        <v>4.4915000000000003</v>
      </c>
      <c r="J248" t="str">
        <f>IF(ISBLANK(Table13[[#This Row],[Rating]]), "No", "Yes")</f>
        <v>Yes</v>
      </c>
      <c r="K248" t="str">
        <f>IF(ISBLANK(Table13[[#This Row],[Rating]]), "Not Rated", IF(Table13[[#This Row],[Rating]] &lt; 3, "Low", IF(Table13[[#This Row],[Rating]] &lt; 4, "Medium", "High")))</f>
        <v>High</v>
      </c>
      <c r="L248">
        <v>59</v>
      </c>
      <c r="M248">
        <v>37</v>
      </c>
      <c r="N248" t="str">
        <f>IF(Table13[[#This Row],[Price USD]]&lt;20,"Budget",IF(Table13[[#This Row],[Price USD]]&lt;=50,"Mid-range","Premium"))</f>
        <v>Mid-range</v>
      </c>
      <c r="O248">
        <v>0</v>
      </c>
      <c r="P248">
        <v>0</v>
      </c>
    </row>
    <row r="249" spans="1:16" x14ac:dyDescent="0.25">
      <c r="A249" t="s">
        <v>2187</v>
      </c>
      <c r="B249" t="s">
        <v>2188</v>
      </c>
      <c r="C249">
        <v>6114</v>
      </c>
      <c r="D249" t="s">
        <v>1355</v>
      </c>
      <c r="E249" t="s">
        <v>347</v>
      </c>
      <c r="F249">
        <v>12714</v>
      </c>
      <c r="G2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49">
        <v>4.3220000000000001</v>
      </c>
      <c r="J249" t="str">
        <f>IF(ISBLANK(Table13[[#This Row],[Rating]]), "No", "Yes")</f>
        <v>Yes</v>
      </c>
      <c r="K249" t="str">
        <f>IF(ISBLANK(Table13[[#This Row],[Rating]]), "Not Rated", IF(Table13[[#This Row],[Rating]] &lt; 3, "Low", IF(Table13[[#This Row],[Rating]] &lt; 4, "Medium", "High")))</f>
        <v>High</v>
      </c>
      <c r="L249">
        <v>59</v>
      </c>
      <c r="M249">
        <v>159</v>
      </c>
      <c r="N249" t="str">
        <f>IF(Table13[[#This Row],[Price USD]]&lt;20,"Budget",IF(Table13[[#This Row],[Price USD]]&lt;=50,"Mid-range","Premium"))</f>
        <v>Premium</v>
      </c>
      <c r="O249">
        <v>0</v>
      </c>
      <c r="P249">
        <v>0</v>
      </c>
    </row>
    <row r="250" spans="1:16" x14ac:dyDescent="0.25">
      <c r="A250" t="s">
        <v>2485</v>
      </c>
      <c r="B250" t="s">
        <v>2486</v>
      </c>
      <c r="C250">
        <v>7037</v>
      </c>
      <c r="D250" t="s">
        <v>1718</v>
      </c>
      <c r="E250" t="s">
        <v>149</v>
      </c>
      <c r="F250">
        <v>10363</v>
      </c>
      <c r="G2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0">
        <v>3.5</v>
      </c>
      <c r="J250" t="str">
        <f>IF(ISBLANK(Table13[[#This Row],[Rating]]), "No", "Yes")</f>
        <v>Yes</v>
      </c>
      <c r="K250" t="str">
        <f>IF(ISBLANK(Table13[[#This Row],[Rating]]), "Not Rated", IF(Table13[[#This Row],[Rating]] &lt; 3, "Low", IF(Table13[[#This Row],[Rating]] &lt; 4, "Medium", "High")))</f>
        <v>Medium</v>
      </c>
      <c r="L250">
        <v>60</v>
      </c>
      <c r="M250">
        <v>149</v>
      </c>
      <c r="N250" t="str">
        <f>IF(Table13[[#This Row],[Price USD]]&lt;20,"Budget",IF(Table13[[#This Row],[Price USD]]&lt;=50,"Mid-range","Premium"))</f>
        <v>Premium</v>
      </c>
      <c r="O250">
        <v>0</v>
      </c>
      <c r="P250">
        <v>0</v>
      </c>
    </row>
    <row r="251" spans="1:16" x14ac:dyDescent="0.25">
      <c r="A251" t="s">
        <v>2360</v>
      </c>
      <c r="B251" t="s">
        <v>2361</v>
      </c>
      <c r="C251">
        <v>5337</v>
      </c>
      <c r="D251" t="s">
        <v>209</v>
      </c>
      <c r="E251" t="s">
        <v>69</v>
      </c>
      <c r="F251">
        <v>11355</v>
      </c>
      <c r="G2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1">
        <v>4.45</v>
      </c>
      <c r="J251" t="str">
        <f>IF(ISBLANK(Table13[[#This Row],[Rating]]), "No", "Yes")</f>
        <v>Yes</v>
      </c>
      <c r="K251" t="str">
        <f>IF(ISBLANK(Table13[[#This Row],[Rating]]), "Not Rated", IF(Table13[[#This Row],[Rating]] &lt; 3, "Low", IF(Table13[[#This Row],[Rating]] &lt; 4, "Medium", "High")))</f>
        <v>High</v>
      </c>
      <c r="L251">
        <v>60</v>
      </c>
      <c r="M251">
        <v>70</v>
      </c>
      <c r="N251" t="str">
        <f>IF(Table13[[#This Row],[Price USD]]&lt;20,"Budget",IF(Table13[[#This Row],[Price USD]]&lt;=50,"Mid-range","Premium"))</f>
        <v>Premium</v>
      </c>
      <c r="O251">
        <v>0</v>
      </c>
      <c r="P251">
        <v>0</v>
      </c>
    </row>
    <row r="252" spans="1:16" x14ac:dyDescent="0.25">
      <c r="A252" t="s">
        <v>2274</v>
      </c>
      <c r="B252" t="s">
        <v>2275</v>
      </c>
      <c r="C252">
        <v>2366</v>
      </c>
      <c r="D252" t="s">
        <v>2276</v>
      </c>
      <c r="E252" t="s">
        <v>8</v>
      </c>
      <c r="F252">
        <v>12040</v>
      </c>
      <c r="G2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2">
        <v>4.5332999999999997</v>
      </c>
      <c r="J252" t="str">
        <f>IF(ISBLANK(Table13[[#This Row],[Rating]]), "No", "Yes")</f>
        <v>Yes</v>
      </c>
      <c r="K252" t="str">
        <f>IF(ISBLANK(Table13[[#This Row],[Rating]]), "Not Rated", IF(Table13[[#This Row],[Rating]] &lt; 3, "Low", IF(Table13[[#This Row],[Rating]] &lt; 4, "Medium", "High")))</f>
        <v>High</v>
      </c>
      <c r="L252">
        <v>60</v>
      </c>
      <c r="M252">
        <v>65</v>
      </c>
      <c r="N252" t="str">
        <f>IF(Table13[[#This Row],[Price USD]]&lt;20,"Budget",IF(Table13[[#This Row],[Price USD]]&lt;=50,"Mid-range","Premium"))</f>
        <v>Premium</v>
      </c>
      <c r="O252">
        <v>0</v>
      </c>
      <c r="P252">
        <v>0</v>
      </c>
    </row>
    <row r="253" spans="1:16" x14ac:dyDescent="0.25">
      <c r="A253" t="s">
        <v>2326</v>
      </c>
      <c r="B253" t="s">
        <v>2327</v>
      </c>
      <c r="C253">
        <v>6236</v>
      </c>
      <c r="D253" t="s">
        <v>272</v>
      </c>
      <c r="E253" t="s">
        <v>69</v>
      </c>
      <c r="F253">
        <v>11636</v>
      </c>
      <c r="G2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3">
        <v>4.3114999999999997</v>
      </c>
      <c r="J253" t="str">
        <f>IF(ISBLANK(Table13[[#This Row],[Rating]]), "No", "Yes")</f>
        <v>Yes</v>
      </c>
      <c r="K253" t="str">
        <f>IF(ISBLANK(Table13[[#This Row],[Rating]]), "Not Rated", IF(Table13[[#This Row],[Rating]] &lt; 3, "Low", IF(Table13[[#This Row],[Rating]] &lt; 4, "Medium", "High")))</f>
        <v>High</v>
      </c>
      <c r="L253">
        <v>61</v>
      </c>
      <c r="M253">
        <v>58</v>
      </c>
      <c r="N253" t="str">
        <f>IF(Table13[[#This Row],[Price USD]]&lt;20,"Budget",IF(Table13[[#This Row],[Price USD]]&lt;=50,"Mid-range","Premium"))</f>
        <v>Premium</v>
      </c>
      <c r="O253">
        <v>0</v>
      </c>
      <c r="P253">
        <v>0</v>
      </c>
    </row>
    <row r="254" spans="1:16" x14ac:dyDescent="0.25">
      <c r="A254" t="s">
        <v>2111</v>
      </c>
      <c r="B254" t="s">
        <v>2112</v>
      </c>
      <c r="C254">
        <v>6341</v>
      </c>
      <c r="D254" t="s">
        <v>66</v>
      </c>
      <c r="E254" t="s">
        <v>13</v>
      </c>
      <c r="F254">
        <v>13473</v>
      </c>
      <c r="G2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4">
        <v>4.5484</v>
      </c>
      <c r="J254" t="str">
        <f>IF(ISBLANK(Table13[[#This Row],[Rating]]), "No", "Yes")</f>
        <v>Yes</v>
      </c>
      <c r="K254" t="str">
        <f>IF(ISBLANK(Table13[[#This Row],[Rating]]), "Not Rated", IF(Table13[[#This Row],[Rating]] &lt; 3, "Low", IF(Table13[[#This Row],[Rating]] &lt; 4, "Medium", "High")))</f>
        <v>High</v>
      </c>
      <c r="L254">
        <v>62</v>
      </c>
      <c r="M254">
        <v>35</v>
      </c>
      <c r="N254" t="str">
        <f>IF(Table13[[#This Row],[Price USD]]&lt;20,"Budget",IF(Table13[[#This Row],[Price USD]]&lt;=50,"Mid-range","Premium"))</f>
        <v>Mid-range</v>
      </c>
      <c r="O254">
        <v>0</v>
      </c>
      <c r="P254">
        <v>0</v>
      </c>
    </row>
    <row r="255" spans="1:16" x14ac:dyDescent="0.25">
      <c r="A255" t="s">
        <v>2446</v>
      </c>
      <c r="B255" t="s">
        <v>2447</v>
      </c>
      <c r="C255">
        <v>3902</v>
      </c>
      <c r="D255" t="s">
        <v>72</v>
      </c>
      <c r="E255" t="s">
        <v>8</v>
      </c>
      <c r="F255">
        <v>10594</v>
      </c>
      <c r="G2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5">
        <v>4.2222</v>
      </c>
      <c r="J255" t="str">
        <f>IF(ISBLANK(Table13[[#This Row],[Rating]]), "No", "Yes")</f>
        <v>Yes</v>
      </c>
      <c r="K255" t="str">
        <f>IF(ISBLANK(Table13[[#This Row],[Rating]]), "Not Rated", IF(Table13[[#This Row],[Rating]] &lt; 3, "Low", IF(Table13[[#This Row],[Rating]] &lt; 4, "Medium", "High")))</f>
        <v>High</v>
      </c>
      <c r="L255">
        <v>63</v>
      </c>
      <c r="M255">
        <v>20</v>
      </c>
      <c r="N255" t="str">
        <f>IF(Table13[[#This Row],[Price USD]]&lt;20,"Budget",IF(Table13[[#This Row],[Price USD]]&lt;=50,"Mid-range","Premium"))</f>
        <v>Mid-range</v>
      </c>
      <c r="O255">
        <v>0</v>
      </c>
      <c r="P255">
        <v>1</v>
      </c>
    </row>
    <row r="256" spans="1:16" x14ac:dyDescent="0.25">
      <c r="A256" t="s">
        <v>2444</v>
      </c>
      <c r="B256" t="s">
        <v>2445</v>
      </c>
      <c r="C256">
        <v>3733</v>
      </c>
      <c r="D256" t="s">
        <v>124</v>
      </c>
      <c r="E256" t="s">
        <v>21</v>
      </c>
      <c r="F256">
        <v>10649</v>
      </c>
      <c r="G2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6">
        <v>4.2539999999999996</v>
      </c>
      <c r="J256" t="str">
        <f>IF(ISBLANK(Table13[[#This Row],[Rating]]), "No", "Yes")</f>
        <v>Yes</v>
      </c>
      <c r="K256" t="str">
        <f>IF(ISBLANK(Table13[[#This Row],[Rating]]), "Not Rated", IF(Table13[[#This Row],[Rating]] &lt; 3, "Low", IF(Table13[[#This Row],[Rating]] &lt; 4, "Medium", "High")))</f>
        <v>High</v>
      </c>
      <c r="L256">
        <v>63</v>
      </c>
      <c r="M256">
        <v>73</v>
      </c>
      <c r="N256" t="str">
        <f>IF(Table13[[#This Row],[Price USD]]&lt;20,"Budget",IF(Table13[[#This Row],[Price USD]]&lt;=50,"Mid-range","Premium"))</f>
        <v>Premium</v>
      </c>
      <c r="O256">
        <v>0</v>
      </c>
      <c r="P256">
        <v>0</v>
      </c>
    </row>
    <row r="257" spans="1:16" x14ac:dyDescent="0.25">
      <c r="A257" t="s">
        <v>2169</v>
      </c>
      <c r="B257" t="s">
        <v>2170</v>
      </c>
      <c r="C257">
        <v>6014</v>
      </c>
      <c r="D257" t="s">
        <v>102</v>
      </c>
      <c r="E257" t="s">
        <v>69</v>
      </c>
      <c r="F257">
        <v>12850</v>
      </c>
      <c r="G2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7">
        <v>3.6190000000000002</v>
      </c>
      <c r="J257" t="str">
        <f>IF(ISBLANK(Table13[[#This Row],[Rating]]), "No", "Yes")</f>
        <v>Yes</v>
      </c>
      <c r="K257" t="str">
        <f>IF(ISBLANK(Table13[[#This Row],[Rating]]), "Not Rated", IF(Table13[[#This Row],[Rating]] &lt; 3, "Low", IF(Table13[[#This Row],[Rating]] &lt; 4, "Medium", "High")))</f>
        <v>Medium</v>
      </c>
      <c r="L257">
        <v>63</v>
      </c>
      <c r="M257">
        <v>9</v>
      </c>
      <c r="N257" t="str">
        <f>IF(Table13[[#This Row],[Price USD]]&lt;20,"Budget",IF(Table13[[#This Row],[Price USD]]&lt;=50,"Mid-range","Premium"))</f>
        <v>Budget</v>
      </c>
      <c r="O257">
        <v>0</v>
      </c>
      <c r="P257">
        <v>0</v>
      </c>
    </row>
    <row r="258" spans="1:16" x14ac:dyDescent="0.25">
      <c r="A258" t="s">
        <v>2073</v>
      </c>
      <c r="B258" t="s">
        <v>2074</v>
      </c>
      <c r="C258">
        <v>1254</v>
      </c>
      <c r="D258" t="s">
        <v>136</v>
      </c>
      <c r="E258" t="s">
        <v>106</v>
      </c>
      <c r="F258">
        <v>13842</v>
      </c>
      <c r="G2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8">
        <v>4.2857000000000003</v>
      </c>
      <c r="J258" t="str">
        <f>IF(ISBLANK(Table13[[#This Row],[Rating]]), "No", "Yes")</f>
        <v>Yes</v>
      </c>
      <c r="K258" t="str">
        <f>IF(ISBLANK(Table13[[#This Row],[Rating]]), "Not Rated", IF(Table13[[#This Row],[Rating]] &lt; 3, "Low", IF(Table13[[#This Row],[Rating]] &lt; 4, "Medium", "High")))</f>
        <v>High</v>
      </c>
      <c r="L258">
        <v>63</v>
      </c>
      <c r="M258">
        <v>34</v>
      </c>
      <c r="N258" t="str">
        <f>IF(Table13[[#This Row],[Price USD]]&lt;20,"Budget",IF(Table13[[#This Row],[Price USD]]&lt;=50,"Mid-range","Premium"))</f>
        <v>Mid-range</v>
      </c>
      <c r="O258">
        <v>0</v>
      </c>
      <c r="P258">
        <v>0</v>
      </c>
    </row>
    <row r="259" spans="1:16" x14ac:dyDescent="0.25">
      <c r="A259" t="s">
        <v>2056</v>
      </c>
      <c r="B259" t="s">
        <v>1195</v>
      </c>
      <c r="C259">
        <v>6117</v>
      </c>
      <c r="D259" t="s">
        <v>229</v>
      </c>
      <c r="E259" t="s">
        <v>201</v>
      </c>
      <c r="F259">
        <v>14116</v>
      </c>
      <c r="G2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59">
        <v>3.0952000000000002</v>
      </c>
      <c r="J259" t="str">
        <f>IF(ISBLANK(Table13[[#This Row],[Rating]]), "No", "Yes")</f>
        <v>Yes</v>
      </c>
      <c r="K259" t="str">
        <f>IF(ISBLANK(Table13[[#This Row],[Rating]]), "Not Rated", IF(Table13[[#This Row],[Rating]] &lt; 3, "Low", IF(Table13[[#This Row],[Rating]] &lt; 4, "Medium", "High")))</f>
        <v>Medium</v>
      </c>
      <c r="L259">
        <v>63</v>
      </c>
      <c r="M259">
        <v>40</v>
      </c>
      <c r="N259" t="str">
        <f>IF(Table13[[#This Row],[Price USD]]&lt;20,"Budget",IF(Table13[[#This Row],[Price USD]]&lt;=50,"Mid-range","Premium"))</f>
        <v>Mid-range</v>
      </c>
      <c r="O259">
        <v>0</v>
      </c>
      <c r="P259">
        <v>0</v>
      </c>
    </row>
    <row r="260" spans="1:16" x14ac:dyDescent="0.25">
      <c r="A260" t="s">
        <v>2027</v>
      </c>
      <c r="B260" t="s">
        <v>2028</v>
      </c>
      <c r="C260">
        <v>7050</v>
      </c>
      <c r="D260" t="s">
        <v>721</v>
      </c>
      <c r="E260" t="s">
        <v>201</v>
      </c>
      <c r="F260">
        <v>14381</v>
      </c>
      <c r="G2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0">
        <v>3.8254000000000001</v>
      </c>
      <c r="J260" t="str">
        <f>IF(ISBLANK(Table13[[#This Row],[Rating]]), "No", "Yes")</f>
        <v>Yes</v>
      </c>
      <c r="K260" t="str">
        <f>IF(ISBLANK(Table13[[#This Row],[Rating]]), "Not Rated", IF(Table13[[#This Row],[Rating]] &lt; 3, "Low", IF(Table13[[#This Row],[Rating]] &lt; 4, "Medium", "High")))</f>
        <v>Medium</v>
      </c>
      <c r="L260">
        <v>63</v>
      </c>
      <c r="M260">
        <v>26</v>
      </c>
      <c r="N260" t="str">
        <f>IF(Table13[[#This Row],[Price USD]]&lt;20,"Budget",IF(Table13[[#This Row],[Price USD]]&lt;=50,"Mid-range","Premium"))</f>
        <v>Mid-range</v>
      </c>
      <c r="O260">
        <v>0</v>
      </c>
      <c r="P260">
        <v>0</v>
      </c>
    </row>
    <row r="261" spans="1:16" x14ac:dyDescent="0.25">
      <c r="A261" t="s">
        <v>1984</v>
      </c>
      <c r="B261" t="s">
        <v>1985</v>
      </c>
      <c r="C261">
        <v>4348</v>
      </c>
      <c r="D261" t="s">
        <v>61</v>
      </c>
      <c r="E261" t="s">
        <v>149</v>
      </c>
      <c r="F261">
        <v>14953</v>
      </c>
      <c r="G2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1">
        <v>3.7618999999999998</v>
      </c>
      <c r="J261" t="str">
        <f>IF(ISBLANK(Table13[[#This Row],[Rating]]), "No", "Yes")</f>
        <v>Yes</v>
      </c>
      <c r="K261" t="str">
        <f>IF(ISBLANK(Table13[[#This Row],[Rating]]), "Not Rated", IF(Table13[[#This Row],[Rating]] &lt; 3, "Low", IF(Table13[[#This Row],[Rating]] &lt; 4, "Medium", "High")))</f>
        <v>Medium</v>
      </c>
      <c r="L261">
        <v>63</v>
      </c>
      <c r="M261">
        <v>72</v>
      </c>
      <c r="N261" t="str">
        <f>IF(Table13[[#This Row],[Price USD]]&lt;20,"Budget",IF(Table13[[#This Row],[Price USD]]&lt;=50,"Mid-range","Premium"))</f>
        <v>Premium</v>
      </c>
      <c r="O261">
        <v>0</v>
      </c>
      <c r="P261">
        <v>0</v>
      </c>
    </row>
    <row r="262" spans="1:16" x14ac:dyDescent="0.25">
      <c r="A262" t="s">
        <v>2509</v>
      </c>
      <c r="B262" t="s">
        <v>2510</v>
      </c>
      <c r="C262">
        <v>6289</v>
      </c>
      <c r="D262" t="s">
        <v>111</v>
      </c>
      <c r="E262" t="s">
        <v>4</v>
      </c>
      <c r="F262">
        <v>10271</v>
      </c>
      <c r="G2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2">
        <v>3.0461999999999998</v>
      </c>
      <c r="J262" t="str">
        <f>IF(ISBLANK(Table13[[#This Row],[Rating]]), "No", "Yes")</f>
        <v>Yes</v>
      </c>
      <c r="K262" t="str">
        <f>IF(ISBLANK(Table13[[#This Row],[Rating]]), "Not Rated", IF(Table13[[#This Row],[Rating]] &lt; 3, "Low", IF(Table13[[#This Row],[Rating]] &lt; 4, "Medium", "High")))</f>
        <v>Medium</v>
      </c>
      <c r="L262">
        <v>65</v>
      </c>
      <c r="M262">
        <v>15</v>
      </c>
      <c r="N262" t="str">
        <f>IF(Table13[[#This Row],[Price USD]]&lt;20,"Budget",IF(Table13[[#This Row],[Price USD]]&lt;=50,"Mid-range","Premium"))</f>
        <v>Budget</v>
      </c>
      <c r="O262">
        <v>0</v>
      </c>
      <c r="P262">
        <v>0</v>
      </c>
    </row>
    <row r="263" spans="1:16" x14ac:dyDescent="0.25">
      <c r="A263" t="s">
        <v>2394</v>
      </c>
      <c r="B263" t="s">
        <v>2395</v>
      </c>
      <c r="C263">
        <v>7050</v>
      </c>
      <c r="D263" t="s">
        <v>721</v>
      </c>
      <c r="E263" t="s">
        <v>201</v>
      </c>
      <c r="F263">
        <v>11104</v>
      </c>
      <c r="G2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3">
        <v>3.5385</v>
      </c>
      <c r="J263" t="str">
        <f>IF(ISBLANK(Table13[[#This Row],[Rating]]), "No", "Yes")</f>
        <v>Yes</v>
      </c>
      <c r="K263" t="str">
        <f>IF(ISBLANK(Table13[[#This Row],[Rating]]), "Not Rated", IF(Table13[[#This Row],[Rating]] &lt; 3, "Low", IF(Table13[[#This Row],[Rating]] &lt; 4, "Medium", "High")))</f>
        <v>Medium</v>
      </c>
      <c r="L263">
        <v>65</v>
      </c>
      <c r="M263">
        <v>26</v>
      </c>
      <c r="N263" t="str">
        <f>IF(Table13[[#This Row],[Price USD]]&lt;20,"Budget",IF(Table13[[#This Row],[Price USD]]&lt;=50,"Mid-range","Premium"))</f>
        <v>Mid-range</v>
      </c>
      <c r="O263">
        <v>0</v>
      </c>
      <c r="P263">
        <v>0</v>
      </c>
    </row>
    <row r="264" spans="1:16" x14ac:dyDescent="0.25">
      <c r="A264" t="s">
        <v>2382</v>
      </c>
      <c r="B264" t="s">
        <v>2383</v>
      </c>
      <c r="C264">
        <v>7050</v>
      </c>
      <c r="D264" t="s">
        <v>721</v>
      </c>
      <c r="E264" t="s">
        <v>201</v>
      </c>
      <c r="F264">
        <v>11224</v>
      </c>
      <c r="G2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4">
        <v>4.3076999999999996</v>
      </c>
      <c r="J264" t="str">
        <f>IF(ISBLANK(Table13[[#This Row],[Rating]]), "No", "Yes")</f>
        <v>Yes</v>
      </c>
      <c r="K264" t="str">
        <f>IF(ISBLANK(Table13[[#This Row],[Rating]]), "Not Rated", IF(Table13[[#This Row],[Rating]] &lt; 3, "Low", IF(Table13[[#This Row],[Rating]] &lt; 4, "Medium", "High")))</f>
        <v>High</v>
      </c>
      <c r="L264">
        <v>65</v>
      </c>
      <c r="M264">
        <v>30</v>
      </c>
      <c r="N264" t="str">
        <f>IF(Table13[[#This Row],[Price USD]]&lt;20,"Budget",IF(Table13[[#This Row],[Price USD]]&lt;=50,"Mid-range","Premium"))</f>
        <v>Mid-range</v>
      </c>
      <c r="O264">
        <v>0</v>
      </c>
      <c r="P264">
        <v>0</v>
      </c>
    </row>
    <row r="265" spans="1:16" x14ac:dyDescent="0.25">
      <c r="A265" t="s">
        <v>2097</v>
      </c>
      <c r="B265" t="s">
        <v>2098</v>
      </c>
      <c r="C265">
        <v>5972</v>
      </c>
      <c r="D265" t="s">
        <v>54</v>
      </c>
      <c r="E265" t="s">
        <v>8</v>
      </c>
      <c r="F265">
        <v>13624</v>
      </c>
      <c r="G2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5">
        <v>4.5692000000000004</v>
      </c>
      <c r="J265" t="str">
        <f>IF(ISBLANK(Table13[[#This Row],[Rating]]), "No", "Yes")</f>
        <v>Yes</v>
      </c>
      <c r="K265" t="str">
        <f>IF(ISBLANK(Table13[[#This Row],[Rating]]), "Not Rated", IF(Table13[[#This Row],[Rating]] &lt; 3, "Low", IF(Table13[[#This Row],[Rating]] &lt; 4, "Medium", "High")))</f>
        <v>High</v>
      </c>
      <c r="L265">
        <v>65</v>
      </c>
      <c r="M265">
        <v>30</v>
      </c>
      <c r="N265" t="str">
        <f>IF(Table13[[#This Row],[Price USD]]&lt;20,"Budget",IF(Table13[[#This Row],[Price USD]]&lt;=50,"Mid-range","Premium"))</f>
        <v>Mid-range</v>
      </c>
      <c r="O265">
        <v>0</v>
      </c>
      <c r="P265">
        <v>0</v>
      </c>
    </row>
    <row r="266" spans="1:16" x14ac:dyDescent="0.25">
      <c r="A266" t="s">
        <v>2091</v>
      </c>
      <c r="B266" t="s">
        <v>2092</v>
      </c>
      <c r="C266">
        <v>6341</v>
      </c>
      <c r="D266" t="s">
        <v>66</v>
      </c>
      <c r="E266" t="s">
        <v>8</v>
      </c>
      <c r="F266">
        <v>13705</v>
      </c>
      <c r="G2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6">
        <v>4.8333000000000004</v>
      </c>
      <c r="J266" t="str">
        <f>IF(ISBLANK(Table13[[#This Row],[Rating]]), "No", "Yes")</f>
        <v>Yes</v>
      </c>
      <c r="K266" t="str">
        <f>IF(ISBLANK(Table13[[#This Row],[Rating]]), "Not Rated", IF(Table13[[#This Row],[Rating]] &lt; 3, "Low", IF(Table13[[#This Row],[Rating]] &lt; 4, "Medium", "High")))</f>
        <v>High</v>
      </c>
      <c r="L266">
        <v>66</v>
      </c>
      <c r="M266">
        <v>22</v>
      </c>
      <c r="N266" t="str">
        <f>IF(Table13[[#This Row],[Price USD]]&lt;20,"Budget",IF(Table13[[#This Row],[Price USD]]&lt;=50,"Mid-range","Premium"))</f>
        <v>Mid-range</v>
      </c>
      <c r="O266">
        <v>0</v>
      </c>
      <c r="P266">
        <v>0</v>
      </c>
    </row>
    <row r="267" spans="1:16" x14ac:dyDescent="0.25">
      <c r="A267" t="s">
        <v>1873</v>
      </c>
      <c r="B267" t="s">
        <v>1874</v>
      </c>
      <c r="C267">
        <v>3902</v>
      </c>
      <c r="D267" t="s">
        <v>72</v>
      </c>
      <c r="E267" t="s">
        <v>69</v>
      </c>
      <c r="F267">
        <v>16227</v>
      </c>
      <c r="G2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7">
        <v>3.6818</v>
      </c>
      <c r="J267" t="str">
        <f>IF(ISBLANK(Table13[[#This Row],[Rating]]), "No", "Yes")</f>
        <v>Yes</v>
      </c>
      <c r="K267" t="str">
        <f>IF(ISBLANK(Table13[[#This Row],[Rating]]), "Not Rated", IF(Table13[[#This Row],[Rating]] &lt; 3, "Low", IF(Table13[[#This Row],[Rating]] &lt; 4, "Medium", "High")))</f>
        <v>Medium</v>
      </c>
      <c r="L267">
        <v>66</v>
      </c>
      <c r="M267">
        <v>5</v>
      </c>
      <c r="N267" t="str">
        <f>IF(Table13[[#This Row],[Price USD]]&lt;20,"Budget",IF(Table13[[#This Row],[Price USD]]&lt;=50,"Mid-range","Premium"))</f>
        <v>Budget</v>
      </c>
      <c r="O267">
        <v>0</v>
      </c>
      <c r="P267">
        <v>0</v>
      </c>
    </row>
    <row r="268" spans="1:16" x14ac:dyDescent="0.25">
      <c r="A268" t="s">
        <v>2523</v>
      </c>
      <c r="B268" t="s">
        <v>2524</v>
      </c>
      <c r="C268">
        <v>6353</v>
      </c>
      <c r="D268" t="s">
        <v>2525</v>
      </c>
      <c r="E268" t="s">
        <v>21</v>
      </c>
      <c r="F268">
        <v>10153</v>
      </c>
      <c r="G2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8">
        <v>4.6269</v>
      </c>
      <c r="J268" t="str">
        <f>IF(ISBLANK(Table13[[#This Row],[Rating]]), "No", "Yes")</f>
        <v>Yes</v>
      </c>
      <c r="K268" t="str">
        <f>IF(ISBLANK(Table13[[#This Row],[Rating]]), "Not Rated", IF(Table13[[#This Row],[Rating]] &lt; 3, "Low", IF(Table13[[#This Row],[Rating]] &lt; 4, "Medium", "High")))</f>
        <v>High</v>
      </c>
      <c r="L268">
        <v>67</v>
      </c>
      <c r="M268">
        <v>30</v>
      </c>
      <c r="N268" t="str">
        <f>IF(Table13[[#This Row],[Price USD]]&lt;20,"Budget",IF(Table13[[#This Row],[Price USD]]&lt;=50,"Mid-range","Premium"))</f>
        <v>Mid-range</v>
      </c>
      <c r="O268">
        <v>0</v>
      </c>
      <c r="P268">
        <v>0</v>
      </c>
    </row>
    <row r="269" spans="1:16" x14ac:dyDescent="0.25">
      <c r="A269" t="s">
        <v>2468</v>
      </c>
      <c r="B269" t="s">
        <v>2469</v>
      </c>
      <c r="C269">
        <v>2002</v>
      </c>
      <c r="D269" t="s">
        <v>2470</v>
      </c>
      <c r="E269" t="s">
        <v>201</v>
      </c>
      <c r="F269">
        <v>10451</v>
      </c>
      <c r="G2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69">
        <v>4.4328000000000003</v>
      </c>
      <c r="J269" t="str">
        <f>IF(ISBLANK(Table13[[#This Row],[Rating]]), "No", "Yes")</f>
        <v>Yes</v>
      </c>
      <c r="K269" t="str">
        <f>IF(ISBLANK(Table13[[#This Row],[Rating]]), "Not Rated", IF(Table13[[#This Row],[Rating]] &lt; 3, "Low", IF(Table13[[#This Row],[Rating]] &lt; 4, "Medium", "High")))</f>
        <v>High</v>
      </c>
      <c r="L269">
        <v>67</v>
      </c>
      <c r="M269">
        <v>195</v>
      </c>
      <c r="N269" t="str">
        <f>IF(Table13[[#This Row],[Price USD]]&lt;20,"Budget",IF(Table13[[#This Row],[Price USD]]&lt;=50,"Mid-range","Premium"))</f>
        <v>Premium</v>
      </c>
      <c r="O269">
        <v>0</v>
      </c>
      <c r="P269">
        <v>0</v>
      </c>
    </row>
    <row r="270" spans="1:16" x14ac:dyDescent="0.25">
      <c r="A270" t="s">
        <v>2159</v>
      </c>
      <c r="B270" t="s">
        <v>2160</v>
      </c>
      <c r="C270">
        <v>6201</v>
      </c>
      <c r="D270" t="s">
        <v>367</v>
      </c>
      <c r="E270" t="s">
        <v>49</v>
      </c>
      <c r="F270">
        <v>12975</v>
      </c>
      <c r="G2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0">
        <v>4.2537000000000003</v>
      </c>
      <c r="J270" t="str">
        <f>IF(ISBLANK(Table13[[#This Row],[Rating]]), "No", "Yes")</f>
        <v>Yes</v>
      </c>
      <c r="K270" t="str">
        <f>IF(ISBLANK(Table13[[#This Row],[Rating]]), "Not Rated", IF(Table13[[#This Row],[Rating]] &lt; 3, "Low", IF(Table13[[#This Row],[Rating]] &lt; 4, "Medium", "High")))</f>
        <v>High</v>
      </c>
      <c r="L270">
        <v>67</v>
      </c>
      <c r="M270">
        <v>105</v>
      </c>
      <c r="N270" t="str">
        <f>IF(Table13[[#This Row],[Price USD]]&lt;20,"Budget",IF(Table13[[#This Row],[Price USD]]&lt;=50,"Mid-range","Premium"))</f>
        <v>Premium</v>
      </c>
      <c r="O270">
        <v>0</v>
      </c>
      <c r="P270">
        <v>0</v>
      </c>
    </row>
    <row r="271" spans="1:16" x14ac:dyDescent="0.25">
      <c r="A271" t="s">
        <v>2139</v>
      </c>
      <c r="B271" t="s">
        <v>2140</v>
      </c>
      <c r="C271">
        <v>6117</v>
      </c>
      <c r="D271" t="s">
        <v>229</v>
      </c>
      <c r="E271" t="s">
        <v>21</v>
      </c>
      <c r="F271">
        <v>13225</v>
      </c>
      <c r="G2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1">
        <v>4.0587999999999997</v>
      </c>
      <c r="J271" t="str">
        <f>IF(ISBLANK(Table13[[#This Row],[Rating]]), "No", "Yes")</f>
        <v>Yes</v>
      </c>
      <c r="K271" t="str">
        <f>IF(ISBLANK(Table13[[#This Row],[Rating]]), "Not Rated", IF(Table13[[#This Row],[Rating]] &lt; 3, "Low", IF(Table13[[#This Row],[Rating]] &lt; 4, "Medium", "High")))</f>
        <v>High</v>
      </c>
      <c r="L271">
        <v>68</v>
      </c>
      <c r="M271">
        <v>36</v>
      </c>
      <c r="N271" t="str">
        <f>IF(Table13[[#This Row],[Price USD]]&lt;20,"Budget",IF(Table13[[#This Row],[Price USD]]&lt;=50,"Mid-range","Premium"))</f>
        <v>Mid-range</v>
      </c>
      <c r="O271">
        <v>0</v>
      </c>
      <c r="P271">
        <v>0</v>
      </c>
    </row>
    <row r="272" spans="1:16" x14ac:dyDescent="0.25">
      <c r="A272" t="s">
        <v>1851</v>
      </c>
      <c r="B272" t="s">
        <v>1852</v>
      </c>
      <c r="C272">
        <v>8017</v>
      </c>
      <c r="D272" t="s">
        <v>620</v>
      </c>
      <c r="E272" t="s">
        <v>144</v>
      </c>
      <c r="F272">
        <v>16475</v>
      </c>
      <c r="G2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2">
        <v>3.8382000000000001</v>
      </c>
      <c r="J272" t="str">
        <f>IF(ISBLANK(Table13[[#This Row],[Rating]]), "No", "Yes")</f>
        <v>Yes</v>
      </c>
      <c r="K272" t="str">
        <f>IF(ISBLANK(Table13[[#This Row],[Rating]]), "Not Rated", IF(Table13[[#This Row],[Rating]] &lt; 3, "Low", IF(Table13[[#This Row],[Rating]] &lt; 4, "Medium", "High")))</f>
        <v>Medium</v>
      </c>
      <c r="L272">
        <v>68</v>
      </c>
      <c r="M272">
        <v>5</v>
      </c>
      <c r="N272" t="str">
        <f>IF(Table13[[#This Row],[Price USD]]&lt;20,"Budget",IF(Table13[[#This Row],[Price USD]]&lt;=50,"Mid-range","Premium"))</f>
        <v>Budget</v>
      </c>
      <c r="O272">
        <v>0</v>
      </c>
      <c r="P272">
        <v>0</v>
      </c>
    </row>
    <row r="273" spans="1:16" x14ac:dyDescent="0.25">
      <c r="A273" t="s">
        <v>1150</v>
      </c>
      <c r="B273" t="s">
        <v>1151</v>
      </c>
      <c r="C273">
        <v>6117</v>
      </c>
      <c r="D273" t="s">
        <v>229</v>
      </c>
      <c r="E273" t="s">
        <v>201</v>
      </c>
      <c r="F273">
        <v>30982</v>
      </c>
      <c r="G2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3">
        <v>3.8971</v>
      </c>
      <c r="J273" t="str">
        <f>IF(ISBLANK(Table13[[#This Row],[Rating]]), "No", "Yes")</f>
        <v>Yes</v>
      </c>
      <c r="K273" t="str">
        <f>IF(ISBLANK(Table13[[#This Row],[Rating]]), "Not Rated", IF(Table13[[#This Row],[Rating]] &lt; 3, "Low", IF(Table13[[#This Row],[Rating]] &lt; 4, "Medium", "High")))</f>
        <v>Medium</v>
      </c>
      <c r="L273">
        <v>68</v>
      </c>
      <c r="M273">
        <v>25</v>
      </c>
      <c r="N273" t="str">
        <f>IF(Table13[[#This Row],[Price USD]]&lt;20,"Budget",IF(Table13[[#This Row],[Price USD]]&lt;=50,"Mid-range","Premium"))</f>
        <v>Mid-range</v>
      </c>
      <c r="O273">
        <v>0</v>
      </c>
      <c r="P273">
        <v>0</v>
      </c>
    </row>
    <row r="274" spans="1:16" x14ac:dyDescent="0.25">
      <c r="A274" t="s">
        <v>2023</v>
      </c>
      <c r="B274" t="s">
        <v>2024</v>
      </c>
      <c r="C274">
        <v>7050</v>
      </c>
      <c r="D274" t="s">
        <v>721</v>
      </c>
      <c r="E274" t="s">
        <v>201</v>
      </c>
      <c r="F274">
        <v>14443</v>
      </c>
      <c r="G2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4">
        <v>4.2609000000000004</v>
      </c>
      <c r="J274" t="str">
        <f>IF(ISBLANK(Table13[[#This Row],[Rating]]), "No", "Yes")</f>
        <v>Yes</v>
      </c>
      <c r="K274" t="str">
        <f>IF(ISBLANK(Table13[[#This Row],[Rating]]), "Not Rated", IF(Table13[[#This Row],[Rating]] &lt; 3, "Low", IF(Table13[[#This Row],[Rating]] &lt; 4, "Medium", "High")))</f>
        <v>High</v>
      </c>
      <c r="L274">
        <v>69</v>
      </c>
      <c r="M274">
        <v>25</v>
      </c>
      <c r="N274" t="str">
        <f>IF(Table13[[#This Row],[Price USD]]&lt;20,"Budget",IF(Table13[[#This Row],[Price USD]]&lt;=50,"Mid-range","Premium"))</f>
        <v>Mid-range</v>
      </c>
      <c r="O274">
        <v>0</v>
      </c>
      <c r="P274">
        <v>1</v>
      </c>
    </row>
    <row r="275" spans="1:16" x14ac:dyDescent="0.25">
      <c r="A275" t="s">
        <v>1790</v>
      </c>
      <c r="B275" t="s">
        <v>1791</v>
      </c>
      <c r="C275">
        <v>5857</v>
      </c>
      <c r="D275" t="s">
        <v>433</v>
      </c>
      <c r="E275" t="s">
        <v>220</v>
      </c>
      <c r="F275">
        <v>17141</v>
      </c>
      <c r="G2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5">
        <v>3.6086999999999998</v>
      </c>
      <c r="J275" t="str">
        <f>IF(ISBLANK(Table13[[#This Row],[Rating]]), "No", "Yes")</f>
        <v>Yes</v>
      </c>
      <c r="K275" t="str">
        <f>IF(ISBLANK(Table13[[#This Row],[Rating]]), "Not Rated", IF(Table13[[#This Row],[Rating]] &lt; 3, "Low", IF(Table13[[#This Row],[Rating]] &lt; 4, "Medium", "High")))</f>
        <v>Medium</v>
      </c>
      <c r="L275">
        <v>69</v>
      </c>
      <c r="M275">
        <v>34</v>
      </c>
      <c r="N275" t="str">
        <f>IF(Table13[[#This Row],[Price USD]]&lt;20,"Budget",IF(Table13[[#This Row],[Price USD]]&lt;=50,"Mid-range","Premium"))</f>
        <v>Mid-range</v>
      </c>
      <c r="O275">
        <v>0</v>
      </c>
      <c r="P275">
        <v>0</v>
      </c>
    </row>
    <row r="276" spans="1:16" x14ac:dyDescent="0.25">
      <c r="A276" t="s">
        <v>1890</v>
      </c>
      <c r="B276" t="s">
        <v>1891</v>
      </c>
      <c r="C276">
        <v>6014</v>
      </c>
      <c r="D276" t="s">
        <v>102</v>
      </c>
      <c r="E276" t="s">
        <v>69</v>
      </c>
      <c r="F276">
        <v>16054</v>
      </c>
      <c r="G2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6">
        <v>4.0571000000000002</v>
      </c>
      <c r="J276" t="str">
        <f>IF(ISBLANK(Table13[[#This Row],[Rating]]), "No", "Yes")</f>
        <v>Yes</v>
      </c>
      <c r="K276" t="str">
        <f>IF(ISBLANK(Table13[[#This Row],[Rating]]), "Not Rated", IF(Table13[[#This Row],[Rating]] &lt; 3, "Low", IF(Table13[[#This Row],[Rating]] &lt; 4, "Medium", "High")))</f>
        <v>High</v>
      </c>
      <c r="L276">
        <v>70</v>
      </c>
      <c r="M276">
        <v>9</v>
      </c>
      <c r="N276" t="str">
        <f>IF(Table13[[#This Row],[Price USD]]&lt;20,"Budget",IF(Table13[[#This Row],[Price USD]]&lt;=50,"Mid-range","Premium"))</f>
        <v>Budget</v>
      </c>
      <c r="O276">
        <v>0</v>
      </c>
      <c r="P276">
        <v>0</v>
      </c>
    </row>
    <row r="277" spans="1:16" x14ac:dyDescent="0.25">
      <c r="A277" t="s">
        <v>1731</v>
      </c>
      <c r="B277" t="s">
        <v>1732</v>
      </c>
      <c r="C277">
        <v>5972</v>
      </c>
      <c r="D277" t="s">
        <v>54</v>
      </c>
      <c r="E277" t="s">
        <v>149</v>
      </c>
      <c r="F277">
        <v>17841</v>
      </c>
      <c r="G2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7">
        <v>3.8429000000000002</v>
      </c>
      <c r="J277" t="str">
        <f>IF(ISBLANK(Table13[[#This Row],[Rating]]), "No", "Yes")</f>
        <v>Yes</v>
      </c>
      <c r="K277" t="str">
        <f>IF(ISBLANK(Table13[[#This Row],[Rating]]), "Not Rated", IF(Table13[[#This Row],[Rating]] &lt; 3, "Low", IF(Table13[[#This Row],[Rating]] &lt; 4, "Medium", "High")))</f>
        <v>Medium</v>
      </c>
      <c r="L277">
        <v>70</v>
      </c>
      <c r="M277">
        <v>30</v>
      </c>
      <c r="N277" t="str">
        <f>IF(Table13[[#This Row],[Price USD]]&lt;20,"Budget",IF(Table13[[#This Row],[Price USD]]&lt;=50,"Mid-range","Premium"))</f>
        <v>Mid-range</v>
      </c>
      <c r="O277">
        <v>0</v>
      </c>
      <c r="P277">
        <v>0</v>
      </c>
    </row>
    <row r="278" spans="1:16" x14ac:dyDescent="0.25">
      <c r="A278" t="s">
        <v>1281</v>
      </c>
      <c r="B278" t="s">
        <v>1282</v>
      </c>
      <c r="C278">
        <v>6352</v>
      </c>
      <c r="D278" t="s">
        <v>251</v>
      </c>
      <c r="E278" t="s">
        <v>149</v>
      </c>
      <c r="F278">
        <v>26880</v>
      </c>
      <c r="G2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8">
        <v>3.5143</v>
      </c>
      <c r="J278" t="str">
        <f>IF(ISBLANK(Table13[[#This Row],[Rating]]), "No", "Yes")</f>
        <v>Yes</v>
      </c>
      <c r="K278" t="str">
        <f>IF(ISBLANK(Table13[[#This Row],[Rating]]), "Not Rated", IF(Table13[[#This Row],[Rating]] &lt; 3, "Low", IF(Table13[[#This Row],[Rating]] &lt; 4, "Medium", "High")))</f>
        <v>Medium</v>
      </c>
      <c r="L278">
        <v>70</v>
      </c>
      <c r="M278">
        <v>36</v>
      </c>
      <c r="N278" t="str">
        <f>IF(Table13[[#This Row],[Price USD]]&lt;20,"Budget",IF(Table13[[#This Row],[Price USD]]&lt;=50,"Mid-range","Premium"))</f>
        <v>Mid-range</v>
      </c>
      <c r="O278">
        <v>0</v>
      </c>
      <c r="P278">
        <v>0</v>
      </c>
    </row>
    <row r="279" spans="1:16" x14ac:dyDescent="0.25">
      <c r="A279" t="s">
        <v>1094</v>
      </c>
      <c r="B279" t="s">
        <v>1095</v>
      </c>
      <c r="C279">
        <v>8001</v>
      </c>
      <c r="D279" t="s">
        <v>27</v>
      </c>
      <c r="E279" t="s">
        <v>69</v>
      </c>
      <c r="F279">
        <v>32523</v>
      </c>
      <c r="G2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79">
        <v>4</v>
      </c>
      <c r="J279" t="str">
        <f>IF(ISBLANK(Table13[[#This Row],[Rating]]), "No", "Yes")</f>
        <v>Yes</v>
      </c>
      <c r="K279" t="str">
        <f>IF(ISBLANK(Table13[[#This Row],[Rating]]), "Not Rated", IF(Table13[[#This Row],[Rating]] &lt; 3, "Low", IF(Table13[[#This Row],[Rating]] &lt; 4, "Medium", "High")))</f>
        <v>High</v>
      </c>
      <c r="L279">
        <v>70</v>
      </c>
      <c r="M279">
        <v>60</v>
      </c>
      <c r="N279" t="str">
        <f>IF(Table13[[#This Row],[Price USD]]&lt;20,"Budget",IF(Table13[[#This Row],[Price USD]]&lt;=50,"Mid-range","Premium"))</f>
        <v>Premium</v>
      </c>
      <c r="O279">
        <v>0</v>
      </c>
      <c r="P279">
        <v>0</v>
      </c>
    </row>
    <row r="280" spans="1:16" x14ac:dyDescent="0.25">
      <c r="A280" t="s">
        <v>2283</v>
      </c>
      <c r="B280" t="s">
        <v>2284</v>
      </c>
      <c r="C280">
        <v>8008</v>
      </c>
      <c r="D280" t="s">
        <v>105</v>
      </c>
      <c r="E280" t="s">
        <v>106</v>
      </c>
      <c r="F280">
        <v>11912</v>
      </c>
      <c r="G2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0">
        <v>3.7606000000000002</v>
      </c>
      <c r="J280" t="str">
        <f>IF(ISBLANK(Table13[[#This Row],[Rating]]), "No", "Yes")</f>
        <v>Yes</v>
      </c>
      <c r="K280" t="str">
        <f>IF(ISBLANK(Table13[[#This Row],[Rating]]), "Not Rated", IF(Table13[[#This Row],[Rating]] &lt; 3, "Low", IF(Table13[[#This Row],[Rating]] &lt; 4, "Medium", "High")))</f>
        <v>Medium</v>
      </c>
      <c r="L280">
        <v>71</v>
      </c>
      <c r="M280">
        <v>24</v>
      </c>
      <c r="N280" t="str">
        <f>IF(Table13[[#This Row],[Price USD]]&lt;20,"Budget",IF(Table13[[#This Row],[Price USD]]&lt;=50,"Mid-range","Premium"))</f>
        <v>Mid-range</v>
      </c>
      <c r="O280">
        <v>0</v>
      </c>
      <c r="P280">
        <v>0</v>
      </c>
    </row>
    <row r="281" spans="1:16" x14ac:dyDescent="0.25">
      <c r="A281" t="s">
        <v>957</v>
      </c>
      <c r="B281" t="s">
        <v>958</v>
      </c>
      <c r="C281">
        <v>6149</v>
      </c>
      <c r="D281" t="s">
        <v>752</v>
      </c>
      <c r="E281" t="s">
        <v>149</v>
      </c>
      <c r="F281">
        <v>38772</v>
      </c>
      <c r="G2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1">
        <v>4.0986000000000002</v>
      </c>
      <c r="J281" t="str">
        <f>IF(ISBLANK(Table13[[#This Row],[Rating]]), "No", "Yes")</f>
        <v>Yes</v>
      </c>
      <c r="K281" t="str">
        <f>IF(ISBLANK(Table13[[#This Row],[Rating]]), "Not Rated", IF(Table13[[#This Row],[Rating]] &lt; 3, "Low", IF(Table13[[#This Row],[Rating]] &lt; 4, "Medium", "High")))</f>
        <v>High</v>
      </c>
      <c r="L281">
        <v>71</v>
      </c>
      <c r="M281">
        <v>26</v>
      </c>
      <c r="N281" t="str">
        <f>IF(Table13[[#This Row],[Price USD]]&lt;20,"Budget",IF(Table13[[#This Row],[Price USD]]&lt;=50,"Mid-range","Premium"))</f>
        <v>Mid-range</v>
      </c>
      <c r="O281">
        <v>0</v>
      </c>
      <c r="P281">
        <v>0</v>
      </c>
    </row>
    <row r="282" spans="1:16" x14ac:dyDescent="0.25">
      <c r="A282" t="s">
        <v>813</v>
      </c>
      <c r="B282" t="s">
        <v>814</v>
      </c>
      <c r="C282">
        <v>6234</v>
      </c>
      <c r="D282" t="s">
        <v>7</v>
      </c>
      <c r="E282" t="s">
        <v>8</v>
      </c>
      <c r="F282">
        <v>43971</v>
      </c>
      <c r="G2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2">
        <v>4.2534999999999998</v>
      </c>
      <c r="J282" t="str">
        <f>IF(ISBLANK(Table13[[#This Row],[Rating]]), "No", "Yes")</f>
        <v>Yes</v>
      </c>
      <c r="K282" t="str">
        <f>IF(ISBLANK(Table13[[#This Row],[Rating]]), "Not Rated", IF(Table13[[#This Row],[Rating]] &lt; 3, "Low", IF(Table13[[#This Row],[Rating]] &lt; 4, "Medium", "High")))</f>
        <v>High</v>
      </c>
      <c r="L282">
        <v>71</v>
      </c>
      <c r="M282">
        <v>6.5</v>
      </c>
      <c r="N282" t="str">
        <f>IF(Table13[[#This Row],[Price USD]]&lt;20,"Budget",IF(Table13[[#This Row],[Price USD]]&lt;=50,"Mid-range","Premium"))</f>
        <v>Budget</v>
      </c>
      <c r="O282">
        <v>0</v>
      </c>
      <c r="P282">
        <v>0</v>
      </c>
    </row>
    <row r="283" spans="1:16" x14ac:dyDescent="0.25">
      <c r="A283" t="s">
        <v>2011</v>
      </c>
      <c r="B283" t="s">
        <v>2012</v>
      </c>
      <c r="C283">
        <v>8017</v>
      </c>
      <c r="D283" t="s">
        <v>620</v>
      </c>
      <c r="E283" t="s">
        <v>13</v>
      </c>
      <c r="F283">
        <v>14598</v>
      </c>
      <c r="G2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3">
        <v>4.1506999999999996</v>
      </c>
      <c r="J283" t="str">
        <f>IF(ISBLANK(Table13[[#This Row],[Rating]]), "No", "Yes")</f>
        <v>Yes</v>
      </c>
      <c r="K283" t="str">
        <f>IF(ISBLANK(Table13[[#This Row],[Rating]]), "Not Rated", IF(Table13[[#This Row],[Rating]] &lt; 3, "Low", IF(Table13[[#This Row],[Rating]] &lt; 4, "Medium", "High")))</f>
        <v>High</v>
      </c>
      <c r="L283">
        <v>73</v>
      </c>
      <c r="M283">
        <v>18</v>
      </c>
      <c r="N283" t="str">
        <f>IF(Table13[[#This Row],[Price USD]]&lt;20,"Budget",IF(Table13[[#This Row],[Price USD]]&lt;=50,"Mid-range","Premium"))</f>
        <v>Budget</v>
      </c>
      <c r="O283">
        <v>0</v>
      </c>
      <c r="P283">
        <v>0</v>
      </c>
    </row>
    <row r="284" spans="1:16" x14ac:dyDescent="0.25">
      <c r="A284" t="s">
        <v>1368</v>
      </c>
      <c r="B284" t="s">
        <v>1369</v>
      </c>
      <c r="C284">
        <v>6341</v>
      </c>
      <c r="D284" t="s">
        <v>66</v>
      </c>
      <c r="E284" t="s">
        <v>13</v>
      </c>
      <c r="F284">
        <v>24652</v>
      </c>
      <c r="G2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4">
        <v>4.1369999999999996</v>
      </c>
      <c r="J284" t="str">
        <f>IF(ISBLANK(Table13[[#This Row],[Rating]]), "No", "Yes")</f>
        <v>Yes</v>
      </c>
      <c r="K284" t="str">
        <f>IF(ISBLANK(Table13[[#This Row],[Rating]]), "Not Rated", IF(Table13[[#This Row],[Rating]] &lt; 3, "Low", IF(Table13[[#This Row],[Rating]] &lt; 4, "Medium", "High")))</f>
        <v>High</v>
      </c>
      <c r="L284">
        <v>73</v>
      </c>
      <c r="M284">
        <v>15</v>
      </c>
      <c r="N284" t="str">
        <f>IF(Table13[[#This Row],[Price USD]]&lt;20,"Budget",IF(Table13[[#This Row],[Price USD]]&lt;=50,"Mid-range","Premium"))</f>
        <v>Budget</v>
      </c>
      <c r="O284">
        <v>0</v>
      </c>
      <c r="P284">
        <v>0</v>
      </c>
    </row>
    <row r="285" spans="1:16" x14ac:dyDescent="0.25">
      <c r="A285" t="s">
        <v>2454</v>
      </c>
      <c r="B285" t="s">
        <v>2455</v>
      </c>
      <c r="C285">
        <v>6289</v>
      </c>
      <c r="D285" t="s">
        <v>111</v>
      </c>
      <c r="E285" t="s">
        <v>220</v>
      </c>
      <c r="F285">
        <v>10557</v>
      </c>
      <c r="G2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5">
        <v>4.7161999999999997</v>
      </c>
      <c r="J285" t="str">
        <f>IF(ISBLANK(Table13[[#This Row],[Rating]]), "No", "Yes")</f>
        <v>Yes</v>
      </c>
      <c r="K285" t="str">
        <f>IF(ISBLANK(Table13[[#This Row],[Rating]]), "Not Rated", IF(Table13[[#This Row],[Rating]] &lt; 3, "Low", IF(Table13[[#This Row],[Rating]] &lt; 4, "Medium", "High")))</f>
        <v>High</v>
      </c>
      <c r="L285">
        <v>74</v>
      </c>
      <c r="M285">
        <v>40</v>
      </c>
      <c r="N285" t="str">
        <f>IF(Table13[[#This Row],[Price USD]]&lt;20,"Budget",IF(Table13[[#This Row],[Price USD]]&lt;=50,"Mid-range","Premium"))</f>
        <v>Mid-range</v>
      </c>
      <c r="O285">
        <v>0</v>
      </c>
      <c r="P285">
        <v>0</v>
      </c>
    </row>
    <row r="286" spans="1:16" x14ac:dyDescent="0.25">
      <c r="A286" t="s">
        <v>1552</v>
      </c>
      <c r="B286" t="s">
        <v>1553</v>
      </c>
      <c r="C286">
        <v>6234</v>
      </c>
      <c r="D286" t="s">
        <v>7</v>
      </c>
      <c r="E286" t="s">
        <v>21</v>
      </c>
      <c r="F286">
        <v>21125</v>
      </c>
      <c r="G2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6">
        <v>4.1891999999999996</v>
      </c>
      <c r="J286" t="str">
        <f>IF(ISBLANK(Table13[[#This Row],[Rating]]), "No", "Yes")</f>
        <v>Yes</v>
      </c>
      <c r="K286" t="str">
        <f>IF(ISBLANK(Table13[[#This Row],[Rating]]), "Not Rated", IF(Table13[[#This Row],[Rating]] &lt; 3, "Low", IF(Table13[[#This Row],[Rating]] &lt; 4, "Medium", "High")))</f>
        <v>High</v>
      </c>
      <c r="L286">
        <v>74</v>
      </c>
      <c r="M286">
        <v>8.5</v>
      </c>
      <c r="N286" t="str">
        <f>IF(Table13[[#This Row],[Price USD]]&lt;20,"Budget",IF(Table13[[#This Row],[Price USD]]&lt;=50,"Mid-range","Premium"))</f>
        <v>Budget</v>
      </c>
      <c r="O286">
        <v>0</v>
      </c>
      <c r="P286">
        <v>1</v>
      </c>
    </row>
    <row r="287" spans="1:16" x14ac:dyDescent="0.25">
      <c r="A287" t="s">
        <v>1313</v>
      </c>
      <c r="B287" t="s">
        <v>1314</v>
      </c>
      <c r="C287">
        <v>8008</v>
      </c>
      <c r="D287" t="s">
        <v>105</v>
      </c>
      <c r="E287" t="s">
        <v>220</v>
      </c>
      <c r="F287">
        <v>26141</v>
      </c>
      <c r="G2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7">
        <v>4.0945999999999998</v>
      </c>
      <c r="J287" t="str">
        <f>IF(ISBLANK(Table13[[#This Row],[Rating]]), "No", "Yes")</f>
        <v>Yes</v>
      </c>
      <c r="K287" t="str">
        <f>IF(ISBLANK(Table13[[#This Row],[Rating]]), "Not Rated", IF(Table13[[#This Row],[Rating]] &lt; 3, "Low", IF(Table13[[#This Row],[Rating]] &lt; 4, "Medium", "High")))</f>
        <v>High</v>
      </c>
      <c r="L287">
        <v>74</v>
      </c>
      <c r="M287">
        <v>30</v>
      </c>
      <c r="N287" t="str">
        <f>IF(Table13[[#This Row],[Price USD]]&lt;20,"Budget",IF(Table13[[#This Row],[Price USD]]&lt;=50,"Mid-range","Premium"))</f>
        <v>Mid-range</v>
      </c>
      <c r="O287">
        <v>0</v>
      </c>
      <c r="P287">
        <v>0</v>
      </c>
    </row>
    <row r="288" spans="1:16" x14ac:dyDescent="0.25">
      <c r="A288" t="s">
        <v>2436</v>
      </c>
      <c r="B288" t="s">
        <v>2437</v>
      </c>
      <c r="C288">
        <v>8017</v>
      </c>
      <c r="D288" t="s">
        <v>620</v>
      </c>
      <c r="E288" t="s">
        <v>149</v>
      </c>
      <c r="F288">
        <v>10678</v>
      </c>
      <c r="G2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8">
        <v>3.24</v>
      </c>
      <c r="J288" t="str">
        <f>IF(ISBLANK(Table13[[#This Row],[Rating]]), "No", "Yes")</f>
        <v>Yes</v>
      </c>
      <c r="K288" t="str">
        <f>IF(ISBLANK(Table13[[#This Row],[Rating]]), "Not Rated", IF(Table13[[#This Row],[Rating]] &lt; 3, "Low", IF(Table13[[#This Row],[Rating]] &lt; 4, "Medium", "High")))</f>
        <v>Medium</v>
      </c>
      <c r="L288">
        <v>75</v>
      </c>
      <c r="M288">
        <v>18</v>
      </c>
      <c r="N288" t="str">
        <f>IF(Table13[[#This Row],[Price USD]]&lt;20,"Budget",IF(Table13[[#This Row],[Price USD]]&lt;=50,"Mid-range","Premium"))</f>
        <v>Budget</v>
      </c>
      <c r="O288">
        <v>0</v>
      </c>
      <c r="P288">
        <v>0</v>
      </c>
    </row>
    <row r="289" spans="1:16" x14ac:dyDescent="0.25">
      <c r="A289" t="s">
        <v>2354</v>
      </c>
      <c r="B289" t="s">
        <v>2355</v>
      </c>
      <c r="C289">
        <v>7020</v>
      </c>
      <c r="D289" t="s">
        <v>657</v>
      </c>
      <c r="E289" t="s">
        <v>21</v>
      </c>
      <c r="F289">
        <v>11417</v>
      </c>
      <c r="G2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89">
        <v>4.2</v>
      </c>
      <c r="J289" t="str">
        <f>IF(ISBLANK(Table13[[#This Row],[Rating]]), "No", "Yes")</f>
        <v>Yes</v>
      </c>
      <c r="K289" t="str">
        <f>IF(ISBLANK(Table13[[#This Row],[Rating]]), "Not Rated", IF(Table13[[#This Row],[Rating]] &lt; 3, "Low", IF(Table13[[#This Row],[Rating]] &lt; 4, "Medium", "High")))</f>
        <v>High</v>
      </c>
      <c r="L289">
        <v>75</v>
      </c>
      <c r="M289">
        <v>165</v>
      </c>
      <c r="N289" t="str">
        <f>IF(Table13[[#This Row],[Price USD]]&lt;20,"Budget",IF(Table13[[#This Row],[Price USD]]&lt;=50,"Mid-range","Premium"))</f>
        <v>Premium</v>
      </c>
      <c r="O289">
        <v>0</v>
      </c>
      <c r="P289">
        <v>0</v>
      </c>
    </row>
    <row r="290" spans="1:16" x14ac:dyDescent="0.25">
      <c r="A290" t="s">
        <v>1839</v>
      </c>
      <c r="B290" t="s">
        <v>1840</v>
      </c>
      <c r="C290">
        <v>4348</v>
      </c>
      <c r="D290" t="s">
        <v>61</v>
      </c>
      <c r="E290" t="s">
        <v>144</v>
      </c>
      <c r="F290">
        <v>16661</v>
      </c>
      <c r="G2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0">
        <v>3.7732999999999999</v>
      </c>
      <c r="J290" t="str">
        <f>IF(ISBLANK(Table13[[#This Row],[Rating]]), "No", "Yes")</f>
        <v>Yes</v>
      </c>
      <c r="K290" t="str">
        <f>IF(ISBLANK(Table13[[#This Row],[Rating]]), "Not Rated", IF(Table13[[#This Row],[Rating]] &lt; 3, "Low", IF(Table13[[#This Row],[Rating]] &lt; 4, "Medium", "High")))</f>
        <v>Medium</v>
      </c>
      <c r="L290">
        <v>75</v>
      </c>
      <c r="M290">
        <v>21</v>
      </c>
      <c r="N290" t="str">
        <f>IF(Table13[[#This Row],[Price USD]]&lt;20,"Budget",IF(Table13[[#This Row],[Price USD]]&lt;=50,"Mid-range","Premium"))</f>
        <v>Mid-range</v>
      </c>
      <c r="O290">
        <v>0</v>
      </c>
      <c r="P290">
        <v>0</v>
      </c>
    </row>
    <row r="291" spans="1:16" x14ac:dyDescent="0.25">
      <c r="A291" t="s">
        <v>1669</v>
      </c>
      <c r="B291" t="s">
        <v>1670</v>
      </c>
      <c r="C291">
        <v>6256</v>
      </c>
      <c r="D291" t="s">
        <v>346</v>
      </c>
      <c r="E291" t="s">
        <v>201</v>
      </c>
      <c r="F291">
        <v>18840</v>
      </c>
      <c r="G2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1">
        <v>4</v>
      </c>
      <c r="J291" t="str">
        <f>IF(ISBLANK(Table13[[#This Row],[Rating]]), "No", "Yes")</f>
        <v>Yes</v>
      </c>
      <c r="K291" t="str">
        <f>IF(ISBLANK(Table13[[#This Row],[Rating]]), "Not Rated", IF(Table13[[#This Row],[Rating]] &lt; 3, "Low", IF(Table13[[#This Row],[Rating]] &lt; 4, "Medium", "High")))</f>
        <v>High</v>
      </c>
      <c r="L291">
        <v>75</v>
      </c>
      <c r="M291">
        <v>40</v>
      </c>
      <c r="N291" t="str">
        <f>IF(Table13[[#This Row],[Price USD]]&lt;20,"Budget",IF(Table13[[#This Row],[Price USD]]&lt;=50,"Mid-range","Premium"))</f>
        <v>Mid-range</v>
      </c>
      <c r="O291">
        <v>0</v>
      </c>
      <c r="P291">
        <v>0</v>
      </c>
    </row>
    <row r="292" spans="1:16" x14ac:dyDescent="0.25">
      <c r="A292" t="s">
        <v>1049</v>
      </c>
      <c r="B292" t="s">
        <v>1050</v>
      </c>
      <c r="C292">
        <v>3902</v>
      </c>
      <c r="D292" t="s">
        <v>72</v>
      </c>
      <c r="E292" t="s">
        <v>347</v>
      </c>
      <c r="F292">
        <v>34580</v>
      </c>
      <c r="G2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2">
        <v>3.44</v>
      </c>
      <c r="J292" t="str">
        <f>IF(ISBLANK(Table13[[#This Row],[Rating]]), "No", "Yes")</f>
        <v>Yes</v>
      </c>
      <c r="K292" t="str">
        <f>IF(ISBLANK(Table13[[#This Row],[Rating]]), "Not Rated", IF(Table13[[#This Row],[Rating]] &lt; 3, "Low", IF(Table13[[#This Row],[Rating]] &lt; 4, "Medium", "High")))</f>
        <v>Medium</v>
      </c>
      <c r="L292">
        <v>75</v>
      </c>
      <c r="M292">
        <v>12</v>
      </c>
      <c r="N292" t="str">
        <f>IF(Table13[[#This Row],[Price USD]]&lt;20,"Budget",IF(Table13[[#This Row],[Price USD]]&lt;=50,"Mid-range","Premium"))</f>
        <v>Budget</v>
      </c>
      <c r="O292">
        <v>0</v>
      </c>
      <c r="P292">
        <v>0</v>
      </c>
    </row>
    <row r="293" spans="1:16" x14ac:dyDescent="0.25">
      <c r="A293" t="s">
        <v>1164</v>
      </c>
      <c r="B293" t="s">
        <v>1165</v>
      </c>
      <c r="C293">
        <v>6235</v>
      </c>
      <c r="D293" t="s">
        <v>1166</v>
      </c>
      <c r="E293" t="s">
        <v>149</v>
      </c>
      <c r="F293">
        <v>30543</v>
      </c>
      <c r="G2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3">
        <v>3.6842000000000001</v>
      </c>
      <c r="J293" t="str">
        <f>IF(ISBLANK(Table13[[#This Row],[Rating]]), "No", "Yes")</f>
        <v>Yes</v>
      </c>
      <c r="K293" t="str">
        <f>IF(ISBLANK(Table13[[#This Row],[Rating]]), "Not Rated", IF(Table13[[#This Row],[Rating]] &lt; 3, "Low", IF(Table13[[#This Row],[Rating]] &lt; 4, "Medium", "High")))</f>
        <v>Medium</v>
      </c>
      <c r="L293">
        <v>76</v>
      </c>
      <c r="M293">
        <v>20</v>
      </c>
      <c r="N293" t="str">
        <f>IF(Table13[[#This Row],[Price USD]]&lt;20,"Budget",IF(Table13[[#This Row],[Price USD]]&lt;=50,"Mid-range","Premium"))</f>
        <v>Mid-range</v>
      </c>
      <c r="O293">
        <v>0</v>
      </c>
      <c r="P293">
        <v>0</v>
      </c>
    </row>
    <row r="294" spans="1:16" x14ac:dyDescent="0.25">
      <c r="A294" t="s">
        <v>2495</v>
      </c>
      <c r="B294" t="s">
        <v>2496</v>
      </c>
      <c r="C294">
        <v>6114</v>
      </c>
      <c r="D294" t="s">
        <v>1355</v>
      </c>
      <c r="E294" t="s">
        <v>347</v>
      </c>
      <c r="F294">
        <v>10303</v>
      </c>
      <c r="G2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4">
        <v>4.6494</v>
      </c>
      <c r="J294" t="str">
        <f>IF(ISBLANK(Table13[[#This Row],[Rating]]), "No", "Yes")</f>
        <v>Yes</v>
      </c>
      <c r="K294" t="str">
        <f>IF(ISBLANK(Table13[[#This Row],[Rating]]), "Not Rated", IF(Table13[[#This Row],[Rating]] &lt; 3, "Low", IF(Table13[[#This Row],[Rating]] &lt; 4, "Medium", "High")))</f>
        <v>High</v>
      </c>
      <c r="L294">
        <v>77</v>
      </c>
      <c r="M294">
        <v>159</v>
      </c>
      <c r="N294" t="str">
        <f>IF(Table13[[#This Row],[Price USD]]&lt;20,"Budget",IF(Table13[[#This Row],[Price USD]]&lt;=50,"Mid-range","Premium"))</f>
        <v>Premium</v>
      </c>
      <c r="O294">
        <v>0</v>
      </c>
      <c r="P294">
        <v>0</v>
      </c>
    </row>
    <row r="295" spans="1:16" x14ac:dyDescent="0.25">
      <c r="A295" t="s">
        <v>2222</v>
      </c>
      <c r="B295" t="s">
        <v>2223</v>
      </c>
      <c r="C295">
        <v>7091</v>
      </c>
      <c r="D295" t="s">
        <v>879</v>
      </c>
      <c r="E295" t="s">
        <v>49</v>
      </c>
      <c r="F295">
        <v>12498</v>
      </c>
      <c r="G2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5">
        <v>4.3635999999999999</v>
      </c>
      <c r="J295" t="str">
        <f>IF(ISBLANK(Table13[[#This Row],[Rating]]), "No", "Yes")</f>
        <v>Yes</v>
      </c>
      <c r="K295" t="str">
        <f>IF(ISBLANK(Table13[[#This Row],[Rating]]), "Not Rated", IF(Table13[[#This Row],[Rating]] &lt; 3, "Low", IF(Table13[[#This Row],[Rating]] &lt; 4, "Medium", "High")))</f>
        <v>High</v>
      </c>
      <c r="L295">
        <v>77</v>
      </c>
      <c r="M295">
        <v>28</v>
      </c>
      <c r="N295" t="str">
        <f>IF(Table13[[#This Row],[Price USD]]&lt;20,"Budget",IF(Table13[[#This Row],[Price USD]]&lt;=50,"Mid-range","Premium"))</f>
        <v>Mid-range</v>
      </c>
      <c r="O295">
        <v>0</v>
      </c>
      <c r="P295">
        <v>0</v>
      </c>
    </row>
    <row r="296" spans="1:16" x14ac:dyDescent="0.25">
      <c r="A296" t="s">
        <v>2154</v>
      </c>
      <c r="B296" t="s">
        <v>2155</v>
      </c>
      <c r="C296">
        <v>5972</v>
      </c>
      <c r="D296" t="s">
        <v>54</v>
      </c>
      <c r="E296" t="s">
        <v>8</v>
      </c>
      <c r="F296">
        <v>13002</v>
      </c>
      <c r="G2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6">
        <v>4.2857000000000003</v>
      </c>
      <c r="J296" t="str">
        <f>IF(ISBLANK(Table13[[#This Row],[Rating]]), "No", "Yes")</f>
        <v>Yes</v>
      </c>
      <c r="K296" t="str">
        <f>IF(ISBLANK(Table13[[#This Row],[Rating]]), "Not Rated", IF(Table13[[#This Row],[Rating]] &lt; 3, "Low", IF(Table13[[#This Row],[Rating]] &lt; 4, "Medium", "High")))</f>
        <v>High</v>
      </c>
      <c r="L296">
        <v>77</v>
      </c>
      <c r="M296">
        <v>26</v>
      </c>
      <c r="N296" t="str">
        <f>IF(Table13[[#This Row],[Price USD]]&lt;20,"Budget",IF(Table13[[#This Row],[Price USD]]&lt;=50,"Mid-range","Premium"))</f>
        <v>Mid-range</v>
      </c>
      <c r="O296">
        <v>0</v>
      </c>
      <c r="P296">
        <v>0</v>
      </c>
    </row>
    <row r="297" spans="1:16" x14ac:dyDescent="0.25">
      <c r="A297" t="s">
        <v>2085</v>
      </c>
      <c r="B297" t="s">
        <v>2086</v>
      </c>
      <c r="C297">
        <v>6285</v>
      </c>
      <c r="D297" t="s">
        <v>119</v>
      </c>
      <c r="E297" t="s">
        <v>8</v>
      </c>
      <c r="F297">
        <v>13720</v>
      </c>
      <c r="G2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7">
        <v>4.1558000000000002</v>
      </c>
      <c r="J297" t="str">
        <f>IF(ISBLANK(Table13[[#This Row],[Rating]]), "No", "Yes")</f>
        <v>Yes</v>
      </c>
      <c r="K297" t="str">
        <f>IF(ISBLANK(Table13[[#This Row],[Rating]]), "Not Rated", IF(Table13[[#This Row],[Rating]] &lt; 3, "Low", IF(Table13[[#This Row],[Rating]] &lt; 4, "Medium", "High")))</f>
        <v>High</v>
      </c>
      <c r="L297">
        <v>77</v>
      </c>
      <c r="M297">
        <v>24.99</v>
      </c>
      <c r="N297" t="str">
        <f>IF(Table13[[#This Row],[Price USD]]&lt;20,"Budget",IF(Table13[[#This Row],[Price USD]]&lt;=50,"Mid-range","Premium"))</f>
        <v>Mid-range</v>
      </c>
      <c r="O297">
        <v>0</v>
      </c>
      <c r="P297">
        <v>0</v>
      </c>
    </row>
    <row r="298" spans="1:16" x14ac:dyDescent="0.25">
      <c r="A298" t="s">
        <v>2129</v>
      </c>
      <c r="B298" t="s">
        <v>2130</v>
      </c>
      <c r="C298">
        <v>5337</v>
      </c>
      <c r="D298" t="s">
        <v>209</v>
      </c>
      <c r="E298" t="s">
        <v>69</v>
      </c>
      <c r="F298">
        <v>13301</v>
      </c>
      <c r="G2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8">
        <v>4.2531999999999996</v>
      </c>
      <c r="J298" t="str">
        <f>IF(ISBLANK(Table13[[#This Row],[Rating]]), "No", "Yes")</f>
        <v>Yes</v>
      </c>
      <c r="K298" t="str">
        <f>IF(ISBLANK(Table13[[#This Row],[Rating]]), "Not Rated", IF(Table13[[#This Row],[Rating]] &lt; 3, "Low", IF(Table13[[#This Row],[Rating]] &lt; 4, "Medium", "High")))</f>
        <v>High</v>
      </c>
      <c r="L298">
        <v>79</v>
      </c>
      <c r="M298">
        <v>72</v>
      </c>
      <c r="N298" t="str">
        <f>IF(Table13[[#This Row],[Price USD]]&lt;20,"Budget",IF(Table13[[#This Row],[Price USD]]&lt;=50,"Mid-range","Premium"))</f>
        <v>Premium</v>
      </c>
      <c r="O298">
        <v>0</v>
      </c>
      <c r="P298">
        <v>0</v>
      </c>
    </row>
    <row r="299" spans="1:16" x14ac:dyDescent="0.25">
      <c r="A299" t="s">
        <v>2147</v>
      </c>
      <c r="B299" t="s">
        <v>2148</v>
      </c>
      <c r="C299">
        <v>8017</v>
      </c>
      <c r="D299" t="s">
        <v>620</v>
      </c>
      <c r="E299" t="s">
        <v>13</v>
      </c>
      <c r="F299">
        <v>13045</v>
      </c>
      <c r="G2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2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299">
        <v>3.7625000000000002</v>
      </c>
      <c r="J299" t="str">
        <f>IF(ISBLANK(Table13[[#This Row],[Rating]]), "No", "Yes")</f>
        <v>Yes</v>
      </c>
      <c r="K299" t="str">
        <f>IF(ISBLANK(Table13[[#This Row],[Rating]]), "Not Rated", IF(Table13[[#This Row],[Rating]] &lt; 3, "Low", IF(Table13[[#This Row],[Rating]] &lt; 4, "Medium", "High")))</f>
        <v>Medium</v>
      </c>
      <c r="L299">
        <v>80</v>
      </c>
      <c r="M299">
        <v>15</v>
      </c>
      <c r="N299" t="str">
        <f>IF(Table13[[#This Row],[Price USD]]&lt;20,"Budget",IF(Table13[[#This Row],[Price USD]]&lt;=50,"Mid-range","Premium"))</f>
        <v>Budget</v>
      </c>
      <c r="O299">
        <v>0</v>
      </c>
      <c r="P299">
        <v>0</v>
      </c>
    </row>
    <row r="300" spans="1:16" x14ac:dyDescent="0.25">
      <c r="A300" t="s">
        <v>2370</v>
      </c>
      <c r="B300" t="s">
        <v>2371</v>
      </c>
      <c r="C300">
        <v>6169</v>
      </c>
      <c r="D300" t="s">
        <v>24</v>
      </c>
      <c r="E300" t="s">
        <v>13</v>
      </c>
      <c r="F300">
        <v>11299</v>
      </c>
      <c r="G3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0">
        <v>4.5926</v>
      </c>
      <c r="J300" t="str">
        <f>IF(ISBLANK(Table13[[#This Row],[Rating]]), "No", "Yes")</f>
        <v>Yes</v>
      </c>
      <c r="K300" t="str">
        <f>IF(ISBLANK(Table13[[#This Row],[Rating]]), "Not Rated", IF(Table13[[#This Row],[Rating]] &lt; 3, "Low", IF(Table13[[#This Row],[Rating]] &lt; 4, "Medium", "High")))</f>
        <v>High</v>
      </c>
      <c r="L300">
        <v>81</v>
      </c>
      <c r="M300">
        <v>42</v>
      </c>
      <c r="N300" t="str">
        <f>IF(Table13[[#This Row],[Price USD]]&lt;20,"Budget",IF(Table13[[#This Row],[Price USD]]&lt;=50,"Mid-range","Premium"))</f>
        <v>Mid-range</v>
      </c>
      <c r="O300">
        <v>0</v>
      </c>
      <c r="P300">
        <v>0</v>
      </c>
    </row>
    <row r="301" spans="1:16" x14ac:dyDescent="0.25">
      <c r="A301" t="s">
        <v>1788</v>
      </c>
      <c r="B301" t="s">
        <v>1789</v>
      </c>
      <c r="C301">
        <v>6218</v>
      </c>
      <c r="D301" t="s">
        <v>116</v>
      </c>
      <c r="E301" t="s">
        <v>13</v>
      </c>
      <c r="F301">
        <v>17152</v>
      </c>
      <c r="G3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1">
        <v>4.6173000000000002</v>
      </c>
      <c r="J301" t="str">
        <f>IF(ISBLANK(Table13[[#This Row],[Rating]]), "No", "Yes")</f>
        <v>Yes</v>
      </c>
      <c r="K301" t="str">
        <f>IF(ISBLANK(Table13[[#This Row],[Rating]]), "Not Rated", IF(Table13[[#This Row],[Rating]] &lt; 3, "Low", IF(Table13[[#This Row],[Rating]] &lt; 4, "Medium", "High")))</f>
        <v>High</v>
      </c>
      <c r="L301">
        <v>81</v>
      </c>
      <c r="M301">
        <v>46</v>
      </c>
      <c r="N301" t="str">
        <f>IF(Table13[[#This Row],[Price USD]]&lt;20,"Budget",IF(Table13[[#This Row],[Price USD]]&lt;=50,"Mid-range","Premium"))</f>
        <v>Mid-range</v>
      </c>
      <c r="O301">
        <v>0</v>
      </c>
      <c r="P301">
        <v>0</v>
      </c>
    </row>
    <row r="302" spans="1:16" x14ac:dyDescent="0.25">
      <c r="A302" t="s">
        <v>1493</v>
      </c>
      <c r="B302" t="s">
        <v>1494</v>
      </c>
      <c r="C302">
        <v>5674</v>
      </c>
      <c r="D302" t="s">
        <v>141</v>
      </c>
      <c r="E302" t="s">
        <v>220</v>
      </c>
      <c r="F302">
        <v>22166</v>
      </c>
      <c r="G3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2">
        <v>4.2346000000000004</v>
      </c>
      <c r="J302" t="str">
        <f>IF(ISBLANK(Table13[[#This Row],[Rating]]), "No", "Yes")</f>
        <v>Yes</v>
      </c>
      <c r="K302" t="str">
        <f>IF(ISBLANK(Table13[[#This Row],[Rating]]), "Not Rated", IF(Table13[[#This Row],[Rating]] &lt; 3, "Low", IF(Table13[[#This Row],[Rating]] &lt; 4, "Medium", "High")))</f>
        <v>High</v>
      </c>
      <c r="L302">
        <v>81</v>
      </c>
      <c r="M302">
        <v>65</v>
      </c>
      <c r="N302" t="str">
        <f>IF(Table13[[#This Row],[Price USD]]&lt;20,"Budget",IF(Table13[[#This Row],[Price USD]]&lt;=50,"Mid-range","Premium"))</f>
        <v>Premium</v>
      </c>
      <c r="O302">
        <v>0</v>
      </c>
      <c r="P302">
        <v>0</v>
      </c>
    </row>
    <row r="303" spans="1:16" x14ac:dyDescent="0.25">
      <c r="A303" t="s">
        <v>1271</v>
      </c>
      <c r="B303" t="s">
        <v>1272</v>
      </c>
      <c r="C303">
        <v>6041</v>
      </c>
      <c r="D303" t="s">
        <v>33</v>
      </c>
      <c r="E303" t="s">
        <v>69</v>
      </c>
      <c r="F303">
        <v>27298</v>
      </c>
      <c r="G3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3">
        <v>4.4074</v>
      </c>
      <c r="J303" t="str">
        <f>IF(ISBLANK(Table13[[#This Row],[Rating]]), "No", "Yes")</f>
        <v>Yes</v>
      </c>
      <c r="K303" t="str">
        <f>IF(ISBLANK(Table13[[#This Row],[Rating]]), "Not Rated", IF(Table13[[#This Row],[Rating]] &lt; 3, "Low", IF(Table13[[#This Row],[Rating]] &lt; 4, "Medium", "High")))</f>
        <v>High</v>
      </c>
      <c r="L303">
        <v>81</v>
      </c>
      <c r="M303">
        <v>95</v>
      </c>
      <c r="N303" t="str">
        <f>IF(Table13[[#This Row],[Price USD]]&lt;20,"Budget",IF(Table13[[#This Row],[Price USD]]&lt;=50,"Mid-range","Premium"))</f>
        <v>Premium</v>
      </c>
      <c r="O303">
        <v>0</v>
      </c>
      <c r="P303">
        <v>0</v>
      </c>
    </row>
    <row r="304" spans="1:16" x14ac:dyDescent="0.25">
      <c r="A304" t="s">
        <v>2513</v>
      </c>
      <c r="B304" t="s">
        <v>2514</v>
      </c>
      <c r="C304">
        <v>5972</v>
      </c>
      <c r="D304" t="s">
        <v>54</v>
      </c>
      <c r="E304" t="s">
        <v>220</v>
      </c>
      <c r="F304">
        <v>10231</v>
      </c>
      <c r="G3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4">
        <v>4.5853999999999999</v>
      </c>
      <c r="J304" t="str">
        <f>IF(ISBLANK(Table13[[#This Row],[Rating]]), "No", "Yes")</f>
        <v>Yes</v>
      </c>
      <c r="K304" t="str">
        <f>IF(ISBLANK(Table13[[#This Row],[Rating]]), "Not Rated", IF(Table13[[#This Row],[Rating]] &lt; 3, "Low", IF(Table13[[#This Row],[Rating]] &lt; 4, "Medium", "High")))</f>
        <v>High</v>
      </c>
      <c r="L304">
        <v>82</v>
      </c>
      <c r="M304">
        <v>30</v>
      </c>
      <c r="N304" t="str">
        <f>IF(Table13[[#This Row],[Price USD]]&lt;20,"Budget",IF(Table13[[#This Row],[Price USD]]&lt;=50,"Mid-range","Premium"))</f>
        <v>Mid-range</v>
      </c>
      <c r="O304">
        <v>0</v>
      </c>
      <c r="P304">
        <v>1</v>
      </c>
    </row>
    <row r="305" spans="1:16" x14ac:dyDescent="0.25">
      <c r="A305" t="s">
        <v>1922</v>
      </c>
      <c r="B305" t="s">
        <v>1923</v>
      </c>
      <c r="C305">
        <v>6272</v>
      </c>
      <c r="D305" t="s">
        <v>1711</v>
      </c>
      <c r="E305" t="s">
        <v>4</v>
      </c>
      <c r="F305">
        <v>15560</v>
      </c>
      <c r="G3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5">
        <v>3.4268000000000001</v>
      </c>
      <c r="J305" t="str">
        <f>IF(ISBLANK(Table13[[#This Row],[Rating]]), "No", "Yes")</f>
        <v>Yes</v>
      </c>
      <c r="K305" t="str">
        <f>IF(ISBLANK(Table13[[#This Row],[Rating]]), "Not Rated", IF(Table13[[#This Row],[Rating]] &lt; 3, "Low", IF(Table13[[#This Row],[Rating]] &lt; 4, "Medium", "High")))</f>
        <v>Medium</v>
      </c>
      <c r="L305">
        <v>82</v>
      </c>
      <c r="M305">
        <v>39</v>
      </c>
      <c r="N305" t="str">
        <f>IF(Table13[[#This Row],[Price USD]]&lt;20,"Budget",IF(Table13[[#This Row],[Price USD]]&lt;=50,"Mid-range","Premium"))</f>
        <v>Mid-range</v>
      </c>
      <c r="O305">
        <v>0</v>
      </c>
      <c r="P305">
        <v>0</v>
      </c>
    </row>
    <row r="306" spans="1:16" x14ac:dyDescent="0.25">
      <c r="A306" t="s">
        <v>1169</v>
      </c>
      <c r="B306" t="s">
        <v>1170</v>
      </c>
      <c r="C306">
        <v>6084</v>
      </c>
      <c r="D306" t="s">
        <v>269</v>
      </c>
      <c r="E306" t="s">
        <v>220</v>
      </c>
      <c r="F306">
        <v>30424</v>
      </c>
      <c r="G3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6">
        <v>3.9146000000000001</v>
      </c>
      <c r="J306" t="str">
        <f>IF(ISBLANK(Table13[[#This Row],[Rating]]), "No", "Yes")</f>
        <v>Yes</v>
      </c>
      <c r="K306" t="str">
        <f>IF(ISBLANK(Table13[[#This Row],[Rating]]), "Not Rated", IF(Table13[[#This Row],[Rating]] &lt; 3, "Low", IF(Table13[[#This Row],[Rating]] &lt; 4, "Medium", "High")))</f>
        <v>Medium</v>
      </c>
      <c r="L306">
        <v>82</v>
      </c>
      <c r="M306">
        <v>99</v>
      </c>
      <c r="N306" t="str">
        <f>IF(Table13[[#This Row],[Price USD]]&lt;20,"Budget",IF(Table13[[#This Row],[Price USD]]&lt;=50,"Mid-range","Premium"))</f>
        <v>Premium</v>
      </c>
      <c r="O306">
        <v>0</v>
      </c>
      <c r="P306">
        <v>0</v>
      </c>
    </row>
    <row r="307" spans="1:16" x14ac:dyDescent="0.25">
      <c r="A307" t="s">
        <v>2487</v>
      </c>
      <c r="B307" t="s">
        <v>2488</v>
      </c>
      <c r="C307">
        <v>6218</v>
      </c>
      <c r="D307" t="s">
        <v>116</v>
      </c>
      <c r="E307" t="s">
        <v>21</v>
      </c>
      <c r="F307">
        <v>10346</v>
      </c>
      <c r="G3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7">
        <v>3.7143000000000002</v>
      </c>
      <c r="J307" t="str">
        <f>IF(ISBLANK(Table13[[#This Row],[Rating]]), "No", "Yes")</f>
        <v>Yes</v>
      </c>
      <c r="K307" t="str">
        <f>IF(ISBLANK(Table13[[#This Row],[Rating]]), "Not Rated", IF(Table13[[#This Row],[Rating]] &lt; 3, "Low", IF(Table13[[#This Row],[Rating]] &lt; 4, "Medium", "High")))</f>
        <v>Medium</v>
      </c>
      <c r="L307">
        <v>84</v>
      </c>
      <c r="M307">
        <v>38</v>
      </c>
      <c r="N307" t="str">
        <f>IF(Table13[[#This Row],[Price USD]]&lt;20,"Budget",IF(Table13[[#This Row],[Price USD]]&lt;=50,"Mid-range","Premium"))</f>
        <v>Mid-range</v>
      </c>
      <c r="O307">
        <v>0</v>
      </c>
      <c r="P307">
        <v>0</v>
      </c>
    </row>
    <row r="308" spans="1:16" x14ac:dyDescent="0.25">
      <c r="A308" t="s">
        <v>1709</v>
      </c>
      <c r="B308" t="s">
        <v>1710</v>
      </c>
      <c r="C308">
        <v>6272</v>
      </c>
      <c r="D308" t="s">
        <v>1711</v>
      </c>
      <c r="E308" t="s">
        <v>201</v>
      </c>
      <c r="F308">
        <v>18126</v>
      </c>
      <c r="G3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8">
        <v>4.5833000000000004</v>
      </c>
      <c r="J308" t="str">
        <f>IF(ISBLANK(Table13[[#This Row],[Rating]]), "No", "Yes")</f>
        <v>Yes</v>
      </c>
      <c r="K308" t="str">
        <f>IF(ISBLANK(Table13[[#This Row],[Rating]]), "Not Rated", IF(Table13[[#This Row],[Rating]] &lt; 3, "Low", IF(Table13[[#This Row],[Rating]] &lt; 4, "Medium", "High")))</f>
        <v>High</v>
      </c>
      <c r="L308">
        <v>84</v>
      </c>
      <c r="M308">
        <v>65</v>
      </c>
      <c r="N308" t="str">
        <f>IF(Table13[[#This Row],[Price USD]]&lt;20,"Budget",IF(Table13[[#This Row],[Price USD]]&lt;=50,"Mid-range","Premium"))</f>
        <v>Premium</v>
      </c>
      <c r="O308">
        <v>0</v>
      </c>
      <c r="P308">
        <v>0</v>
      </c>
    </row>
    <row r="309" spans="1:16" x14ac:dyDescent="0.25">
      <c r="A309" t="s">
        <v>1124</v>
      </c>
      <c r="B309" t="s">
        <v>1125</v>
      </c>
      <c r="C309">
        <v>7083</v>
      </c>
      <c r="D309" t="s">
        <v>20</v>
      </c>
      <c r="E309" t="s">
        <v>144</v>
      </c>
      <c r="F309">
        <v>31898</v>
      </c>
      <c r="G3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09">
        <v>4</v>
      </c>
      <c r="J309" t="str">
        <f>IF(ISBLANK(Table13[[#This Row],[Rating]]), "No", "Yes")</f>
        <v>Yes</v>
      </c>
      <c r="K309" t="str">
        <f>IF(ISBLANK(Table13[[#This Row],[Rating]]), "Not Rated", IF(Table13[[#This Row],[Rating]] &lt; 3, "Low", IF(Table13[[#This Row],[Rating]] &lt; 4, "Medium", "High")))</f>
        <v>High</v>
      </c>
      <c r="L309">
        <v>84</v>
      </c>
      <c r="M309">
        <v>28</v>
      </c>
      <c r="N309" t="str">
        <f>IF(Table13[[#This Row],[Price USD]]&lt;20,"Budget",IF(Table13[[#This Row],[Price USD]]&lt;=50,"Mid-range","Premium"))</f>
        <v>Mid-range</v>
      </c>
      <c r="O309">
        <v>0</v>
      </c>
      <c r="P309">
        <v>0</v>
      </c>
    </row>
    <row r="310" spans="1:16" x14ac:dyDescent="0.25">
      <c r="A310" t="s">
        <v>2179</v>
      </c>
      <c r="B310" t="s">
        <v>2180</v>
      </c>
      <c r="C310">
        <v>5715</v>
      </c>
      <c r="D310" t="s">
        <v>979</v>
      </c>
      <c r="E310" t="s">
        <v>144</v>
      </c>
      <c r="F310">
        <v>12738</v>
      </c>
      <c r="G3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0">
        <v>4.2470999999999997</v>
      </c>
      <c r="J310" t="str">
        <f>IF(ISBLANK(Table13[[#This Row],[Rating]]), "No", "Yes")</f>
        <v>Yes</v>
      </c>
      <c r="K310" t="str">
        <f>IF(ISBLANK(Table13[[#This Row],[Rating]]), "Not Rated", IF(Table13[[#This Row],[Rating]] &lt; 3, "Low", IF(Table13[[#This Row],[Rating]] &lt; 4, "Medium", "High")))</f>
        <v>High</v>
      </c>
      <c r="L310">
        <v>85</v>
      </c>
      <c r="M310">
        <v>16</v>
      </c>
      <c r="N310" t="str">
        <f>IF(Table13[[#This Row],[Price USD]]&lt;20,"Budget",IF(Table13[[#This Row],[Price USD]]&lt;=50,"Mid-range","Premium"))</f>
        <v>Budget</v>
      </c>
      <c r="O310">
        <v>0</v>
      </c>
      <c r="P310">
        <v>0</v>
      </c>
    </row>
    <row r="311" spans="1:16" x14ac:dyDescent="0.25">
      <c r="A311" t="s">
        <v>1137</v>
      </c>
      <c r="B311" t="s">
        <v>1138</v>
      </c>
      <c r="C311">
        <v>3902</v>
      </c>
      <c r="D311" t="s">
        <v>72</v>
      </c>
      <c r="E311" t="s">
        <v>201</v>
      </c>
      <c r="F311">
        <v>31468</v>
      </c>
      <c r="G3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1">
        <v>4.1176000000000004</v>
      </c>
      <c r="J311" t="str">
        <f>IF(ISBLANK(Table13[[#This Row],[Rating]]), "No", "Yes")</f>
        <v>Yes</v>
      </c>
      <c r="K311" t="str">
        <f>IF(ISBLANK(Table13[[#This Row],[Rating]]), "Not Rated", IF(Table13[[#This Row],[Rating]] &lt; 3, "Low", IF(Table13[[#This Row],[Rating]] &lt; 4, "Medium", "High")))</f>
        <v>High</v>
      </c>
      <c r="L311">
        <v>85</v>
      </c>
      <c r="M311">
        <v>35</v>
      </c>
      <c r="N311" t="str">
        <f>IF(Table13[[#This Row],[Price USD]]&lt;20,"Budget",IF(Table13[[#This Row],[Price USD]]&lt;=50,"Mid-range","Premium"))</f>
        <v>Mid-range</v>
      </c>
      <c r="O311">
        <v>0</v>
      </c>
      <c r="P311">
        <v>0</v>
      </c>
    </row>
    <row r="312" spans="1:16" x14ac:dyDescent="0.25">
      <c r="A312" t="s">
        <v>2378</v>
      </c>
      <c r="B312" t="s">
        <v>2379</v>
      </c>
      <c r="C312">
        <v>3733</v>
      </c>
      <c r="D312" t="s">
        <v>124</v>
      </c>
      <c r="E312" t="s">
        <v>13</v>
      </c>
      <c r="F312">
        <v>11239</v>
      </c>
      <c r="G3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2">
        <v>4.5</v>
      </c>
      <c r="J312" t="str">
        <f>IF(ISBLANK(Table13[[#This Row],[Rating]]), "No", "Yes")</f>
        <v>Yes</v>
      </c>
      <c r="K312" t="str">
        <f>IF(ISBLANK(Table13[[#This Row],[Rating]]), "Not Rated", IF(Table13[[#This Row],[Rating]] &lt; 3, "Low", IF(Table13[[#This Row],[Rating]] &lt; 4, "Medium", "High")))</f>
        <v>High</v>
      </c>
      <c r="L312">
        <v>86</v>
      </c>
      <c r="M312">
        <v>37</v>
      </c>
      <c r="N312" t="str">
        <f>IF(Table13[[#This Row],[Price USD]]&lt;20,"Budget",IF(Table13[[#This Row],[Price USD]]&lt;=50,"Mid-range","Premium"))</f>
        <v>Mid-range</v>
      </c>
      <c r="O312">
        <v>0</v>
      </c>
      <c r="P312">
        <v>0</v>
      </c>
    </row>
    <row r="313" spans="1:16" x14ac:dyDescent="0.25">
      <c r="A313" t="s">
        <v>2250</v>
      </c>
      <c r="B313" t="s">
        <v>2251</v>
      </c>
      <c r="C313">
        <v>5648</v>
      </c>
      <c r="D313" t="s">
        <v>408</v>
      </c>
      <c r="E313" t="s">
        <v>144</v>
      </c>
      <c r="F313">
        <v>12223</v>
      </c>
      <c r="G3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3">
        <v>3.5813999999999999</v>
      </c>
      <c r="J313" t="str">
        <f>IF(ISBLANK(Table13[[#This Row],[Rating]]), "No", "Yes")</f>
        <v>Yes</v>
      </c>
      <c r="K313" t="str">
        <f>IF(ISBLANK(Table13[[#This Row],[Rating]]), "Not Rated", IF(Table13[[#This Row],[Rating]] &lt; 3, "Low", IF(Table13[[#This Row],[Rating]] &lt; 4, "Medium", "High")))</f>
        <v>Medium</v>
      </c>
      <c r="L313">
        <v>86</v>
      </c>
      <c r="M313">
        <v>14</v>
      </c>
      <c r="N313" t="str">
        <f>IF(Table13[[#This Row],[Price USD]]&lt;20,"Budget",IF(Table13[[#This Row],[Price USD]]&lt;=50,"Mid-range","Premium"))</f>
        <v>Budget</v>
      </c>
      <c r="O313">
        <v>0</v>
      </c>
      <c r="P313">
        <v>1</v>
      </c>
    </row>
    <row r="314" spans="1:16" x14ac:dyDescent="0.25">
      <c r="A314" t="s">
        <v>1736</v>
      </c>
      <c r="B314" t="s">
        <v>1737</v>
      </c>
      <c r="C314">
        <v>6751</v>
      </c>
      <c r="D314" t="s">
        <v>1738</v>
      </c>
      <c r="E314" t="s">
        <v>21</v>
      </c>
      <c r="F314">
        <v>17832</v>
      </c>
      <c r="G3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4">
        <v>3.9651000000000001</v>
      </c>
      <c r="J314" t="str">
        <f>IF(ISBLANK(Table13[[#This Row],[Rating]]), "No", "Yes")</f>
        <v>Yes</v>
      </c>
      <c r="K314" t="str">
        <f>IF(ISBLANK(Table13[[#This Row],[Rating]]), "Not Rated", IF(Table13[[#This Row],[Rating]] &lt; 3, "Low", IF(Table13[[#This Row],[Rating]] &lt; 4, "Medium", "High")))</f>
        <v>Medium</v>
      </c>
      <c r="L314">
        <v>86</v>
      </c>
      <c r="M314">
        <v>26</v>
      </c>
      <c r="N314" t="str">
        <f>IF(Table13[[#This Row],[Price USD]]&lt;20,"Budget",IF(Table13[[#This Row],[Price USD]]&lt;=50,"Mid-range","Premium"))</f>
        <v>Mid-range</v>
      </c>
      <c r="O314">
        <v>1</v>
      </c>
      <c r="P314">
        <v>0</v>
      </c>
    </row>
    <row r="315" spans="1:16" x14ac:dyDescent="0.25">
      <c r="A315" t="s">
        <v>1332</v>
      </c>
      <c r="B315" t="s">
        <v>1333</v>
      </c>
      <c r="C315">
        <v>6130</v>
      </c>
      <c r="D315" t="s">
        <v>200</v>
      </c>
      <c r="E315" t="s">
        <v>201</v>
      </c>
      <c r="F315">
        <v>25496</v>
      </c>
      <c r="G3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5">
        <v>3.8256000000000001</v>
      </c>
      <c r="J315" t="str">
        <f>IF(ISBLANK(Table13[[#This Row],[Rating]]), "No", "Yes")</f>
        <v>Yes</v>
      </c>
      <c r="K315" t="str">
        <f>IF(ISBLANK(Table13[[#This Row],[Rating]]), "Not Rated", IF(Table13[[#This Row],[Rating]] &lt; 3, "Low", IF(Table13[[#This Row],[Rating]] &lt; 4, "Medium", "High")))</f>
        <v>Medium</v>
      </c>
      <c r="L315">
        <v>86</v>
      </c>
      <c r="M315">
        <v>110</v>
      </c>
      <c r="N315" t="str">
        <f>IF(Table13[[#This Row],[Price USD]]&lt;20,"Budget",IF(Table13[[#This Row],[Price USD]]&lt;=50,"Mid-range","Premium"))</f>
        <v>Premium</v>
      </c>
      <c r="O315">
        <v>0</v>
      </c>
      <c r="P315">
        <v>0</v>
      </c>
    </row>
    <row r="316" spans="1:16" x14ac:dyDescent="0.25">
      <c r="A316" t="s">
        <v>2424</v>
      </c>
      <c r="B316" t="s">
        <v>2425</v>
      </c>
      <c r="C316">
        <v>6272</v>
      </c>
      <c r="D316" t="s">
        <v>1711</v>
      </c>
      <c r="E316" t="s">
        <v>13</v>
      </c>
      <c r="F316">
        <v>10844</v>
      </c>
      <c r="G3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6">
        <v>4.4713000000000003</v>
      </c>
      <c r="J316" t="str">
        <f>IF(ISBLANK(Table13[[#This Row],[Rating]]), "No", "Yes")</f>
        <v>Yes</v>
      </c>
      <c r="K316" t="str">
        <f>IF(ISBLANK(Table13[[#This Row],[Rating]]), "Not Rated", IF(Table13[[#This Row],[Rating]] &lt; 3, "Low", IF(Table13[[#This Row],[Rating]] &lt; 4, "Medium", "High")))</f>
        <v>High</v>
      </c>
      <c r="L316">
        <v>87</v>
      </c>
      <c r="M316">
        <v>39</v>
      </c>
      <c r="N316" t="str">
        <f>IF(Table13[[#This Row],[Price USD]]&lt;20,"Budget",IF(Table13[[#This Row],[Price USD]]&lt;=50,"Mid-range","Premium"))</f>
        <v>Mid-range</v>
      </c>
      <c r="O316">
        <v>0</v>
      </c>
      <c r="P316">
        <v>0</v>
      </c>
    </row>
    <row r="317" spans="1:16" x14ac:dyDescent="0.25">
      <c r="A317" t="s">
        <v>1820</v>
      </c>
      <c r="B317" t="s">
        <v>1821</v>
      </c>
      <c r="C317">
        <v>3902</v>
      </c>
      <c r="D317" t="s">
        <v>72</v>
      </c>
      <c r="E317" t="s">
        <v>69</v>
      </c>
      <c r="F317">
        <v>16867</v>
      </c>
      <c r="G3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7">
        <v>3.7614000000000001</v>
      </c>
      <c r="J317" t="str">
        <f>IF(ISBLANK(Table13[[#This Row],[Rating]]), "No", "Yes")</f>
        <v>Yes</v>
      </c>
      <c r="K317" t="str">
        <f>IF(ISBLANK(Table13[[#This Row],[Rating]]), "Not Rated", IF(Table13[[#This Row],[Rating]] &lt; 3, "Low", IF(Table13[[#This Row],[Rating]] &lt; 4, "Medium", "High")))</f>
        <v>Medium</v>
      </c>
      <c r="L317">
        <v>88</v>
      </c>
      <c r="M317">
        <v>5.5</v>
      </c>
      <c r="N317" t="str">
        <f>IF(Table13[[#This Row],[Price USD]]&lt;20,"Budget",IF(Table13[[#This Row],[Price USD]]&lt;=50,"Mid-range","Premium"))</f>
        <v>Budget</v>
      </c>
      <c r="O317">
        <v>0</v>
      </c>
      <c r="P317">
        <v>1</v>
      </c>
    </row>
    <row r="318" spans="1:16" x14ac:dyDescent="0.25">
      <c r="A318" t="s">
        <v>1888</v>
      </c>
      <c r="B318" t="s">
        <v>1889</v>
      </c>
      <c r="C318">
        <v>6341</v>
      </c>
      <c r="D318" t="s">
        <v>66</v>
      </c>
      <c r="E318" t="s">
        <v>21</v>
      </c>
      <c r="F318">
        <v>16079</v>
      </c>
      <c r="G3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8">
        <v>4.5281000000000002</v>
      </c>
      <c r="J318" t="str">
        <f>IF(ISBLANK(Table13[[#This Row],[Rating]]), "No", "Yes")</f>
        <v>Yes</v>
      </c>
      <c r="K318" t="str">
        <f>IF(ISBLANK(Table13[[#This Row],[Rating]]), "Not Rated", IF(Table13[[#This Row],[Rating]] &lt; 3, "Low", IF(Table13[[#This Row],[Rating]] &lt; 4, "Medium", "High")))</f>
        <v>High</v>
      </c>
      <c r="L318">
        <v>89</v>
      </c>
      <c r="M318">
        <v>29</v>
      </c>
      <c r="N318" t="str">
        <f>IF(Table13[[#This Row],[Price USD]]&lt;20,"Budget",IF(Table13[[#This Row],[Price USD]]&lt;=50,"Mid-range","Premium"))</f>
        <v>Mid-range</v>
      </c>
      <c r="O318">
        <v>0</v>
      </c>
      <c r="P318">
        <v>0</v>
      </c>
    </row>
    <row r="319" spans="1:16" x14ac:dyDescent="0.25">
      <c r="A319" t="s">
        <v>961</v>
      </c>
      <c r="B319" t="s">
        <v>962</v>
      </c>
      <c r="C319">
        <v>6234</v>
      </c>
      <c r="D319" t="s">
        <v>7</v>
      </c>
      <c r="E319" t="s">
        <v>8</v>
      </c>
      <c r="F319">
        <v>38431</v>
      </c>
      <c r="G3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19">
        <v>3.9213</v>
      </c>
      <c r="J319" t="str">
        <f>IF(ISBLANK(Table13[[#This Row],[Rating]]), "No", "Yes")</f>
        <v>Yes</v>
      </c>
      <c r="K319" t="str">
        <f>IF(ISBLANK(Table13[[#This Row],[Rating]]), "Not Rated", IF(Table13[[#This Row],[Rating]] &lt; 3, "Low", IF(Table13[[#This Row],[Rating]] &lt; 4, "Medium", "High")))</f>
        <v>Medium</v>
      </c>
      <c r="L319">
        <v>89</v>
      </c>
      <c r="M319">
        <v>6.5</v>
      </c>
      <c r="N319" t="str">
        <f>IF(Table13[[#This Row],[Price USD]]&lt;20,"Budget",IF(Table13[[#This Row],[Price USD]]&lt;=50,"Mid-range","Premium"))</f>
        <v>Budget</v>
      </c>
      <c r="O319">
        <v>0</v>
      </c>
      <c r="P319">
        <v>0</v>
      </c>
    </row>
    <row r="320" spans="1:16" x14ac:dyDescent="0.25">
      <c r="A320" t="s">
        <v>1976</v>
      </c>
      <c r="B320" t="s">
        <v>1977</v>
      </c>
      <c r="C320">
        <v>6225</v>
      </c>
      <c r="D320" t="s">
        <v>640</v>
      </c>
      <c r="E320" t="s">
        <v>106</v>
      </c>
      <c r="F320">
        <v>14995</v>
      </c>
      <c r="G3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0">
        <v>4</v>
      </c>
      <c r="J320" t="str">
        <f>IF(ISBLANK(Table13[[#This Row],[Rating]]), "No", "Yes")</f>
        <v>Yes</v>
      </c>
      <c r="K320" t="str">
        <f>IF(ISBLANK(Table13[[#This Row],[Rating]]), "Not Rated", IF(Table13[[#This Row],[Rating]] &lt; 3, "Low", IF(Table13[[#This Row],[Rating]] &lt; 4, "Medium", "High")))</f>
        <v>High</v>
      </c>
      <c r="L320">
        <v>90</v>
      </c>
      <c r="M320">
        <v>48</v>
      </c>
      <c r="N320" t="str">
        <f>IF(Table13[[#This Row],[Price USD]]&lt;20,"Budget",IF(Table13[[#This Row],[Price USD]]&lt;=50,"Mid-range","Premium"))</f>
        <v>Mid-range</v>
      </c>
      <c r="O320">
        <v>0</v>
      </c>
      <c r="P320">
        <v>0</v>
      </c>
    </row>
    <row r="321" spans="1:16" x14ac:dyDescent="0.25">
      <c r="A321" t="s">
        <v>2481</v>
      </c>
      <c r="B321" t="s">
        <v>2482</v>
      </c>
      <c r="C321">
        <v>3526</v>
      </c>
      <c r="D321" t="s">
        <v>1147</v>
      </c>
      <c r="E321" t="s">
        <v>21</v>
      </c>
      <c r="F321">
        <v>10378</v>
      </c>
      <c r="G3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1">
        <v>4.6813000000000002</v>
      </c>
      <c r="J321" t="str">
        <f>IF(ISBLANK(Table13[[#This Row],[Rating]]), "No", "Yes")</f>
        <v>Yes</v>
      </c>
      <c r="K321" t="str">
        <f>IF(ISBLANK(Table13[[#This Row],[Rating]]), "Not Rated", IF(Table13[[#This Row],[Rating]] &lt; 3, "Low", IF(Table13[[#This Row],[Rating]] &lt; 4, "Medium", "High")))</f>
        <v>High</v>
      </c>
      <c r="L321">
        <v>91</v>
      </c>
      <c r="M321">
        <v>23.5</v>
      </c>
      <c r="N321" t="str">
        <f>IF(Table13[[#This Row],[Price USD]]&lt;20,"Budget",IF(Table13[[#This Row],[Price USD]]&lt;=50,"Mid-range","Premium"))</f>
        <v>Mid-range</v>
      </c>
      <c r="O321">
        <v>0</v>
      </c>
      <c r="P321">
        <v>0</v>
      </c>
    </row>
    <row r="322" spans="1:16" x14ac:dyDescent="0.25">
      <c r="A322" t="s">
        <v>2238</v>
      </c>
      <c r="B322" t="s">
        <v>2239</v>
      </c>
      <c r="C322">
        <v>6218</v>
      </c>
      <c r="D322" t="s">
        <v>116</v>
      </c>
      <c r="E322" t="s">
        <v>21</v>
      </c>
      <c r="F322">
        <v>12320</v>
      </c>
      <c r="G3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2">
        <v>3.7473000000000001</v>
      </c>
      <c r="J322" t="str">
        <f>IF(ISBLANK(Table13[[#This Row],[Rating]]), "No", "Yes")</f>
        <v>Yes</v>
      </c>
      <c r="K322" t="str">
        <f>IF(ISBLANK(Table13[[#This Row],[Rating]]), "Not Rated", IF(Table13[[#This Row],[Rating]] &lt; 3, "Low", IF(Table13[[#This Row],[Rating]] &lt; 4, "Medium", "High")))</f>
        <v>Medium</v>
      </c>
      <c r="L322">
        <v>91</v>
      </c>
      <c r="M322">
        <v>38</v>
      </c>
      <c r="N322" t="str">
        <f>IF(Table13[[#This Row],[Price USD]]&lt;20,"Budget",IF(Table13[[#This Row],[Price USD]]&lt;=50,"Mid-range","Premium"))</f>
        <v>Mid-range</v>
      </c>
      <c r="O322">
        <v>0</v>
      </c>
      <c r="P322">
        <v>1</v>
      </c>
    </row>
    <row r="323" spans="1:16" x14ac:dyDescent="0.25">
      <c r="A323" t="s">
        <v>1857</v>
      </c>
      <c r="B323" t="s">
        <v>1858</v>
      </c>
      <c r="C323">
        <v>8017</v>
      </c>
      <c r="D323" t="s">
        <v>620</v>
      </c>
      <c r="E323" t="s">
        <v>21</v>
      </c>
      <c r="F323">
        <v>16337</v>
      </c>
      <c r="G3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3">
        <v>4.4396000000000004</v>
      </c>
      <c r="J323" t="str">
        <f>IF(ISBLANK(Table13[[#This Row],[Rating]]), "No", "Yes")</f>
        <v>Yes</v>
      </c>
      <c r="K323" t="str">
        <f>IF(ISBLANK(Table13[[#This Row],[Rating]]), "Not Rated", IF(Table13[[#This Row],[Rating]] &lt; 3, "Low", IF(Table13[[#This Row],[Rating]] &lt; 4, "Medium", "High")))</f>
        <v>High</v>
      </c>
      <c r="L323">
        <v>91</v>
      </c>
      <c r="M323">
        <v>7</v>
      </c>
      <c r="N323" t="str">
        <f>IF(Table13[[#This Row],[Price USD]]&lt;20,"Budget",IF(Table13[[#This Row],[Price USD]]&lt;=50,"Mid-range","Premium"))</f>
        <v>Budget</v>
      </c>
      <c r="O323">
        <v>0</v>
      </c>
      <c r="P323">
        <v>0</v>
      </c>
    </row>
    <row r="324" spans="1:16" x14ac:dyDescent="0.25">
      <c r="A324" t="s">
        <v>1503</v>
      </c>
      <c r="B324" t="s">
        <v>1504</v>
      </c>
      <c r="C324">
        <v>1254</v>
      </c>
      <c r="D324" t="s">
        <v>136</v>
      </c>
      <c r="E324" t="s">
        <v>8</v>
      </c>
      <c r="F324">
        <v>22013</v>
      </c>
      <c r="G3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4">
        <v>3.5823999999999998</v>
      </c>
      <c r="J324" t="str">
        <f>IF(ISBLANK(Table13[[#This Row],[Rating]]), "No", "Yes")</f>
        <v>Yes</v>
      </c>
      <c r="K324" t="str">
        <f>IF(ISBLANK(Table13[[#This Row],[Rating]]), "Not Rated", IF(Table13[[#This Row],[Rating]] &lt; 3, "Low", IF(Table13[[#This Row],[Rating]] &lt; 4, "Medium", "High")))</f>
        <v>Medium</v>
      </c>
      <c r="L324">
        <v>91</v>
      </c>
      <c r="M324">
        <v>85</v>
      </c>
      <c r="N324" t="str">
        <f>IF(Table13[[#This Row],[Price USD]]&lt;20,"Budget",IF(Table13[[#This Row],[Price USD]]&lt;=50,"Mid-range","Premium"))</f>
        <v>Premium</v>
      </c>
      <c r="O324">
        <v>0</v>
      </c>
      <c r="P324">
        <v>0</v>
      </c>
    </row>
    <row r="325" spans="1:16" x14ac:dyDescent="0.25">
      <c r="A325" t="s">
        <v>1255</v>
      </c>
      <c r="B325" t="s">
        <v>1256</v>
      </c>
      <c r="C325">
        <v>6234</v>
      </c>
      <c r="D325" t="s">
        <v>7</v>
      </c>
      <c r="E325" t="s">
        <v>8</v>
      </c>
      <c r="F325">
        <v>27717</v>
      </c>
      <c r="G3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5">
        <v>4.3186999999999998</v>
      </c>
      <c r="J325" t="str">
        <f>IF(ISBLANK(Table13[[#This Row],[Rating]]), "No", "Yes")</f>
        <v>Yes</v>
      </c>
      <c r="K325" t="str">
        <f>IF(ISBLANK(Table13[[#This Row],[Rating]]), "Not Rated", IF(Table13[[#This Row],[Rating]] &lt; 3, "Low", IF(Table13[[#This Row],[Rating]] &lt; 4, "Medium", "High")))</f>
        <v>High</v>
      </c>
      <c r="L325">
        <v>91</v>
      </c>
      <c r="M325">
        <v>6.4</v>
      </c>
      <c r="N325" t="str">
        <f>IF(Table13[[#This Row],[Price USD]]&lt;20,"Budget",IF(Table13[[#This Row],[Price USD]]&lt;=50,"Mid-range","Premium"))</f>
        <v>Budget</v>
      </c>
      <c r="O325">
        <v>0</v>
      </c>
      <c r="P325">
        <v>0</v>
      </c>
    </row>
    <row r="326" spans="1:16" x14ac:dyDescent="0.25">
      <c r="A326" t="s">
        <v>2193</v>
      </c>
      <c r="B326" t="s">
        <v>2194</v>
      </c>
      <c r="C326">
        <v>6207</v>
      </c>
      <c r="D326" t="s">
        <v>914</v>
      </c>
      <c r="E326" t="s">
        <v>69</v>
      </c>
      <c r="F326">
        <v>12672</v>
      </c>
      <c r="G3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6">
        <v>3.7282999999999999</v>
      </c>
      <c r="J326" t="str">
        <f>IF(ISBLANK(Table13[[#This Row],[Rating]]), "No", "Yes")</f>
        <v>Yes</v>
      </c>
      <c r="K326" t="str">
        <f>IF(ISBLANK(Table13[[#This Row],[Rating]]), "Not Rated", IF(Table13[[#This Row],[Rating]] &lt; 3, "Low", IF(Table13[[#This Row],[Rating]] &lt; 4, "Medium", "High")))</f>
        <v>Medium</v>
      </c>
      <c r="L326">
        <v>92</v>
      </c>
      <c r="M326">
        <v>52</v>
      </c>
      <c r="N326" t="str">
        <f>IF(Table13[[#This Row],[Price USD]]&lt;20,"Budget",IF(Table13[[#This Row],[Price USD]]&lt;=50,"Mid-range","Premium"))</f>
        <v>Premium</v>
      </c>
      <c r="O326">
        <v>0</v>
      </c>
      <c r="P326">
        <v>0</v>
      </c>
    </row>
    <row r="327" spans="1:16" x14ac:dyDescent="0.25">
      <c r="A327" t="s">
        <v>2095</v>
      </c>
      <c r="B327" t="s">
        <v>2096</v>
      </c>
      <c r="C327">
        <v>7020</v>
      </c>
      <c r="D327" t="s">
        <v>657</v>
      </c>
      <c r="E327" t="s">
        <v>21</v>
      </c>
      <c r="F327">
        <v>13637</v>
      </c>
      <c r="G3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7">
        <v>3.883</v>
      </c>
      <c r="J327" t="str">
        <f>IF(ISBLANK(Table13[[#This Row],[Rating]]), "No", "Yes")</f>
        <v>Yes</v>
      </c>
      <c r="K327" t="str">
        <f>IF(ISBLANK(Table13[[#This Row],[Rating]]), "Not Rated", IF(Table13[[#This Row],[Rating]] &lt; 3, "Low", IF(Table13[[#This Row],[Rating]] &lt; 4, "Medium", "High")))</f>
        <v>Medium</v>
      </c>
      <c r="L327">
        <v>94</v>
      </c>
      <c r="M327">
        <v>76</v>
      </c>
      <c r="N327" t="str">
        <f>IF(Table13[[#This Row],[Price USD]]&lt;20,"Budget",IF(Table13[[#This Row],[Price USD]]&lt;=50,"Mid-range","Premium"))</f>
        <v>Premium</v>
      </c>
      <c r="O327">
        <v>0</v>
      </c>
      <c r="P327">
        <v>0</v>
      </c>
    </row>
    <row r="328" spans="1:16" x14ac:dyDescent="0.25">
      <c r="A328" t="s">
        <v>1995</v>
      </c>
      <c r="B328" t="s">
        <v>1996</v>
      </c>
      <c r="C328">
        <v>6089</v>
      </c>
      <c r="D328" t="s">
        <v>605</v>
      </c>
      <c r="E328" t="s">
        <v>8</v>
      </c>
      <c r="F328">
        <v>14820</v>
      </c>
      <c r="G3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8">
        <v>4.2233999999999998</v>
      </c>
      <c r="J328" t="str">
        <f>IF(ISBLANK(Table13[[#This Row],[Rating]]), "No", "Yes")</f>
        <v>Yes</v>
      </c>
      <c r="K328" t="str">
        <f>IF(ISBLANK(Table13[[#This Row],[Rating]]), "Not Rated", IF(Table13[[#This Row],[Rating]] &lt; 3, "Low", IF(Table13[[#This Row],[Rating]] &lt; 4, "Medium", "High")))</f>
        <v>High</v>
      </c>
      <c r="L328">
        <v>94</v>
      </c>
      <c r="M328">
        <v>120</v>
      </c>
      <c r="N328" t="str">
        <f>IF(Table13[[#This Row],[Price USD]]&lt;20,"Budget",IF(Table13[[#This Row],[Price USD]]&lt;=50,"Mid-range","Premium"))</f>
        <v>Premium</v>
      </c>
      <c r="O328">
        <v>0</v>
      </c>
      <c r="P328">
        <v>0</v>
      </c>
    </row>
    <row r="329" spans="1:16" x14ac:dyDescent="0.25">
      <c r="A329" t="s">
        <v>1610</v>
      </c>
      <c r="B329" t="s">
        <v>1611</v>
      </c>
      <c r="C329">
        <v>6073</v>
      </c>
      <c r="D329" t="s">
        <v>78</v>
      </c>
      <c r="E329" t="s">
        <v>21</v>
      </c>
      <c r="F329">
        <v>19808</v>
      </c>
      <c r="G3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29">
        <v>3.8085</v>
      </c>
      <c r="J329" t="str">
        <f>IF(ISBLANK(Table13[[#This Row],[Rating]]), "No", "Yes")</f>
        <v>Yes</v>
      </c>
      <c r="K329" t="str">
        <f>IF(ISBLANK(Table13[[#This Row],[Rating]]), "Not Rated", IF(Table13[[#This Row],[Rating]] &lt; 3, "Low", IF(Table13[[#This Row],[Rating]] &lt; 4, "Medium", "High")))</f>
        <v>Medium</v>
      </c>
      <c r="L329">
        <v>94</v>
      </c>
      <c r="M329">
        <v>48</v>
      </c>
      <c r="N329" t="str">
        <f>IF(Table13[[#This Row],[Price USD]]&lt;20,"Budget",IF(Table13[[#This Row],[Price USD]]&lt;=50,"Mid-range","Premium"))</f>
        <v>Mid-range</v>
      </c>
      <c r="O329">
        <v>0</v>
      </c>
      <c r="P329">
        <v>0</v>
      </c>
    </row>
    <row r="330" spans="1:16" x14ac:dyDescent="0.25">
      <c r="A330" t="s">
        <v>2270</v>
      </c>
      <c r="B330" t="s">
        <v>2271</v>
      </c>
      <c r="C330">
        <v>6189</v>
      </c>
      <c r="D330" t="s">
        <v>30</v>
      </c>
      <c r="E330" t="s">
        <v>220</v>
      </c>
      <c r="F330">
        <v>12092</v>
      </c>
      <c r="G3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0">
        <v>4.8453999999999997</v>
      </c>
      <c r="J330" t="str">
        <f>IF(ISBLANK(Table13[[#This Row],[Rating]]), "No", "Yes")</f>
        <v>Yes</v>
      </c>
      <c r="K330" t="str">
        <f>IF(ISBLANK(Table13[[#This Row],[Rating]]), "Not Rated", IF(Table13[[#This Row],[Rating]] &lt; 3, "Low", IF(Table13[[#This Row],[Rating]] &lt; 4, "Medium", "High")))</f>
        <v>High</v>
      </c>
      <c r="L330">
        <v>97</v>
      </c>
      <c r="M330">
        <v>54</v>
      </c>
      <c r="N330" t="str">
        <f>IF(Table13[[#This Row],[Price USD]]&lt;20,"Budget",IF(Table13[[#This Row],[Price USD]]&lt;=50,"Mid-range","Premium"))</f>
        <v>Premium</v>
      </c>
      <c r="O330">
        <v>1</v>
      </c>
      <c r="P330">
        <v>0</v>
      </c>
    </row>
    <row r="331" spans="1:16" x14ac:dyDescent="0.25">
      <c r="A331" t="s">
        <v>2428</v>
      </c>
      <c r="B331" t="s">
        <v>2429</v>
      </c>
      <c r="C331">
        <v>2082</v>
      </c>
      <c r="D331" t="s">
        <v>594</v>
      </c>
      <c r="E331" t="s">
        <v>21</v>
      </c>
      <c r="F331">
        <v>10782</v>
      </c>
      <c r="G3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1">
        <v>4.4184000000000001</v>
      </c>
      <c r="J331" t="str">
        <f>IF(ISBLANK(Table13[[#This Row],[Rating]]), "No", "Yes")</f>
        <v>Yes</v>
      </c>
      <c r="K331" t="str">
        <f>IF(ISBLANK(Table13[[#This Row],[Rating]]), "Not Rated", IF(Table13[[#This Row],[Rating]] &lt; 3, "Low", IF(Table13[[#This Row],[Rating]] &lt; 4, "Medium", "High")))</f>
        <v>High</v>
      </c>
      <c r="L331">
        <v>98</v>
      </c>
      <c r="M331">
        <v>65</v>
      </c>
      <c r="N331" t="str">
        <f>IF(Table13[[#This Row],[Price USD]]&lt;20,"Budget",IF(Table13[[#This Row],[Price USD]]&lt;=50,"Mid-range","Premium"))</f>
        <v>Premium</v>
      </c>
      <c r="O331">
        <v>0</v>
      </c>
      <c r="P331">
        <v>0</v>
      </c>
    </row>
    <row r="332" spans="1:16" x14ac:dyDescent="0.25">
      <c r="A332" t="s">
        <v>1598</v>
      </c>
      <c r="B332" t="s">
        <v>1599</v>
      </c>
      <c r="C332">
        <v>8001</v>
      </c>
      <c r="D332" t="s">
        <v>27</v>
      </c>
      <c r="E332" t="s">
        <v>220</v>
      </c>
      <c r="F332">
        <v>20010</v>
      </c>
      <c r="G3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2">
        <v>4.7652999999999999</v>
      </c>
      <c r="J332" t="str">
        <f>IF(ISBLANK(Table13[[#This Row],[Rating]]), "No", "Yes")</f>
        <v>Yes</v>
      </c>
      <c r="K332" t="str">
        <f>IF(ISBLANK(Table13[[#This Row],[Rating]]), "Not Rated", IF(Table13[[#This Row],[Rating]] &lt; 3, "Low", IF(Table13[[#This Row],[Rating]] &lt; 4, "Medium", "High")))</f>
        <v>High</v>
      </c>
      <c r="L332">
        <v>98</v>
      </c>
      <c r="M332">
        <v>42</v>
      </c>
      <c r="N332" t="str">
        <f>IF(Table13[[#This Row],[Price USD]]&lt;20,"Budget",IF(Table13[[#This Row],[Price USD]]&lt;=50,"Mid-range","Premium"))</f>
        <v>Mid-range</v>
      </c>
      <c r="O332">
        <v>0</v>
      </c>
      <c r="P332">
        <v>0</v>
      </c>
    </row>
    <row r="333" spans="1:16" x14ac:dyDescent="0.25">
      <c r="A333" t="s">
        <v>1216</v>
      </c>
      <c r="B333" t="s">
        <v>1217</v>
      </c>
      <c r="C333">
        <v>6195</v>
      </c>
      <c r="D333" t="s">
        <v>163</v>
      </c>
      <c r="E333" t="s">
        <v>21</v>
      </c>
      <c r="F333">
        <v>28719</v>
      </c>
      <c r="G3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3">
        <v>4.2550999999999997</v>
      </c>
      <c r="J333" t="str">
        <f>IF(ISBLANK(Table13[[#This Row],[Rating]]), "No", "Yes")</f>
        <v>Yes</v>
      </c>
      <c r="K333" t="str">
        <f>IF(ISBLANK(Table13[[#This Row],[Rating]]), "Not Rated", IF(Table13[[#This Row],[Rating]] &lt; 3, "Low", IF(Table13[[#This Row],[Rating]] &lt; 4, "Medium", "High")))</f>
        <v>High</v>
      </c>
      <c r="L333">
        <v>98</v>
      </c>
      <c r="M333">
        <v>32</v>
      </c>
      <c r="N333" t="str">
        <f>IF(Table13[[#This Row],[Price USD]]&lt;20,"Budget",IF(Table13[[#This Row],[Price USD]]&lt;=50,"Mid-range","Premium"))</f>
        <v>Mid-range</v>
      </c>
      <c r="O333">
        <v>0</v>
      </c>
      <c r="P333">
        <v>0</v>
      </c>
    </row>
    <row r="334" spans="1:16" x14ac:dyDescent="0.25">
      <c r="A334" t="s">
        <v>2404</v>
      </c>
      <c r="B334" t="s">
        <v>2405</v>
      </c>
      <c r="C334">
        <v>7091</v>
      </c>
      <c r="D334" t="s">
        <v>879</v>
      </c>
      <c r="E334" t="s">
        <v>49</v>
      </c>
      <c r="F334">
        <v>11030</v>
      </c>
      <c r="G3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4">
        <v>4.3635999999999999</v>
      </c>
      <c r="J334" t="str">
        <f>IF(ISBLANK(Table13[[#This Row],[Rating]]), "No", "Yes")</f>
        <v>Yes</v>
      </c>
      <c r="K334" t="str">
        <f>IF(ISBLANK(Table13[[#This Row],[Rating]]), "Not Rated", IF(Table13[[#This Row],[Rating]] &lt; 3, "Low", IF(Table13[[#This Row],[Rating]] &lt; 4, "Medium", "High")))</f>
        <v>High</v>
      </c>
      <c r="L334">
        <v>99</v>
      </c>
      <c r="M334">
        <v>36</v>
      </c>
      <c r="N334" t="str">
        <f>IF(Table13[[#This Row],[Price USD]]&lt;20,"Budget",IF(Table13[[#This Row],[Price USD]]&lt;=50,"Mid-range","Premium"))</f>
        <v>Mid-range</v>
      </c>
      <c r="O334">
        <v>0</v>
      </c>
      <c r="P334">
        <v>0</v>
      </c>
    </row>
    <row r="335" spans="1:16" x14ac:dyDescent="0.25">
      <c r="A335" t="s">
        <v>1226</v>
      </c>
      <c r="B335" t="s">
        <v>1227</v>
      </c>
      <c r="C335">
        <v>8001</v>
      </c>
      <c r="D335" t="s">
        <v>27</v>
      </c>
      <c r="E335" t="s">
        <v>21</v>
      </c>
      <c r="F335">
        <v>28597</v>
      </c>
      <c r="G3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5">
        <v>4.7272999999999996</v>
      </c>
      <c r="J335" t="str">
        <f>IF(ISBLANK(Table13[[#This Row],[Rating]]), "No", "Yes")</f>
        <v>Yes</v>
      </c>
      <c r="K335" t="str">
        <f>IF(ISBLANK(Table13[[#This Row],[Rating]]), "Not Rated", IF(Table13[[#This Row],[Rating]] &lt; 3, "Low", IF(Table13[[#This Row],[Rating]] &lt; 4, "Medium", "High")))</f>
        <v>High</v>
      </c>
      <c r="L335">
        <v>99</v>
      </c>
      <c r="M335">
        <v>74</v>
      </c>
      <c r="N335" t="str">
        <f>IF(Table13[[#This Row],[Price USD]]&lt;20,"Budget",IF(Table13[[#This Row],[Price USD]]&lt;=50,"Mid-range","Premium"))</f>
        <v>Premium</v>
      </c>
      <c r="O335">
        <v>0</v>
      </c>
      <c r="P335">
        <v>0</v>
      </c>
    </row>
    <row r="336" spans="1:16" x14ac:dyDescent="0.25">
      <c r="A336" t="s">
        <v>2047</v>
      </c>
      <c r="B336" t="s">
        <v>2048</v>
      </c>
      <c r="C336">
        <v>7017</v>
      </c>
      <c r="D336" t="s">
        <v>2049</v>
      </c>
      <c r="E336" t="s">
        <v>347</v>
      </c>
      <c r="F336">
        <v>14204</v>
      </c>
      <c r="G3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6">
        <v>3.67</v>
      </c>
      <c r="J336" t="str">
        <f>IF(ISBLANK(Table13[[#This Row],[Rating]]), "No", "Yes")</f>
        <v>Yes</v>
      </c>
      <c r="K336" t="str">
        <f>IF(ISBLANK(Table13[[#This Row],[Rating]]), "Not Rated", IF(Table13[[#This Row],[Rating]] &lt; 3, "Low", IF(Table13[[#This Row],[Rating]] &lt; 4, "Medium", "High")))</f>
        <v>Medium</v>
      </c>
      <c r="L336">
        <v>100</v>
      </c>
      <c r="M336">
        <v>449</v>
      </c>
      <c r="N336" t="str">
        <f>IF(Table13[[#This Row],[Price USD]]&lt;20,"Budget",IF(Table13[[#This Row],[Price USD]]&lt;=50,"Mid-range","Premium"))</f>
        <v>Premium</v>
      </c>
      <c r="O336">
        <v>0</v>
      </c>
      <c r="P336">
        <v>1</v>
      </c>
    </row>
    <row r="337" spans="1:16" x14ac:dyDescent="0.25">
      <c r="A337" t="s">
        <v>1544</v>
      </c>
      <c r="B337" t="s">
        <v>1545</v>
      </c>
      <c r="C337">
        <v>3902</v>
      </c>
      <c r="D337" t="s">
        <v>72</v>
      </c>
      <c r="E337" t="s">
        <v>347</v>
      </c>
      <c r="F337">
        <v>21304</v>
      </c>
      <c r="G3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7">
        <v>4.7300000000000004</v>
      </c>
      <c r="J337" t="str">
        <f>IF(ISBLANK(Table13[[#This Row],[Rating]]), "No", "Yes")</f>
        <v>Yes</v>
      </c>
      <c r="K337" t="str">
        <f>IF(ISBLANK(Table13[[#This Row],[Rating]]), "Not Rated", IF(Table13[[#This Row],[Rating]] &lt; 3, "Low", IF(Table13[[#This Row],[Rating]] &lt; 4, "Medium", "High")))</f>
        <v>High</v>
      </c>
      <c r="L337">
        <v>100</v>
      </c>
      <c r="M337">
        <v>8</v>
      </c>
      <c r="N337" t="str">
        <f>IF(Table13[[#This Row],[Price USD]]&lt;20,"Budget",IF(Table13[[#This Row],[Price USD]]&lt;=50,"Mid-range","Premium"))</f>
        <v>Budget</v>
      </c>
      <c r="O337">
        <v>0</v>
      </c>
      <c r="P337">
        <v>0</v>
      </c>
    </row>
    <row r="338" spans="1:16" x14ac:dyDescent="0.25">
      <c r="A338" t="s">
        <v>1942</v>
      </c>
      <c r="B338" t="s">
        <v>1943</v>
      </c>
      <c r="C338">
        <v>4348</v>
      </c>
      <c r="D338" t="s">
        <v>61</v>
      </c>
      <c r="E338" t="s">
        <v>8</v>
      </c>
      <c r="F338">
        <v>15355</v>
      </c>
      <c r="G3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8">
        <v>3.9009999999999998</v>
      </c>
      <c r="J338" t="str">
        <f>IF(ISBLANK(Table13[[#This Row],[Rating]]), "No", "Yes")</f>
        <v>Yes</v>
      </c>
      <c r="K338" t="str">
        <f>IF(ISBLANK(Table13[[#This Row],[Rating]]), "Not Rated", IF(Table13[[#This Row],[Rating]] &lt; 3, "Low", IF(Table13[[#This Row],[Rating]] &lt; 4, "Medium", "High")))</f>
        <v>Medium</v>
      </c>
      <c r="L338">
        <v>101</v>
      </c>
      <c r="M338">
        <v>75</v>
      </c>
      <c r="N338" t="str">
        <f>IF(Table13[[#This Row],[Price USD]]&lt;20,"Budget",IF(Table13[[#This Row],[Price USD]]&lt;=50,"Mid-range","Premium"))</f>
        <v>Premium</v>
      </c>
      <c r="O338">
        <v>0</v>
      </c>
      <c r="P338">
        <v>0</v>
      </c>
    </row>
    <row r="339" spans="1:16" x14ac:dyDescent="0.25">
      <c r="A339" t="s">
        <v>2348</v>
      </c>
      <c r="B339" t="s">
        <v>2349</v>
      </c>
      <c r="C339">
        <v>6295</v>
      </c>
      <c r="D339" t="s">
        <v>184</v>
      </c>
      <c r="E339" t="s">
        <v>21</v>
      </c>
      <c r="F339">
        <v>11430</v>
      </c>
      <c r="G3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39">
        <v>4.5392000000000001</v>
      </c>
      <c r="J339" t="str">
        <f>IF(ISBLANK(Table13[[#This Row],[Rating]]), "No", "Yes")</f>
        <v>Yes</v>
      </c>
      <c r="K339" t="str">
        <f>IF(ISBLANK(Table13[[#This Row],[Rating]]), "Not Rated", IF(Table13[[#This Row],[Rating]] &lt; 3, "Low", IF(Table13[[#This Row],[Rating]] &lt; 4, "Medium", "High")))</f>
        <v>High</v>
      </c>
      <c r="L339">
        <v>102</v>
      </c>
      <c r="M339">
        <v>24</v>
      </c>
      <c r="N339" t="str">
        <f>IF(Table13[[#This Row],[Price USD]]&lt;20,"Budget",IF(Table13[[#This Row],[Price USD]]&lt;=50,"Mid-range","Premium"))</f>
        <v>Mid-range</v>
      </c>
      <c r="O339">
        <v>0</v>
      </c>
      <c r="P339">
        <v>0</v>
      </c>
    </row>
    <row r="340" spans="1:16" x14ac:dyDescent="0.25">
      <c r="A340" t="s">
        <v>2109</v>
      </c>
      <c r="B340" t="s">
        <v>2110</v>
      </c>
      <c r="C340">
        <v>3902</v>
      </c>
      <c r="D340" t="s">
        <v>72</v>
      </c>
      <c r="E340" t="s">
        <v>21</v>
      </c>
      <c r="F340">
        <v>13488</v>
      </c>
      <c r="G3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0">
        <v>4.5865</v>
      </c>
      <c r="J340" t="str">
        <f>IF(ISBLANK(Table13[[#This Row],[Rating]]), "No", "Yes")</f>
        <v>Yes</v>
      </c>
      <c r="K340" t="str">
        <f>IF(ISBLANK(Table13[[#This Row],[Rating]]), "Not Rated", IF(Table13[[#This Row],[Rating]] &lt; 3, "Low", IF(Table13[[#This Row],[Rating]] &lt; 4, "Medium", "High")))</f>
        <v>High</v>
      </c>
      <c r="L340">
        <v>104</v>
      </c>
      <c r="M340">
        <v>14</v>
      </c>
      <c r="N340" t="str">
        <f>IF(Table13[[#This Row],[Price USD]]&lt;20,"Budget",IF(Table13[[#This Row],[Price USD]]&lt;=50,"Mid-range","Premium"))</f>
        <v>Budget</v>
      </c>
      <c r="O340">
        <v>0</v>
      </c>
      <c r="P340">
        <v>0</v>
      </c>
    </row>
    <row r="341" spans="1:16" x14ac:dyDescent="0.25">
      <c r="A341" t="s">
        <v>1834</v>
      </c>
      <c r="B341" t="s">
        <v>1835</v>
      </c>
      <c r="C341">
        <v>6001</v>
      </c>
      <c r="D341" t="s">
        <v>1836</v>
      </c>
      <c r="E341" t="s">
        <v>347</v>
      </c>
      <c r="F341">
        <v>16672</v>
      </c>
      <c r="G3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1">
        <v>3.4380999999999999</v>
      </c>
      <c r="J341" t="str">
        <f>IF(ISBLANK(Table13[[#This Row],[Rating]]), "No", "Yes")</f>
        <v>Yes</v>
      </c>
      <c r="K341" t="str">
        <f>IF(ISBLANK(Table13[[#This Row],[Rating]]), "Not Rated", IF(Table13[[#This Row],[Rating]] &lt; 3, "Low", IF(Table13[[#This Row],[Rating]] &lt; 4, "Medium", "High")))</f>
        <v>Medium</v>
      </c>
      <c r="L341">
        <v>105</v>
      </c>
      <c r="M341">
        <v>449</v>
      </c>
      <c r="N341" t="str">
        <f>IF(Table13[[#This Row],[Price USD]]&lt;20,"Budget",IF(Table13[[#This Row],[Price USD]]&lt;=50,"Mid-range","Premium"))</f>
        <v>Premium</v>
      </c>
      <c r="O341">
        <v>0</v>
      </c>
      <c r="P341">
        <v>0</v>
      </c>
    </row>
    <row r="342" spans="1:16" x14ac:dyDescent="0.25">
      <c r="A342" t="s">
        <v>1311</v>
      </c>
      <c r="B342" t="s">
        <v>1312</v>
      </c>
      <c r="C342">
        <v>3733</v>
      </c>
      <c r="D342" t="s">
        <v>124</v>
      </c>
      <c r="E342" t="s">
        <v>144</v>
      </c>
      <c r="F342">
        <v>26184</v>
      </c>
      <c r="G3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2">
        <v>4.1143000000000001</v>
      </c>
      <c r="J342" t="str">
        <f>IF(ISBLANK(Table13[[#This Row],[Rating]]), "No", "Yes")</f>
        <v>Yes</v>
      </c>
      <c r="K342" t="str">
        <f>IF(ISBLANK(Table13[[#This Row],[Rating]]), "Not Rated", IF(Table13[[#This Row],[Rating]] &lt; 3, "Low", IF(Table13[[#This Row],[Rating]] &lt; 4, "Medium", "High")))</f>
        <v>High</v>
      </c>
      <c r="L342">
        <v>105</v>
      </c>
      <c r="M342">
        <v>17</v>
      </c>
      <c r="N342" t="str">
        <f>IF(Table13[[#This Row],[Price USD]]&lt;20,"Budget",IF(Table13[[#This Row],[Price USD]]&lt;=50,"Mid-range","Premium"))</f>
        <v>Budget</v>
      </c>
      <c r="O342">
        <v>0</v>
      </c>
      <c r="P342">
        <v>0</v>
      </c>
    </row>
    <row r="343" spans="1:16" x14ac:dyDescent="0.25">
      <c r="A343" t="s">
        <v>1192</v>
      </c>
      <c r="B343" t="s">
        <v>1193</v>
      </c>
      <c r="C343">
        <v>3733</v>
      </c>
      <c r="D343" t="s">
        <v>124</v>
      </c>
      <c r="E343" t="s">
        <v>144</v>
      </c>
      <c r="F343">
        <v>29477</v>
      </c>
      <c r="G3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3">
        <v>4.4762000000000004</v>
      </c>
      <c r="J343" t="str">
        <f>IF(ISBLANK(Table13[[#This Row],[Rating]]), "No", "Yes")</f>
        <v>Yes</v>
      </c>
      <c r="K343" t="str">
        <f>IF(ISBLANK(Table13[[#This Row],[Rating]]), "Not Rated", IF(Table13[[#This Row],[Rating]] &lt; 3, "Low", IF(Table13[[#This Row],[Rating]] &lt; 4, "Medium", "High")))</f>
        <v>High</v>
      </c>
      <c r="L343">
        <v>105</v>
      </c>
      <c r="M343">
        <v>17</v>
      </c>
      <c r="N343" t="str">
        <f>IF(Table13[[#This Row],[Price USD]]&lt;20,"Budget",IF(Table13[[#This Row],[Price USD]]&lt;=50,"Mid-range","Premium"))</f>
        <v>Budget</v>
      </c>
      <c r="O343">
        <v>0</v>
      </c>
      <c r="P343">
        <v>0</v>
      </c>
    </row>
    <row r="344" spans="1:16" x14ac:dyDescent="0.25">
      <c r="A344" t="s">
        <v>2197</v>
      </c>
      <c r="B344" t="s">
        <v>2198</v>
      </c>
      <c r="C344">
        <v>6307</v>
      </c>
      <c r="D344" t="s">
        <v>1132</v>
      </c>
      <c r="E344" t="s">
        <v>69</v>
      </c>
      <c r="F344">
        <v>12664</v>
      </c>
      <c r="G3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4">
        <v>4.7169999999999996</v>
      </c>
      <c r="J344" t="str">
        <f>IF(ISBLANK(Table13[[#This Row],[Rating]]), "No", "Yes")</f>
        <v>Yes</v>
      </c>
      <c r="K344" t="str">
        <f>IF(ISBLANK(Table13[[#This Row],[Rating]]), "Not Rated", IF(Table13[[#This Row],[Rating]] &lt; 3, "Low", IF(Table13[[#This Row],[Rating]] &lt; 4, "Medium", "High")))</f>
        <v>High</v>
      </c>
      <c r="L344">
        <v>106</v>
      </c>
      <c r="M344">
        <v>54</v>
      </c>
      <c r="N344" t="str">
        <f>IF(Table13[[#This Row],[Price USD]]&lt;20,"Budget",IF(Table13[[#This Row],[Price USD]]&lt;=50,"Mid-range","Premium"))</f>
        <v>Premium</v>
      </c>
      <c r="O344">
        <v>0</v>
      </c>
      <c r="P344">
        <v>0</v>
      </c>
    </row>
    <row r="345" spans="1:16" x14ac:dyDescent="0.25">
      <c r="A345" t="s">
        <v>1818</v>
      </c>
      <c r="B345" t="s">
        <v>1819</v>
      </c>
      <c r="C345">
        <v>7037</v>
      </c>
      <c r="D345" t="s">
        <v>1718</v>
      </c>
      <c r="E345" t="s">
        <v>347</v>
      </c>
      <c r="F345">
        <v>16929</v>
      </c>
      <c r="G3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5">
        <v>3.8784999999999998</v>
      </c>
      <c r="J345" t="str">
        <f>IF(ISBLANK(Table13[[#This Row],[Rating]]), "No", "Yes")</f>
        <v>Yes</v>
      </c>
      <c r="K345" t="str">
        <f>IF(ISBLANK(Table13[[#This Row],[Rating]]), "Not Rated", IF(Table13[[#This Row],[Rating]] &lt; 3, "Low", IF(Table13[[#This Row],[Rating]] &lt; 4, "Medium", "High")))</f>
        <v>Medium</v>
      </c>
      <c r="L345">
        <v>107</v>
      </c>
      <c r="M345">
        <v>179</v>
      </c>
      <c r="N345" t="str">
        <f>IF(Table13[[#This Row],[Price USD]]&lt;20,"Budget",IF(Table13[[#This Row],[Price USD]]&lt;=50,"Mid-range","Premium"))</f>
        <v>Premium</v>
      </c>
      <c r="O345">
        <v>0</v>
      </c>
      <c r="P345">
        <v>0</v>
      </c>
    </row>
    <row r="346" spans="1:16" x14ac:dyDescent="0.25">
      <c r="A346" t="s">
        <v>2344</v>
      </c>
      <c r="B346" t="s">
        <v>2345</v>
      </c>
      <c r="C346">
        <v>6018</v>
      </c>
      <c r="D346" t="s">
        <v>517</v>
      </c>
      <c r="E346" t="s">
        <v>8</v>
      </c>
      <c r="F346">
        <v>11488</v>
      </c>
      <c r="G3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6">
        <v>4.2130000000000001</v>
      </c>
      <c r="J346" t="str">
        <f>IF(ISBLANK(Table13[[#This Row],[Rating]]), "No", "Yes")</f>
        <v>Yes</v>
      </c>
      <c r="K346" t="str">
        <f>IF(ISBLANK(Table13[[#This Row],[Rating]]), "Not Rated", IF(Table13[[#This Row],[Rating]] &lt; 3, "Low", IF(Table13[[#This Row],[Rating]] &lt; 4, "Medium", "High")))</f>
        <v>High</v>
      </c>
      <c r="L346">
        <v>108</v>
      </c>
      <c r="M346">
        <v>85</v>
      </c>
      <c r="N346" t="str">
        <f>IF(Table13[[#This Row],[Price USD]]&lt;20,"Budget",IF(Table13[[#This Row],[Price USD]]&lt;=50,"Mid-range","Premium"))</f>
        <v>Premium</v>
      </c>
      <c r="O346">
        <v>0</v>
      </c>
      <c r="P346">
        <v>0</v>
      </c>
    </row>
    <row r="347" spans="1:16" x14ac:dyDescent="0.25">
      <c r="A347" t="s">
        <v>2107</v>
      </c>
      <c r="B347" t="s">
        <v>2108</v>
      </c>
      <c r="C347">
        <v>1741</v>
      </c>
      <c r="D347" t="s">
        <v>388</v>
      </c>
      <c r="E347" t="s">
        <v>69</v>
      </c>
      <c r="F347">
        <v>13528</v>
      </c>
      <c r="G3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7">
        <v>4.0833000000000004</v>
      </c>
      <c r="J347" t="str">
        <f>IF(ISBLANK(Table13[[#This Row],[Rating]]), "No", "Yes")</f>
        <v>Yes</v>
      </c>
      <c r="K347" t="str">
        <f>IF(ISBLANK(Table13[[#This Row],[Rating]]), "Not Rated", IF(Table13[[#This Row],[Rating]] &lt; 3, "Low", IF(Table13[[#This Row],[Rating]] &lt; 4, "Medium", "High")))</f>
        <v>High</v>
      </c>
      <c r="L347">
        <v>108</v>
      </c>
      <c r="M347">
        <v>15</v>
      </c>
      <c r="N347" t="str">
        <f>IF(Table13[[#This Row],[Price USD]]&lt;20,"Budget",IF(Table13[[#This Row],[Price USD]]&lt;=50,"Mid-range","Premium"))</f>
        <v>Budget</v>
      </c>
      <c r="O347">
        <v>0</v>
      </c>
      <c r="P347">
        <v>1</v>
      </c>
    </row>
    <row r="348" spans="1:16" x14ac:dyDescent="0.25">
      <c r="A348" t="s">
        <v>1253</v>
      </c>
      <c r="B348" t="s">
        <v>1254</v>
      </c>
      <c r="C348">
        <v>6234</v>
      </c>
      <c r="D348" t="s">
        <v>7</v>
      </c>
      <c r="E348" t="s">
        <v>13</v>
      </c>
      <c r="F348">
        <v>27760</v>
      </c>
      <c r="G3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8">
        <v>3.9537</v>
      </c>
      <c r="J348" t="str">
        <f>IF(ISBLANK(Table13[[#This Row],[Rating]]), "No", "Yes")</f>
        <v>Yes</v>
      </c>
      <c r="K348" t="str">
        <f>IF(ISBLANK(Table13[[#This Row],[Rating]]), "Not Rated", IF(Table13[[#This Row],[Rating]] &lt; 3, "Low", IF(Table13[[#This Row],[Rating]] &lt; 4, "Medium", "High")))</f>
        <v>Medium</v>
      </c>
      <c r="L348">
        <v>108</v>
      </c>
      <c r="M348">
        <v>9</v>
      </c>
      <c r="N348" t="str">
        <f>IF(Table13[[#This Row],[Price USD]]&lt;20,"Budget",IF(Table13[[#This Row],[Price USD]]&lt;=50,"Mid-range","Premium"))</f>
        <v>Budget</v>
      </c>
      <c r="O348">
        <v>0</v>
      </c>
      <c r="P348">
        <v>0</v>
      </c>
    </row>
    <row r="349" spans="1:16" x14ac:dyDescent="0.25">
      <c r="A349" t="s">
        <v>2218</v>
      </c>
      <c r="B349" t="s">
        <v>2219</v>
      </c>
      <c r="C349">
        <v>5337</v>
      </c>
      <c r="D349" t="s">
        <v>209</v>
      </c>
      <c r="E349" t="s">
        <v>13</v>
      </c>
      <c r="F349">
        <v>12520</v>
      </c>
      <c r="G3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49">
        <v>4.2454999999999998</v>
      </c>
      <c r="J349" t="str">
        <f>IF(ISBLANK(Table13[[#This Row],[Rating]]), "No", "Yes")</f>
        <v>Yes</v>
      </c>
      <c r="K349" t="str">
        <f>IF(ISBLANK(Table13[[#This Row],[Rating]]), "Not Rated", IF(Table13[[#This Row],[Rating]] &lt; 3, "Low", IF(Table13[[#This Row],[Rating]] &lt; 4, "Medium", "High")))</f>
        <v>High</v>
      </c>
      <c r="L349">
        <v>110</v>
      </c>
      <c r="M349">
        <v>36</v>
      </c>
      <c r="N349" t="str">
        <f>IF(Table13[[#This Row],[Price USD]]&lt;20,"Budget",IF(Table13[[#This Row],[Price USD]]&lt;=50,"Mid-range","Premium"))</f>
        <v>Mid-range</v>
      </c>
      <c r="O349">
        <v>0</v>
      </c>
      <c r="P349">
        <v>0</v>
      </c>
    </row>
    <row r="350" spans="1:16" x14ac:dyDescent="0.25">
      <c r="A350" t="s">
        <v>1578</v>
      </c>
      <c r="B350" t="s">
        <v>1579</v>
      </c>
      <c r="C350">
        <v>5674</v>
      </c>
      <c r="D350" t="s">
        <v>141</v>
      </c>
      <c r="E350" t="s">
        <v>4</v>
      </c>
      <c r="F350">
        <v>20729</v>
      </c>
      <c r="G3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0">
        <v>4.5727000000000002</v>
      </c>
      <c r="J350" t="str">
        <f>IF(ISBLANK(Table13[[#This Row],[Rating]]), "No", "Yes")</f>
        <v>Yes</v>
      </c>
      <c r="K350" t="str">
        <f>IF(ISBLANK(Table13[[#This Row],[Rating]]), "Not Rated", IF(Table13[[#This Row],[Rating]] &lt; 3, "Low", IF(Table13[[#This Row],[Rating]] &lt; 4, "Medium", "High")))</f>
        <v>High</v>
      </c>
      <c r="L350">
        <v>110</v>
      </c>
      <c r="M350">
        <v>22</v>
      </c>
      <c r="N350" t="str">
        <f>IF(Table13[[#This Row],[Price USD]]&lt;20,"Budget",IF(Table13[[#This Row],[Price USD]]&lt;=50,"Mid-range","Premium"))</f>
        <v>Mid-range</v>
      </c>
      <c r="O350">
        <v>1</v>
      </c>
      <c r="P350">
        <v>0</v>
      </c>
    </row>
    <row r="351" spans="1:16" x14ac:dyDescent="0.25">
      <c r="A351" t="s">
        <v>1928</v>
      </c>
      <c r="B351" t="s">
        <v>1929</v>
      </c>
      <c r="C351">
        <v>6117</v>
      </c>
      <c r="D351" t="s">
        <v>229</v>
      </c>
      <c r="E351" t="s">
        <v>8</v>
      </c>
      <c r="F351">
        <v>15482</v>
      </c>
      <c r="G3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1">
        <v>4.5134999999999996</v>
      </c>
      <c r="J351" t="str">
        <f>IF(ISBLANK(Table13[[#This Row],[Rating]]), "No", "Yes")</f>
        <v>Yes</v>
      </c>
      <c r="K351" t="str">
        <f>IF(ISBLANK(Table13[[#This Row],[Rating]]), "Not Rated", IF(Table13[[#This Row],[Rating]] &lt; 3, "Low", IF(Table13[[#This Row],[Rating]] &lt; 4, "Medium", "High")))</f>
        <v>High</v>
      </c>
      <c r="L351">
        <v>111</v>
      </c>
      <c r="M351">
        <v>62</v>
      </c>
      <c r="N351" t="str">
        <f>IF(Table13[[#This Row],[Price USD]]&lt;20,"Budget",IF(Table13[[#This Row],[Price USD]]&lt;=50,"Mid-range","Premium"))</f>
        <v>Premium</v>
      </c>
      <c r="O351">
        <v>0</v>
      </c>
      <c r="P351">
        <v>0</v>
      </c>
    </row>
    <row r="352" spans="1:16" x14ac:dyDescent="0.25">
      <c r="A352" t="s">
        <v>992</v>
      </c>
      <c r="B352" t="s">
        <v>993</v>
      </c>
      <c r="C352">
        <v>7083</v>
      </c>
      <c r="D352" t="s">
        <v>20</v>
      </c>
      <c r="E352" t="s">
        <v>220</v>
      </c>
      <c r="F352">
        <v>37629</v>
      </c>
      <c r="G3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2">
        <v>4.3874000000000004</v>
      </c>
      <c r="J352" t="str">
        <f>IF(ISBLANK(Table13[[#This Row],[Rating]]), "No", "Yes")</f>
        <v>Yes</v>
      </c>
      <c r="K352" t="str">
        <f>IF(ISBLANK(Table13[[#This Row],[Rating]]), "Not Rated", IF(Table13[[#This Row],[Rating]] &lt; 3, "Low", IF(Table13[[#This Row],[Rating]] &lt; 4, "Medium", "High")))</f>
        <v>High</v>
      </c>
      <c r="L352">
        <v>111</v>
      </c>
      <c r="M352">
        <v>28</v>
      </c>
      <c r="N352" t="str">
        <f>IF(Table13[[#This Row],[Price USD]]&lt;20,"Budget",IF(Table13[[#This Row],[Price USD]]&lt;=50,"Mid-range","Premium"))</f>
        <v>Mid-range</v>
      </c>
      <c r="O352">
        <v>0</v>
      </c>
      <c r="P352">
        <v>1</v>
      </c>
    </row>
    <row r="353" spans="1:16" x14ac:dyDescent="0.25">
      <c r="A353" t="s">
        <v>2156</v>
      </c>
      <c r="B353" t="s">
        <v>642</v>
      </c>
      <c r="C353">
        <v>5671</v>
      </c>
      <c r="D353" t="s">
        <v>393</v>
      </c>
      <c r="E353" t="s">
        <v>4</v>
      </c>
      <c r="F353">
        <v>13002</v>
      </c>
      <c r="G3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3">
        <v>4.1517999999999997</v>
      </c>
      <c r="J353" t="str">
        <f>IF(ISBLANK(Table13[[#This Row],[Rating]]), "No", "Yes")</f>
        <v>Yes</v>
      </c>
      <c r="K353" t="str">
        <f>IF(ISBLANK(Table13[[#This Row],[Rating]]), "Not Rated", IF(Table13[[#This Row],[Rating]] &lt; 3, "Low", IF(Table13[[#This Row],[Rating]] &lt; 4, "Medium", "High")))</f>
        <v>High</v>
      </c>
      <c r="L353">
        <v>112</v>
      </c>
      <c r="M353">
        <v>8</v>
      </c>
      <c r="N353" t="str">
        <f>IF(Table13[[#This Row],[Price USD]]&lt;20,"Budget",IF(Table13[[#This Row],[Price USD]]&lt;=50,"Mid-range","Premium"))</f>
        <v>Budget</v>
      </c>
      <c r="O353">
        <v>0</v>
      </c>
      <c r="P353">
        <v>0</v>
      </c>
    </row>
    <row r="354" spans="1:16" x14ac:dyDescent="0.25">
      <c r="A354" t="s">
        <v>2013</v>
      </c>
      <c r="B354" t="s">
        <v>2014</v>
      </c>
      <c r="C354">
        <v>6235</v>
      </c>
      <c r="D354" t="s">
        <v>1166</v>
      </c>
      <c r="E354" t="s">
        <v>201</v>
      </c>
      <c r="F354">
        <v>14595</v>
      </c>
      <c r="G3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4">
        <v>4.3838999999999997</v>
      </c>
      <c r="J354" t="str">
        <f>IF(ISBLANK(Table13[[#This Row],[Rating]]), "No", "Yes")</f>
        <v>Yes</v>
      </c>
      <c r="K354" t="str">
        <f>IF(ISBLANK(Table13[[#This Row],[Rating]]), "Not Rated", IF(Table13[[#This Row],[Rating]] &lt; 3, "Low", IF(Table13[[#This Row],[Rating]] &lt; 4, "Medium", "High")))</f>
        <v>High</v>
      </c>
      <c r="L354">
        <v>112</v>
      </c>
      <c r="M354">
        <v>12</v>
      </c>
      <c r="N354" t="str">
        <f>IF(Table13[[#This Row],[Price USD]]&lt;20,"Budget",IF(Table13[[#This Row],[Price USD]]&lt;=50,"Mid-range","Premium"))</f>
        <v>Budget</v>
      </c>
      <c r="O354">
        <v>0</v>
      </c>
      <c r="P354">
        <v>0</v>
      </c>
    </row>
    <row r="355" spans="1:16" x14ac:dyDescent="0.25">
      <c r="A355" t="s">
        <v>1287</v>
      </c>
      <c r="B355" t="s">
        <v>1288</v>
      </c>
      <c r="C355">
        <v>6189</v>
      </c>
      <c r="D355" t="s">
        <v>30</v>
      </c>
      <c r="E355" t="s">
        <v>220</v>
      </c>
      <c r="F355">
        <v>26624</v>
      </c>
      <c r="G3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5">
        <v>4.875</v>
      </c>
      <c r="J355" t="str">
        <f>IF(ISBLANK(Table13[[#This Row],[Rating]]), "No", "Yes")</f>
        <v>Yes</v>
      </c>
      <c r="K355" t="str">
        <f>IF(ISBLANK(Table13[[#This Row],[Rating]]), "Not Rated", IF(Table13[[#This Row],[Rating]] &lt; 3, "Low", IF(Table13[[#This Row],[Rating]] &lt; 4, "Medium", "High")))</f>
        <v>High</v>
      </c>
      <c r="L355">
        <v>112</v>
      </c>
      <c r="M355">
        <v>52</v>
      </c>
      <c r="N355" t="str">
        <f>IF(Table13[[#This Row],[Price USD]]&lt;20,"Budget",IF(Table13[[#This Row],[Price USD]]&lt;=50,"Mid-range","Premium"))</f>
        <v>Premium</v>
      </c>
      <c r="O355">
        <v>1</v>
      </c>
      <c r="P355">
        <v>0</v>
      </c>
    </row>
    <row r="356" spans="1:16" x14ac:dyDescent="0.25">
      <c r="A356" t="s">
        <v>1108</v>
      </c>
      <c r="B356" t="s">
        <v>1109</v>
      </c>
      <c r="C356">
        <v>3902</v>
      </c>
      <c r="D356" t="s">
        <v>72</v>
      </c>
      <c r="E356" t="s">
        <v>201</v>
      </c>
      <c r="F356">
        <v>32124</v>
      </c>
      <c r="G3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6">
        <v>3.7410999999999999</v>
      </c>
      <c r="J356" t="str">
        <f>IF(ISBLANK(Table13[[#This Row],[Rating]]), "No", "Yes")</f>
        <v>Yes</v>
      </c>
      <c r="K356" t="str">
        <f>IF(ISBLANK(Table13[[#This Row],[Rating]]), "Not Rated", IF(Table13[[#This Row],[Rating]] &lt; 3, "Low", IF(Table13[[#This Row],[Rating]] &lt; 4, "Medium", "High")))</f>
        <v>Medium</v>
      </c>
      <c r="L356">
        <v>112</v>
      </c>
      <c r="M356">
        <v>10</v>
      </c>
      <c r="N356" t="str">
        <f>IF(Table13[[#This Row],[Price USD]]&lt;20,"Budget",IF(Table13[[#This Row],[Price USD]]&lt;=50,"Mid-range","Premium"))</f>
        <v>Budget</v>
      </c>
      <c r="O356">
        <v>0</v>
      </c>
      <c r="P356">
        <v>0</v>
      </c>
    </row>
    <row r="357" spans="1:16" x14ac:dyDescent="0.25">
      <c r="A357" t="s">
        <v>2165</v>
      </c>
      <c r="B357" t="s">
        <v>2166</v>
      </c>
      <c r="C357">
        <v>5946</v>
      </c>
      <c r="D357" t="s">
        <v>341</v>
      </c>
      <c r="E357" t="s">
        <v>21</v>
      </c>
      <c r="F357">
        <v>12883</v>
      </c>
      <c r="G3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7">
        <v>4.3009000000000004</v>
      </c>
      <c r="J357" t="str">
        <f>IF(ISBLANK(Table13[[#This Row],[Rating]]), "No", "Yes")</f>
        <v>Yes</v>
      </c>
      <c r="K357" t="str">
        <f>IF(ISBLANK(Table13[[#This Row],[Rating]]), "Not Rated", IF(Table13[[#This Row],[Rating]] &lt; 3, "Low", IF(Table13[[#This Row],[Rating]] &lt; 4, "Medium", "High")))</f>
        <v>High</v>
      </c>
      <c r="L357">
        <v>113</v>
      </c>
      <c r="M357">
        <v>56</v>
      </c>
      <c r="N357" t="str">
        <f>IF(Table13[[#This Row],[Price USD]]&lt;20,"Budget",IF(Table13[[#This Row],[Price USD]]&lt;=50,"Mid-range","Premium"))</f>
        <v>Premium</v>
      </c>
      <c r="O357">
        <v>0</v>
      </c>
      <c r="P357">
        <v>0</v>
      </c>
    </row>
    <row r="358" spans="1:16" x14ac:dyDescent="0.25">
      <c r="A358" t="s">
        <v>1428</v>
      </c>
      <c r="B358" t="s">
        <v>1429</v>
      </c>
      <c r="C358">
        <v>6219</v>
      </c>
      <c r="D358" t="s">
        <v>277</v>
      </c>
      <c r="E358" t="s">
        <v>220</v>
      </c>
      <c r="F358">
        <v>23348</v>
      </c>
      <c r="G3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8">
        <v>4.5751999999999997</v>
      </c>
      <c r="J358" t="str">
        <f>IF(ISBLANK(Table13[[#This Row],[Rating]]), "No", "Yes")</f>
        <v>Yes</v>
      </c>
      <c r="K358" t="str">
        <f>IF(ISBLANK(Table13[[#This Row],[Rating]]), "Not Rated", IF(Table13[[#This Row],[Rating]] &lt; 3, "Low", IF(Table13[[#This Row],[Rating]] &lt; 4, "Medium", "High")))</f>
        <v>High</v>
      </c>
      <c r="L358">
        <v>113</v>
      </c>
      <c r="M358">
        <v>19</v>
      </c>
      <c r="N358" t="str">
        <f>IF(Table13[[#This Row],[Price USD]]&lt;20,"Budget",IF(Table13[[#This Row],[Price USD]]&lt;=50,"Mid-range","Premium"))</f>
        <v>Budget</v>
      </c>
      <c r="O358">
        <v>0</v>
      </c>
      <c r="P358">
        <v>0</v>
      </c>
    </row>
    <row r="359" spans="1:16" x14ac:dyDescent="0.25">
      <c r="A359" t="s">
        <v>2299</v>
      </c>
      <c r="B359" t="s">
        <v>2300</v>
      </c>
      <c r="C359">
        <v>6358</v>
      </c>
      <c r="D359" t="s">
        <v>2301</v>
      </c>
      <c r="E359" t="s">
        <v>8</v>
      </c>
      <c r="F359">
        <v>11839</v>
      </c>
      <c r="G3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59">
        <v>4.6490999999999998</v>
      </c>
      <c r="J359" t="str">
        <f>IF(ISBLANK(Table13[[#This Row],[Rating]]), "No", "Yes")</f>
        <v>Yes</v>
      </c>
      <c r="K359" t="str">
        <f>IF(ISBLANK(Table13[[#This Row],[Rating]]), "Not Rated", IF(Table13[[#This Row],[Rating]] &lt; 3, "Low", IF(Table13[[#This Row],[Rating]] &lt; 4, "Medium", "High")))</f>
        <v>High</v>
      </c>
      <c r="L359">
        <v>114</v>
      </c>
      <c r="M359">
        <v>72</v>
      </c>
      <c r="N359" t="str">
        <f>IF(Table13[[#This Row],[Price USD]]&lt;20,"Budget",IF(Table13[[#This Row],[Price USD]]&lt;=50,"Mid-range","Premium"))</f>
        <v>Premium</v>
      </c>
      <c r="O359">
        <v>0</v>
      </c>
      <c r="P359">
        <v>1</v>
      </c>
    </row>
    <row r="360" spans="1:16" x14ac:dyDescent="0.25">
      <c r="A360" t="s">
        <v>1185</v>
      </c>
      <c r="B360" t="s">
        <v>1186</v>
      </c>
      <c r="C360">
        <v>6285</v>
      </c>
      <c r="D360" t="s">
        <v>119</v>
      </c>
      <c r="E360" t="s">
        <v>8</v>
      </c>
      <c r="F360">
        <v>29698</v>
      </c>
      <c r="G3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0">
        <v>4.2173999999999996</v>
      </c>
      <c r="J360" t="str">
        <f>IF(ISBLANK(Table13[[#This Row],[Rating]]), "No", "Yes")</f>
        <v>Yes</v>
      </c>
      <c r="K360" t="str">
        <f>IF(ISBLANK(Table13[[#This Row],[Rating]]), "Not Rated", IF(Table13[[#This Row],[Rating]] &lt; 3, "Low", IF(Table13[[#This Row],[Rating]] &lt; 4, "Medium", "High")))</f>
        <v>High</v>
      </c>
      <c r="L360">
        <v>115</v>
      </c>
      <c r="M360">
        <v>12.99</v>
      </c>
      <c r="N360" t="str">
        <f>IF(Table13[[#This Row],[Price USD]]&lt;20,"Budget",IF(Table13[[#This Row],[Price USD]]&lt;=50,"Mid-range","Premium"))</f>
        <v>Budget</v>
      </c>
      <c r="O360">
        <v>0</v>
      </c>
      <c r="P360">
        <v>0</v>
      </c>
    </row>
    <row r="361" spans="1:16" x14ac:dyDescent="0.25">
      <c r="A361" t="s">
        <v>2318</v>
      </c>
      <c r="B361" t="s">
        <v>2319</v>
      </c>
      <c r="C361">
        <v>3902</v>
      </c>
      <c r="D361" t="s">
        <v>72</v>
      </c>
      <c r="E361" t="s">
        <v>8</v>
      </c>
      <c r="F361">
        <v>11705</v>
      </c>
      <c r="G3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1">
        <v>4.6067999999999998</v>
      </c>
      <c r="J361" t="str">
        <f>IF(ISBLANK(Table13[[#This Row],[Rating]]), "No", "Yes")</f>
        <v>Yes</v>
      </c>
      <c r="K361" t="str">
        <f>IF(ISBLANK(Table13[[#This Row],[Rating]]), "Not Rated", IF(Table13[[#This Row],[Rating]] &lt; 3, "Low", IF(Table13[[#This Row],[Rating]] &lt; 4, "Medium", "High")))</f>
        <v>High</v>
      </c>
      <c r="L361">
        <v>117</v>
      </c>
      <c r="M361">
        <v>17</v>
      </c>
      <c r="N361" t="str">
        <f>IF(Table13[[#This Row],[Price USD]]&lt;20,"Budget",IF(Table13[[#This Row],[Price USD]]&lt;=50,"Mid-range","Premium"))</f>
        <v>Budget</v>
      </c>
      <c r="O361">
        <v>0</v>
      </c>
      <c r="P361">
        <v>0</v>
      </c>
    </row>
    <row r="362" spans="1:16" x14ac:dyDescent="0.25">
      <c r="A362" t="s">
        <v>2034</v>
      </c>
      <c r="B362" t="s">
        <v>2035</v>
      </c>
      <c r="C362">
        <v>6018</v>
      </c>
      <c r="D362" t="s">
        <v>517</v>
      </c>
      <c r="E362" t="s">
        <v>69</v>
      </c>
      <c r="F362">
        <v>14367</v>
      </c>
      <c r="G3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2">
        <v>4.3728999999999996</v>
      </c>
      <c r="J362" t="str">
        <f>IF(ISBLANK(Table13[[#This Row],[Rating]]), "No", "Yes")</f>
        <v>Yes</v>
      </c>
      <c r="K362" t="str">
        <f>IF(ISBLANK(Table13[[#This Row],[Rating]]), "Not Rated", IF(Table13[[#This Row],[Rating]] &lt; 3, "Low", IF(Table13[[#This Row],[Rating]] &lt; 4, "Medium", "High")))</f>
        <v>High</v>
      </c>
      <c r="L362">
        <v>118</v>
      </c>
      <c r="M362">
        <v>38</v>
      </c>
      <c r="N362" t="str">
        <f>IF(Table13[[#This Row],[Price USD]]&lt;20,"Budget",IF(Table13[[#This Row],[Price USD]]&lt;=50,"Mid-range","Premium"))</f>
        <v>Mid-range</v>
      </c>
      <c r="O362">
        <v>0</v>
      </c>
      <c r="P362">
        <v>0</v>
      </c>
    </row>
    <row r="363" spans="1:16" x14ac:dyDescent="0.25">
      <c r="A363" t="s">
        <v>1657</v>
      </c>
      <c r="B363" t="s">
        <v>1658</v>
      </c>
      <c r="C363">
        <v>6201</v>
      </c>
      <c r="D363" t="s">
        <v>367</v>
      </c>
      <c r="E363" t="s">
        <v>13</v>
      </c>
      <c r="F363">
        <v>19070</v>
      </c>
      <c r="G3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3">
        <v>4</v>
      </c>
      <c r="J363" t="str">
        <f>IF(ISBLANK(Table13[[#This Row],[Rating]]), "No", "Yes")</f>
        <v>Yes</v>
      </c>
      <c r="K363" t="str">
        <f>IF(ISBLANK(Table13[[#This Row],[Rating]]), "Not Rated", IF(Table13[[#This Row],[Rating]] &lt; 3, "Low", IF(Table13[[#This Row],[Rating]] &lt; 4, "Medium", "High")))</f>
        <v>High</v>
      </c>
      <c r="L363">
        <v>119</v>
      </c>
      <c r="M363">
        <v>95</v>
      </c>
      <c r="N363" t="str">
        <f>IF(Table13[[#This Row],[Price USD]]&lt;20,"Budget",IF(Table13[[#This Row],[Price USD]]&lt;=50,"Mid-range","Premium"))</f>
        <v>Premium</v>
      </c>
      <c r="O363">
        <v>0</v>
      </c>
      <c r="P363">
        <v>0</v>
      </c>
    </row>
    <row r="364" spans="1:16" x14ac:dyDescent="0.25">
      <c r="A364" t="s">
        <v>1772</v>
      </c>
      <c r="B364" t="s">
        <v>1773</v>
      </c>
      <c r="C364">
        <v>5996</v>
      </c>
      <c r="D364" t="s">
        <v>327</v>
      </c>
      <c r="E364" t="s">
        <v>347</v>
      </c>
      <c r="F364">
        <v>17417</v>
      </c>
      <c r="G3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4">
        <v>4.3917000000000002</v>
      </c>
      <c r="J364" t="str">
        <f>IF(ISBLANK(Table13[[#This Row],[Rating]]), "No", "Yes")</f>
        <v>Yes</v>
      </c>
      <c r="K364" t="str">
        <f>IF(ISBLANK(Table13[[#This Row],[Rating]]), "Not Rated", IF(Table13[[#This Row],[Rating]] &lt; 3, "Low", IF(Table13[[#This Row],[Rating]] &lt; 4, "Medium", "High")))</f>
        <v>High</v>
      </c>
      <c r="L364">
        <v>120</v>
      </c>
      <c r="M364">
        <v>49</v>
      </c>
      <c r="N364" t="str">
        <f>IF(Table13[[#This Row],[Price USD]]&lt;20,"Budget",IF(Table13[[#This Row],[Price USD]]&lt;=50,"Mid-range","Premium"))</f>
        <v>Mid-range</v>
      </c>
      <c r="O364">
        <v>0</v>
      </c>
      <c r="P364">
        <v>0</v>
      </c>
    </row>
    <row r="365" spans="1:16" x14ac:dyDescent="0.25">
      <c r="A365" t="s">
        <v>1475</v>
      </c>
      <c r="B365" t="s">
        <v>1476</v>
      </c>
      <c r="C365">
        <v>7020</v>
      </c>
      <c r="D365" t="s">
        <v>657</v>
      </c>
      <c r="E365" t="s">
        <v>220</v>
      </c>
      <c r="F365">
        <v>22558</v>
      </c>
      <c r="G3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5">
        <v>3.65</v>
      </c>
      <c r="J365" t="str">
        <f>IF(ISBLANK(Table13[[#This Row],[Rating]]), "No", "Yes")</f>
        <v>Yes</v>
      </c>
      <c r="K365" t="str">
        <f>IF(ISBLANK(Table13[[#This Row],[Rating]]), "Not Rated", IF(Table13[[#This Row],[Rating]] &lt; 3, "Low", IF(Table13[[#This Row],[Rating]] &lt; 4, "Medium", "High")))</f>
        <v>Medium</v>
      </c>
      <c r="L365">
        <v>120</v>
      </c>
      <c r="M365">
        <v>75</v>
      </c>
      <c r="N365" t="str">
        <f>IF(Table13[[#This Row],[Price USD]]&lt;20,"Budget",IF(Table13[[#This Row],[Price USD]]&lt;=50,"Mid-range","Premium"))</f>
        <v>Premium</v>
      </c>
      <c r="O365">
        <v>0</v>
      </c>
      <c r="P365">
        <v>1</v>
      </c>
    </row>
    <row r="366" spans="1:16" x14ac:dyDescent="0.25">
      <c r="A366" t="s">
        <v>1422</v>
      </c>
      <c r="B366" t="s">
        <v>1423</v>
      </c>
      <c r="C366">
        <v>3902</v>
      </c>
      <c r="D366" t="s">
        <v>72</v>
      </c>
      <c r="E366" t="s">
        <v>69</v>
      </c>
      <c r="F366">
        <v>23473</v>
      </c>
      <c r="G3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6">
        <v>3.5124</v>
      </c>
      <c r="J366" t="str">
        <f>IF(ISBLANK(Table13[[#This Row],[Rating]]), "No", "Yes")</f>
        <v>Yes</v>
      </c>
      <c r="K366" t="str">
        <f>IF(ISBLANK(Table13[[#This Row],[Rating]]), "Not Rated", IF(Table13[[#This Row],[Rating]] &lt; 3, "Low", IF(Table13[[#This Row],[Rating]] &lt; 4, "Medium", "High")))</f>
        <v>Medium</v>
      </c>
      <c r="L366">
        <v>121</v>
      </c>
      <c r="M366">
        <v>12</v>
      </c>
      <c r="N366" t="str">
        <f>IF(Table13[[#This Row],[Price USD]]&lt;20,"Budget",IF(Table13[[#This Row],[Price USD]]&lt;=50,"Mid-range","Premium"))</f>
        <v>Budget</v>
      </c>
      <c r="O366">
        <v>0</v>
      </c>
      <c r="P366">
        <v>0</v>
      </c>
    </row>
    <row r="367" spans="1:16" x14ac:dyDescent="0.25">
      <c r="A367" t="s">
        <v>2171</v>
      </c>
      <c r="B367" t="s">
        <v>2172</v>
      </c>
      <c r="C367">
        <v>6236</v>
      </c>
      <c r="D367" t="s">
        <v>272</v>
      </c>
      <c r="E367" t="s">
        <v>21</v>
      </c>
      <c r="F367">
        <v>12841</v>
      </c>
      <c r="G3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7">
        <v>3.5491999999999999</v>
      </c>
      <c r="J367" t="str">
        <f>IF(ISBLANK(Table13[[#This Row],[Rating]]), "No", "Yes")</f>
        <v>Yes</v>
      </c>
      <c r="K367" t="str">
        <f>IF(ISBLANK(Table13[[#This Row],[Rating]]), "Not Rated", IF(Table13[[#This Row],[Rating]] &lt; 3, "Low", IF(Table13[[#This Row],[Rating]] &lt; 4, "Medium", "High")))</f>
        <v>Medium</v>
      </c>
      <c r="L367">
        <v>122</v>
      </c>
      <c r="M367">
        <v>145</v>
      </c>
      <c r="N367" t="str">
        <f>IF(Table13[[#This Row],[Price USD]]&lt;20,"Budget",IF(Table13[[#This Row],[Price USD]]&lt;=50,"Mid-range","Premium"))</f>
        <v>Premium</v>
      </c>
      <c r="O367">
        <v>0</v>
      </c>
      <c r="P367">
        <v>0</v>
      </c>
    </row>
    <row r="368" spans="1:16" x14ac:dyDescent="0.25">
      <c r="A368" t="s">
        <v>1092</v>
      </c>
      <c r="B368" t="s">
        <v>1093</v>
      </c>
      <c r="C368">
        <v>8017</v>
      </c>
      <c r="D368" t="s">
        <v>620</v>
      </c>
      <c r="E368" t="s">
        <v>144</v>
      </c>
      <c r="F368">
        <v>32572</v>
      </c>
      <c r="G3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8">
        <v>4.1138000000000003</v>
      </c>
      <c r="J368" t="str">
        <f>IF(ISBLANK(Table13[[#This Row],[Rating]]), "No", "Yes")</f>
        <v>Yes</v>
      </c>
      <c r="K368" t="str">
        <f>IF(ISBLANK(Table13[[#This Row],[Rating]]), "Not Rated", IF(Table13[[#This Row],[Rating]] &lt; 3, "Low", IF(Table13[[#This Row],[Rating]] &lt; 4, "Medium", "High")))</f>
        <v>High</v>
      </c>
      <c r="L368">
        <v>123</v>
      </c>
      <c r="M368">
        <v>5</v>
      </c>
      <c r="N368" t="str">
        <f>IF(Table13[[#This Row],[Price USD]]&lt;20,"Budget",IF(Table13[[#This Row],[Price USD]]&lt;=50,"Mid-range","Premium"))</f>
        <v>Budget</v>
      </c>
      <c r="O368">
        <v>0</v>
      </c>
      <c r="P368">
        <v>0</v>
      </c>
    </row>
    <row r="369" spans="1:16" x14ac:dyDescent="0.25">
      <c r="A369" t="s">
        <v>1661</v>
      </c>
      <c r="B369" t="s">
        <v>1662</v>
      </c>
      <c r="C369">
        <v>6218</v>
      </c>
      <c r="D369" t="s">
        <v>116</v>
      </c>
      <c r="E369" t="s">
        <v>49</v>
      </c>
      <c r="F369">
        <v>18993</v>
      </c>
      <c r="G3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69">
        <v>3.6048</v>
      </c>
      <c r="J369" t="str">
        <f>IF(ISBLANK(Table13[[#This Row],[Rating]]), "No", "Yes")</f>
        <v>Yes</v>
      </c>
      <c r="K369" t="str">
        <f>IF(ISBLANK(Table13[[#This Row],[Rating]]), "Not Rated", IF(Table13[[#This Row],[Rating]] &lt; 3, "Low", IF(Table13[[#This Row],[Rating]] &lt; 4, "Medium", "High")))</f>
        <v>Medium</v>
      </c>
      <c r="L369">
        <v>124</v>
      </c>
      <c r="M369">
        <v>68</v>
      </c>
      <c r="N369" t="str">
        <f>IF(Table13[[#This Row],[Price USD]]&lt;20,"Budget",IF(Table13[[#This Row],[Price USD]]&lt;=50,"Mid-range","Premium"))</f>
        <v>Premium</v>
      </c>
      <c r="O369">
        <v>1</v>
      </c>
      <c r="P369">
        <v>0</v>
      </c>
    </row>
    <row r="370" spans="1:16" x14ac:dyDescent="0.25">
      <c r="A370" t="s">
        <v>1353</v>
      </c>
      <c r="B370" t="s">
        <v>1354</v>
      </c>
      <c r="C370">
        <v>6114</v>
      </c>
      <c r="D370" t="s">
        <v>1355</v>
      </c>
      <c r="E370" t="s">
        <v>347</v>
      </c>
      <c r="F370">
        <v>24832</v>
      </c>
      <c r="G3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0">
        <v>4.4355000000000002</v>
      </c>
      <c r="J370" t="str">
        <f>IF(ISBLANK(Table13[[#This Row],[Rating]]), "No", "Yes")</f>
        <v>Yes</v>
      </c>
      <c r="K370" t="str">
        <f>IF(ISBLANK(Table13[[#This Row],[Rating]]), "Not Rated", IF(Table13[[#This Row],[Rating]] &lt; 3, "Low", IF(Table13[[#This Row],[Rating]] &lt; 4, "Medium", "High")))</f>
        <v>High</v>
      </c>
      <c r="L370">
        <v>124</v>
      </c>
      <c r="M370">
        <v>199</v>
      </c>
      <c r="N370" t="str">
        <f>IF(Table13[[#This Row],[Price USD]]&lt;20,"Budget",IF(Table13[[#This Row],[Price USD]]&lt;=50,"Mid-range","Premium"))</f>
        <v>Premium</v>
      </c>
      <c r="O370">
        <v>0</v>
      </c>
      <c r="P370">
        <v>0</v>
      </c>
    </row>
    <row r="371" spans="1:16" x14ac:dyDescent="0.25">
      <c r="A371" t="s">
        <v>2477</v>
      </c>
      <c r="B371" t="s">
        <v>2478</v>
      </c>
      <c r="C371">
        <v>4164</v>
      </c>
      <c r="D371" t="s">
        <v>623</v>
      </c>
      <c r="E371" t="s">
        <v>8</v>
      </c>
      <c r="F371">
        <v>10417</v>
      </c>
      <c r="G3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1">
        <v>4.1280000000000001</v>
      </c>
      <c r="J371" t="str">
        <f>IF(ISBLANK(Table13[[#This Row],[Rating]]), "No", "Yes")</f>
        <v>Yes</v>
      </c>
      <c r="K371" t="str">
        <f>IF(ISBLANK(Table13[[#This Row],[Rating]]), "Not Rated", IF(Table13[[#This Row],[Rating]] &lt; 3, "Low", IF(Table13[[#This Row],[Rating]] &lt; 4, "Medium", "High")))</f>
        <v>High</v>
      </c>
      <c r="L371">
        <v>125</v>
      </c>
      <c r="M371">
        <v>89</v>
      </c>
      <c r="N371" t="str">
        <f>IF(Table13[[#This Row],[Price USD]]&lt;20,"Budget",IF(Table13[[#This Row],[Price USD]]&lt;=50,"Mid-range","Premium"))</f>
        <v>Premium</v>
      </c>
      <c r="O371">
        <v>0</v>
      </c>
      <c r="P371">
        <v>0</v>
      </c>
    </row>
    <row r="372" spans="1:16" x14ac:dyDescent="0.25">
      <c r="A372" t="s">
        <v>2310</v>
      </c>
      <c r="B372" t="s">
        <v>2311</v>
      </c>
      <c r="C372">
        <v>6018</v>
      </c>
      <c r="D372" t="s">
        <v>517</v>
      </c>
      <c r="E372" t="s">
        <v>21</v>
      </c>
      <c r="F372">
        <v>11763</v>
      </c>
      <c r="G3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2">
        <v>4.4640000000000004</v>
      </c>
      <c r="J372" t="str">
        <f>IF(ISBLANK(Table13[[#This Row],[Rating]]), "No", "Yes")</f>
        <v>Yes</v>
      </c>
      <c r="K372" t="str">
        <f>IF(ISBLANK(Table13[[#This Row],[Rating]]), "Not Rated", IF(Table13[[#This Row],[Rating]] &lt; 3, "Low", IF(Table13[[#This Row],[Rating]] &lt; 4, "Medium", "High")))</f>
        <v>High</v>
      </c>
      <c r="L372">
        <v>125</v>
      </c>
      <c r="M372">
        <v>58</v>
      </c>
      <c r="N372" t="str">
        <f>IF(Table13[[#This Row],[Price USD]]&lt;20,"Budget",IF(Table13[[#This Row],[Price USD]]&lt;=50,"Mid-range","Premium"))</f>
        <v>Premium</v>
      </c>
      <c r="O372">
        <v>0</v>
      </c>
      <c r="P372">
        <v>0</v>
      </c>
    </row>
    <row r="373" spans="1:16" x14ac:dyDescent="0.25">
      <c r="A373" t="s">
        <v>2388</v>
      </c>
      <c r="B373" t="s">
        <v>2389</v>
      </c>
      <c r="C373">
        <v>6373</v>
      </c>
      <c r="D373" t="s">
        <v>1652</v>
      </c>
      <c r="E373" t="s">
        <v>149</v>
      </c>
      <c r="F373">
        <v>11155</v>
      </c>
      <c r="G3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3">
        <v>4.5396999999999998</v>
      </c>
      <c r="J373" t="str">
        <f>IF(ISBLANK(Table13[[#This Row],[Rating]]), "No", "Yes")</f>
        <v>Yes</v>
      </c>
      <c r="K373" t="str">
        <f>IF(ISBLANK(Table13[[#This Row],[Rating]]), "Not Rated", IF(Table13[[#This Row],[Rating]] &lt; 3, "Low", IF(Table13[[#This Row],[Rating]] &lt; 4, "Medium", "High")))</f>
        <v>High</v>
      </c>
      <c r="L373">
        <v>126</v>
      </c>
      <c r="M373">
        <v>56</v>
      </c>
      <c r="N373" t="str">
        <f>IF(Table13[[#This Row],[Price USD]]&lt;20,"Budget",IF(Table13[[#This Row],[Price USD]]&lt;=50,"Mid-range","Premium"))</f>
        <v>Premium</v>
      </c>
      <c r="O373">
        <v>0</v>
      </c>
      <c r="P373">
        <v>0</v>
      </c>
    </row>
    <row r="374" spans="1:16" x14ac:dyDescent="0.25">
      <c r="A374" t="s">
        <v>1632</v>
      </c>
      <c r="B374" t="s">
        <v>1633</v>
      </c>
      <c r="C374">
        <v>8017</v>
      </c>
      <c r="D374" t="s">
        <v>620</v>
      </c>
      <c r="E374" t="s">
        <v>21</v>
      </c>
      <c r="F374">
        <v>19617</v>
      </c>
      <c r="G3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4">
        <v>3.9603000000000002</v>
      </c>
      <c r="J374" t="str">
        <f>IF(ISBLANK(Table13[[#This Row],[Rating]]), "No", "Yes")</f>
        <v>Yes</v>
      </c>
      <c r="K374" t="str">
        <f>IF(ISBLANK(Table13[[#This Row],[Rating]]), "Not Rated", IF(Table13[[#This Row],[Rating]] &lt; 3, "Low", IF(Table13[[#This Row],[Rating]] &lt; 4, "Medium", "High")))</f>
        <v>Medium</v>
      </c>
      <c r="L374">
        <v>126</v>
      </c>
      <c r="M374">
        <v>7</v>
      </c>
      <c r="N374" t="str">
        <f>IF(Table13[[#This Row],[Price USD]]&lt;20,"Budget",IF(Table13[[#This Row],[Price USD]]&lt;=50,"Mid-range","Premium"))</f>
        <v>Budget</v>
      </c>
      <c r="O374">
        <v>0</v>
      </c>
      <c r="P374">
        <v>0</v>
      </c>
    </row>
    <row r="375" spans="1:16" x14ac:dyDescent="0.25">
      <c r="A375" t="s">
        <v>837</v>
      </c>
      <c r="B375" t="s">
        <v>838</v>
      </c>
      <c r="C375">
        <v>3733</v>
      </c>
      <c r="D375" t="s">
        <v>124</v>
      </c>
      <c r="E375" t="s">
        <v>144</v>
      </c>
      <c r="F375">
        <v>43176</v>
      </c>
      <c r="G3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5">
        <v>3.9843000000000002</v>
      </c>
      <c r="J375" t="str">
        <f>IF(ISBLANK(Table13[[#This Row],[Rating]]), "No", "Yes")</f>
        <v>Yes</v>
      </c>
      <c r="K375" t="str">
        <f>IF(ISBLANK(Table13[[#This Row],[Rating]]), "Not Rated", IF(Table13[[#This Row],[Rating]] &lt; 3, "Low", IF(Table13[[#This Row],[Rating]] &lt; 4, "Medium", "High")))</f>
        <v>Medium</v>
      </c>
      <c r="L375">
        <v>127</v>
      </c>
      <c r="M375">
        <v>17</v>
      </c>
      <c r="N375" t="str">
        <f>IF(Table13[[#This Row],[Price USD]]&lt;20,"Budget",IF(Table13[[#This Row],[Price USD]]&lt;=50,"Mid-range","Premium"))</f>
        <v>Budget</v>
      </c>
      <c r="O375">
        <v>0</v>
      </c>
      <c r="P375">
        <v>0</v>
      </c>
    </row>
    <row r="376" spans="1:16" x14ac:dyDescent="0.25">
      <c r="A376" t="s">
        <v>982</v>
      </c>
      <c r="B376" t="s">
        <v>983</v>
      </c>
      <c r="C376">
        <v>5674</v>
      </c>
      <c r="D376" t="s">
        <v>141</v>
      </c>
      <c r="E376" t="s">
        <v>8</v>
      </c>
      <c r="F376">
        <v>38002</v>
      </c>
      <c r="G3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6">
        <v>4.1875</v>
      </c>
      <c r="J376" t="str">
        <f>IF(ISBLANK(Table13[[#This Row],[Rating]]), "No", "Yes")</f>
        <v>Yes</v>
      </c>
      <c r="K376" t="str">
        <f>IF(ISBLANK(Table13[[#This Row],[Rating]]), "Not Rated", IF(Table13[[#This Row],[Rating]] &lt; 3, "Low", IF(Table13[[#This Row],[Rating]] &lt; 4, "Medium", "High")))</f>
        <v>High</v>
      </c>
      <c r="L376">
        <v>128</v>
      </c>
      <c r="M376">
        <v>56</v>
      </c>
      <c r="N376" t="str">
        <f>IF(Table13[[#This Row],[Price USD]]&lt;20,"Budget",IF(Table13[[#This Row],[Price USD]]&lt;=50,"Mid-range","Premium"))</f>
        <v>Premium</v>
      </c>
      <c r="O376">
        <v>0</v>
      </c>
      <c r="P376">
        <v>0</v>
      </c>
    </row>
    <row r="377" spans="1:16" x14ac:dyDescent="0.25">
      <c r="A377" t="s">
        <v>2368</v>
      </c>
      <c r="B377" t="s">
        <v>2369</v>
      </c>
      <c r="C377">
        <v>3733</v>
      </c>
      <c r="D377" t="s">
        <v>124</v>
      </c>
      <c r="E377" t="s">
        <v>149</v>
      </c>
      <c r="F377">
        <v>11304</v>
      </c>
      <c r="G3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7">
        <v>3.8372000000000002</v>
      </c>
      <c r="J377" t="str">
        <f>IF(ISBLANK(Table13[[#This Row],[Rating]]), "No", "Yes")</f>
        <v>Yes</v>
      </c>
      <c r="K377" t="str">
        <f>IF(ISBLANK(Table13[[#This Row],[Rating]]), "Not Rated", IF(Table13[[#This Row],[Rating]] &lt; 3, "Low", IF(Table13[[#This Row],[Rating]] &lt; 4, "Medium", "High")))</f>
        <v>Medium</v>
      </c>
      <c r="L377">
        <v>129</v>
      </c>
      <c r="M377">
        <v>58</v>
      </c>
      <c r="N377" t="str">
        <f>IF(Table13[[#This Row],[Price USD]]&lt;20,"Budget",IF(Table13[[#This Row],[Price USD]]&lt;=50,"Mid-range","Premium"))</f>
        <v>Premium</v>
      </c>
      <c r="O377">
        <v>0</v>
      </c>
      <c r="P377">
        <v>0</v>
      </c>
    </row>
    <row r="378" spans="1:16" x14ac:dyDescent="0.25">
      <c r="A378" t="s">
        <v>2065</v>
      </c>
      <c r="B378" t="s">
        <v>2066</v>
      </c>
      <c r="C378">
        <v>6225</v>
      </c>
      <c r="D378" t="s">
        <v>640</v>
      </c>
      <c r="E378" t="s">
        <v>106</v>
      </c>
      <c r="F378">
        <v>13931</v>
      </c>
      <c r="G3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8">
        <v>3.9845000000000002</v>
      </c>
      <c r="J378" t="str">
        <f>IF(ISBLANK(Table13[[#This Row],[Rating]]), "No", "Yes")</f>
        <v>Yes</v>
      </c>
      <c r="K378" t="str">
        <f>IF(ISBLANK(Table13[[#This Row],[Rating]]), "Not Rated", IF(Table13[[#This Row],[Rating]] &lt; 3, "Low", IF(Table13[[#This Row],[Rating]] &lt; 4, "Medium", "High")))</f>
        <v>Medium</v>
      </c>
      <c r="L378">
        <v>129</v>
      </c>
      <c r="M378">
        <v>49</v>
      </c>
      <c r="N378" t="str">
        <f>IF(Table13[[#This Row],[Price USD]]&lt;20,"Budget",IF(Table13[[#This Row],[Price USD]]&lt;=50,"Mid-range","Premium"))</f>
        <v>Mid-range</v>
      </c>
      <c r="O378">
        <v>0</v>
      </c>
      <c r="P378">
        <v>0</v>
      </c>
    </row>
    <row r="379" spans="1:16" x14ac:dyDescent="0.25">
      <c r="A379" t="s">
        <v>1689</v>
      </c>
      <c r="B379" t="s">
        <v>1690</v>
      </c>
      <c r="C379">
        <v>7020</v>
      </c>
      <c r="D379" t="s">
        <v>657</v>
      </c>
      <c r="E379" t="s">
        <v>69</v>
      </c>
      <c r="F379">
        <v>18342</v>
      </c>
      <c r="G3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79">
        <v>3.8450000000000002</v>
      </c>
      <c r="J379" t="str">
        <f>IF(ISBLANK(Table13[[#This Row],[Rating]]), "No", "Yes")</f>
        <v>Yes</v>
      </c>
      <c r="K379" t="str">
        <f>IF(ISBLANK(Table13[[#This Row],[Rating]]), "Not Rated", IF(Table13[[#This Row],[Rating]] &lt; 3, "Low", IF(Table13[[#This Row],[Rating]] &lt; 4, "Medium", "High")))</f>
        <v>Medium</v>
      </c>
      <c r="L379">
        <v>129</v>
      </c>
      <c r="M379">
        <v>75</v>
      </c>
      <c r="N379" t="str">
        <f>IF(Table13[[#This Row],[Price USD]]&lt;20,"Budget",IF(Table13[[#This Row],[Price USD]]&lt;=50,"Mid-range","Premium"))</f>
        <v>Premium</v>
      </c>
      <c r="O379">
        <v>0</v>
      </c>
      <c r="P379">
        <v>0</v>
      </c>
    </row>
    <row r="380" spans="1:16" x14ac:dyDescent="0.25">
      <c r="A380" t="s">
        <v>1849</v>
      </c>
      <c r="B380" t="s">
        <v>1850</v>
      </c>
      <c r="C380">
        <v>6125</v>
      </c>
      <c r="D380" t="s">
        <v>3</v>
      </c>
      <c r="E380" t="s">
        <v>149</v>
      </c>
      <c r="F380">
        <v>16508</v>
      </c>
      <c r="G3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0">
        <v>4.5385</v>
      </c>
      <c r="J380" t="str">
        <f>IF(ISBLANK(Table13[[#This Row],[Rating]]), "No", "Yes")</f>
        <v>Yes</v>
      </c>
      <c r="K380" t="str">
        <f>IF(ISBLANK(Table13[[#This Row],[Rating]]), "Not Rated", IF(Table13[[#This Row],[Rating]] &lt; 3, "Low", IF(Table13[[#This Row],[Rating]] &lt; 4, "Medium", "High")))</f>
        <v>High</v>
      </c>
      <c r="L380">
        <v>130</v>
      </c>
      <c r="M380">
        <v>43</v>
      </c>
      <c r="N380" t="str">
        <f>IF(Table13[[#This Row],[Price USD]]&lt;20,"Budget",IF(Table13[[#This Row],[Price USD]]&lt;=50,"Mid-range","Premium"))</f>
        <v>Mid-range</v>
      </c>
      <c r="O380">
        <v>0</v>
      </c>
      <c r="P380">
        <v>0</v>
      </c>
    </row>
    <row r="381" spans="1:16" x14ac:dyDescent="0.25">
      <c r="A381" t="s">
        <v>1794</v>
      </c>
      <c r="B381" t="s">
        <v>1795</v>
      </c>
      <c r="C381">
        <v>5946</v>
      </c>
      <c r="D381" t="s">
        <v>341</v>
      </c>
      <c r="E381" t="s">
        <v>149</v>
      </c>
      <c r="F381">
        <v>17127</v>
      </c>
      <c r="G3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1">
        <v>3.4462000000000002</v>
      </c>
      <c r="J381" t="str">
        <f>IF(ISBLANK(Table13[[#This Row],[Rating]]), "No", "Yes")</f>
        <v>Yes</v>
      </c>
      <c r="K381" t="str">
        <f>IF(ISBLANK(Table13[[#This Row],[Rating]]), "Not Rated", IF(Table13[[#This Row],[Rating]] &lt; 3, "Low", IF(Table13[[#This Row],[Rating]] &lt; 4, "Medium", "High")))</f>
        <v>Medium</v>
      </c>
      <c r="L381">
        <v>130</v>
      </c>
      <c r="M381">
        <v>98</v>
      </c>
      <c r="N381" t="str">
        <f>IF(Table13[[#This Row],[Price USD]]&lt;20,"Budget",IF(Table13[[#This Row],[Price USD]]&lt;=50,"Mid-range","Premium"))</f>
        <v>Premium</v>
      </c>
      <c r="O381">
        <v>0</v>
      </c>
      <c r="P381">
        <v>0</v>
      </c>
    </row>
    <row r="382" spans="1:16" x14ac:dyDescent="0.25">
      <c r="A382" t="s">
        <v>1483</v>
      </c>
      <c r="B382" t="s">
        <v>1484</v>
      </c>
      <c r="C382">
        <v>6014</v>
      </c>
      <c r="D382" t="s">
        <v>102</v>
      </c>
      <c r="E382" t="s">
        <v>69</v>
      </c>
      <c r="F382">
        <v>22325</v>
      </c>
      <c r="G3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2">
        <v>4.0537999999999998</v>
      </c>
      <c r="J382" t="str">
        <f>IF(ISBLANK(Table13[[#This Row],[Rating]]), "No", "Yes")</f>
        <v>Yes</v>
      </c>
      <c r="K382" t="str">
        <f>IF(ISBLANK(Table13[[#This Row],[Rating]]), "Not Rated", IF(Table13[[#This Row],[Rating]] &lt; 3, "Low", IF(Table13[[#This Row],[Rating]] &lt; 4, "Medium", "High")))</f>
        <v>High</v>
      </c>
      <c r="L382">
        <v>130</v>
      </c>
      <c r="M382">
        <v>7</v>
      </c>
      <c r="N382" t="str">
        <f>IF(Table13[[#This Row],[Price USD]]&lt;20,"Budget",IF(Table13[[#This Row],[Price USD]]&lt;=50,"Mid-range","Premium"))</f>
        <v>Budget</v>
      </c>
      <c r="O382">
        <v>0</v>
      </c>
      <c r="P382">
        <v>0</v>
      </c>
    </row>
    <row r="383" spans="1:16" x14ac:dyDescent="0.25">
      <c r="A383" t="s">
        <v>1468</v>
      </c>
      <c r="B383" t="s">
        <v>1469</v>
      </c>
      <c r="C383">
        <v>5987</v>
      </c>
      <c r="D383" t="s">
        <v>48</v>
      </c>
      <c r="E383" t="s">
        <v>49</v>
      </c>
      <c r="F383">
        <v>22699</v>
      </c>
      <c r="G3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3">
        <v>4.0152999999999999</v>
      </c>
      <c r="J383" t="str">
        <f>IF(ISBLANK(Table13[[#This Row],[Rating]]), "No", "Yes")</f>
        <v>Yes</v>
      </c>
      <c r="K383" t="str">
        <f>IF(ISBLANK(Table13[[#This Row],[Rating]]), "Not Rated", IF(Table13[[#This Row],[Rating]] &lt; 3, "Low", IF(Table13[[#This Row],[Rating]] &lt; 4, "Medium", "High")))</f>
        <v>High</v>
      </c>
      <c r="L383">
        <v>131</v>
      </c>
      <c r="M383">
        <v>38</v>
      </c>
      <c r="N383" t="str">
        <f>IF(Table13[[#This Row],[Price USD]]&lt;20,"Budget",IF(Table13[[#This Row],[Price USD]]&lt;=50,"Mid-range","Premium"))</f>
        <v>Mid-range</v>
      </c>
      <c r="O383">
        <v>0</v>
      </c>
      <c r="P383">
        <v>0</v>
      </c>
    </row>
    <row r="384" spans="1:16" x14ac:dyDescent="0.25">
      <c r="A384" t="s">
        <v>1886</v>
      </c>
      <c r="B384" t="s">
        <v>1887</v>
      </c>
      <c r="C384">
        <v>6084</v>
      </c>
      <c r="D384" t="s">
        <v>269</v>
      </c>
      <c r="E384" t="s">
        <v>21</v>
      </c>
      <c r="F384">
        <v>16102</v>
      </c>
      <c r="G3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4">
        <v>4.0758000000000001</v>
      </c>
      <c r="J384" t="str">
        <f>IF(ISBLANK(Table13[[#This Row],[Rating]]), "No", "Yes")</f>
        <v>Yes</v>
      </c>
      <c r="K384" t="str">
        <f>IF(ISBLANK(Table13[[#This Row],[Rating]]), "Not Rated", IF(Table13[[#This Row],[Rating]] &lt; 3, "Low", IF(Table13[[#This Row],[Rating]] &lt; 4, "Medium", "High")))</f>
        <v>High</v>
      </c>
      <c r="L384">
        <v>132</v>
      </c>
      <c r="M384">
        <v>245</v>
      </c>
      <c r="N384" t="str">
        <f>IF(Table13[[#This Row],[Price USD]]&lt;20,"Budget",IF(Table13[[#This Row],[Price USD]]&lt;=50,"Mid-range","Premium"))</f>
        <v>Premium</v>
      </c>
      <c r="O384">
        <v>0</v>
      </c>
      <c r="P384">
        <v>0</v>
      </c>
    </row>
    <row r="385" spans="1:16" x14ac:dyDescent="0.25">
      <c r="A385" t="s">
        <v>1881</v>
      </c>
      <c r="B385" t="s">
        <v>1882</v>
      </c>
      <c r="C385">
        <v>5996</v>
      </c>
      <c r="D385" t="s">
        <v>327</v>
      </c>
      <c r="E385" t="s">
        <v>347</v>
      </c>
      <c r="F385">
        <v>16148</v>
      </c>
      <c r="G3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5">
        <v>4.4211</v>
      </c>
      <c r="J385" t="str">
        <f>IF(ISBLANK(Table13[[#This Row],[Rating]]), "No", "Yes")</f>
        <v>Yes</v>
      </c>
      <c r="K385" t="str">
        <f>IF(ISBLANK(Table13[[#This Row],[Rating]]), "Not Rated", IF(Table13[[#This Row],[Rating]] &lt; 3, "Low", IF(Table13[[#This Row],[Rating]] &lt; 4, "Medium", "High")))</f>
        <v>High</v>
      </c>
      <c r="L385">
        <v>133</v>
      </c>
      <c r="M385">
        <v>65</v>
      </c>
      <c r="N385" t="str">
        <f>IF(Table13[[#This Row],[Price USD]]&lt;20,"Budget",IF(Table13[[#This Row],[Price USD]]&lt;=50,"Mid-range","Premium"))</f>
        <v>Premium</v>
      </c>
      <c r="O385">
        <v>0</v>
      </c>
      <c r="P385">
        <v>0</v>
      </c>
    </row>
    <row r="386" spans="1:16" x14ac:dyDescent="0.25">
      <c r="A386" t="s">
        <v>1612</v>
      </c>
      <c r="B386" t="s">
        <v>1613</v>
      </c>
      <c r="C386">
        <v>6341</v>
      </c>
      <c r="D386" t="s">
        <v>66</v>
      </c>
      <c r="E386" t="s">
        <v>49</v>
      </c>
      <c r="F386">
        <v>19795</v>
      </c>
      <c r="G3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6">
        <v>4.2556000000000003</v>
      </c>
      <c r="J386" t="str">
        <f>IF(ISBLANK(Table13[[#This Row],[Rating]]), "No", "Yes")</f>
        <v>Yes</v>
      </c>
      <c r="K386" t="str">
        <f>IF(ISBLANK(Table13[[#This Row],[Rating]]), "Not Rated", IF(Table13[[#This Row],[Rating]] &lt; 3, "Low", IF(Table13[[#This Row],[Rating]] &lt; 4, "Medium", "High")))</f>
        <v>High</v>
      </c>
      <c r="L386">
        <v>133</v>
      </c>
      <c r="M386">
        <v>37</v>
      </c>
      <c r="N386" t="str">
        <f>IF(Table13[[#This Row],[Price USD]]&lt;20,"Budget",IF(Table13[[#This Row],[Price USD]]&lt;=50,"Mid-range","Premium"))</f>
        <v>Mid-range</v>
      </c>
      <c r="O386">
        <v>0</v>
      </c>
      <c r="P386">
        <v>0</v>
      </c>
    </row>
    <row r="387" spans="1:16" x14ac:dyDescent="0.25">
      <c r="A387" t="s">
        <v>2410</v>
      </c>
      <c r="B387" t="s">
        <v>2411</v>
      </c>
      <c r="C387">
        <v>5648</v>
      </c>
      <c r="D387" t="s">
        <v>408</v>
      </c>
      <c r="E387" t="s">
        <v>21</v>
      </c>
      <c r="F387">
        <v>10945</v>
      </c>
      <c r="G3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7">
        <v>4.4104000000000001</v>
      </c>
      <c r="J387" t="str">
        <f>IF(ISBLANK(Table13[[#This Row],[Rating]]), "No", "Yes")</f>
        <v>Yes</v>
      </c>
      <c r="K387" t="str">
        <f>IF(ISBLANK(Table13[[#This Row],[Rating]]), "Not Rated", IF(Table13[[#This Row],[Rating]] &lt; 3, "Low", IF(Table13[[#This Row],[Rating]] &lt; 4, "Medium", "High")))</f>
        <v>High</v>
      </c>
      <c r="L387">
        <v>134</v>
      </c>
      <c r="M387">
        <v>39</v>
      </c>
      <c r="N387" t="str">
        <f>IF(Table13[[#This Row],[Price USD]]&lt;20,"Budget",IF(Table13[[#This Row],[Price USD]]&lt;=50,"Mid-range","Premium"))</f>
        <v>Mid-range</v>
      </c>
      <c r="O387">
        <v>0</v>
      </c>
      <c r="P387">
        <v>0</v>
      </c>
    </row>
    <row r="388" spans="1:16" x14ac:dyDescent="0.25">
      <c r="A388" t="s">
        <v>1499</v>
      </c>
      <c r="B388" t="s">
        <v>1500</v>
      </c>
      <c r="C388">
        <v>7083</v>
      </c>
      <c r="D388" t="s">
        <v>20</v>
      </c>
      <c r="E388" t="s">
        <v>220</v>
      </c>
      <c r="F388">
        <v>22114</v>
      </c>
      <c r="G3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8">
        <v>4.3955000000000002</v>
      </c>
      <c r="J388" t="str">
        <f>IF(ISBLANK(Table13[[#This Row],[Rating]]), "No", "Yes")</f>
        <v>Yes</v>
      </c>
      <c r="K388" t="str">
        <f>IF(ISBLANK(Table13[[#This Row],[Rating]]), "Not Rated", IF(Table13[[#This Row],[Rating]] &lt; 3, "Low", IF(Table13[[#This Row],[Rating]] &lt; 4, "Medium", "High")))</f>
        <v>High</v>
      </c>
      <c r="L388">
        <v>134</v>
      </c>
      <c r="M388">
        <v>22</v>
      </c>
      <c r="N388" t="str">
        <f>IF(Table13[[#This Row],[Price USD]]&lt;20,"Budget",IF(Table13[[#This Row],[Price USD]]&lt;=50,"Mid-range","Premium"))</f>
        <v>Mid-range</v>
      </c>
      <c r="O388">
        <v>0</v>
      </c>
      <c r="P388">
        <v>0</v>
      </c>
    </row>
    <row r="389" spans="1:16" x14ac:dyDescent="0.25">
      <c r="A389" t="s">
        <v>925</v>
      </c>
      <c r="B389" t="s">
        <v>926</v>
      </c>
      <c r="C389">
        <v>5668</v>
      </c>
      <c r="D389" t="s">
        <v>93</v>
      </c>
      <c r="E389" t="s">
        <v>347</v>
      </c>
      <c r="F389">
        <v>40031</v>
      </c>
      <c r="G3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89">
        <v>4.1493000000000002</v>
      </c>
      <c r="J389" t="str">
        <f>IF(ISBLANK(Table13[[#This Row],[Rating]]), "No", "Yes")</f>
        <v>Yes</v>
      </c>
      <c r="K389" t="str">
        <f>IF(ISBLANK(Table13[[#This Row],[Rating]]), "Not Rated", IF(Table13[[#This Row],[Rating]] &lt; 3, "Low", IF(Table13[[#This Row],[Rating]] &lt; 4, "Medium", "High")))</f>
        <v>High</v>
      </c>
      <c r="L389">
        <v>134</v>
      </c>
      <c r="M389">
        <v>159</v>
      </c>
      <c r="N389" t="str">
        <f>IF(Table13[[#This Row],[Price USD]]&lt;20,"Budget",IF(Table13[[#This Row],[Price USD]]&lt;=50,"Mid-range","Premium"))</f>
        <v>Premium</v>
      </c>
      <c r="O389">
        <v>0</v>
      </c>
      <c r="P389">
        <v>1</v>
      </c>
    </row>
    <row r="390" spans="1:16" x14ac:dyDescent="0.25">
      <c r="A390" t="s">
        <v>1796</v>
      </c>
      <c r="B390" t="s">
        <v>1797</v>
      </c>
      <c r="C390">
        <v>7050</v>
      </c>
      <c r="D390" t="s">
        <v>721</v>
      </c>
      <c r="E390" t="s">
        <v>201</v>
      </c>
      <c r="F390">
        <v>17120</v>
      </c>
      <c r="G3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0">
        <v>4.4074</v>
      </c>
      <c r="J390" t="str">
        <f>IF(ISBLANK(Table13[[#This Row],[Rating]]), "No", "Yes")</f>
        <v>Yes</v>
      </c>
      <c r="K390" t="str">
        <f>IF(ISBLANK(Table13[[#This Row],[Rating]]), "Not Rated", IF(Table13[[#This Row],[Rating]] &lt; 3, "Low", IF(Table13[[#This Row],[Rating]] &lt; 4, "Medium", "High")))</f>
        <v>High</v>
      </c>
      <c r="L390">
        <v>135</v>
      </c>
      <c r="M390">
        <v>40</v>
      </c>
      <c r="N390" t="str">
        <f>IF(Table13[[#This Row],[Price USD]]&lt;20,"Budget",IF(Table13[[#This Row],[Price USD]]&lt;=50,"Mid-range","Premium"))</f>
        <v>Mid-range</v>
      </c>
      <c r="O390">
        <v>0</v>
      </c>
      <c r="P390">
        <v>0</v>
      </c>
    </row>
    <row r="391" spans="1:16" x14ac:dyDescent="0.25">
      <c r="A391" t="s">
        <v>1194</v>
      </c>
      <c r="B391" t="s">
        <v>1195</v>
      </c>
      <c r="C391">
        <v>3902</v>
      </c>
      <c r="D391" t="s">
        <v>72</v>
      </c>
      <c r="E391" t="s">
        <v>201</v>
      </c>
      <c r="F391">
        <v>29366</v>
      </c>
      <c r="G3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1">
        <v>3.7111000000000001</v>
      </c>
      <c r="J391" t="str">
        <f>IF(ISBLANK(Table13[[#This Row],[Rating]]), "No", "Yes")</f>
        <v>Yes</v>
      </c>
      <c r="K391" t="str">
        <f>IF(ISBLANK(Table13[[#This Row],[Rating]]), "Not Rated", IF(Table13[[#This Row],[Rating]] &lt; 3, "Low", IF(Table13[[#This Row],[Rating]] &lt; 4, "Medium", "High")))</f>
        <v>Medium</v>
      </c>
      <c r="L391">
        <v>135</v>
      </c>
      <c r="M391">
        <v>22</v>
      </c>
      <c r="N391" t="str">
        <f>IF(Table13[[#This Row],[Price USD]]&lt;20,"Budget",IF(Table13[[#This Row],[Price USD]]&lt;=50,"Mid-range","Premium"))</f>
        <v>Mid-range</v>
      </c>
      <c r="O391">
        <v>0</v>
      </c>
      <c r="P391">
        <v>0</v>
      </c>
    </row>
    <row r="392" spans="1:16" x14ac:dyDescent="0.25">
      <c r="A392" t="s">
        <v>2021</v>
      </c>
      <c r="B392" t="s">
        <v>2022</v>
      </c>
      <c r="C392">
        <v>6226</v>
      </c>
      <c r="D392" t="s">
        <v>843</v>
      </c>
      <c r="E392" t="s">
        <v>201</v>
      </c>
      <c r="F392">
        <v>14485</v>
      </c>
      <c r="G3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2">
        <v>3.8529</v>
      </c>
      <c r="J392" t="str">
        <f>IF(ISBLANK(Table13[[#This Row],[Rating]]), "No", "Yes")</f>
        <v>Yes</v>
      </c>
      <c r="K392" t="str">
        <f>IF(ISBLANK(Table13[[#This Row],[Rating]]), "Not Rated", IF(Table13[[#This Row],[Rating]] &lt; 3, "Low", IF(Table13[[#This Row],[Rating]] &lt; 4, "Medium", "High")))</f>
        <v>Medium</v>
      </c>
      <c r="L392">
        <v>136</v>
      </c>
      <c r="M392">
        <v>38</v>
      </c>
      <c r="N392" t="str">
        <f>IF(Table13[[#This Row],[Price USD]]&lt;20,"Budget",IF(Table13[[#This Row],[Price USD]]&lt;=50,"Mid-range","Premium"))</f>
        <v>Mid-range</v>
      </c>
      <c r="O392">
        <v>0</v>
      </c>
      <c r="P392">
        <v>0</v>
      </c>
    </row>
    <row r="393" spans="1:16" x14ac:dyDescent="0.25">
      <c r="A393" t="s">
        <v>973</v>
      </c>
      <c r="B393" t="s">
        <v>974</v>
      </c>
      <c r="C393">
        <v>4348</v>
      </c>
      <c r="D393" t="s">
        <v>61</v>
      </c>
      <c r="E393" t="s">
        <v>144</v>
      </c>
      <c r="F393">
        <v>38157</v>
      </c>
      <c r="G3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3">
        <v>3.9925999999999999</v>
      </c>
      <c r="J393" t="str">
        <f>IF(ISBLANK(Table13[[#This Row],[Rating]]), "No", "Yes")</f>
        <v>Yes</v>
      </c>
      <c r="K393" t="str">
        <f>IF(ISBLANK(Table13[[#This Row],[Rating]]), "Not Rated", IF(Table13[[#This Row],[Rating]] &lt; 3, "Low", IF(Table13[[#This Row],[Rating]] &lt; 4, "Medium", "High")))</f>
        <v>Medium</v>
      </c>
      <c r="L393">
        <v>136</v>
      </c>
      <c r="M393">
        <v>28</v>
      </c>
      <c r="N393" t="str">
        <f>IF(Table13[[#This Row],[Price USD]]&lt;20,"Budget",IF(Table13[[#This Row],[Price USD]]&lt;=50,"Mid-range","Premium"))</f>
        <v>Mid-range</v>
      </c>
      <c r="O393">
        <v>0</v>
      </c>
      <c r="P393">
        <v>0</v>
      </c>
    </row>
    <row r="394" spans="1:16" x14ac:dyDescent="0.25">
      <c r="A394" t="s">
        <v>2483</v>
      </c>
      <c r="B394" t="s">
        <v>2484</v>
      </c>
      <c r="C394">
        <v>3728</v>
      </c>
      <c r="D394" t="s">
        <v>458</v>
      </c>
      <c r="E394" t="s">
        <v>13</v>
      </c>
      <c r="F394">
        <v>10371</v>
      </c>
      <c r="G3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4">
        <v>4.2263000000000002</v>
      </c>
      <c r="J394" t="str">
        <f>IF(ISBLANK(Table13[[#This Row],[Rating]]), "No", "Yes")</f>
        <v>Yes</v>
      </c>
      <c r="K394" t="str">
        <f>IF(ISBLANK(Table13[[#This Row],[Rating]]), "Not Rated", IF(Table13[[#This Row],[Rating]] &lt; 3, "Low", IF(Table13[[#This Row],[Rating]] &lt; 4, "Medium", "High")))</f>
        <v>High</v>
      </c>
      <c r="L394">
        <v>137</v>
      </c>
      <c r="M394">
        <v>39</v>
      </c>
      <c r="N394" t="str">
        <f>IF(Table13[[#This Row],[Price USD]]&lt;20,"Budget",IF(Table13[[#This Row],[Price USD]]&lt;=50,"Mid-range","Premium"))</f>
        <v>Mid-range</v>
      </c>
      <c r="O394">
        <v>0</v>
      </c>
      <c r="P394">
        <v>0</v>
      </c>
    </row>
    <row r="395" spans="1:16" x14ac:dyDescent="0.25">
      <c r="A395" t="s">
        <v>2093</v>
      </c>
      <c r="B395" t="s">
        <v>2094</v>
      </c>
      <c r="C395">
        <v>5668</v>
      </c>
      <c r="D395" t="s">
        <v>93</v>
      </c>
      <c r="E395" t="s">
        <v>8</v>
      </c>
      <c r="F395">
        <v>13677</v>
      </c>
      <c r="G3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5">
        <v>4.2554999999999996</v>
      </c>
      <c r="J395" t="str">
        <f>IF(ISBLANK(Table13[[#This Row],[Rating]]), "No", "Yes")</f>
        <v>Yes</v>
      </c>
      <c r="K395" t="str">
        <f>IF(ISBLANK(Table13[[#This Row],[Rating]]), "Not Rated", IF(Table13[[#This Row],[Rating]] &lt; 3, "Low", IF(Table13[[#This Row],[Rating]] &lt; 4, "Medium", "High")))</f>
        <v>High</v>
      </c>
      <c r="L395">
        <v>137</v>
      </c>
      <c r="M395">
        <v>72</v>
      </c>
      <c r="N395" t="str">
        <f>IF(Table13[[#This Row],[Price USD]]&lt;20,"Budget",IF(Table13[[#This Row],[Price USD]]&lt;=50,"Mid-range","Premium"))</f>
        <v>Premium</v>
      </c>
      <c r="O395">
        <v>0</v>
      </c>
      <c r="P395">
        <v>0</v>
      </c>
    </row>
    <row r="396" spans="1:16" x14ac:dyDescent="0.25">
      <c r="A396" t="s">
        <v>1747</v>
      </c>
      <c r="B396" t="s">
        <v>1748</v>
      </c>
      <c r="C396">
        <v>5337</v>
      </c>
      <c r="D396" t="s">
        <v>209</v>
      </c>
      <c r="E396" t="s">
        <v>49</v>
      </c>
      <c r="F396">
        <v>17778</v>
      </c>
      <c r="G3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6">
        <v>3.8174999999999999</v>
      </c>
      <c r="J396" t="str">
        <f>IF(ISBLANK(Table13[[#This Row],[Rating]]), "No", "Yes")</f>
        <v>Yes</v>
      </c>
      <c r="K396" t="str">
        <f>IF(ISBLANK(Table13[[#This Row],[Rating]]), "Not Rated", IF(Table13[[#This Row],[Rating]] &lt; 3, "Low", IF(Table13[[#This Row],[Rating]] &lt; 4, "Medium", "High")))</f>
        <v>Medium</v>
      </c>
      <c r="L396">
        <v>137</v>
      </c>
      <c r="M396">
        <v>40</v>
      </c>
      <c r="N396" t="str">
        <f>IF(Table13[[#This Row],[Price USD]]&lt;20,"Budget",IF(Table13[[#This Row],[Price USD]]&lt;=50,"Mid-range","Premium"))</f>
        <v>Mid-range</v>
      </c>
      <c r="O396">
        <v>0</v>
      </c>
      <c r="P396">
        <v>0</v>
      </c>
    </row>
    <row r="397" spans="1:16" x14ac:dyDescent="0.25">
      <c r="A397" t="s">
        <v>1082</v>
      </c>
      <c r="B397" t="s">
        <v>1083</v>
      </c>
      <c r="C397">
        <v>6341</v>
      </c>
      <c r="D397" t="s">
        <v>66</v>
      </c>
      <c r="E397" t="s">
        <v>8</v>
      </c>
      <c r="F397">
        <v>33137</v>
      </c>
      <c r="G3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7">
        <v>4.5035999999999996</v>
      </c>
      <c r="J397" t="str">
        <f>IF(ISBLANK(Table13[[#This Row],[Rating]]), "No", "Yes")</f>
        <v>Yes</v>
      </c>
      <c r="K397" t="str">
        <f>IF(ISBLANK(Table13[[#This Row],[Rating]]), "Not Rated", IF(Table13[[#This Row],[Rating]] &lt; 3, "Low", IF(Table13[[#This Row],[Rating]] &lt; 4, "Medium", "High")))</f>
        <v>High</v>
      </c>
      <c r="L397">
        <v>137</v>
      </c>
      <c r="M397">
        <v>42</v>
      </c>
      <c r="N397" t="str">
        <f>IF(Table13[[#This Row],[Price USD]]&lt;20,"Budget",IF(Table13[[#This Row],[Price USD]]&lt;=50,"Mid-range","Premium"))</f>
        <v>Mid-range</v>
      </c>
      <c r="O397">
        <v>0</v>
      </c>
      <c r="P397">
        <v>0</v>
      </c>
    </row>
    <row r="398" spans="1:16" x14ac:dyDescent="0.25">
      <c r="A398" t="s">
        <v>2372</v>
      </c>
      <c r="B398" t="s">
        <v>2373</v>
      </c>
      <c r="C398">
        <v>5648</v>
      </c>
      <c r="D398" t="s">
        <v>408</v>
      </c>
      <c r="E398" t="s">
        <v>8</v>
      </c>
      <c r="F398">
        <v>11296</v>
      </c>
      <c r="G3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8">
        <v>3.1013999999999999</v>
      </c>
      <c r="J398" t="str">
        <f>IF(ISBLANK(Table13[[#This Row],[Rating]]), "No", "Yes")</f>
        <v>Yes</v>
      </c>
      <c r="K398" t="str">
        <f>IF(ISBLANK(Table13[[#This Row],[Rating]]), "Not Rated", IF(Table13[[#This Row],[Rating]] &lt; 3, "Low", IF(Table13[[#This Row],[Rating]] &lt; 4, "Medium", "High")))</f>
        <v>Medium</v>
      </c>
      <c r="L398">
        <v>138</v>
      </c>
      <c r="M398">
        <v>42</v>
      </c>
      <c r="N398" t="str">
        <f>IF(Table13[[#This Row],[Price USD]]&lt;20,"Budget",IF(Table13[[#This Row],[Price USD]]&lt;=50,"Mid-range","Premium"))</f>
        <v>Mid-range</v>
      </c>
      <c r="O398">
        <v>0</v>
      </c>
      <c r="P398">
        <v>1</v>
      </c>
    </row>
    <row r="399" spans="1:16" x14ac:dyDescent="0.25">
      <c r="A399" t="s">
        <v>1675</v>
      </c>
      <c r="B399" t="s">
        <v>1676</v>
      </c>
      <c r="C399">
        <v>6341</v>
      </c>
      <c r="D399" t="s">
        <v>66</v>
      </c>
      <c r="E399" t="s">
        <v>8</v>
      </c>
      <c r="F399">
        <v>18644</v>
      </c>
      <c r="G3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3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399">
        <v>4.6521999999999997</v>
      </c>
      <c r="J399" t="str">
        <f>IF(ISBLANK(Table13[[#This Row],[Rating]]), "No", "Yes")</f>
        <v>Yes</v>
      </c>
      <c r="K399" t="str">
        <f>IF(ISBLANK(Table13[[#This Row],[Rating]]), "Not Rated", IF(Table13[[#This Row],[Rating]] &lt; 3, "Low", IF(Table13[[#This Row],[Rating]] &lt; 4, "Medium", "High")))</f>
        <v>High</v>
      </c>
      <c r="L399">
        <v>138</v>
      </c>
      <c r="M399">
        <v>52</v>
      </c>
      <c r="N399" t="str">
        <f>IF(Table13[[#This Row],[Price USD]]&lt;20,"Budget",IF(Table13[[#This Row],[Price USD]]&lt;=50,"Mid-range","Premium"))</f>
        <v>Premium</v>
      </c>
      <c r="O399">
        <v>0</v>
      </c>
      <c r="P399">
        <v>0</v>
      </c>
    </row>
    <row r="400" spans="1:16" x14ac:dyDescent="0.25">
      <c r="A400" t="s">
        <v>1283</v>
      </c>
      <c r="B400" t="s">
        <v>1284</v>
      </c>
      <c r="C400">
        <v>6218</v>
      </c>
      <c r="D400" t="s">
        <v>116</v>
      </c>
      <c r="E400" t="s">
        <v>8</v>
      </c>
      <c r="F400">
        <v>26859</v>
      </c>
      <c r="G4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0">
        <v>4.3986000000000001</v>
      </c>
      <c r="J400" t="str">
        <f>IF(ISBLANK(Table13[[#This Row],[Rating]]), "No", "Yes")</f>
        <v>Yes</v>
      </c>
      <c r="K400" t="str">
        <f>IF(ISBLANK(Table13[[#This Row],[Rating]]), "Not Rated", IF(Table13[[#This Row],[Rating]] &lt; 3, "Low", IF(Table13[[#This Row],[Rating]] &lt; 4, "Medium", "High")))</f>
        <v>High</v>
      </c>
      <c r="L400">
        <v>138</v>
      </c>
      <c r="M400">
        <v>59</v>
      </c>
      <c r="N400" t="str">
        <f>IF(Table13[[#This Row],[Price USD]]&lt;20,"Budget",IF(Table13[[#This Row],[Price USD]]&lt;=50,"Mid-range","Premium"))</f>
        <v>Premium</v>
      </c>
      <c r="O400">
        <v>0</v>
      </c>
      <c r="P400">
        <v>0</v>
      </c>
    </row>
    <row r="401" spans="1:16" x14ac:dyDescent="0.25">
      <c r="A401" t="s">
        <v>2009</v>
      </c>
      <c r="B401" t="s">
        <v>2010</v>
      </c>
      <c r="C401">
        <v>6134</v>
      </c>
      <c r="D401" t="s">
        <v>286</v>
      </c>
      <c r="E401" t="s">
        <v>13</v>
      </c>
      <c r="F401">
        <v>14632</v>
      </c>
      <c r="G4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1">
        <v>4.6475</v>
      </c>
      <c r="J401" t="str">
        <f>IF(ISBLANK(Table13[[#This Row],[Rating]]), "No", "Yes")</f>
        <v>Yes</v>
      </c>
      <c r="K401" t="str">
        <f>IF(ISBLANK(Table13[[#This Row],[Rating]]), "Not Rated", IF(Table13[[#This Row],[Rating]] &lt; 3, "Low", IF(Table13[[#This Row],[Rating]] &lt; 4, "Medium", "High")))</f>
        <v>High</v>
      </c>
      <c r="L401">
        <v>139</v>
      </c>
      <c r="M401">
        <v>32</v>
      </c>
      <c r="N401" t="str">
        <f>IF(Table13[[#This Row],[Price USD]]&lt;20,"Budget",IF(Table13[[#This Row],[Price USD]]&lt;=50,"Mid-range","Premium"))</f>
        <v>Mid-range</v>
      </c>
      <c r="O401">
        <v>0</v>
      </c>
      <c r="P401">
        <v>0</v>
      </c>
    </row>
    <row r="402" spans="1:16" x14ac:dyDescent="0.25">
      <c r="A402" t="s">
        <v>1899</v>
      </c>
      <c r="B402" t="s">
        <v>1900</v>
      </c>
      <c r="C402">
        <v>4171</v>
      </c>
      <c r="D402" t="s">
        <v>133</v>
      </c>
      <c r="E402" t="s">
        <v>21</v>
      </c>
      <c r="F402">
        <v>15759</v>
      </c>
      <c r="G4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2">
        <v>4.3884999999999996</v>
      </c>
      <c r="J402" t="str">
        <f>IF(ISBLANK(Table13[[#This Row],[Rating]]), "No", "Yes")</f>
        <v>Yes</v>
      </c>
      <c r="K402" t="str">
        <f>IF(ISBLANK(Table13[[#This Row],[Rating]]), "Not Rated", IF(Table13[[#This Row],[Rating]] &lt; 3, "Low", IF(Table13[[#This Row],[Rating]] &lt; 4, "Medium", "High")))</f>
        <v>High</v>
      </c>
      <c r="L402">
        <v>139</v>
      </c>
      <c r="M402">
        <v>38</v>
      </c>
      <c r="N402" t="str">
        <f>IF(Table13[[#This Row],[Price USD]]&lt;20,"Budget",IF(Table13[[#This Row],[Price USD]]&lt;=50,"Mid-range","Premium"))</f>
        <v>Mid-range</v>
      </c>
      <c r="O402">
        <v>0</v>
      </c>
      <c r="P402">
        <v>0</v>
      </c>
    </row>
    <row r="403" spans="1:16" x14ac:dyDescent="0.25">
      <c r="A403" t="s">
        <v>1489</v>
      </c>
      <c r="B403" t="s">
        <v>1490</v>
      </c>
      <c r="C403">
        <v>6279</v>
      </c>
      <c r="D403" t="s">
        <v>1472</v>
      </c>
      <c r="E403" t="s">
        <v>21</v>
      </c>
      <c r="F403">
        <v>22286</v>
      </c>
      <c r="G4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3">
        <v>4.3741000000000003</v>
      </c>
      <c r="J403" t="str">
        <f>IF(ISBLANK(Table13[[#This Row],[Rating]]), "No", "Yes")</f>
        <v>Yes</v>
      </c>
      <c r="K403" t="str">
        <f>IF(ISBLANK(Table13[[#This Row],[Rating]]), "Not Rated", IF(Table13[[#This Row],[Rating]] &lt; 3, "Low", IF(Table13[[#This Row],[Rating]] &lt; 4, "Medium", "High")))</f>
        <v>High</v>
      </c>
      <c r="L403">
        <v>139</v>
      </c>
      <c r="M403">
        <v>48</v>
      </c>
      <c r="N403" t="str">
        <f>IF(Table13[[#This Row],[Price USD]]&lt;20,"Budget",IF(Table13[[#This Row],[Price USD]]&lt;=50,"Mid-range","Premium"))</f>
        <v>Mid-range</v>
      </c>
      <c r="O403">
        <v>0</v>
      </c>
      <c r="P403">
        <v>0</v>
      </c>
    </row>
    <row r="404" spans="1:16" x14ac:dyDescent="0.25">
      <c r="A404" t="s">
        <v>1024</v>
      </c>
      <c r="B404" t="s">
        <v>1025</v>
      </c>
      <c r="C404">
        <v>6234</v>
      </c>
      <c r="D404" t="s">
        <v>7</v>
      </c>
      <c r="E404" t="s">
        <v>8</v>
      </c>
      <c r="F404">
        <v>35874</v>
      </c>
      <c r="G4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4">
        <v>4.3499999999999996</v>
      </c>
      <c r="J404" t="str">
        <f>IF(ISBLANK(Table13[[#This Row],[Rating]]), "No", "Yes")</f>
        <v>Yes</v>
      </c>
      <c r="K404" t="str">
        <f>IF(ISBLANK(Table13[[#This Row],[Rating]]), "Not Rated", IF(Table13[[#This Row],[Rating]] &lt; 3, "Low", IF(Table13[[#This Row],[Rating]] &lt; 4, "Medium", "High")))</f>
        <v>High</v>
      </c>
      <c r="L404">
        <v>140</v>
      </c>
      <c r="M404">
        <v>11.1</v>
      </c>
      <c r="N404" t="str">
        <f>IF(Table13[[#This Row],[Price USD]]&lt;20,"Budget",IF(Table13[[#This Row],[Price USD]]&lt;=50,"Mid-range","Premium"))</f>
        <v>Budget</v>
      </c>
      <c r="O404">
        <v>0</v>
      </c>
      <c r="P404">
        <v>1</v>
      </c>
    </row>
    <row r="405" spans="1:16" x14ac:dyDescent="0.25">
      <c r="A405" t="s">
        <v>1778</v>
      </c>
      <c r="B405" t="s">
        <v>1779</v>
      </c>
      <c r="C405">
        <v>5668</v>
      </c>
      <c r="D405" t="s">
        <v>93</v>
      </c>
      <c r="E405" t="s">
        <v>21</v>
      </c>
      <c r="F405">
        <v>17314</v>
      </c>
      <c r="G4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5">
        <v>4.6950000000000003</v>
      </c>
      <c r="J405" t="str">
        <f>IF(ISBLANK(Table13[[#This Row],[Rating]]), "No", "Yes")</f>
        <v>Yes</v>
      </c>
      <c r="K405" t="str">
        <f>IF(ISBLANK(Table13[[#This Row],[Rating]]), "Not Rated", IF(Table13[[#This Row],[Rating]] &lt; 3, "Low", IF(Table13[[#This Row],[Rating]] &lt; 4, "Medium", "High")))</f>
        <v>High</v>
      </c>
      <c r="L405">
        <v>141</v>
      </c>
      <c r="M405">
        <v>77</v>
      </c>
      <c r="N405" t="str">
        <f>IF(Table13[[#This Row],[Price USD]]&lt;20,"Budget",IF(Table13[[#This Row],[Price USD]]&lt;=50,"Mid-range","Premium"))</f>
        <v>Premium</v>
      </c>
      <c r="O405">
        <v>0</v>
      </c>
      <c r="P405">
        <v>0</v>
      </c>
    </row>
    <row r="406" spans="1:16" x14ac:dyDescent="0.25">
      <c r="A406" t="s">
        <v>2308</v>
      </c>
      <c r="B406" t="s">
        <v>2309</v>
      </c>
      <c r="C406">
        <v>1254</v>
      </c>
      <c r="D406" t="s">
        <v>136</v>
      </c>
      <c r="E406" t="s">
        <v>149</v>
      </c>
      <c r="F406">
        <v>11769</v>
      </c>
      <c r="G4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6">
        <v>3.3380000000000001</v>
      </c>
      <c r="J406" t="str">
        <f>IF(ISBLANK(Table13[[#This Row],[Rating]]), "No", "Yes")</f>
        <v>Yes</v>
      </c>
      <c r="K406" t="str">
        <f>IF(ISBLANK(Table13[[#This Row],[Rating]]), "Not Rated", IF(Table13[[#This Row],[Rating]] &lt; 3, "Low", IF(Table13[[#This Row],[Rating]] &lt; 4, "Medium", "High")))</f>
        <v>Medium</v>
      </c>
      <c r="L406">
        <v>142</v>
      </c>
      <c r="M406">
        <v>37</v>
      </c>
      <c r="N406" t="str">
        <f>IF(Table13[[#This Row],[Price USD]]&lt;20,"Budget",IF(Table13[[#This Row],[Price USD]]&lt;=50,"Mid-range","Premium"))</f>
        <v>Mid-range</v>
      </c>
      <c r="O406">
        <v>0</v>
      </c>
      <c r="P406">
        <v>0</v>
      </c>
    </row>
    <row r="407" spans="1:16" x14ac:dyDescent="0.25">
      <c r="A407" t="s">
        <v>1716</v>
      </c>
      <c r="B407" t="s">
        <v>1717</v>
      </c>
      <c r="C407">
        <v>7037</v>
      </c>
      <c r="D407" t="s">
        <v>1718</v>
      </c>
      <c r="E407" t="s">
        <v>8</v>
      </c>
      <c r="F407">
        <v>17954</v>
      </c>
      <c r="G4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7">
        <v>3.8873000000000002</v>
      </c>
      <c r="J407" t="str">
        <f>IF(ISBLANK(Table13[[#This Row],[Rating]]), "No", "Yes")</f>
        <v>Yes</v>
      </c>
      <c r="K407" t="str">
        <f>IF(ISBLANK(Table13[[#This Row],[Rating]]), "Not Rated", IF(Table13[[#This Row],[Rating]] &lt; 3, "Low", IF(Table13[[#This Row],[Rating]] &lt; 4, "Medium", "High")))</f>
        <v>Medium</v>
      </c>
      <c r="L407">
        <v>142</v>
      </c>
      <c r="M407">
        <v>159</v>
      </c>
      <c r="N407" t="str">
        <f>IF(Table13[[#This Row],[Price USD]]&lt;20,"Budget",IF(Table13[[#This Row],[Price USD]]&lt;=50,"Mid-range","Premium"))</f>
        <v>Premium</v>
      </c>
      <c r="O407">
        <v>0</v>
      </c>
      <c r="P407">
        <v>0</v>
      </c>
    </row>
    <row r="408" spans="1:16" x14ac:dyDescent="0.25">
      <c r="A408" t="s">
        <v>2189</v>
      </c>
      <c r="B408" t="s">
        <v>2190</v>
      </c>
      <c r="C408">
        <v>6295</v>
      </c>
      <c r="D408" t="s">
        <v>184</v>
      </c>
      <c r="E408" t="s">
        <v>13</v>
      </c>
      <c r="F408">
        <v>12712</v>
      </c>
      <c r="G4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8">
        <v>4.5663999999999998</v>
      </c>
      <c r="J408" t="str">
        <f>IF(ISBLANK(Table13[[#This Row],[Rating]]), "No", "Yes")</f>
        <v>Yes</v>
      </c>
      <c r="K408" t="str">
        <f>IF(ISBLANK(Table13[[#This Row],[Rating]]), "Not Rated", IF(Table13[[#This Row],[Rating]] &lt; 3, "Low", IF(Table13[[#This Row],[Rating]] &lt; 4, "Medium", "High")))</f>
        <v>High</v>
      </c>
      <c r="L408">
        <v>143</v>
      </c>
      <c r="M408">
        <v>22</v>
      </c>
      <c r="N408" t="str">
        <f>IF(Table13[[#This Row],[Price USD]]&lt;20,"Budget",IF(Table13[[#This Row],[Price USD]]&lt;=50,"Mid-range","Premium"))</f>
        <v>Mid-range</v>
      </c>
      <c r="O408">
        <v>0</v>
      </c>
      <c r="P408">
        <v>0</v>
      </c>
    </row>
    <row r="409" spans="1:16" x14ac:dyDescent="0.25">
      <c r="A409" t="s">
        <v>2115</v>
      </c>
      <c r="B409" t="s">
        <v>2116</v>
      </c>
      <c r="C409">
        <v>6368</v>
      </c>
      <c r="D409" t="s">
        <v>2117</v>
      </c>
      <c r="E409" t="s">
        <v>8</v>
      </c>
      <c r="F409">
        <v>13429</v>
      </c>
      <c r="G4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09">
        <v>4.5663999999999998</v>
      </c>
      <c r="J409" t="str">
        <f>IF(ISBLANK(Table13[[#This Row],[Rating]]), "No", "Yes")</f>
        <v>Yes</v>
      </c>
      <c r="K409" t="str">
        <f>IF(ISBLANK(Table13[[#This Row],[Rating]]), "Not Rated", IF(Table13[[#This Row],[Rating]] &lt; 3, "Low", IF(Table13[[#This Row],[Rating]] &lt; 4, "Medium", "High")))</f>
        <v>High</v>
      </c>
      <c r="L409">
        <v>143</v>
      </c>
      <c r="M409">
        <v>58</v>
      </c>
      <c r="N409" t="str">
        <f>IF(Table13[[#This Row],[Price USD]]&lt;20,"Budget",IF(Table13[[#This Row],[Price USD]]&lt;=50,"Mid-range","Premium"))</f>
        <v>Premium</v>
      </c>
      <c r="O409">
        <v>0</v>
      </c>
      <c r="P409">
        <v>0</v>
      </c>
    </row>
    <row r="410" spans="1:16" x14ac:dyDescent="0.25">
      <c r="A410" t="s">
        <v>1665</v>
      </c>
      <c r="B410" t="s">
        <v>1666</v>
      </c>
      <c r="C410">
        <v>4171</v>
      </c>
      <c r="D410" t="s">
        <v>133</v>
      </c>
      <c r="E410" t="s">
        <v>69</v>
      </c>
      <c r="F410">
        <v>18954</v>
      </c>
      <c r="G4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0">
        <v>4.6318999999999999</v>
      </c>
      <c r="J410" t="str">
        <f>IF(ISBLANK(Table13[[#This Row],[Rating]]), "No", "Yes")</f>
        <v>Yes</v>
      </c>
      <c r="K410" t="str">
        <f>IF(ISBLANK(Table13[[#This Row],[Rating]]), "Not Rated", IF(Table13[[#This Row],[Rating]] &lt; 3, "Low", IF(Table13[[#This Row],[Rating]] &lt; 4, "Medium", "High")))</f>
        <v>High</v>
      </c>
      <c r="L410">
        <v>144</v>
      </c>
      <c r="M410">
        <v>42</v>
      </c>
      <c r="N410" t="str">
        <f>IF(Table13[[#This Row],[Price USD]]&lt;20,"Budget",IF(Table13[[#This Row],[Price USD]]&lt;=50,"Mid-range","Premium"))</f>
        <v>Mid-range</v>
      </c>
      <c r="O410">
        <v>0</v>
      </c>
      <c r="P410">
        <v>0</v>
      </c>
    </row>
    <row r="411" spans="1:16" x14ac:dyDescent="0.25">
      <c r="A411" t="s">
        <v>1540</v>
      </c>
      <c r="B411" t="s">
        <v>1541</v>
      </c>
      <c r="C411">
        <v>5337</v>
      </c>
      <c r="D411" t="s">
        <v>209</v>
      </c>
      <c r="E411" t="s">
        <v>13</v>
      </c>
      <c r="F411">
        <v>21389</v>
      </c>
      <c r="G4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1">
        <v>4.4513999999999996</v>
      </c>
      <c r="J411" t="str">
        <f>IF(ISBLANK(Table13[[#This Row],[Rating]]), "No", "Yes")</f>
        <v>Yes</v>
      </c>
      <c r="K411" t="str">
        <f>IF(ISBLANK(Table13[[#This Row],[Rating]]), "Not Rated", IF(Table13[[#This Row],[Rating]] &lt; 3, "Low", IF(Table13[[#This Row],[Rating]] &lt; 4, "Medium", "High")))</f>
        <v>High</v>
      </c>
      <c r="L411">
        <v>144</v>
      </c>
      <c r="M411">
        <v>35</v>
      </c>
      <c r="N411" t="str">
        <f>IF(Table13[[#This Row],[Price USD]]&lt;20,"Budget",IF(Table13[[#This Row],[Price USD]]&lt;=50,"Mid-range","Premium"))</f>
        <v>Mid-range</v>
      </c>
      <c r="O411">
        <v>0</v>
      </c>
      <c r="P411">
        <v>0</v>
      </c>
    </row>
    <row r="412" spans="1:16" x14ac:dyDescent="0.25">
      <c r="A412" t="s">
        <v>2374</v>
      </c>
      <c r="B412" t="s">
        <v>2375</v>
      </c>
      <c r="C412">
        <v>6341</v>
      </c>
      <c r="D412" t="s">
        <v>66</v>
      </c>
      <c r="E412" t="s">
        <v>8</v>
      </c>
      <c r="F412">
        <v>11291</v>
      </c>
      <c r="G4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2">
        <v>4.7054999999999998</v>
      </c>
      <c r="J412" t="str">
        <f>IF(ISBLANK(Table13[[#This Row],[Rating]]), "No", "Yes")</f>
        <v>Yes</v>
      </c>
      <c r="K412" t="str">
        <f>IF(ISBLANK(Table13[[#This Row],[Rating]]), "Not Rated", IF(Table13[[#This Row],[Rating]] &lt; 3, "Low", IF(Table13[[#This Row],[Rating]] &lt; 4, "Medium", "High")))</f>
        <v>High</v>
      </c>
      <c r="L412">
        <v>146</v>
      </c>
      <c r="M412">
        <v>46</v>
      </c>
      <c r="N412" t="str">
        <f>IF(Table13[[#This Row],[Price USD]]&lt;20,"Budget",IF(Table13[[#This Row],[Price USD]]&lt;=50,"Mid-range","Premium"))</f>
        <v>Mid-range</v>
      </c>
      <c r="O412">
        <v>0</v>
      </c>
      <c r="P412">
        <v>0</v>
      </c>
    </row>
    <row r="413" spans="1:16" x14ac:dyDescent="0.25">
      <c r="A413" t="s">
        <v>2089</v>
      </c>
      <c r="B413" t="s">
        <v>2090</v>
      </c>
      <c r="C413">
        <v>5668</v>
      </c>
      <c r="D413" t="s">
        <v>93</v>
      </c>
      <c r="E413" t="s">
        <v>21</v>
      </c>
      <c r="F413">
        <v>13709</v>
      </c>
      <c r="G4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3">
        <v>4.0342000000000002</v>
      </c>
      <c r="J413" t="str">
        <f>IF(ISBLANK(Table13[[#This Row],[Rating]]), "No", "Yes")</f>
        <v>Yes</v>
      </c>
      <c r="K413" t="str">
        <f>IF(ISBLANK(Table13[[#This Row],[Rating]]), "Not Rated", IF(Table13[[#This Row],[Rating]] &lt; 3, "Low", IF(Table13[[#This Row],[Rating]] &lt; 4, "Medium", "High")))</f>
        <v>High</v>
      </c>
      <c r="L413">
        <v>146</v>
      </c>
      <c r="M413">
        <v>65</v>
      </c>
      <c r="N413" t="str">
        <f>IF(Table13[[#This Row],[Price USD]]&lt;20,"Budget",IF(Table13[[#This Row],[Price USD]]&lt;=50,"Mid-range","Premium"))</f>
        <v>Premium</v>
      </c>
      <c r="O413">
        <v>0</v>
      </c>
      <c r="P413">
        <v>0</v>
      </c>
    </row>
    <row r="414" spans="1:16" x14ac:dyDescent="0.25">
      <c r="A414" t="s">
        <v>2332</v>
      </c>
      <c r="B414" t="s">
        <v>2333</v>
      </c>
      <c r="C414">
        <v>5668</v>
      </c>
      <c r="D414" t="s">
        <v>93</v>
      </c>
      <c r="E414" t="s">
        <v>8</v>
      </c>
      <c r="F414">
        <v>11560</v>
      </c>
      <c r="G4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4">
        <v>4.7415000000000003</v>
      </c>
      <c r="J414" t="str">
        <f>IF(ISBLANK(Table13[[#This Row],[Rating]]), "No", "Yes")</f>
        <v>Yes</v>
      </c>
      <c r="K414" t="str">
        <f>IF(ISBLANK(Table13[[#This Row],[Rating]]), "Not Rated", IF(Table13[[#This Row],[Rating]] &lt; 3, "Low", IF(Table13[[#This Row],[Rating]] &lt; 4, "Medium", "High")))</f>
        <v>High</v>
      </c>
      <c r="L414">
        <v>147</v>
      </c>
      <c r="M414">
        <v>82</v>
      </c>
      <c r="N414" t="str">
        <f>IF(Table13[[#This Row],[Price USD]]&lt;20,"Budget",IF(Table13[[#This Row],[Price USD]]&lt;=50,"Mid-range","Premium"))</f>
        <v>Premium</v>
      </c>
      <c r="O414">
        <v>0</v>
      </c>
      <c r="P414">
        <v>0</v>
      </c>
    </row>
    <row r="415" spans="1:16" x14ac:dyDescent="0.25">
      <c r="A415" t="s">
        <v>2234</v>
      </c>
      <c r="B415" t="s">
        <v>2235</v>
      </c>
      <c r="C415">
        <v>5668</v>
      </c>
      <c r="D415" t="s">
        <v>93</v>
      </c>
      <c r="E415" t="s">
        <v>149</v>
      </c>
      <c r="F415">
        <v>12365</v>
      </c>
      <c r="G4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5">
        <v>3.5442</v>
      </c>
      <c r="J415" t="str">
        <f>IF(ISBLANK(Table13[[#This Row],[Rating]]), "No", "Yes")</f>
        <v>Yes</v>
      </c>
      <c r="K415" t="str">
        <f>IF(ISBLANK(Table13[[#This Row],[Rating]]), "Not Rated", IF(Table13[[#This Row],[Rating]] &lt; 3, "Low", IF(Table13[[#This Row],[Rating]] &lt; 4, "Medium", "High")))</f>
        <v>Medium</v>
      </c>
      <c r="L415">
        <v>147</v>
      </c>
      <c r="M415">
        <v>55</v>
      </c>
      <c r="N415" t="str">
        <f>IF(Table13[[#This Row],[Price USD]]&lt;20,"Budget",IF(Table13[[#This Row],[Price USD]]&lt;=50,"Mid-range","Premium"))</f>
        <v>Premium</v>
      </c>
      <c r="O415">
        <v>0</v>
      </c>
      <c r="P415">
        <v>0</v>
      </c>
    </row>
    <row r="416" spans="1:16" x14ac:dyDescent="0.25">
      <c r="A416" t="s">
        <v>1723</v>
      </c>
      <c r="B416" t="s">
        <v>1724</v>
      </c>
      <c r="C416">
        <v>6014</v>
      </c>
      <c r="D416" t="s">
        <v>102</v>
      </c>
      <c r="E416" t="s">
        <v>220</v>
      </c>
      <c r="F416">
        <v>17922</v>
      </c>
      <c r="G4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6">
        <v>4.2857000000000003</v>
      </c>
      <c r="J416" t="str">
        <f>IF(ISBLANK(Table13[[#This Row],[Rating]]), "No", "Yes")</f>
        <v>Yes</v>
      </c>
      <c r="K416" t="str">
        <f>IF(ISBLANK(Table13[[#This Row],[Rating]]), "Not Rated", IF(Table13[[#This Row],[Rating]] &lt; 3, "Low", IF(Table13[[#This Row],[Rating]] &lt; 4, "Medium", "High")))</f>
        <v>High</v>
      </c>
      <c r="L416">
        <v>147</v>
      </c>
      <c r="M416">
        <v>39</v>
      </c>
      <c r="N416" t="str">
        <f>IF(Table13[[#This Row],[Price USD]]&lt;20,"Budget",IF(Table13[[#This Row],[Price USD]]&lt;=50,"Mid-range","Premium"))</f>
        <v>Mid-range</v>
      </c>
      <c r="O416">
        <v>0</v>
      </c>
      <c r="P416">
        <v>0</v>
      </c>
    </row>
    <row r="417" spans="1:16" x14ac:dyDescent="0.25">
      <c r="A417" t="s">
        <v>1424</v>
      </c>
      <c r="B417" t="s">
        <v>1425</v>
      </c>
      <c r="C417">
        <v>6285</v>
      </c>
      <c r="D417" t="s">
        <v>119</v>
      </c>
      <c r="E417" t="s">
        <v>21</v>
      </c>
      <c r="F417">
        <v>23440</v>
      </c>
      <c r="G4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7">
        <v>4.4421999999999997</v>
      </c>
      <c r="J417" t="str">
        <f>IF(ISBLANK(Table13[[#This Row],[Rating]]), "No", "Yes")</f>
        <v>Yes</v>
      </c>
      <c r="K417" t="str">
        <f>IF(ISBLANK(Table13[[#This Row],[Rating]]), "Not Rated", IF(Table13[[#This Row],[Rating]] &lt; 3, "Low", IF(Table13[[#This Row],[Rating]] &lt; 4, "Medium", "High")))</f>
        <v>High</v>
      </c>
      <c r="L417">
        <v>147</v>
      </c>
      <c r="M417">
        <v>12.99</v>
      </c>
      <c r="N417" t="str">
        <f>IF(Table13[[#This Row],[Price USD]]&lt;20,"Budget",IF(Table13[[#This Row],[Price USD]]&lt;=50,"Mid-range","Premium"))</f>
        <v>Budget</v>
      </c>
      <c r="O417">
        <v>0</v>
      </c>
      <c r="P417">
        <v>0</v>
      </c>
    </row>
    <row r="418" spans="1:16" x14ac:dyDescent="0.25">
      <c r="A418" t="s">
        <v>2214</v>
      </c>
      <c r="B418" t="s">
        <v>2215</v>
      </c>
      <c r="C418">
        <v>6312</v>
      </c>
      <c r="D418" t="s">
        <v>1242</v>
      </c>
      <c r="E418" t="s">
        <v>4</v>
      </c>
      <c r="F418">
        <v>12568</v>
      </c>
      <c r="G4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8">
        <v>4.5404999999999998</v>
      </c>
      <c r="J418" t="str">
        <f>IF(ISBLANK(Table13[[#This Row],[Rating]]), "No", "Yes")</f>
        <v>Yes</v>
      </c>
      <c r="K418" t="str">
        <f>IF(ISBLANK(Table13[[#This Row],[Rating]]), "Not Rated", IF(Table13[[#This Row],[Rating]] &lt; 3, "Low", IF(Table13[[#This Row],[Rating]] &lt; 4, "Medium", "High")))</f>
        <v>High</v>
      </c>
      <c r="L418">
        <v>148</v>
      </c>
      <c r="M418">
        <v>28</v>
      </c>
      <c r="N418" t="str">
        <f>IF(Table13[[#This Row],[Price USD]]&lt;20,"Budget",IF(Table13[[#This Row],[Price USD]]&lt;=50,"Mid-range","Premium"))</f>
        <v>Mid-range</v>
      </c>
      <c r="O418">
        <v>0</v>
      </c>
      <c r="P418">
        <v>0</v>
      </c>
    </row>
    <row r="419" spans="1:16" x14ac:dyDescent="0.25">
      <c r="A419" t="s">
        <v>1456</v>
      </c>
      <c r="B419" t="s">
        <v>1457</v>
      </c>
      <c r="C419">
        <v>6117</v>
      </c>
      <c r="D419" t="s">
        <v>229</v>
      </c>
      <c r="E419" t="s">
        <v>149</v>
      </c>
      <c r="F419">
        <v>22997</v>
      </c>
      <c r="G4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19">
        <v>4.2297000000000002</v>
      </c>
      <c r="J419" t="str">
        <f>IF(ISBLANK(Table13[[#This Row],[Rating]]), "No", "Yes")</f>
        <v>Yes</v>
      </c>
      <c r="K419" t="str">
        <f>IF(ISBLANK(Table13[[#This Row],[Rating]]), "Not Rated", IF(Table13[[#This Row],[Rating]] &lt; 3, "Low", IF(Table13[[#This Row],[Rating]] &lt; 4, "Medium", "High")))</f>
        <v>High</v>
      </c>
      <c r="L419">
        <v>148</v>
      </c>
      <c r="M419">
        <v>48</v>
      </c>
      <c r="N419" t="str">
        <f>IF(Table13[[#This Row],[Price USD]]&lt;20,"Budget",IF(Table13[[#This Row],[Price USD]]&lt;=50,"Mid-range","Premium"))</f>
        <v>Mid-range</v>
      </c>
      <c r="O419">
        <v>0</v>
      </c>
      <c r="P419">
        <v>0</v>
      </c>
    </row>
    <row r="420" spans="1:16" x14ac:dyDescent="0.25">
      <c r="A420" t="s">
        <v>2287</v>
      </c>
      <c r="B420" t="s">
        <v>2288</v>
      </c>
      <c r="C420">
        <v>3902</v>
      </c>
      <c r="D420" t="s">
        <v>72</v>
      </c>
      <c r="E420" t="s">
        <v>201</v>
      </c>
      <c r="F420">
        <v>11904</v>
      </c>
      <c r="G4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0">
        <v>4.8993000000000002</v>
      </c>
      <c r="J420" t="str">
        <f>IF(ISBLANK(Table13[[#This Row],[Rating]]), "No", "Yes")</f>
        <v>Yes</v>
      </c>
      <c r="K420" t="str">
        <f>IF(ISBLANK(Table13[[#This Row],[Rating]]), "Not Rated", IF(Table13[[#This Row],[Rating]] &lt; 3, "Low", IF(Table13[[#This Row],[Rating]] &lt; 4, "Medium", "High")))</f>
        <v>High</v>
      </c>
      <c r="L420">
        <v>149</v>
      </c>
      <c r="M420">
        <v>20</v>
      </c>
      <c r="N420" t="str">
        <f>IF(Table13[[#This Row],[Price USD]]&lt;20,"Budget",IF(Table13[[#This Row],[Price USD]]&lt;=50,"Mid-range","Premium"))</f>
        <v>Mid-range</v>
      </c>
      <c r="O420">
        <v>0</v>
      </c>
      <c r="P420">
        <v>0</v>
      </c>
    </row>
    <row r="421" spans="1:16" x14ac:dyDescent="0.25">
      <c r="A421" t="s">
        <v>1033</v>
      </c>
      <c r="B421" t="s">
        <v>1034</v>
      </c>
      <c r="C421">
        <v>5996</v>
      </c>
      <c r="D421" t="s">
        <v>327</v>
      </c>
      <c r="E421" t="s">
        <v>347</v>
      </c>
      <c r="F421">
        <v>35507</v>
      </c>
      <c r="G4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1">
        <v>4.1409000000000002</v>
      </c>
      <c r="J421" t="str">
        <f>IF(ISBLANK(Table13[[#This Row],[Rating]]), "No", "Yes")</f>
        <v>Yes</v>
      </c>
      <c r="K421" t="str">
        <f>IF(ISBLANK(Table13[[#This Row],[Rating]]), "Not Rated", IF(Table13[[#This Row],[Rating]] &lt; 3, "Low", IF(Table13[[#This Row],[Rating]] &lt; 4, "Medium", "High")))</f>
        <v>High</v>
      </c>
      <c r="L421">
        <v>149</v>
      </c>
      <c r="M421">
        <v>24</v>
      </c>
      <c r="N421" t="str">
        <f>IF(Table13[[#This Row],[Price USD]]&lt;20,"Budget",IF(Table13[[#This Row],[Price USD]]&lt;=50,"Mid-range","Premium"))</f>
        <v>Mid-range</v>
      </c>
      <c r="O421">
        <v>0</v>
      </c>
      <c r="P421">
        <v>0</v>
      </c>
    </row>
    <row r="422" spans="1:16" x14ac:dyDescent="0.25">
      <c r="A422" t="s">
        <v>2489</v>
      </c>
      <c r="B422" t="s">
        <v>2490</v>
      </c>
      <c r="C422">
        <v>6219</v>
      </c>
      <c r="D422" t="s">
        <v>277</v>
      </c>
      <c r="E422" t="s">
        <v>21</v>
      </c>
      <c r="F422">
        <v>10341</v>
      </c>
      <c r="G4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2">
        <v>4.4667000000000003</v>
      </c>
      <c r="J422" t="str">
        <f>IF(ISBLANK(Table13[[#This Row],[Rating]]), "No", "Yes")</f>
        <v>Yes</v>
      </c>
      <c r="K422" t="str">
        <f>IF(ISBLANK(Table13[[#This Row],[Rating]]), "Not Rated", IF(Table13[[#This Row],[Rating]] &lt; 3, "Low", IF(Table13[[#This Row],[Rating]] &lt; 4, "Medium", "High")))</f>
        <v>High</v>
      </c>
      <c r="L422">
        <v>150</v>
      </c>
      <c r="M422">
        <v>47</v>
      </c>
      <c r="N422" t="str">
        <f>IF(Table13[[#This Row],[Price USD]]&lt;20,"Budget",IF(Table13[[#This Row],[Price USD]]&lt;=50,"Mid-range","Premium"))</f>
        <v>Mid-range</v>
      </c>
      <c r="O422">
        <v>0</v>
      </c>
      <c r="P422">
        <v>0</v>
      </c>
    </row>
    <row r="423" spans="1:16" x14ac:dyDescent="0.25">
      <c r="A423" t="s">
        <v>2338</v>
      </c>
      <c r="B423" t="s">
        <v>2339</v>
      </c>
      <c r="C423">
        <v>6377</v>
      </c>
      <c r="D423" t="s">
        <v>1903</v>
      </c>
      <c r="E423" t="s">
        <v>21</v>
      </c>
      <c r="F423">
        <v>11518</v>
      </c>
      <c r="G4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3">
        <v>4.7466999999999997</v>
      </c>
      <c r="J423" t="str">
        <f>IF(ISBLANK(Table13[[#This Row],[Rating]]), "No", "Yes")</f>
        <v>Yes</v>
      </c>
      <c r="K423" t="str">
        <f>IF(ISBLANK(Table13[[#This Row],[Rating]]), "Not Rated", IF(Table13[[#This Row],[Rating]] &lt; 3, "Low", IF(Table13[[#This Row],[Rating]] &lt; 4, "Medium", "High")))</f>
        <v>High</v>
      </c>
      <c r="L423">
        <v>150</v>
      </c>
      <c r="M423">
        <v>58</v>
      </c>
      <c r="N423" t="str">
        <f>IF(Table13[[#This Row],[Price USD]]&lt;20,"Budget",IF(Table13[[#This Row],[Price USD]]&lt;=50,"Mid-range","Premium"))</f>
        <v>Premium</v>
      </c>
      <c r="O423">
        <v>0</v>
      </c>
      <c r="P423">
        <v>0</v>
      </c>
    </row>
    <row r="424" spans="1:16" x14ac:dyDescent="0.25">
      <c r="A424" t="s">
        <v>1616</v>
      </c>
      <c r="B424" t="s">
        <v>1617</v>
      </c>
      <c r="C424">
        <v>6125</v>
      </c>
      <c r="D424" t="s">
        <v>3</v>
      </c>
      <c r="E424" t="s">
        <v>49</v>
      </c>
      <c r="F424">
        <v>19738</v>
      </c>
      <c r="G4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4">
        <v>4.2583000000000002</v>
      </c>
      <c r="J424" t="str">
        <f>IF(ISBLANK(Table13[[#This Row],[Rating]]), "No", "Yes")</f>
        <v>Yes</v>
      </c>
      <c r="K424" t="str">
        <f>IF(ISBLANK(Table13[[#This Row],[Rating]]), "Not Rated", IF(Table13[[#This Row],[Rating]] &lt; 3, "Low", IF(Table13[[#This Row],[Rating]] &lt; 4, "Medium", "High")))</f>
        <v>High</v>
      </c>
      <c r="L424">
        <v>151</v>
      </c>
      <c r="M424">
        <v>30</v>
      </c>
      <c r="N424" t="str">
        <f>IF(Table13[[#This Row],[Price USD]]&lt;20,"Budget",IF(Table13[[#This Row],[Price USD]]&lt;=50,"Mid-range","Premium"))</f>
        <v>Mid-range</v>
      </c>
      <c r="O424">
        <v>0</v>
      </c>
      <c r="P424">
        <v>0</v>
      </c>
    </row>
    <row r="425" spans="1:16" x14ac:dyDescent="0.25">
      <c r="A425" t="s">
        <v>1118</v>
      </c>
      <c r="B425" t="s">
        <v>1119</v>
      </c>
      <c r="C425">
        <v>6117</v>
      </c>
      <c r="D425" t="s">
        <v>229</v>
      </c>
      <c r="E425" t="s">
        <v>201</v>
      </c>
      <c r="F425">
        <v>31953</v>
      </c>
      <c r="G4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5">
        <v>3.5497000000000001</v>
      </c>
      <c r="J425" t="str">
        <f>IF(ISBLANK(Table13[[#This Row],[Rating]]), "No", "Yes")</f>
        <v>Yes</v>
      </c>
      <c r="K425" t="str">
        <f>IF(ISBLANK(Table13[[#This Row],[Rating]]), "Not Rated", IF(Table13[[#This Row],[Rating]] &lt; 3, "Low", IF(Table13[[#This Row],[Rating]] &lt; 4, "Medium", "High")))</f>
        <v>Medium</v>
      </c>
      <c r="L425">
        <v>151</v>
      </c>
      <c r="M425">
        <v>22</v>
      </c>
      <c r="N425" t="str">
        <f>IF(Table13[[#This Row],[Price USD]]&lt;20,"Budget",IF(Table13[[#This Row],[Price USD]]&lt;=50,"Mid-range","Premium"))</f>
        <v>Mid-range</v>
      </c>
      <c r="O425">
        <v>0</v>
      </c>
      <c r="P425">
        <v>0</v>
      </c>
    </row>
    <row r="426" spans="1:16" x14ac:dyDescent="0.25">
      <c r="A426" t="s">
        <v>765</v>
      </c>
      <c r="B426" t="s">
        <v>766</v>
      </c>
      <c r="C426">
        <v>1073</v>
      </c>
      <c r="D426" t="s">
        <v>767</v>
      </c>
      <c r="E426" t="s">
        <v>8</v>
      </c>
      <c r="F426">
        <v>47079</v>
      </c>
      <c r="G4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6">
        <v>4.2434000000000003</v>
      </c>
      <c r="J426" t="str">
        <f>IF(ISBLANK(Table13[[#This Row],[Rating]]), "No", "Yes")</f>
        <v>Yes</v>
      </c>
      <c r="K426" t="str">
        <f>IF(ISBLANK(Table13[[#This Row],[Rating]]), "Not Rated", IF(Table13[[#This Row],[Rating]] &lt; 3, "Low", IF(Table13[[#This Row],[Rating]] &lt; 4, "Medium", "High")))</f>
        <v>High</v>
      </c>
      <c r="L426">
        <v>152</v>
      </c>
      <c r="M426">
        <v>110</v>
      </c>
      <c r="N426" t="str">
        <f>IF(Table13[[#This Row],[Price USD]]&lt;20,"Budget",IF(Table13[[#This Row],[Price USD]]&lt;=50,"Mid-range","Premium"))</f>
        <v>Premium</v>
      </c>
      <c r="O426">
        <v>0</v>
      </c>
      <c r="P426">
        <v>0</v>
      </c>
    </row>
    <row r="427" spans="1:16" x14ac:dyDescent="0.25">
      <c r="A427" t="s">
        <v>2540</v>
      </c>
      <c r="B427" t="s">
        <v>2541</v>
      </c>
      <c r="C427">
        <v>6358</v>
      </c>
      <c r="D427" t="s">
        <v>2301</v>
      </c>
      <c r="E427" t="s">
        <v>21</v>
      </c>
      <c r="F427">
        <v>10042</v>
      </c>
      <c r="G4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7">
        <v>4.0392000000000001</v>
      </c>
      <c r="J427" t="str">
        <f>IF(ISBLANK(Table13[[#This Row],[Rating]]), "No", "Yes")</f>
        <v>Yes</v>
      </c>
      <c r="K427" t="str">
        <f>IF(ISBLANK(Table13[[#This Row],[Rating]]), "Not Rated", IF(Table13[[#This Row],[Rating]] &lt; 3, "Low", IF(Table13[[#This Row],[Rating]] &lt; 4, "Medium", "High")))</f>
        <v>High</v>
      </c>
      <c r="L427">
        <v>153</v>
      </c>
      <c r="M427">
        <v>95</v>
      </c>
      <c r="N427" t="str">
        <f>IF(Table13[[#This Row],[Price USD]]&lt;20,"Budget",IF(Table13[[#This Row],[Price USD]]&lt;=50,"Mid-range","Premium"))</f>
        <v>Premium</v>
      </c>
      <c r="O427">
        <v>0</v>
      </c>
      <c r="P427">
        <v>0</v>
      </c>
    </row>
    <row r="428" spans="1:16" x14ac:dyDescent="0.25">
      <c r="A428" t="s">
        <v>1896</v>
      </c>
      <c r="B428" t="s">
        <v>1555</v>
      </c>
      <c r="C428">
        <v>3902</v>
      </c>
      <c r="D428" t="s">
        <v>72</v>
      </c>
      <c r="E428" t="s">
        <v>13</v>
      </c>
      <c r="F428">
        <v>15903</v>
      </c>
      <c r="G4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8">
        <v>4.0130999999999997</v>
      </c>
      <c r="J428" t="str">
        <f>IF(ISBLANK(Table13[[#This Row],[Rating]]), "No", "Yes")</f>
        <v>Yes</v>
      </c>
      <c r="K428" t="str">
        <f>IF(ISBLANK(Table13[[#This Row],[Rating]]), "Not Rated", IF(Table13[[#This Row],[Rating]] &lt; 3, "Low", IF(Table13[[#This Row],[Rating]] &lt; 4, "Medium", "High")))</f>
        <v>High</v>
      </c>
      <c r="L428">
        <v>153</v>
      </c>
      <c r="M428">
        <v>12</v>
      </c>
      <c r="N428" t="str">
        <f>IF(Table13[[#This Row],[Price USD]]&lt;20,"Budget",IF(Table13[[#This Row],[Price USD]]&lt;=50,"Mid-range","Premium"))</f>
        <v>Budget</v>
      </c>
      <c r="O428">
        <v>0</v>
      </c>
      <c r="P428">
        <v>0</v>
      </c>
    </row>
    <row r="429" spans="1:16" x14ac:dyDescent="0.25">
      <c r="A429" t="s">
        <v>2330</v>
      </c>
      <c r="B429" t="s">
        <v>2331</v>
      </c>
      <c r="C429">
        <v>4171</v>
      </c>
      <c r="D429" t="s">
        <v>133</v>
      </c>
      <c r="E429" t="s">
        <v>13</v>
      </c>
      <c r="F429">
        <v>11568</v>
      </c>
      <c r="G4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29">
        <v>4.1753</v>
      </c>
      <c r="J429" t="str">
        <f>IF(ISBLANK(Table13[[#This Row],[Rating]]), "No", "Yes")</f>
        <v>Yes</v>
      </c>
      <c r="K429" t="str">
        <f>IF(ISBLANK(Table13[[#This Row],[Rating]]), "Not Rated", IF(Table13[[#This Row],[Rating]] &lt; 3, "Low", IF(Table13[[#This Row],[Rating]] &lt; 4, "Medium", "High")))</f>
        <v>High</v>
      </c>
      <c r="L429">
        <v>154</v>
      </c>
      <c r="M429">
        <v>30</v>
      </c>
      <c r="N429" t="str">
        <f>IF(Table13[[#This Row],[Price USD]]&lt;20,"Budget",IF(Table13[[#This Row],[Price USD]]&lt;=50,"Mid-range","Premium"))</f>
        <v>Mid-range</v>
      </c>
      <c r="O429">
        <v>0</v>
      </c>
      <c r="P429">
        <v>0</v>
      </c>
    </row>
    <row r="430" spans="1:16" x14ac:dyDescent="0.25">
      <c r="A430" t="s">
        <v>1045</v>
      </c>
      <c r="B430" t="s">
        <v>1046</v>
      </c>
      <c r="C430">
        <v>4348</v>
      </c>
      <c r="D430" t="s">
        <v>61</v>
      </c>
      <c r="E430" t="s">
        <v>144</v>
      </c>
      <c r="F430">
        <v>34666</v>
      </c>
      <c r="G4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0">
        <v>3.9935</v>
      </c>
      <c r="J430" t="str">
        <f>IF(ISBLANK(Table13[[#This Row],[Rating]]), "No", "Yes")</f>
        <v>Yes</v>
      </c>
      <c r="K430" t="str">
        <f>IF(ISBLANK(Table13[[#This Row],[Rating]]), "Not Rated", IF(Table13[[#This Row],[Rating]] &lt; 3, "Low", IF(Table13[[#This Row],[Rating]] &lt; 4, "Medium", "High")))</f>
        <v>Medium</v>
      </c>
      <c r="L430">
        <v>154</v>
      </c>
      <c r="M430">
        <v>22</v>
      </c>
      <c r="N430" t="str">
        <f>IF(Table13[[#This Row],[Price USD]]&lt;20,"Budget",IF(Table13[[#This Row],[Price USD]]&lt;=50,"Mid-range","Premium"))</f>
        <v>Mid-range</v>
      </c>
      <c r="O430">
        <v>0</v>
      </c>
      <c r="P430">
        <v>0</v>
      </c>
    </row>
    <row r="431" spans="1:16" x14ac:dyDescent="0.25">
      <c r="A431" t="s">
        <v>1816</v>
      </c>
      <c r="B431" t="s">
        <v>1817</v>
      </c>
      <c r="C431">
        <v>7091</v>
      </c>
      <c r="D431" t="s">
        <v>879</v>
      </c>
      <c r="E431" t="s">
        <v>106</v>
      </c>
      <c r="F431">
        <v>16938</v>
      </c>
      <c r="G4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1">
        <v>3.9744000000000002</v>
      </c>
      <c r="J431" t="str">
        <f>IF(ISBLANK(Table13[[#This Row],[Rating]]), "No", "Yes")</f>
        <v>Yes</v>
      </c>
      <c r="K431" t="str">
        <f>IF(ISBLANK(Table13[[#This Row],[Rating]]), "Not Rated", IF(Table13[[#This Row],[Rating]] &lt; 3, "Low", IF(Table13[[#This Row],[Rating]] &lt; 4, "Medium", "High")))</f>
        <v>Medium</v>
      </c>
      <c r="L431">
        <v>156</v>
      </c>
      <c r="M431">
        <v>54</v>
      </c>
      <c r="N431" t="str">
        <f>IF(Table13[[#This Row],[Price USD]]&lt;20,"Budget",IF(Table13[[#This Row],[Price USD]]&lt;=50,"Mid-range","Premium"))</f>
        <v>Premium</v>
      </c>
      <c r="O431">
        <v>0</v>
      </c>
      <c r="P431">
        <v>0</v>
      </c>
    </row>
    <row r="432" spans="1:16" x14ac:dyDescent="0.25">
      <c r="A432" t="s">
        <v>1055</v>
      </c>
      <c r="B432" t="s">
        <v>1056</v>
      </c>
      <c r="C432">
        <v>3902</v>
      </c>
      <c r="D432" t="s">
        <v>72</v>
      </c>
      <c r="E432" t="s">
        <v>69</v>
      </c>
      <c r="F432">
        <v>34386</v>
      </c>
      <c r="G4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2">
        <v>4.2691999999999997</v>
      </c>
      <c r="J432" t="str">
        <f>IF(ISBLANK(Table13[[#This Row],[Rating]]), "No", "Yes")</f>
        <v>Yes</v>
      </c>
      <c r="K432" t="str">
        <f>IF(ISBLANK(Table13[[#This Row],[Rating]]), "Not Rated", IF(Table13[[#This Row],[Rating]] &lt; 3, "Low", IF(Table13[[#This Row],[Rating]] &lt; 4, "Medium", "High")))</f>
        <v>High</v>
      </c>
      <c r="L432">
        <v>156</v>
      </c>
      <c r="M432">
        <v>5</v>
      </c>
      <c r="N432" t="str">
        <f>IF(Table13[[#This Row],[Price USD]]&lt;20,"Budget",IF(Table13[[#This Row],[Price USD]]&lt;=50,"Mid-range","Premium"))</f>
        <v>Budget</v>
      </c>
      <c r="O432">
        <v>0</v>
      </c>
      <c r="P432">
        <v>0</v>
      </c>
    </row>
    <row r="433" spans="1:16" x14ac:dyDescent="0.25">
      <c r="A433" t="s">
        <v>1436</v>
      </c>
      <c r="B433" t="s">
        <v>1437</v>
      </c>
      <c r="C433">
        <v>1254</v>
      </c>
      <c r="D433" t="s">
        <v>136</v>
      </c>
      <c r="E433" t="s">
        <v>8</v>
      </c>
      <c r="F433">
        <v>23281</v>
      </c>
      <c r="G4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3">
        <v>3.9298999999999999</v>
      </c>
      <c r="J433" t="str">
        <f>IF(ISBLANK(Table13[[#This Row],[Rating]]), "No", "Yes")</f>
        <v>Yes</v>
      </c>
      <c r="K433" t="str">
        <f>IF(ISBLANK(Table13[[#This Row],[Rating]]), "Not Rated", IF(Table13[[#This Row],[Rating]] &lt; 3, "Low", IF(Table13[[#This Row],[Rating]] &lt; 4, "Medium", "High")))</f>
        <v>Medium</v>
      </c>
      <c r="L433">
        <v>157</v>
      </c>
      <c r="M433">
        <v>85</v>
      </c>
      <c r="N433" t="str">
        <f>IF(Table13[[#This Row],[Price USD]]&lt;20,"Budget",IF(Table13[[#This Row],[Price USD]]&lt;=50,"Mid-range","Premium"))</f>
        <v>Premium</v>
      </c>
      <c r="O433">
        <v>0</v>
      </c>
      <c r="P433">
        <v>0</v>
      </c>
    </row>
    <row r="434" spans="1:16" x14ac:dyDescent="0.25">
      <c r="A434" t="s">
        <v>1351</v>
      </c>
      <c r="B434" t="s">
        <v>1352</v>
      </c>
      <c r="C434">
        <v>6218</v>
      </c>
      <c r="D434" t="s">
        <v>116</v>
      </c>
      <c r="E434" t="s">
        <v>21</v>
      </c>
      <c r="F434">
        <v>24886</v>
      </c>
      <c r="G4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4">
        <v>3.8344</v>
      </c>
      <c r="J434" t="str">
        <f>IF(ISBLANK(Table13[[#This Row],[Rating]]), "No", "Yes")</f>
        <v>Yes</v>
      </c>
      <c r="K434" t="str">
        <f>IF(ISBLANK(Table13[[#This Row],[Rating]]), "Not Rated", IF(Table13[[#This Row],[Rating]] &lt; 3, "Low", IF(Table13[[#This Row],[Rating]] &lt; 4, "Medium", "High")))</f>
        <v>Medium</v>
      </c>
      <c r="L434">
        <v>157</v>
      </c>
      <c r="M434">
        <v>38</v>
      </c>
      <c r="N434" t="str">
        <f>IF(Table13[[#This Row],[Price USD]]&lt;20,"Budget",IF(Table13[[#This Row],[Price USD]]&lt;=50,"Mid-range","Premium"))</f>
        <v>Mid-range</v>
      </c>
      <c r="O434">
        <v>0</v>
      </c>
      <c r="P434">
        <v>0</v>
      </c>
    </row>
    <row r="435" spans="1:16" x14ac:dyDescent="0.25">
      <c r="A435" t="s">
        <v>724</v>
      </c>
      <c r="B435" t="s">
        <v>725</v>
      </c>
      <c r="C435">
        <v>7083</v>
      </c>
      <c r="D435" t="s">
        <v>20</v>
      </c>
      <c r="E435" t="s">
        <v>8</v>
      </c>
      <c r="F435">
        <v>49327</v>
      </c>
      <c r="G4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5">
        <v>3.6943000000000001</v>
      </c>
      <c r="J435" t="str">
        <f>IF(ISBLANK(Table13[[#This Row],[Rating]]), "No", "Yes")</f>
        <v>Yes</v>
      </c>
      <c r="K435" t="str">
        <f>IF(ISBLANK(Table13[[#This Row],[Rating]]), "Not Rated", IF(Table13[[#This Row],[Rating]] &lt; 3, "Low", IF(Table13[[#This Row],[Rating]] &lt; 4, "Medium", "High")))</f>
        <v>Medium</v>
      </c>
      <c r="L435">
        <v>157</v>
      </c>
      <c r="M435">
        <v>38</v>
      </c>
      <c r="N435" t="str">
        <f>IF(Table13[[#This Row],[Price USD]]&lt;20,"Budget",IF(Table13[[#This Row],[Price USD]]&lt;=50,"Mid-range","Premium"))</f>
        <v>Mid-range</v>
      </c>
      <c r="O435">
        <v>0</v>
      </c>
      <c r="P435">
        <v>0</v>
      </c>
    </row>
    <row r="436" spans="1:16" x14ac:dyDescent="0.25">
      <c r="A436" t="s">
        <v>1356</v>
      </c>
      <c r="B436" t="s">
        <v>1357</v>
      </c>
      <c r="C436">
        <v>5972</v>
      </c>
      <c r="D436" t="s">
        <v>54</v>
      </c>
      <c r="E436" t="s">
        <v>8</v>
      </c>
      <c r="F436">
        <v>24816</v>
      </c>
      <c r="G4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6">
        <v>3.9811000000000001</v>
      </c>
      <c r="J436" t="str">
        <f>IF(ISBLANK(Table13[[#This Row],[Rating]]), "No", "Yes")</f>
        <v>Yes</v>
      </c>
      <c r="K436" t="str">
        <f>IF(ISBLANK(Table13[[#This Row],[Rating]]), "Not Rated", IF(Table13[[#This Row],[Rating]] &lt; 3, "Low", IF(Table13[[#This Row],[Rating]] &lt; 4, "Medium", "High")))</f>
        <v>Medium</v>
      </c>
      <c r="L436">
        <v>159</v>
      </c>
      <c r="M436">
        <v>58</v>
      </c>
      <c r="N436" t="str">
        <f>IF(Table13[[#This Row],[Price USD]]&lt;20,"Budget",IF(Table13[[#This Row],[Price USD]]&lt;=50,"Mid-range","Premium"))</f>
        <v>Premium</v>
      </c>
      <c r="O436">
        <v>0</v>
      </c>
      <c r="P436">
        <v>0</v>
      </c>
    </row>
    <row r="437" spans="1:16" x14ac:dyDescent="0.25">
      <c r="A437" t="s">
        <v>1297</v>
      </c>
      <c r="B437" t="s">
        <v>1298</v>
      </c>
      <c r="C437">
        <v>2082</v>
      </c>
      <c r="D437" t="s">
        <v>594</v>
      </c>
      <c r="E437" t="s">
        <v>69</v>
      </c>
      <c r="F437">
        <v>26393</v>
      </c>
      <c r="G4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7">
        <v>4.7546999999999997</v>
      </c>
      <c r="J437" t="str">
        <f>IF(ISBLANK(Table13[[#This Row],[Rating]]), "No", "Yes")</f>
        <v>Yes</v>
      </c>
      <c r="K437" t="str">
        <f>IF(ISBLANK(Table13[[#This Row],[Rating]]), "Not Rated", IF(Table13[[#This Row],[Rating]] &lt; 3, "Low", IF(Table13[[#This Row],[Rating]] &lt; 4, "Medium", "High")))</f>
        <v>High</v>
      </c>
      <c r="L437">
        <v>159</v>
      </c>
      <c r="M437">
        <v>67</v>
      </c>
      <c r="N437" t="str">
        <f>IF(Table13[[#This Row],[Price USD]]&lt;20,"Budget",IF(Table13[[#This Row],[Price USD]]&lt;=50,"Mid-range","Premium"))</f>
        <v>Premium</v>
      </c>
      <c r="O437">
        <v>0</v>
      </c>
      <c r="P437">
        <v>0</v>
      </c>
    </row>
    <row r="438" spans="1:16" x14ac:dyDescent="0.25">
      <c r="A438" t="s">
        <v>1806</v>
      </c>
      <c r="B438" t="s">
        <v>1807</v>
      </c>
      <c r="C438">
        <v>4171</v>
      </c>
      <c r="D438" t="s">
        <v>133</v>
      </c>
      <c r="E438" t="s">
        <v>69</v>
      </c>
      <c r="F438">
        <v>17013</v>
      </c>
      <c r="G4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8">
        <v>4.7640000000000002</v>
      </c>
      <c r="J438" t="str">
        <f>IF(ISBLANK(Table13[[#This Row],[Rating]]), "No", "Yes")</f>
        <v>Yes</v>
      </c>
      <c r="K438" t="str">
        <f>IF(ISBLANK(Table13[[#This Row],[Rating]]), "Not Rated", IF(Table13[[#This Row],[Rating]] &lt; 3, "Low", IF(Table13[[#This Row],[Rating]] &lt; 4, "Medium", "High")))</f>
        <v>High</v>
      </c>
      <c r="L438">
        <v>161</v>
      </c>
      <c r="M438">
        <v>42</v>
      </c>
      <c r="N438" t="str">
        <f>IF(Table13[[#This Row],[Price USD]]&lt;20,"Budget",IF(Table13[[#This Row],[Price USD]]&lt;=50,"Mid-range","Premium"))</f>
        <v>Mid-range</v>
      </c>
      <c r="O438">
        <v>0</v>
      </c>
      <c r="P438">
        <v>0</v>
      </c>
    </row>
    <row r="439" spans="1:16" x14ac:dyDescent="0.25">
      <c r="A439" t="s">
        <v>988</v>
      </c>
      <c r="B439" t="s">
        <v>989</v>
      </c>
      <c r="C439">
        <v>5972</v>
      </c>
      <c r="D439" t="s">
        <v>54</v>
      </c>
      <c r="E439" t="s">
        <v>149</v>
      </c>
      <c r="F439">
        <v>37716</v>
      </c>
      <c r="G4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39">
        <v>3.7222</v>
      </c>
      <c r="J439" t="str">
        <f>IF(ISBLANK(Table13[[#This Row],[Rating]]), "No", "Yes")</f>
        <v>Yes</v>
      </c>
      <c r="K439" t="str">
        <f>IF(ISBLANK(Table13[[#This Row],[Rating]]), "Not Rated", IF(Table13[[#This Row],[Rating]] &lt; 3, "Low", IF(Table13[[#This Row],[Rating]] &lt; 4, "Medium", "High")))</f>
        <v>Medium</v>
      </c>
      <c r="L439">
        <v>162</v>
      </c>
      <c r="M439">
        <v>44</v>
      </c>
      <c r="N439" t="str">
        <f>IF(Table13[[#This Row],[Price USD]]&lt;20,"Budget",IF(Table13[[#This Row],[Price USD]]&lt;=50,"Mid-range","Premium"))</f>
        <v>Mid-range</v>
      </c>
      <c r="O439">
        <v>0</v>
      </c>
      <c r="P439">
        <v>0</v>
      </c>
    </row>
    <row r="440" spans="1:16" x14ac:dyDescent="0.25">
      <c r="A440" t="s">
        <v>819</v>
      </c>
      <c r="B440" t="s">
        <v>820</v>
      </c>
      <c r="C440">
        <v>6234</v>
      </c>
      <c r="D440" t="s">
        <v>7</v>
      </c>
      <c r="E440" t="s">
        <v>8</v>
      </c>
      <c r="F440">
        <v>43799</v>
      </c>
      <c r="G4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0">
        <v>4.0926</v>
      </c>
      <c r="J440" t="str">
        <f>IF(ISBLANK(Table13[[#This Row],[Rating]]), "No", "Yes")</f>
        <v>Yes</v>
      </c>
      <c r="K440" t="str">
        <f>IF(ISBLANK(Table13[[#This Row],[Rating]]), "Not Rated", IF(Table13[[#This Row],[Rating]] &lt; 3, "Low", IF(Table13[[#This Row],[Rating]] &lt; 4, "Medium", "High")))</f>
        <v>High</v>
      </c>
      <c r="L440">
        <v>162</v>
      </c>
      <c r="M440">
        <v>14.3</v>
      </c>
      <c r="N440" t="str">
        <f>IF(Table13[[#This Row],[Price USD]]&lt;20,"Budget",IF(Table13[[#This Row],[Price USD]]&lt;=50,"Mid-range","Premium"))</f>
        <v>Budget</v>
      </c>
      <c r="O440">
        <v>0</v>
      </c>
      <c r="P440">
        <v>0</v>
      </c>
    </row>
    <row r="441" spans="1:16" x14ac:dyDescent="0.25">
      <c r="A441" t="s">
        <v>2532</v>
      </c>
      <c r="B441" t="s">
        <v>2533</v>
      </c>
      <c r="C441">
        <v>3902</v>
      </c>
      <c r="D441" t="s">
        <v>72</v>
      </c>
      <c r="E441" t="s">
        <v>13</v>
      </c>
      <c r="F441">
        <v>10098</v>
      </c>
      <c r="G4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1">
        <v>4.6379999999999999</v>
      </c>
      <c r="J441" t="str">
        <f>IF(ISBLANK(Table13[[#This Row],[Rating]]), "No", "Yes")</f>
        <v>Yes</v>
      </c>
      <c r="K441" t="str">
        <f>IF(ISBLANK(Table13[[#This Row],[Rating]]), "Not Rated", IF(Table13[[#This Row],[Rating]] &lt; 3, "Low", IF(Table13[[#This Row],[Rating]] &lt; 4, "Medium", "High")))</f>
        <v>High</v>
      </c>
      <c r="L441">
        <v>163</v>
      </c>
      <c r="M441">
        <v>12</v>
      </c>
      <c r="N441" t="str">
        <f>IF(Table13[[#This Row],[Price USD]]&lt;20,"Budget",IF(Table13[[#This Row],[Price USD]]&lt;=50,"Mid-range","Premium"))</f>
        <v>Budget</v>
      </c>
      <c r="O441">
        <v>0</v>
      </c>
      <c r="P441">
        <v>0</v>
      </c>
    </row>
    <row r="442" spans="1:16" x14ac:dyDescent="0.25">
      <c r="A442" t="s">
        <v>1528</v>
      </c>
      <c r="B442" t="s">
        <v>1529</v>
      </c>
      <c r="C442">
        <v>2000</v>
      </c>
      <c r="D442" t="s">
        <v>362</v>
      </c>
      <c r="E442" t="s">
        <v>8</v>
      </c>
      <c r="F442">
        <v>21555</v>
      </c>
      <c r="G4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2">
        <v>4.1901999999999999</v>
      </c>
      <c r="J442" t="str">
        <f>IF(ISBLANK(Table13[[#This Row],[Rating]]), "No", "Yes")</f>
        <v>Yes</v>
      </c>
      <c r="K442" t="str">
        <f>IF(ISBLANK(Table13[[#This Row],[Rating]]), "Not Rated", IF(Table13[[#This Row],[Rating]] &lt; 3, "Low", IF(Table13[[#This Row],[Rating]] &lt; 4, "Medium", "High")))</f>
        <v>High</v>
      </c>
      <c r="L442">
        <v>163</v>
      </c>
      <c r="M442">
        <v>34</v>
      </c>
      <c r="N442" t="str">
        <f>IF(Table13[[#This Row],[Price USD]]&lt;20,"Budget",IF(Table13[[#This Row],[Price USD]]&lt;=50,"Mid-range","Premium"))</f>
        <v>Mid-range</v>
      </c>
      <c r="O442">
        <v>0</v>
      </c>
      <c r="P442">
        <v>0</v>
      </c>
    </row>
    <row r="443" spans="1:16" x14ac:dyDescent="0.25">
      <c r="A443" t="s">
        <v>1755</v>
      </c>
      <c r="B443" t="s">
        <v>1756</v>
      </c>
      <c r="C443">
        <v>6134</v>
      </c>
      <c r="D443" t="s">
        <v>286</v>
      </c>
      <c r="E443" t="s">
        <v>13</v>
      </c>
      <c r="F443">
        <v>17719</v>
      </c>
      <c r="G4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3">
        <v>4.6829000000000001</v>
      </c>
      <c r="J443" t="str">
        <f>IF(ISBLANK(Table13[[#This Row],[Rating]]), "No", "Yes")</f>
        <v>Yes</v>
      </c>
      <c r="K443" t="str">
        <f>IF(ISBLANK(Table13[[#This Row],[Rating]]), "Not Rated", IF(Table13[[#This Row],[Rating]] &lt; 3, "Low", IF(Table13[[#This Row],[Rating]] &lt; 4, "Medium", "High")))</f>
        <v>High</v>
      </c>
      <c r="L443">
        <v>164</v>
      </c>
      <c r="M443">
        <v>36</v>
      </c>
      <c r="N443" t="str">
        <f>IF(Table13[[#This Row],[Price USD]]&lt;20,"Budget",IF(Table13[[#This Row],[Price USD]]&lt;=50,"Mid-range","Premium"))</f>
        <v>Mid-range</v>
      </c>
      <c r="O443">
        <v>0</v>
      </c>
      <c r="P443">
        <v>0</v>
      </c>
    </row>
    <row r="444" spans="1:16" x14ac:dyDescent="0.25">
      <c r="A444" t="s">
        <v>2501</v>
      </c>
      <c r="B444" t="s">
        <v>2502</v>
      </c>
      <c r="C444">
        <v>5644</v>
      </c>
      <c r="D444" t="s">
        <v>158</v>
      </c>
      <c r="E444" t="s">
        <v>21</v>
      </c>
      <c r="F444">
        <v>10298</v>
      </c>
      <c r="G4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4">
        <v>3.3696999999999999</v>
      </c>
      <c r="J444" t="str">
        <f>IF(ISBLANK(Table13[[#This Row],[Rating]]), "No", "Yes")</f>
        <v>Yes</v>
      </c>
      <c r="K444" t="str">
        <f>IF(ISBLANK(Table13[[#This Row],[Rating]]), "Not Rated", IF(Table13[[#This Row],[Rating]] &lt; 3, "Low", IF(Table13[[#This Row],[Rating]] &lt; 4, "Medium", "High")))</f>
        <v>Medium</v>
      </c>
      <c r="L444">
        <v>165</v>
      </c>
      <c r="M444">
        <v>74</v>
      </c>
      <c r="N444" t="str">
        <f>IF(Table13[[#This Row],[Price USD]]&lt;20,"Budget",IF(Table13[[#This Row],[Price USD]]&lt;=50,"Mid-range","Premium"))</f>
        <v>Premium</v>
      </c>
      <c r="O444">
        <v>0</v>
      </c>
      <c r="P444">
        <v>0</v>
      </c>
    </row>
    <row r="445" spans="1:16" x14ac:dyDescent="0.25">
      <c r="A445" t="s">
        <v>2043</v>
      </c>
      <c r="B445" t="s">
        <v>2044</v>
      </c>
      <c r="C445">
        <v>6341</v>
      </c>
      <c r="D445" t="s">
        <v>66</v>
      </c>
      <c r="E445" t="s">
        <v>13</v>
      </c>
      <c r="F445">
        <v>14266</v>
      </c>
      <c r="G4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5">
        <v>4.6666999999999996</v>
      </c>
      <c r="J445" t="str">
        <f>IF(ISBLANK(Table13[[#This Row],[Rating]]), "No", "Yes")</f>
        <v>Yes</v>
      </c>
      <c r="K445" t="str">
        <f>IF(ISBLANK(Table13[[#This Row],[Rating]]), "Not Rated", IF(Table13[[#This Row],[Rating]] &lt; 3, "Low", IF(Table13[[#This Row],[Rating]] &lt; 4, "Medium", "High")))</f>
        <v>High</v>
      </c>
      <c r="L445">
        <v>165</v>
      </c>
      <c r="M445">
        <v>29</v>
      </c>
      <c r="N445" t="str">
        <f>IF(Table13[[#This Row],[Price USD]]&lt;20,"Budget",IF(Table13[[#This Row],[Price USD]]&lt;=50,"Mid-range","Premium"))</f>
        <v>Mid-range</v>
      </c>
      <c r="O445">
        <v>0</v>
      </c>
      <c r="P445">
        <v>0</v>
      </c>
    </row>
    <row r="446" spans="1:16" x14ac:dyDescent="0.25">
      <c r="A446" t="s">
        <v>1028</v>
      </c>
      <c r="B446" t="s">
        <v>1029</v>
      </c>
      <c r="C446">
        <v>6352</v>
      </c>
      <c r="D446" t="s">
        <v>251</v>
      </c>
      <c r="E446" t="s">
        <v>21</v>
      </c>
      <c r="F446">
        <v>35804</v>
      </c>
      <c r="G4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6">
        <v>4.1988000000000003</v>
      </c>
      <c r="J446" t="str">
        <f>IF(ISBLANK(Table13[[#This Row],[Rating]]), "No", "Yes")</f>
        <v>Yes</v>
      </c>
      <c r="K446" t="str">
        <f>IF(ISBLANK(Table13[[#This Row],[Rating]]), "Not Rated", IF(Table13[[#This Row],[Rating]] &lt; 3, "Low", IF(Table13[[#This Row],[Rating]] &lt; 4, "Medium", "High")))</f>
        <v>High</v>
      </c>
      <c r="L446">
        <v>166</v>
      </c>
      <c r="M446">
        <v>45</v>
      </c>
      <c r="N446" t="str">
        <f>IF(Table13[[#This Row],[Price USD]]&lt;20,"Budget",IF(Table13[[#This Row],[Price USD]]&lt;=50,"Mid-range","Premium"))</f>
        <v>Mid-range</v>
      </c>
      <c r="O446">
        <v>0</v>
      </c>
      <c r="P446">
        <v>0</v>
      </c>
    </row>
    <row r="447" spans="1:16" x14ac:dyDescent="0.25">
      <c r="A447" t="s">
        <v>2493</v>
      </c>
      <c r="B447" t="s">
        <v>2494</v>
      </c>
      <c r="C447">
        <v>6312</v>
      </c>
      <c r="D447" t="s">
        <v>1242</v>
      </c>
      <c r="E447" t="s">
        <v>8</v>
      </c>
      <c r="F447">
        <v>10316</v>
      </c>
      <c r="G4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7">
        <v>4.5030000000000001</v>
      </c>
      <c r="J447" t="str">
        <f>IF(ISBLANK(Table13[[#This Row],[Rating]]), "No", "Yes")</f>
        <v>Yes</v>
      </c>
      <c r="K447" t="str">
        <f>IF(ISBLANK(Table13[[#This Row],[Rating]]), "Not Rated", IF(Table13[[#This Row],[Rating]] &lt; 3, "Low", IF(Table13[[#This Row],[Rating]] &lt; 4, "Medium", "High")))</f>
        <v>High</v>
      </c>
      <c r="L447">
        <v>167</v>
      </c>
      <c r="M447">
        <v>59</v>
      </c>
      <c r="N447" t="str">
        <f>IF(Table13[[#This Row],[Price USD]]&lt;20,"Budget",IF(Table13[[#This Row],[Price USD]]&lt;=50,"Mid-range","Premium"))</f>
        <v>Premium</v>
      </c>
      <c r="O447">
        <v>0</v>
      </c>
      <c r="P447">
        <v>0</v>
      </c>
    </row>
    <row r="448" spans="1:16" x14ac:dyDescent="0.25">
      <c r="A448" t="s">
        <v>2133</v>
      </c>
      <c r="B448" t="s">
        <v>2134</v>
      </c>
      <c r="C448">
        <v>6312</v>
      </c>
      <c r="D448" t="s">
        <v>1242</v>
      </c>
      <c r="E448" t="s">
        <v>13</v>
      </c>
      <c r="F448">
        <v>13297</v>
      </c>
      <c r="G4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8">
        <v>4.3832000000000004</v>
      </c>
      <c r="J448" t="str">
        <f>IF(ISBLANK(Table13[[#This Row],[Rating]]), "No", "Yes")</f>
        <v>Yes</v>
      </c>
      <c r="K448" t="str">
        <f>IF(ISBLANK(Table13[[#This Row],[Rating]]), "Not Rated", IF(Table13[[#This Row],[Rating]] &lt; 3, "Low", IF(Table13[[#This Row],[Rating]] &lt; 4, "Medium", "High")))</f>
        <v>High</v>
      </c>
      <c r="L448">
        <v>167</v>
      </c>
      <c r="M448">
        <v>36</v>
      </c>
      <c r="N448" t="str">
        <f>IF(Table13[[#This Row],[Price USD]]&lt;20,"Budget",IF(Table13[[#This Row],[Price USD]]&lt;=50,"Mid-range","Premium"))</f>
        <v>Mid-range</v>
      </c>
      <c r="O448">
        <v>0</v>
      </c>
      <c r="P448">
        <v>0</v>
      </c>
    </row>
    <row r="449" spans="1:16" x14ac:dyDescent="0.25">
      <c r="A449" t="s">
        <v>1088</v>
      </c>
      <c r="B449" t="s">
        <v>1089</v>
      </c>
      <c r="C449">
        <v>8017</v>
      </c>
      <c r="D449" t="s">
        <v>620</v>
      </c>
      <c r="E449" t="s">
        <v>4</v>
      </c>
      <c r="F449">
        <v>32609</v>
      </c>
      <c r="G4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49">
        <v>4.2515000000000001</v>
      </c>
      <c r="J449" t="str">
        <f>IF(ISBLANK(Table13[[#This Row],[Rating]]), "No", "Yes")</f>
        <v>Yes</v>
      </c>
      <c r="K449" t="str">
        <f>IF(ISBLANK(Table13[[#This Row],[Rating]]), "Not Rated", IF(Table13[[#This Row],[Rating]] &lt; 3, "Low", IF(Table13[[#This Row],[Rating]] &lt; 4, "Medium", "High")))</f>
        <v>High</v>
      </c>
      <c r="L449">
        <v>167</v>
      </c>
      <c r="M449">
        <v>8</v>
      </c>
      <c r="N449" t="str">
        <f>IF(Table13[[#This Row],[Price USD]]&lt;20,"Budget",IF(Table13[[#This Row],[Price USD]]&lt;=50,"Mid-range","Premium"))</f>
        <v>Budget</v>
      </c>
      <c r="O449">
        <v>0</v>
      </c>
      <c r="P449">
        <v>0</v>
      </c>
    </row>
    <row r="450" spans="1:16" x14ac:dyDescent="0.25">
      <c r="A450" t="s">
        <v>1914</v>
      </c>
      <c r="B450" t="s">
        <v>1915</v>
      </c>
      <c r="C450">
        <v>6125</v>
      </c>
      <c r="D450" t="s">
        <v>3</v>
      </c>
      <c r="E450" t="s">
        <v>21</v>
      </c>
      <c r="F450">
        <v>15636</v>
      </c>
      <c r="G4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0">
        <v>4.0472999999999999</v>
      </c>
      <c r="J450" t="str">
        <f>IF(ISBLANK(Table13[[#This Row],[Rating]]), "No", "Yes")</f>
        <v>Yes</v>
      </c>
      <c r="K450" t="str">
        <f>IF(ISBLANK(Table13[[#This Row],[Rating]]), "Not Rated", IF(Table13[[#This Row],[Rating]] &lt; 3, "Low", IF(Table13[[#This Row],[Rating]] &lt; 4, "Medium", "High")))</f>
        <v>High</v>
      </c>
      <c r="L450">
        <v>169</v>
      </c>
      <c r="M450">
        <v>40</v>
      </c>
      <c r="N450" t="str">
        <f>IF(Table13[[#This Row],[Price USD]]&lt;20,"Budget",IF(Table13[[#This Row],[Price USD]]&lt;=50,"Mid-range","Premium"))</f>
        <v>Mid-range</v>
      </c>
      <c r="O450">
        <v>0</v>
      </c>
      <c r="P450">
        <v>0</v>
      </c>
    </row>
    <row r="451" spans="1:16" x14ac:dyDescent="0.25">
      <c r="A451" t="s">
        <v>2063</v>
      </c>
      <c r="B451" t="s">
        <v>2064</v>
      </c>
      <c r="C451">
        <v>6341</v>
      </c>
      <c r="D451" t="s">
        <v>66</v>
      </c>
      <c r="E451" t="s">
        <v>8</v>
      </c>
      <c r="F451">
        <v>13939</v>
      </c>
      <c r="G4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1">
        <v>4.8235000000000001</v>
      </c>
      <c r="J451" t="str">
        <f>IF(ISBLANK(Table13[[#This Row],[Rating]]), "No", "Yes")</f>
        <v>Yes</v>
      </c>
      <c r="K451" t="str">
        <f>IF(ISBLANK(Table13[[#This Row],[Rating]]), "Not Rated", IF(Table13[[#This Row],[Rating]] &lt; 3, "Low", IF(Table13[[#This Row],[Rating]] &lt; 4, "Medium", "High")))</f>
        <v>High</v>
      </c>
      <c r="L451">
        <v>170</v>
      </c>
      <c r="M451">
        <v>62</v>
      </c>
      <c r="N451" t="str">
        <f>IF(Table13[[#This Row],[Price USD]]&lt;20,"Budget",IF(Table13[[#This Row],[Price USD]]&lt;=50,"Mid-range","Premium"))</f>
        <v>Premium</v>
      </c>
      <c r="O451">
        <v>0</v>
      </c>
      <c r="P451">
        <v>0</v>
      </c>
    </row>
    <row r="452" spans="1:16" x14ac:dyDescent="0.25">
      <c r="A452" t="s">
        <v>1999</v>
      </c>
      <c r="B452" t="s">
        <v>2000</v>
      </c>
      <c r="C452">
        <v>7020</v>
      </c>
      <c r="D452" t="s">
        <v>657</v>
      </c>
      <c r="E452" t="s">
        <v>13</v>
      </c>
      <c r="F452">
        <v>14771</v>
      </c>
      <c r="G4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2">
        <v>4.2058999999999997</v>
      </c>
      <c r="J452" t="str">
        <f>IF(ISBLANK(Table13[[#This Row],[Rating]]), "No", "Yes")</f>
        <v>Yes</v>
      </c>
      <c r="K452" t="str">
        <f>IF(ISBLANK(Table13[[#This Row],[Rating]]), "Not Rated", IF(Table13[[#This Row],[Rating]] &lt; 3, "Low", IF(Table13[[#This Row],[Rating]] &lt; 4, "Medium", "High")))</f>
        <v>High</v>
      </c>
      <c r="L452">
        <v>170</v>
      </c>
      <c r="M452">
        <v>88</v>
      </c>
      <c r="N452" t="str">
        <f>IF(Table13[[#This Row],[Price USD]]&lt;20,"Budget",IF(Table13[[#This Row],[Price USD]]&lt;=50,"Mid-range","Premium"))</f>
        <v>Premium</v>
      </c>
      <c r="O452">
        <v>0</v>
      </c>
      <c r="P452">
        <v>0</v>
      </c>
    </row>
    <row r="453" spans="1:16" x14ac:dyDescent="0.25">
      <c r="A453" t="s">
        <v>2242</v>
      </c>
      <c r="B453" t="s">
        <v>2243</v>
      </c>
      <c r="C453">
        <v>6114</v>
      </c>
      <c r="D453" t="s">
        <v>1355</v>
      </c>
      <c r="E453" t="s">
        <v>347</v>
      </c>
      <c r="F453">
        <v>12284</v>
      </c>
      <c r="G4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3">
        <v>3.9824999999999999</v>
      </c>
      <c r="J453" t="str">
        <f>IF(ISBLANK(Table13[[#This Row],[Rating]]), "No", "Yes")</f>
        <v>Yes</v>
      </c>
      <c r="K453" t="str">
        <f>IF(ISBLANK(Table13[[#This Row],[Rating]]), "Not Rated", IF(Table13[[#This Row],[Rating]] &lt; 3, "Low", IF(Table13[[#This Row],[Rating]] &lt; 4, "Medium", "High")))</f>
        <v>Medium</v>
      </c>
      <c r="L453">
        <v>171</v>
      </c>
      <c r="M453">
        <v>99</v>
      </c>
      <c r="N453" t="str">
        <f>IF(Table13[[#This Row],[Price USD]]&lt;20,"Budget",IF(Table13[[#This Row],[Price USD]]&lt;=50,"Mid-range","Premium"))</f>
        <v>Premium</v>
      </c>
      <c r="O453">
        <v>0</v>
      </c>
      <c r="P453">
        <v>0</v>
      </c>
    </row>
    <row r="454" spans="1:16" x14ac:dyDescent="0.25">
      <c r="A454" t="s">
        <v>1406</v>
      </c>
      <c r="B454" t="s">
        <v>1407</v>
      </c>
      <c r="C454">
        <v>6225</v>
      </c>
      <c r="D454" t="s">
        <v>640</v>
      </c>
      <c r="E454" t="s">
        <v>106</v>
      </c>
      <c r="F454">
        <v>23906</v>
      </c>
      <c r="G4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4">
        <v>4.1111000000000004</v>
      </c>
      <c r="J454" t="str">
        <f>IF(ISBLANK(Table13[[#This Row],[Rating]]), "No", "Yes")</f>
        <v>Yes</v>
      </c>
      <c r="K454" t="str">
        <f>IF(ISBLANK(Table13[[#This Row],[Rating]]), "Not Rated", IF(Table13[[#This Row],[Rating]] &lt; 3, "Low", IF(Table13[[#This Row],[Rating]] &lt; 4, "Medium", "High")))</f>
        <v>High</v>
      </c>
      <c r="L454">
        <v>171</v>
      </c>
      <c r="M454">
        <v>34</v>
      </c>
      <c r="N454" t="str">
        <f>IF(Table13[[#This Row],[Price USD]]&lt;20,"Budget",IF(Table13[[#This Row],[Price USD]]&lt;=50,"Mid-range","Premium"))</f>
        <v>Mid-range</v>
      </c>
      <c r="O454">
        <v>0</v>
      </c>
      <c r="P454">
        <v>0</v>
      </c>
    </row>
    <row r="455" spans="1:16" x14ac:dyDescent="0.25">
      <c r="A455" t="s">
        <v>1139</v>
      </c>
      <c r="B455" t="s">
        <v>1140</v>
      </c>
      <c r="C455">
        <v>6117</v>
      </c>
      <c r="D455" t="s">
        <v>229</v>
      </c>
      <c r="E455" t="s">
        <v>8</v>
      </c>
      <c r="F455">
        <v>31466</v>
      </c>
      <c r="G4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5">
        <v>3.9531999999999998</v>
      </c>
      <c r="J455" t="str">
        <f>IF(ISBLANK(Table13[[#This Row],[Rating]]), "No", "Yes")</f>
        <v>Yes</v>
      </c>
      <c r="K455" t="str">
        <f>IF(ISBLANK(Table13[[#This Row],[Rating]]), "Not Rated", IF(Table13[[#This Row],[Rating]] &lt; 3, "Low", IF(Table13[[#This Row],[Rating]] &lt; 4, "Medium", "High")))</f>
        <v>Medium</v>
      </c>
      <c r="L455">
        <v>171</v>
      </c>
      <c r="M455">
        <v>54</v>
      </c>
      <c r="N455" t="str">
        <f>IF(Table13[[#This Row],[Price USD]]&lt;20,"Budget",IF(Table13[[#This Row],[Price USD]]&lt;=50,"Mid-range","Premium"))</f>
        <v>Premium</v>
      </c>
      <c r="O455">
        <v>0</v>
      </c>
      <c r="P455">
        <v>0</v>
      </c>
    </row>
    <row r="456" spans="1:16" x14ac:dyDescent="0.25">
      <c r="A456" t="s">
        <v>786</v>
      </c>
      <c r="B456" t="s">
        <v>787</v>
      </c>
      <c r="C456">
        <v>6130</v>
      </c>
      <c r="D456" t="s">
        <v>200</v>
      </c>
      <c r="E456" t="s">
        <v>201</v>
      </c>
      <c r="F456">
        <v>45835</v>
      </c>
      <c r="G4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6">
        <v>3.7778</v>
      </c>
      <c r="J456" t="str">
        <f>IF(ISBLANK(Table13[[#This Row],[Rating]]), "No", "Yes")</f>
        <v>Yes</v>
      </c>
      <c r="K456" t="str">
        <f>IF(ISBLANK(Table13[[#This Row],[Rating]]), "Not Rated", IF(Table13[[#This Row],[Rating]] &lt; 3, "Low", IF(Table13[[#This Row],[Rating]] &lt; 4, "Medium", "High")))</f>
        <v>Medium</v>
      </c>
      <c r="L456">
        <v>171</v>
      </c>
      <c r="M456">
        <v>50</v>
      </c>
      <c r="N456" t="str">
        <f>IF(Table13[[#This Row],[Price USD]]&lt;20,"Budget",IF(Table13[[#This Row],[Price USD]]&lt;=50,"Mid-range","Premium"))</f>
        <v>Mid-range</v>
      </c>
      <c r="O456">
        <v>0</v>
      </c>
      <c r="P456">
        <v>0</v>
      </c>
    </row>
    <row r="457" spans="1:16" x14ac:dyDescent="0.25">
      <c r="A457" t="s">
        <v>2101</v>
      </c>
      <c r="B457" t="s">
        <v>2102</v>
      </c>
      <c r="C457">
        <v>4171</v>
      </c>
      <c r="D457" t="s">
        <v>133</v>
      </c>
      <c r="E457" t="s">
        <v>21</v>
      </c>
      <c r="F457">
        <v>13614</v>
      </c>
      <c r="G4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7">
        <v>4.407</v>
      </c>
      <c r="J457" t="str">
        <f>IF(ISBLANK(Table13[[#This Row],[Rating]]), "No", "Yes")</f>
        <v>Yes</v>
      </c>
      <c r="K457" t="str">
        <f>IF(ISBLANK(Table13[[#This Row],[Rating]]), "Not Rated", IF(Table13[[#This Row],[Rating]] &lt; 3, "Low", IF(Table13[[#This Row],[Rating]] &lt; 4, "Medium", "High")))</f>
        <v>High</v>
      </c>
      <c r="L457">
        <v>172</v>
      </c>
      <c r="M457">
        <v>72</v>
      </c>
      <c r="N457" t="str">
        <f>IF(Table13[[#This Row],[Price USD]]&lt;20,"Budget",IF(Table13[[#This Row],[Price USD]]&lt;=50,"Mid-range","Premium"))</f>
        <v>Premium</v>
      </c>
      <c r="O457">
        <v>0</v>
      </c>
      <c r="P457">
        <v>0</v>
      </c>
    </row>
    <row r="458" spans="1:16" x14ac:dyDescent="0.25">
      <c r="A458" t="s">
        <v>1802</v>
      </c>
      <c r="B458" t="s">
        <v>1803</v>
      </c>
      <c r="C458">
        <v>3728</v>
      </c>
      <c r="D458" t="s">
        <v>458</v>
      </c>
      <c r="E458" t="s">
        <v>49</v>
      </c>
      <c r="F458">
        <v>17046</v>
      </c>
      <c r="G4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8">
        <v>4.2035</v>
      </c>
      <c r="J458" t="str">
        <f>IF(ISBLANK(Table13[[#This Row],[Rating]]), "No", "Yes")</f>
        <v>Yes</v>
      </c>
      <c r="K458" t="str">
        <f>IF(ISBLANK(Table13[[#This Row],[Rating]]), "Not Rated", IF(Table13[[#This Row],[Rating]] &lt; 3, "Low", IF(Table13[[#This Row],[Rating]] &lt; 4, "Medium", "High")))</f>
        <v>High</v>
      </c>
      <c r="L458">
        <v>172</v>
      </c>
      <c r="M458">
        <v>38</v>
      </c>
      <c r="N458" t="str">
        <f>IF(Table13[[#This Row],[Price USD]]&lt;20,"Budget",IF(Table13[[#This Row],[Price USD]]&lt;=50,"Mid-range","Premium"))</f>
        <v>Mid-range</v>
      </c>
      <c r="O458">
        <v>0</v>
      </c>
      <c r="P458">
        <v>0</v>
      </c>
    </row>
    <row r="459" spans="1:16" x14ac:dyDescent="0.25">
      <c r="A459" t="s">
        <v>2208</v>
      </c>
      <c r="B459" t="s">
        <v>2209</v>
      </c>
      <c r="C459">
        <v>4171</v>
      </c>
      <c r="D459" t="s">
        <v>133</v>
      </c>
      <c r="E459" t="s">
        <v>21</v>
      </c>
      <c r="F459">
        <v>12606</v>
      </c>
      <c r="G4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59">
        <v>4.5664999999999996</v>
      </c>
      <c r="J459" t="str">
        <f>IF(ISBLANK(Table13[[#This Row],[Rating]]), "No", "Yes")</f>
        <v>Yes</v>
      </c>
      <c r="K459" t="str">
        <f>IF(ISBLANK(Table13[[#This Row],[Rating]]), "Not Rated", IF(Table13[[#This Row],[Rating]] &lt; 3, "Low", IF(Table13[[#This Row],[Rating]] &lt; 4, "Medium", "High")))</f>
        <v>High</v>
      </c>
      <c r="L459">
        <v>173</v>
      </c>
      <c r="M459">
        <v>129</v>
      </c>
      <c r="N459" t="str">
        <f>IF(Table13[[#This Row],[Price USD]]&lt;20,"Budget",IF(Table13[[#This Row],[Price USD]]&lt;=50,"Mid-range","Premium"))</f>
        <v>Premium</v>
      </c>
      <c r="O459">
        <v>1</v>
      </c>
      <c r="P459">
        <v>0</v>
      </c>
    </row>
    <row r="460" spans="1:16" x14ac:dyDescent="0.25">
      <c r="A460" t="s">
        <v>2045</v>
      </c>
      <c r="B460" t="s">
        <v>2046</v>
      </c>
      <c r="C460">
        <v>6117</v>
      </c>
      <c r="D460" t="s">
        <v>229</v>
      </c>
      <c r="E460" t="s">
        <v>149</v>
      </c>
      <c r="F460">
        <v>14229</v>
      </c>
      <c r="G4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0">
        <v>4.6207000000000003</v>
      </c>
      <c r="J460" t="str">
        <f>IF(ISBLANK(Table13[[#This Row],[Rating]]), "No", "Yes")</f>
        <v>Yes</v>
      </c>
      <c r="K460" t="str">
        <f>IF(ISBLANK(Table13[[#This Row],[Rating]]), "Not Rated", IF(Table13[[#This Row],[Rating]] &lt; 3, "Low", IF(Table13[[#This Row],[Rating]] &lt; 4, "Medium", "High")))</f>
        <v>High</v>
      </c>
      <c r="L460">
        <v>174</v>
      </c>
      <c r="M460">
        <v>48</v>
      </c>
      <c r="N460" t="str">
        <f>IF(Table13[[#This Row],[Price USD]]&lt;20,"Budget",IF(Table13[[#This Row],[Price USD]]&lt;=50,"Mid-range","Premium"))</f>
        <v>Mid-range</v>
      </c>
      <c r="O460">
        <v>1</v>
      </c>
      <c r="P460">
        <v>0</v>
      </c>
    </row>
    <row r="461" spans="1:16" x14ac:dyDescent="0.25">
      <c r="A461" t="s">
        <v>1824</v>
      </c>
      <c r="B461" t="s">
        <v>1825</v>
      </c>
      <c r="C461">
        <v>5946</v>
      </c>
      <c r="D461" t="s">
        <v>341</v>
      </c>
      <c r="E461" t="s">
        <v>13</v>
      </c>
      <c r="F461">
        <v>16803</v>
      </c>
      <c r="G4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1">
        <v>4.5575000000000001</v>
      </c>
      <c r="J461" t="str">
        <f>IF(ISBLANK(Table13[[#This Row],[Rating]]), "No", "Yes")</f>
        <v>Yes</v>
      </c>
      <c r="K461" t="str">
        <f>IF(ISBLANK(Table13[[#This Row],[Rating]]), "Not Rated", IF(Table13[[#This Row],[Rating]] &lt; 3, "Low", IF(Table13[[#This Row],[Rating]] &lt; 4, "Medium", "High")))</f>
        <v>High</v>
      </c>
      <c r="L461">
        <v>174</v>
      </c>
      <c r="M461">
        <v>44</v>
      </c>
      <c r="N461" t="str">
        <f>IF(Table13[[#This Row],[Price USD]]&lt;20,"Budget",IF(Table13[[#This Row],[Price USD]]&lt;=50,"Mid-range","Premium"))</f>
        <v>Mid-range</v>
      </c>
      <c r="O461">
        <v>0</v>
      </c>
      <c r="P461">
        <v>0</v>
      </c>
    </row>
    <row r="462" spans="1:16" x14ac:dyDescent="0.25">
      <c r="A462" t="s">
        <v>1594</v>
      </c>
      <c r="B462" t="s">
        <v>1595</v>
      </c>
      <c r="C462">
        <v>4171</v>
      </c>
      <c r="D462" t="s">
        <v>133</v>
      </c>
      <c r="E462" t="s">
        <v>149</v>
      </c>
      <c r="F462">
        <v>20074</v>
      </c>
      <c r="G4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2">
        <v>4.3333000000000004</v>
      </c>
      <c r="J462" t="str">
        <f>IF(ISBLANK(Table13[[#This Row],[Rating]]), "No", "Yes")</f>
        <v>Yes</v>
      </c>
      <c r="K462" t="str">
        <f>IF(ISBLANK(Table13[[#This Row],[Rating]]), "Not Rated", IF(Table13[[#This Row],[Rating]] &lt; 3, "Low", IF(Table13[[#This Row],[Rating]] &lt; 4, "Medium", "High")))</f>
        <v>High</v>
      </c>
      <c r="L462">
        <v>174</v>
      </c>
      <c r="M462">
        <v>62</v>
      </c>
      <c r="N462" t="str">
        <f>IF(Table13[[#This Row],[Price USD]]&lt;20,"Budget",IF(Table13[[#This Row],[Price USD]]&lt;=50,"Mid-range","Premium"))</f>
        <v>Premium</v>
      </c>
      <c r="O462">
        <v>0</v>
      </c>
      <c r="P462">
        <v>0</v>
      </c>
    </row>
    <row r="463" spans="1:16" x14ac:dyDescent="0.25">
      <c r="A463" t="s">
        <v>2340</v>
      </c>
      <c r="B463" t="s">
        <v>2341</v>
      </c>
      <c r="C463">
        <v>6001</v>
      </c>
      <c r="D463" t="s">
        <v>1836</v>
      </c>
      <c r="E463" t="s">
        <v>347</v>
      </c>
      <c r="F463">
        <v>11514</v>
      </c>
      <c r="G4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3">
        <v>4.5313999999999997</v>
      </c>
      <c r="J463" t="str">
        <f>IF(ISBLANK(Table13[[#This Row],[Rating]]), "No", "Yes")</f>
        <v>Yes</v>
      </c>
      <c r="K463" t="str">
        <f>IF(ISBLANK(Table13[[#This Row],[Rating]]), "Not Rated", IF(Table13[[#This Row],[Rating]] &lt; 3, "Low", IF(Table13[[#This Row],[Rating]] &lt; 4, "Medium", "High")))</f>
        <v>High</v>
      </c>
      <c r="L463">
        <v>175</v>
      </c>
      <c r="M463">
        <v>245</v>
      </c>
      <c r="N463" t="str">
        <f>IF(Table13[[#This Row],[Price USD]]&lt;20,"Budget",IF(Table13[[#This Row],[Price USD]]&lt;=50,"Mid-range","Premium"))</f>
        <v>Premium</v>
      </c>
      <c r="O463">
        <v>1</v>
      </c>
      <c r="P463">
        <v>0</v>
      </c>
    </row>
    <row r="464" spans="1:16" x14ac:dyDescent="0.25">
      <c r="A464" t="s">
        <v>1041</v>
      </c>
      <c r="B464" t="s">
        <v>1042</v>
      </c>
      <c r="C464">
        <v>6285</v>
      </c>
      <c r="D464" t="s">
        <v>119</v>
      </c>
      <c r="E464" t="s">
        <v>21</v>
      </c>
      <c r="F464">
        <v>34950</v>
      </c>
      <c r="G4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4">
        <v>4.1029</v>
      </c>
      <c r="J464" t="str">
        <f>IF(ISBLANK(Table13[[#This Row],[Rating]]), "No", "Yes")</f>
        <v>Yes</v>
      </c>
      <c r="K464" t="str">
        <f>IF(ISBLANK(Table13[[#This Row],[Rating]]), "Not Rated", IF(Table13[[#This Row],[Rating]] &lt; 3, "Low", IF(Table13[[#This Row],[Rating]] &lt; 4, "Medium", "High")))</f>
        <v>High</v>
      </c>
      <c r="L464">
        <v>175</v>
      </c>
      <c r="M464">
        <v>11.99</v>
      </c>
      <c r="N464" t="str">
        <f>IF(Table13[[#This Row],[Price USD]]&lt;20,"Budget",IF(Table13[[#This Row],[Price USD]]&lt;=50,"Mid-range","Premium"))</f>
        <v>Budget</v>
      </c>
      <c r="O464">
        <v>0</v>
      </c>
      <c r="P464">
        <v>0</v>
      </c>
    </row>
    <row r="465" spans="1:16" x14ac:dyDescent="0.25">
      <c r="A465" t="s">
        <v>1980</v>
      </c>
      <c r="B465" t="s">
        <v>1981</v>
      </c>
      <c r="C465">
        <v>4171</v>
      </c>
      <c r="D465" t="s">
        <v>133</v>
      </c>
      <c r="E465" t="s">
        <v>13</v>
      </c>
      <c r="F465">
        <v>14957</v>
      </c>
      <c r="G4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5">
        <v>4.3352000000000004</v>
      </c>
      <c r="J465" t="str">
        <f>IF(ISBLANK(Table13[[#This Row],[Rating]]), "No", "Yes")</f>
        <v>Yes</v>
      </c>
      <c r="K465" t="str">
        <f>IF(ISBLANK(Table13[[#This Row],[Rating]]), "Not Rated", IF(Table13[[#This Row],[Rating]] &lt; 3, "Low", IF(Table13[[#This Row],[Rating]] &lt; 4, "Medium", "High")))</f>
        <v>High</v>
      </c>
      <c r="L465">
        <v>176</v>
      </c>
      <c r="M465">
        <v>30</v>
      </c>
      <c r="N465" t="str">
        <f>IF(Table13[[#This Row],[Price USD]]&lt;20,"Budget",IF(Table13[[#This Row],[Price USD]]&lt;=50,"Mid-range","Premium"))</f>
        <v>Mid-range</v>
      </c>
      <c r="O465">
        <v>0</v>
      </c>
      <c r="P465">
        <v>0</v>
      </c>
    </row>
    <row r="466" spans="1:16" x14ac:dyDescent="0.25">
      <c r="A466" t="s">
        <v>2400</v>
      </c>
      <c r="B466" t="s">
        <v>2401</v>
      </c>
      <c r="C466">
        <v>5946</v>
      </c>
      <c r="D466" t="s">
        <v>341</v>
      </c>
      <c r="E466" t="s">
        <v>21</v>
      </c>
      <c r="F466">
        <v>11055</v>
      </c>
      <c r="G4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6">
        <v>4.2938000000000001</v>
      </c>
      <c r="J466" t="str">
        <f>IF(ISBLANK(Table13[[#This Row],[Rating]]), "No", "Yes")</f>
        <v>Yes</v>
      </c>
      <c r="K466" t="str">
        <f>IF(ISBLANK(Table13[[#This Row],[Rating]]), "Not Rated", IF(Table13[[#This Row],[Rating]] &lt; 3, "Low", IF(Table13[[#This Row],[Rating]] &lt; 4, "Medium", "High")))</f>
        <v>High</v>
      </c>
      <c r="L466">
        <v>177</v>
      </c>
      <c r="M466">
        <v>110</v>
      </c>
      <c r="N466" t="str">
        <f>IF(Table13[[#This Row],[Price USD]]&lt;20,"Budget",IF(Table13[[#This Row],[Price USD]]&lt;=50,"Mid-range","Premium"))</f>
        <v>Premium</v>
      </c>
      <c r="O466">
        <v>0</v>
      </c>
      <c r="P466">
        <v>0</v>
      </c>
    </row>
    <row r="467" spans="1:16" x14ac:dyDescent="0.25">
      <c r="A467" t="s">
        <v>2151</v>
      </c>
      <c r="B467" t="s">
        <v>2152</v>
      </c>
      <c r="C467">
        <v>6274</v>
      </c>
      <c r="D467" t="s">
        <v>2153</v>
      </c>
      <c r="E467" t="s">
        <v>8</v>
      </c>
      <c r="F467">
        <v>13007</v>
      </c>
      <c r="G4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7">
        <v>4.6158000000000001</v>
      </c>
      <c r="J467" t="str">
        <f>IF(ISBLANK(Table13[[#This Row],[Rating]]), "No", "Yes")</f>
        <v>Yes</v>
      </c>
      <c r="K467" t="str">
        <f>IF(ISBLANK(Table13[[#This Row],[Rating]]), "Not Rated", IF(Table13[[#This Row],[Rating]] &lt; 3, "Low", IF(Table13[[#This Row],[Rating]] &lt; 4, "Medium", "High")))</f>
        <v>High</v>
      </c>
      <c r="L467">
        <v>177</v>
      </c>
      <c r="M467">
        <v>77</v>
      </c>
      <c r="N467" t="str">
        <f>IF(Table13[[#This Row],[Price USD]]&lt;20,"Budget",IF(Table13[[#This Row],[Price USD]]&lt;=50,"Mid-range","Premium"))</f>
        <v>Premium</v>
      </c>
      <c r="O467">
        <v>0</v>
      </c>
      <c r="P467">
        <v>0</v>
      </c>
    </row>
    <row r="468" spans="1:16" x14ac:dyDescent="0.25">
      <c r="A468" t="s">
        <v>1236</v>
      </c>
      <c r="B468" t="s">
        <v>1237</v>
      </c>
      <c r="C468">
        <v>6209</v>
      </c>
      <c r="D468" t="s">
        <v>45</v>
      </c>
      <c r="E468" t="s">
        <v>149</v>
      </c>
      <c r="F468">
        <v>28152</v>
      </c>
      <c r="G4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8">
        <v>4.2599</v>
      </c>
      <c r="J468" t="str">
        <f>IF(ISBLANK(Table13[[#This Row],[Rating]]), "No", "Yes")</f>
        <v>Yes</v>
      </c>
      <c r="K468" t="str">
        <f>IF(ISBLANK(Table13[[#This Row],[Rating]]), "Not Rated", IF(Table13[[#This Row],[Rating]] &lt; 3, "Low", IF(Table13[[#This Row],[Rating]] &lt; 4, "Medium", "High")))</f>
        <v>High</v>
      </c>
      <c r="L468">
        <v>177</v>
      </c>
      <c r="M468">
        <v>25</v>
      </c>
      <c r="N468" t="str">
        <f>IF(Table13[[#This Row],[Price USD]]&lt;20,"Budget",IF(Table13[[#This Row],[Price USD]]&lt;=50,"Mid-range","Premium"))</f>
        <v>Mid-range</v>
      </c>
      <c r="O468">
        <v>0</v>
      </c>
      <c r="P468">
        <v>0</v>
      </c>
    </row>
    <row r="469" spans="1:16" x14ac:dyDescent="0.25">
      <c r="A469" t="s">
        <v>1096</v>
      </c>
      <c r="B469" t="s">
        <v>1097</v>
      </c>
      <c r="C469">
        <v>6256</v>
      </c>
      <c r="D469" t="s">
        <v>346</v>
      </c>
      <c r="E469" t="s">
        <v>201</v>
      </c>
      <c r="F469">
        <v>32471</v>
      </c>
      <c r="G4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69">
        <v>3.8771</v>
      </c>
      <c r="J469" t="str">
        <f>IF(ISBLANK(Table13[[#This Row],[Rating]]), "No", "Yes")</f>
        <v>Yes</v>
      </c>
      <c r="K469" t="str">
        <f>IF(ISBLANK(Table13[[#This Row],[Rating]]), "Not Rated", IF(Table13[[#This Row],[Rating]] &lt; 3, "Low", IF(Table13[[#This Row],[Rating]] &lt; 4, "Medium", "High")))</f>
        <v>Medium</v>
      </c>
      <c r="L469">
        <v>179</v>
      </c>
      <c r="M469">
        <v>36</v>
      </c>
      <c r="N469" t="str">
        <f>IF(Table13[[#This Row],[Price USD]]&lt;20,"Budget",IF(Table13[[#This Row],[Price USD]]&lt;=50,"Mid-range","Premium"))</f>
        <v>Mid-range</v>
      </c>
      <c r="O469">
        <v>0</v>
      </c>
      <c r="P469">
        <v>0</v>
      </c>
    </row>
    <row r="470" spans="1:16" x14ac:dyDescent="0.25">
      <c r="A470" t="s">
        <v>1990</v>
      </c>
      <c r="B470" t="s">
        <v>1991</v>
      </c>
      <c r="C470">
        <v>6337</v>
      </c>
      <c r="D470" t="s">
        <v>1992</v>
      </c>
      <c r="E470" t="s">
        <v>49</v>
      </c>
      <c r="F470">
        <v>14842</v>
      </c>
      <c r="G4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0">
        <v>4.0938999999999997</v>
      </c>
      <c r="J470" t="str">
        <f>IF(ISBLANK(Table13[[#This Row],[Rating]]), "No", "Yes")</f>
        <v>Yes</v>
      </c>
      <c r="K470" t="str">
        <f>IF(ISBLANK(Table13[[#This Row],[Rating]]), "Not Rated", IF(Table13[[#This Row],[Rating]] &lt; 3, "Low", IF(Table13[[#This Row],[Rating]] &lt; 4, "Medium", "High")))</f>
        <v>High</v>
      </c>
      <c r="L470">
        <v>181</v>
      </c>
      <c r="M470">
        <v>38</v>
      </c>
      <c r="N470" t="str">
        <f>IF(Table13[[#This Row],[Price USD]]&lt;20,"Budget",IF(Table13[[#This Row],[Price USD]]&lt;=50,"Mid-range","Premium"))</f>
        <v>Mid-range</v>
      </c>
      <c r="O470">
        <v>0</v>
      </c>
      <c r="P470">
        <v>0</v>
      </c>
    </row>
    <row r="471" spans="1:16" x14ac:dyDescent="0.25">
      <c r="A471" t="s">
        <v>1776</v>
      </c>
      <c r="B471" t="s">
        <v>1777</v>
      </c>
      <c r="C471">
        <v>6225</v>
      </c>
      <c r="D471" t="s">
        <v>640</v>
      </c>
      <c r="E471" t="s">
        <v>106</v>
      </c>
      <c r="F471">
        <v>17319</v>
      </c>
      <c r="G4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1">
        <v>4.3425000000000002</v>
      </c>
      <c r="J471" t="str">
        <f>IF(ISBLANK(Table13[[#This Row],[Rating]]), "No", "Yes")</f>
        <v>Yes</v>
      </c>
      <c r="K471" t="str">
        <f>IF(ISBLANK(Table13[[#This Row],[Rating]]), "Not Rated", IF(Table13[[#This Row],[Rating]] &lt; 3, "Low", IF(Table13[[#This Row],[Rating]] &lt; 4, "Medium", "High")))</f>
        <v>High</v>
      </c>
      <c r="L471">
        <v>181</v>
      </c>
      <c r="M471">
        <v>38</v>
      </c>
      <c r="N471" t="str">
        <f>IF(Table13[[#This Row],[Price USD]]&lt;20,"Budget",IF(Table13[[#This Row],[Price USD]]&lt;=50,"Mid-range","Premium"))</f>
        <v>Mid-range</v>
      </c>
      <c r="O471">
        <v>0</v>
      </c>
      <c r="P471">
        <v>0</v>
      </c>
    </row>
    <row r="472" spans="1:16" x14ac:dyDescent="0.25">
      <c r="A472" t="s">
        <v>748</v>
      </c>
      <c r="B472" t="s">
        <v>749</v>
      </c>
      <c r="C472">
        <v>6041</v>
      </c>
      <c r="D472" t="s">
        <v>33</v>
      </c>
      <c r="E472" t="s">
        <v>21</v>
      </c>
      <c r="F472">
        <v>47809</v>
      </c>
      <c r="G4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2">
        <v>4.4751000000000003</v>
      </c>
      <c r="J472" t="str">
        <f>IF(ISBLANK(Table13[[#This Row],[Rating]]), "No", "Yes")</f>
        <v>Yes</v>
      </c>
      <c r="K472" t="str">
        <f>IF(ISBLANK(Table13[[#This Row],[Rating]]), "Not Rated", IF(Table13[[#This Row],[Rating]] &lt; 3, "Low", IF(Table13[[#This Row],[Rating]] &lt; 4, "Medium", "High")))</f>
        <v>High</v>
      </c>
      <c r="L472">
        <v>181</v>
      </c>
      <c r="M472">
        <v>98</v>
      </c>
      <c r="N472" t="str">
        <f>IF(Table13[[#This Row],[Price USD]]&lt;20,"Budget",IF(Table13[[#This Row],[Price USD]]&lt;=50,"Mid-range","Premium"))</f>
        <v>Premium</v>
      </c>
      <c r="O472">
        <v>0</v>
      </c>
      <c r="P472">
        <v>0</v>
      </c>
    </row>
    <row r="473" spans="1:16" x14ac:dyDescent="0.25">
      <c r="A473" t="s">
        <v>1932</v>
      </c>
      <c r="B473" t="s">
        <v>1933</v>
      </c>
      <c r="C473">
        <v>6357</v>
      </c>
      <c r="D473" t="s">
        <v>876</v>
      </c>
      <c r="E473" t="s">
        <v>149</v>
      </c>
      <c r="F473">
        <v>15443</v>
      </c>
      <c r="G4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3">
        <v>4.4176000000000002</v>
      </c>
      <c r="J473" t="str">
        <f>IF(ISBLANK(Table13[[#This Row],[Rating]]), "No", "Yes")</f>
        <v>Yes</v>
      </c>
      <c r="K473" t="str">
        <f>IF(ISBLANK(Table13[[#This Row],[Rating]]), "Not Rated", IF(Table13[[#This Row],[Rating]] &lt; 3, "Low", IF(Table13[[#This Row],[Rating]] &lt; 4, "Medium", "High")))</f>
        <v>High</v>
      </c>
      <c r="L473">
        <v>182</v>
      </c>
      <c r="M473">
        <v>34</v>
      </c>
      <c r="N473" t="str">
        <f>IF(Table13[[#This Row],[Price USD]]&lt;20,"Budget",IF(Table13[[#This Row],[Price USD]]&lt;=50,"Mid-range","Premium"))</f>
        <v>Mid-range</v>
      </c>
      <c r="O473">
        <v>1</v>
      </c>
      <c r="P473">
        <v>1</v>
      </c>
    </row>
    <row r="474" spans="1:16" x14ac:dyDescent="0.25">
      <c r="A474" t="s">
        <v>1336</v>
      </c>
      <c r="B474" t="s">
        <v>1337</v>
      </c>
      <c r="C474">
        <v>4348</v>
      </c>
      <c r="D474" t="s">
        <v>61</v>
      </c>
      <c r="E474" t="s">
        <v>144</v>
      </c>
      <c r="F474">
        <v>25388</v>
      </c>
      <c r="G4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4">
        <v>3.8956</v>
      </c>
      <c r="J474" t="str">
        <f>IF(ISBLANK(Table13[[#This Row],[Rating]]), "No", "Yes")</f>
        <v>Yes</v>
      </c>
      <c r="K474" t="str">
        <f>IF(ISBLANK(Table13[[#This Row],[Rating]]), "Not Rated", IF(Table13[[#This Row],[Rating]] &lt; 3, "Low", IF(Table13[[#This Row],[Rating]] &lt; 4, "Medium", "High")))</f>
        <v>Medium</v>
      </c>
      <c r="L474">
        <v>182</v>
      </c>
      <c r="M474">
        <v>15</v>
      </c>
      <c r="N474" t="str">
        <f>IF(Table13[[#This Row],[Price USD]]&lt;20,"Budget",IF(Table13[[#This Row],[Price USD]]&lt;=50,"Mid-range","Premium"))</f>
        <v>Budget</v>
      </c>
      <c r="O474">
        <v>0</v>
      </c>
      <c r="P474">
        <v>0</v>
      </c>
    </row>
    <row r="475" spans="1:16" x14ac:dyDescent="0.25">
      <c r="A475" t="s">
        <v>1257</v>
      </c>
      <c r="B475" t="s">
        <v>1258</v>
      </c>
      <c r="C475">
        <v>6218</v>
      </c>
      <c r="D475" t="s">
        <v>116</v>
      </c>
      <c r="E475" t="s">
        <v>13</v>
      </c>
      <c r="F475">
        <v>27710</v>
      </c>
      <c r="G4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5">
        <v>4.2637</v>
      </c>
      <c r="J475" t="str">
        <f>IF(ISBLANK(Table13[[#This Row],[Rating]]), "No", "Yes")</f>
        <v>Yes</v>
      </c>
      <c r="K475" t="str">
        <f>IF(ISBLANK(Table13[[#This Row],[Rating]]), "Not Rated", IF(Table13[[#This Row],[Rating]] &lt; 3, "Low", IF(Table13[[#This Row],[Rating]] &lt; 4, "Medium", "High")))</f>
        <v>High</v>
      </c>
      <c r="L475">
        <v>182</v>
      </c>
      <c r="M475">
        <v>24</v>
      </c>
      <c r="N475" t="str">
        <f>IF(Table13[[#This Row],[Price USD]]&lt;20,"Budget",IF(Table13[[#This Row],[Price USD]]&lt;=50,"Mid-range","Premium"))</f>
        <v>Mid-range</v>
      </c>
      <c r="O475">
        <v>1</v>
      </c>
      <c r="P475">
        <v>0</v>
      </c>
    </row>
    <row r="476" spans="1:16" x14ac:dyDescent="0.25">
      <c r="A476" t="s">
        <v>1177</v>
      </c>
      <c r="B476" t="s">
        <v>1178</v>
      </c>
      <c r="C476">
        <v>1254</v>
      </c>
      <c r="D476" t="s">
        <v>136</v>
      </c>
      <c r="E476" t="s">
        <v>220</v>
      </c>
      <c r="F476">
        <v>29926</v>
      </c>
      <c r="G4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6">
        <v>4.2142999999999997</v>
      </c>
      <c r="J476" t="str">
        <f>IF(ISBLANK(Table13[[#This Row],[Rating]]), "No", "Yes")</f>
        <v>Yes</v>
      </c>
      <c r="K476" t="str">
        <f>IF(ISBLANK(Table13[[#This Row],[Rating]]), "Not Rated", IF(Table13[[#This Row],[Rating]] &lt; 3, "Low", IF(Table13[[#This Row],[Rating]] &lt; 4, "Medium", "High")))</f>
        <v>High</v>
      </c>
      <c r="L476">
        <v>182</v>
      </c>
      <c r="M476">
        <v>32.5</v>
      </c>
      <c r="N476" t="str">
        <f>IF(Table13[[#This Row],[Price USD]]&lt;20,"Budget",IF(Table13[[#This Row],[Price USD]]&lt;=50,"Mid-range","Premium"))</f>
        <v>Mid-range</v>
      </c>
      <c r="O476">
        <v>0</v>
      </c>
      <c r="P476">
        <v>0</v>
      </c>
    </row>
    <row r="477" spans="1:16" x14ac:dyDescent="0.25">
      <c r="A477" t="s">
        <v>1334</v>
      </c>
      <c r="B477" t="s">
        <v>1335</v>
      </c>
      <c r="C477">
        <v>3902</v>
      </c>
      <c r="D477" t="s">
        <v>72</v>
      </c>
      <c r="E477" t="s">
        <v>69</v>
      </c>
      <c r="F477">
        <v>25388</v>
      </c>
      <c r="G4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7">
        <v>3.0272999999999999</v>
      </c>
      <c r="J477" t="str">
        <f>IF(ISBLANK(Table13[[#This Row],[Rating]]), "No", "Yes")</f>
        <v>Yes</v>
      </c>
      <c r="K477" t="str">
        <f>IF(ISBLANK(Table13[[#This Row],[Rating]]), "Not Rated", IF(Table13[[#This Row],[Rating]] &lt; 3, "Low", IF(Table13[[#This Row],[Rating]] &lt; 4, "Medium", "High")))</f>
        <v>Medium</v>
      </c>
      <c r="L477">
        <v>183</v>
      </c>
      <c r="M477">
        <v>3</v>
      </c>
      <c r="N477" t="str">
        <f>IF(Table13[[#This Row],[Price USD]]&lt;20,"Budget",IF(Table13[[#This Row],[Price USD]]&lt;=50,"Mid-range","Premium"))</f>
        <v>Budget</v>
      </c>
      <c r="O477">
        <v>0</v>
      </c>
      <c r="P477">
        <v>0</v>
      </c>
    </row>
    <row r="478" spans="1:16" x14ac:dyDescent="0.25">
      <c r="A478" t="s">
        <v>1743</v>
      </c>
      <c r="B478" t="s">
        <v>1744</v>
      </c>
      <c r="C478">
        <v>6352</v>
      </c>
      <c r="D478" t="s">
        <v>251</v>
      </c>
      <c r="E478" t="s">
        <v>8</v>
      </c>
      <c r="F478">
        <v>17786</v>
      </c>
      <c r="G4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8">
        <v>4.4348000000000001</v>
      </c>
      <c r="J478" t="str">
        <f>IF(ISBLANK(Table13[[#This Row],[Rating]]), "No", "Yes")</f>
        <v>Yes</v>
      </c>
      <c r="K478" t="str">
        <f>IF(ISBLANK(Table13[[#This Row],[Rating]]), "Not Rated", IF(Table13[[#This Row],[Rating]] &lt; 3, "Low", IF(Table13[[#This Row],[Rating]] &lt; 4, "Medium", "High")))</f>
        <v>High</v>
      </c>
      <c r="L478">
        <v>184</v>
      </c>
      <c r="M478">
        <v>42</v>
      </c>
      <c r="N478" t="str">
        <f>IF(Table13[[#This Row],[Price USD]]&lt;20,"Budget",IF(Table13[[#This Row],[Price USD]]&lt;=50,"Mid-range","Premium"))</f>
        <v>Mid-range</v>
      </c>
      <c r="O478">
        <v>0</v>
      </c>
      <c r="P478">
        <v>0</v>
      </c>
    </row>
    <row r="479" spans="1:16" x14ac:dyDescent="0.25">
      <c r="A479" t="s">
        <v>2258</v>
      </c>
      <c r="B479" t="s">
        <v>2259</v>
      </c>
      <c r="C479">
        <v>5668</v>
      </c>
      <c r="D479" t="s">
        <v>93</v>
      </c>
      <c r="E479" t="s">
        <v>149</v>
      </c>
      <c r="F479">
        <v>12157</v>
      </c>
      <c r="G4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79">
        <v>4.7458999999999998</v>
      </c>
      <c r="J479" t="str">
        <f>IF(ISBLANK(Table13[[#This Row],[Rating]]), "No", "Yes")</f>
        <v>Yes</v>
      </c>
      <c r="K479" t="str">
        <f>IF(ISBLANK(Table13[[#This Row],[Rating]]), "Not Rated", IF(Table13[[#This Row],[Rating]] &lt; 3, "Low", IF(Table13[[#This Row],[Rating]] &lt; 4, "Medium", "High")))</f>
        <v>High</v>
      </c>
      <c r="L479">
        <v>185</v>
      </c>
      <c r="M479">
        <v>68</v>
      </c>
      <c r="N479" t="str">
        <f>IF(Table13[[#This Row],[Price USD]]&lt;20,"Budget",IF(Table13[[#This Row],[Price USD]]&lt;=50,"Mid-range","Premium"))</f>
        <v>Premium</v>
      </c>
      <c r="O479">
        <v>0</v>
      </c>
      <c r="P479">
        <v>0</v>
      </c>
    </row>
    <row r="480" spans="1:16" x14ac:dyDescent="0.25">
      <c r="A480" t="s">
        <v>1247</v>
      </c>
      <c r="B480" t="s">
        <v>1248</v>
      </c>
      <c r="C480">
        <v>5972</v>
      </c>
      <c r="D480" t="s">
        <v>54</v>
      </c>
      <c r="E480" t="s">
        <v>8</v>
      </c>
      <c r="F480">
        <v>27888</v>
      </c>
      <c r="G4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0">
        <v>3.6558999999999999</v>
      </c>
      <c r="J480" t="str">
        <f>IF(ISBLANK(Table13[[#This Row],[Rating]]), "No", "Yes")</f>
        <v>Yes</v>
      </c>
      <c r="K480" t="str">
        <f>IF(ISBLANK(Table13[[#This Row],[Rating]]), "Not Rated", IF(Table13[[#This Row],[Rating]] &lt; 3, "Low", IF(Table13[[#This Row],[Rating]] &lt; 4, "Medium", "High")))</f>
        <v>Medium</v>
      </c>
      <c r="L480">
        <v>186</v>
      </c>
      <c r="M480">
        <v>42</v>
      </c>
      <c r="N480" t="str">
        <f>IF(Table13[[#This Row],[Price USD]]&lt;20,"Budget",IF(Table13[[#This Row],[Price USD]]&lt;=50,"Mid-range","Premium"))</f>
        <v>Mid-range</v>
      </c>
      <c r="O480">
        <v>0</v>
      </c>
      <c r="P480">
        <v>0</v>
      </c>
    </row>
    <row r="481" spans="1:16" x14ac:dyDescent="0.25">
      <c r="A481" t="s">
        <v>1697</v>
      </c>
      <c r="B481" t="s">
        <v>1698</v>
      </c>
      <c r="C481">
        <v>7050</v>
      </c>
      <c r="D481" t="s">
        <v>721</v>
      </c>
      <c r="E481" t="s">
        <v>201</v>
      </c>
      <c r="F481">
        <v>18297</v>
      </c>
      <c r="G4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1">
        <v>4.1070000000000002</v>
      </c>
      <c r="J481" t="str">
        <f>IF(ISBLANK(Table13[[#This Row],[Rating]]), "No", "Yes")</f>
        <v>Yes</v>
      </c>
      <c r="K481" t="str">
        <f>IF(ISBLANK(Table13[[#This Row],[Rating]]), "Not Rated", IF(Table13[[#This Row],[Rating]] &lt; 3, "Low", IF(Table13[[#This Row],[Rating]] &lt; 4, "Medium", "High")))</f>
        <v>High</v>
      </c>
      <c r="L481">
        <v>187</v>
      </c>
      <c r="M481">
        <v>26</v>
      </c>
      <c r="N481" t="str">
        <f>IF(Table13[[#This Row],[Price USD]]&lt;20,"Budget",IF(Table13[[#This Row],[Price USD]]&lt;=50,"Mid-range","Premium"))</f>
        <v>Mid-range</v>
      </c>
      <c r="O481">
        <v>0</v>
      </c>
      <c r="P481">
        <v>0</v>
      </c>
    </row>
    <row r="482" spans="1:16" x14ac:dyDescent="0.25">
      <c r="A482" t="s">
        <v>1344</v>
      </c>
      <c r="B482" t="s">
        <v>1345</v>
      </c>
      <c r="C482">
        <v>6175</v>
      </c>
      <c r="D482" t="s">
        <v>338</v>
      </c>
      <c r="E482" t="s">
        <v>13</v>
      </c>
      <c r="F482">
        <v>25082</v>
      </c>
      <c r="G4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2">
        <v>4.0480999999999998</v>
      </c>
      <c r="J482" t="str">
        <f>IF(ISBLANK(Table13[[#This Row],[Rating]]), "No", "Yes")</f>
        <v>Yes</v>
      </c>
      <c r="K482" t="str">
        <f>IF(ISBLANK(Table13[[#This Row],[Rating]]), "Not Rated", IF(Table13[[#This Row],[Rating]] &lt; 3, "Low", IF(Table13[[#This Row],[Rating]] &lt; 4, "Medium", "High")))</f>
        <v>High</v>
      </c>
      <c r="L482">
        <v>187</v>
      </c>
      <c r="M482">
        <v>34</v>
      </c>
      <c r="N482" t="str">
        <f>IF(Table13[[#This Row],[Price USD]]&lt;20,"Budget",IF(Table13[[#This Row],[Price USD]]&lt;=50,"Mid-range","Premium"))</f>
        <v>Mid-range</v>
      </c>
      <c r="O482">
        <v>0</v>
      </c>
      <c r="P482">
        <v>0</v>
      </c>
    </row>
    <row r="483" spans="1:16" x14ac:dyDescent="0.25">
      <c r="A483" t="s">
        <v>1466</v>
      </c>
      <c r="B483" t="s">
        <v>1467</v>
      </c>
      <c r="C483">
        <v>6218</v>
      </c>
      <c r="D483" t="s">
        <v>116</v>
      </c>
      <c r="E483" t="s">
        <v>13</v>
      </c>
      <c r="F483">
        <v>22813</v>
      </c>
      <c r="G4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3">
        <v>4.2872000000000003</v>
      </c>
      <c r="J483" t="str">
        <f>IF(ISBLANK(Table13[[#This Row],[Rating]]), "No", "Yes")</f>
        <v>Yes</v>
      </c>
      <c r="K483" t="str">
        <f>IF(ISBLANK(Table13[[#This Row],[Rating]]), "Not Rated", IF(Table13[[#This Row],[Rating]] &lt; 3, "Low", IF(Table13[[#This Row],[Rating]] &lt; 4, "Medium", "High")))</f>
        <v>High</v>
      </c>
      <c r="L483">
        <v>188</v>
      </c>
      <c r="M483">
        <v>28</v>
      </c>
      <c r="N483" t="str">
        <f>IF(Table13[[#This Row],[Price USD]]&lt;20,"Budget",IF(Table13[[#This Row],[Price USD]]&lt;=50,"Mid-range","Premium"))</f>
        <v>Mid-range</v>
      </c>
      <c r="O483">
        <v>0</v>
      </c>
      <c r="P483">
        <v>0</v>
      </c>
    </row>
    <row r="484" spans="1:16" x14ac:dyDescent="0.25">
      <c r="A484" t="s">
        <v>1204</v>
      </c>
      <c r="B484" t="s">
        <v>1205</v>
      </c>
      <c r="C484">
        <v>4171</v>
      </c>
      <c r="D484" t="s">
        <v>133</v>
      </c>
      <c r="E484" t="s">
        <v>8</v>
      </c>
      <c r="F484">
        <v>29046</v>
      </c>
      <c r="G4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4">
        <v>4.6614000000000004</v>
      </c>
      <c r="J484" t="str">
        <f>IF(ISBLANK(Table13[[#This Row],[Rating]]), "No", "Yes")</f>
        <v>Yes</v>
      </c>
      <c r="K484" t="str">
        <f>IF(ISBLANK(Table13[[#This Row],[Rating]]), "Not Rated", IF(Table13[[#This Row],[Rating]] &lt; 3, "Low", IF(Table13[[#This Row],[Rating]] &lt; 4, "Medium", "High")))</f>
        <v>High</v>
      </c>
      <c r="L484">
        <v>189</v>
      </c>
      <c r="M484">
        <v>52</v>
      </c>
      <c r="N484" t="str">
        <f>IF(Table13[[#This Row],[Price USD]]&lt;20,"Budget",IF(Table13[[#This Row],[Price USD]]&lt;=50,"Mid-range","Premium"))</f>
        <v>Premium</v>
      </c>
      <c r="O484">
        <v>0</v>
      </c>
      <c r="P484">
        <v>0</v>
      </c>
    </row>
    <row r="485" spans="1:16" x14ac:dyDescent="0.25">
      <c r="A485" t="s">
        <v>994</v>
      </c>
      <c r="B485" t="s">
        <v>995</v>
      </c>
      <c r="C485">
        <v>6136</v>
      </c>
      <c r="D485" t="s">
        <v>708</v>
      </c>
      <c r="E485" t="s">
        <v>347</v>
      </c>
      <c r="F485">
        <v>37545</v>
      </c>
      <c r="G4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5">
        <v>3.9735</v>
      </c>
      <c r="J485" t="str">
        <f>IF(ISBLANK(Table13[[#This Row],[Rating]]), "No", "Yes")</f>
        <v>Yes</v>
      </c>
      <c r="K485" t="str">
        <f>IF(ISBLANK(Table13[[#This Row],[Rating]]), "Not Rated", IF(Table13[[#This Row],[Rating]] &lt; 3, "Low", IF(Table13[[#This Row],[Rating]] &lt; 4, "Medium", "High")))</f>
        <v>Medium</v>
      </c>
      <c r="L485">
        <v>189</v>
      </c>
      <c r="M485">
        <v>199</v>
      </c>
      <c r="N485" t="str">
        <f>IF(Table13[[#This Row],[Price USD]]&lt;20,"Budget",IF(Table13[[#This Row],[Price USD]]&lt;=50,"Mid-range","Premium"))</f>
        <v>Premium</v>
      </c>
      <c r="O485">
        <v>0</v>
      </c>
      <c r="P485">
        <v>0</v>
      </c>
    </row>
    <row r="486" spans="1:16" x14ac:dyDescent="0.25">
      <c r="A486" t="s">
        <v>900</v>
      </c>
      <c r="B486" t="s">
        <v>901</v>
      </c>
      <c r="C486">
        <v>6218</v>
      </c>
      <c r="D486" t="s">
        <v>116</v>
      </c>
      <c r="E486" t="s">
        <v>4</v>
      </c>
      <c r="F486">
        <v>40755</v>
      </c>
      <c r="G4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6">
        <v>4.0419</v>
      </c>
      <c r="J486" t="str">
        <f>IF(ISBLANK(Table13[[#This Row],[Rating]]), "No", "Yes")</f>
        <v>Yes</v>
      </c>
      <c r="K486" t="str">
        <f>IF(ISBLANK(Table13[[#This Row],[Rating]]), "Not Rated", IF(Table13[[#This Row],[Rating]] &lt; 3, "Low", IF(Table13[[#This Row],[Rating]] &lt; 4, "Medium", "High")))</f>
        <v>High</v>
      </c>
      <c r="L486">
        <v>191</v>
      </c>
      <c r="M486">
        <v>28</v>
      </c>
      <c r="N486" t="str">
        <f>IF(Table13[[#This Row],[Price USD]]&lt;20,"Budget",IF(Table13[[#This Row],[Price USD]]&lt;=50,"Mid-range","Premium"))</f>
        <v>Mid-range</v>
      </c>
      <c r="O486">
        <v>0</v>
      </c>
      <c r="P486">
        <v>0</v>
      </c>
    </row>
    <row r="487" spans="1:16" x14ac:dyDescent="0.25">
      <c r="A487" t="s">
        <v>1600</v>
      </c>
      <c r="B487" t="s">
        <v>1601</v>
      </c>
      <c r="C487">
        <v>4171</v>
      </c>
      <c r="D487" t="s">
        <v>133</v>
      </c>
      <c r="E487" t="s">
        <v>69</v>
      </c>
      <c r="F487">
        <v>19999</v>
      </c>
      <c r="G4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7">
        <v>4.5365000000000002</v>
      </c>
      <c r="J487" t="str">
        <f>IF(ISBLANK(Table13[[#This Row],[Rating]]), "No", "Yes")</f>
        <v>Yes</v>
      </c>
      <c r="K487" t="str">
        <f>IF(ISBLANK(Table13[[#This Row],[Rating]]), "Not Rated", IF(Table13[[#This Row],[Rating]] &lt; 3, "Low", IF(Table13[[#This Row],[Rating]] &lt; 4, "Medium", "High")))</f>
        <v>High</v>
      </c>
      <c r="L487">
        <v>192</v>
      </c>
      <c r="M487">
        <v>42</v>
      </c>
      <c r="N487" t="str">
        <f>IF(Table13[[#This Row],[Price USD]]&lt;20,"Budget",IF(Table13[[#This Row],[Price USD]]&lt;=50,"Mid-range","Premium"))</f>
        <v>Mid-range</v>
      </c>
      <c r="O487">
        <v>0</v>
      </c>
      <c r="P487">
        <v>0</v>
      </c>
    </row>
    <row r="488" spans="1:16" x14ac:dyDescent="0.25">
      <c r="A488" t="s">
        <v>1238</v>
      </c>
      <c r="B488" t="s">
        <v>1239</v>
      </c>
      <c r="C488">
        <v>6201</v>
      </c>
      <c r="D488" t="s">
        <v>367</v>
      </c>
      <c r="E488" t="s">
        <v>4</v>
      </c>
      <c r="F488">
        <v>28090</v>
      </c>
      <c r="G4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8">
        <v>3.9323000000000001</v>
      </c>
      <c r="J488" t="str">
        <f>IF(ISBLANK(Table13[[#This Row],[Rating]]), "No", "Yes")</f>
        <v>Yes</v>
      </c>
      <c r="K488" t="str">
        <f>IF(ISBLANK(Table13[[#This Row],[Rating]]), "Not Rated", IF(Table13[[#This Row],[Rating]] &lt; 3, "Low", IF(Table13[[#This Row],[Rating]] &lt; 4, "Medium", "High")))</f>
        <v>Medium</v>
      </c>
      <c r="L488">
        <v>192</v>
      </c>
      <c r="M488">
        <v>75</v>
      </c>
      <c r="N488" t="str">
        <f>IF(Table13[[#This Row],[Price USD]]&lt;20,"Budget",IF(Table13[[#This Row],[Price USD]]&lt;=50,"Mid-range","Premium"))</f>
        <v>Premium</v>
      </c>
      <c r="O488">
        <v>0</v>
      </c>
      <c r="P488">
        <v>0</v>
      </c>
    </row>
    <row r="489" spans="1:16" x14ac:dyDescent="0.25">
      <c r="A489" t="s">
        <v>1683</v>
      </c>
      <c r="B489" t="s">
        <v>1684</v>
      </c>
      <c r="C489">
        <v>6357</v>
      </c>
      <c r="D489" t="s">
        <v>876</v>
      </c>
      <c r="E489" t="s">
        <v>21</v>
      </c>
      <c r="F489">
        <v>18465</v>
      </c>
      <c r="G4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89">
        <v>4.6237000000000004</v>
      </c>
      <c r="J489" t="str">
        <f>IF(ISBLANK(Table13[[#This Row],[Rating]]), "No", "Yes")</f>
        <v>Yes</v>
      </c>
      <c r="K489" t="str">
        <f>IF(ISBLANK(Table13[[#This Row],[Rating]]), "Not Rated", IF(Table13[[#This Row],[Rating]] &lt; 3, "Low", IF(Table13[[#This Row],[Rating]] &lt; 4, "Medium", "High")))</f>
        <v>High</v>
      </c>
      <c r="L489">
        <v>194</v>
      </c>
      <c r="M489">
        <v>25</v>
      </c>
      <c r="N489" t="str">
        <f>IF(Table13[[#This Row],[Price USD]]&lt;20,"Budget",IF(Table13[[#This Row],[Price USD]]&lt;=50,"Mid-range","Premium"))</f>
        <v>Mid-range</v>
      </c>
      <c r="O489">
        <v>0</v>
      </c>
      <c r="P489">
        <v>0</v>
      </c>
    </row>
    <row r="490" spans="1:16" x14ac:dyDescent="0.25">
      <c r="A490" t="s">
        <v>1470</v>
      </c>
      <c r="B490" t="s">
        <v>1471</v>
      </c>
      <c r="C490">
        <v>6279</v>
      </c>
      <c r="D490" t="s">
        <v>1472</v>
      </c>
      <c r="E490" t="s">
        <v>4</v>
      </c>
      <c r="F490">
        <v>22688</v>
      </c>
      <c r="G4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0">
        <v>4.2938000000000001</v>
      </c>
      <c r="J490" t="str">
        <f>IF(ISBLANK(Table13[[#This Row],[Rating]]), "No", "Yes")</f>
        <v>Yes</v>
      </c>
      <c r="K490" t="str">
        <f>IF(ISBLANK(Table13[[#This Row],[Rating]]), "Not Rated", IF(Table13[[#This Row],[Rating]] &lt; 3, "Low", IF(Table13[[#This Row],[Rating]] &lt; 4, "Medium", "High")))</f>
        <v>High</v>
      </c>
      <c r="L490">
        <v>194</v>
      </c>
      <c r="M490">
        <v>25</v>
      </c>
      <c r="N490" t="str">
        <f>IF(Table13[[#This Row],[Price USD]]&lt;20,"Budget",IF(Table13[[#This Row],[Price USD]]&lt;=50,"Mid-range","Premium"))</f>
        <v>Mid-range</v>
      </c>
      <c r="O490">
        <v>0</v>
      </c>
      <c r="P490">
        <v>0</v>
      </c>
    </row>
    <row r="491" spans="1:16" x14ac:dyDescent="0.25">
      <c r="A491" t="s">
        <v>1458</v>
      </c>
      <c r="B491" t="s">
        <v>1459</v>
      </c>
      <c r="C491">
        <v>6225</v>
      </c>
      <c r="D491" t="s">
        <v>640</v>
      </c>
      <c r="E491" t="s">
        <v>106</v>
      </c>
      <c r="F491">
        <v>22970</v>
      </c>
      <c r="G4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1">
        <v>4.1959</v>
      </c>
      <c r="J491" t="str">
        <f>IF(ISBLANK(Table13[[#This Row],[Rating]]), "No", "Yes")</f>
        <v>Yes</v>
      </c>
      <c r="K491" t="str">
        <f>IF(ISBLANK(Table13[[#This Row],[Rating]]), "Not Rated", IF(Table13[[#This Row],[Rating]] &lt; 3, "Low", IF(Table13[[#This Row],[Rating]] &lt; 4, "Medium", "High")))</f>
        <v>High</v>
      </c>
      <c r="L491">
        <v>194</v>
      </c>
      <c r="M491">
        <v>60</v>
      </c>
      <c r="N491" t="str">
        <f>IF(Table13[[#This Row],[Price USD]]&lt;20,"Budget",IF(Table13[[#This Row],[Price USD]]&lt;=50,"Mid-range","Premium"))</f>
        <v>Premium</v>
      </c>
      <c r="O491">
        <v>0</v>
      </c>
      <c r="P491">
        <v>0</v>
      </c>
    </row>
    <row r="492" spans="1:16" x14ac:dyDescent="0.25">
      <c r="A492" t="s">
        <v>998</v>
      </c>
      <c r="B492" t="s">
        <v>999</v>
      </c>
      <c r="C492">
        <v>6218</v>
      </c>
      <c r="D492" t="s">
        <v>116</v>
      </c>
      <c r="E492" t="s">
        <v>13</v>
      </c>
      <c r="F492">
        <v>37317</v>
      </c>
      <c r="G4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2">
        <v>4.2215999999999996</v>
      </c>
      <c r="J492" t="str">
        <f>IF(ISBLANK(Table13[[#This Row],[Rating]]), "No", "Yes")</f>
        <v>Yes</v>
      </c>
      <c r="K492" t="str">
        <f>IF(ISBLANK(Table13[[#This Row],[Rating]]), "Not Rated", IF(Table13[[#This Row],[Rating]] &lt; 3, "Low", IF(Table13[[#This Row],[Rating]] &lt; 4, "Medium", "High")))</f>
        <v>High</v>
      </c>
      <c r="L492">
        <v>194</v>
      </c>
      <c r="M492">
        <v>47</v>
      </c>
      <c r="N492" t="str">
        <f>IF(Table13[[#This Row],[Price USD]]&lt;20,"Budget",IF(Table13[[#This Row],[Price USD]]&lt;=50,"Mid-range","Premium"))</f>
        <v>Mid-range</v>
      </c>
      <c r="O492">
        <v>0</v>
      </c>
      <c r="P492">
        <v>0</v>
      </c>
    </row>
    <row r="493" spans="1:16" x14ac:dyDescent="0.25">
      <c r="A493" t="s">
        <v>1986</v>
      </c>
      <c r="B493" t="s">
        <v>1987</v>
      </c>
      <c r="C493">
        <v>6201</v>
      </c>
      <c r="D493" t="s">
        <v>367</v>
      </c>
      <c r="E493" t="s">
        <v>21</v>
      </c>
      <c r="F493">
        <v>14920</v>
      </c>
      <c r="G4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3">
        <v>4.4256000000000002</v>
      </c>
      <c r="J493" t="str">
        <f>IF(ISBLANK(Table13[[#This Row],[Rating]]), "No", "Yes")</f>
        <v>Yes</v>
      </c>
      <c r="K493" t="str">
        <f>IF(ISBLANK(Table13[[#This Row],[Rating]]), "Not Rated", IF(Table13[[#This Row],[Rating]] &lt; 3, "Low", IF(Table13[[#This Row],[Rating]] &lt; 4, "Medium", "High")))</f>
        <v>High</v>
      </c>
      <c r="L493">
        <v>195</v>
      </c>
      <c r="M493">
        <v>270</v>
      </c>
      <c r="N493" t="str">
        <f>IF(Table13[[#This Row],[Price USD]]&lt;20,"Budget",IF(Table13[[#This Row],[Price USD]]&lt;=50,"Mid-range","Premium"))</f>
        <v>Premium</v>
      </c>
      <c r="O493">
        <v>0</v>
      </c>
      <c r="P493">
        <v>0</v>
      </c>
    </row>
    <row r="494" spans="1:16" x14ac:dyDescent="0.25">
      <c r="A494" t="s">
        <v>1446</v>
      </c>
      <c r="B494" t="s">
        <v>1447</v>
      </c>
      <c r="C494">
        <v>6285</v>
      </c>
      <c r="D494" t="s">
        <v>119</v>
      </c>
      <c r="E494" t="s">
        <v>8</v>
      </c>
      <c r="F494">
        <v>23101</v>
      </c>
      <c r="G4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4">
        <v>4.4615</v>
      </c>
      <c r="J494" t="str">
        <f>IF(ISBLANK(Table13[[#This Row],[Rating]]), "No", "Yes")</f>
        <v>Yes</v>
      </c>
      <c r="K494" t="str">
        <f>IF(ISBLANK(Table13[[#This Row],[Rating]]), "Not Rated", IF(Table13[[#This Row],[Rating]] &lt; 3, "Low", IF(Table13[[#This Row],[Rating]] &lt; 4, "Medium", "High")))</f>
        <v>High</v>
      </c>
      <c r="L494">
        <v>195</v>
      </c>
      <c r="M494">
        <v>11.99</v>
      </c>
      <c r="N494" t="str">
        <f>IF(Table13[[#This Row],[Price USD]]&lt;20,"Budget",IF(Table13[[#This Row],[Price USD]]&lt;=50,"Mid-range","Premium"))</f>
        <v>Budget</v>
      </c>
      <c r="O494">
        <v>0</v>
      </c>
      <c r="P494">
        <v>0</v>
      </c>
    </row>
    <row r="495" spans="1:16" x14ac:dyDescent="0.25">
      <c r="A495" t="s">
        <v>1832</v>
      </c>
      <c r="B495" t="s">
        <v>1833</v>
      </c>
      <c r="C495">
        <v>3728</v>
      </c>
      <c r="D495" t="s">
        <v>458</v>
      </c>
      <c r="E495" t="s">
        <v>69</v>
      </c>
      <c r="F495">
        <v>16676</v>
      </c>
      <c r="G4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5">
        <v>3.5</v>
      </c>
      <c r="J495" t="str">
        <f>IF(ISBLANK(Table13[[#This Row],[Rating]]), "No", "Yes")</f>
        <v>Yes</v>
      </c>
      <c r="K495" t="str">
        <f>IF(ISBLANK(Table13[[#This Row],[Rating]]), "Not Rated", IF(Table13[[#This Row],[Rating]] &lt; 3, "Low", IF(Table13[[#This Row],[Rating]] &lt; 4, "Medium", "High")))</f>
        <v>Medium</v>
      </c>
      <c r="L495">
        <v>196</v>
      </c>
      <c r="M495">
        <v>85</v>
      </c>
      <c r="N495" t="str">
        <f>IF(Table13[[#This Row],[Price USD]]&lt;20,"Budget",IF(Table13[[#This Row],[Price USD]]&lt;=50,"Mid-range","Premium"))</f>
        <v>Premium</v>
      </c>
      <c r="O495">
        <v>0</v>
      </c>
      <c r="P495">
        <v>0</v>
      </c>
    </row>
    <row r="496" spans="1:16" x14ac:dyDescent="0.25">
      <c r="A496" t="s">
        <v>1086</v>
      </c>
      <c r="B496" t="s">
        <v>1087</v>
      </c>
      <c r="C496">
        <v>1254</v>
      </c>
      <c r="D496" t="s">
        <v>136</v>
      </c>
      <c r="E496" t="s">
        <v>13</v>
      </c>
      <c r="F496">
        <v>33034</v>
      </c>
      <c r="G4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6">
        <v>3.0859000000000001</v>
      </c>
      <c r="J496" t="str">
        <f>IF(ISBLANK(Table13[[#This Row],[Rating]]), "No", "Yes")</f>
        <v>Yes</v>
      </c>
      <c r="K496" t="str">
        <f>IF(ISBLANK(Table13[[#This Row],[Rating]]), "Not Rated", IF(Table13[[#This Row],[Rating]] &lt; 3, "Low", IF(Table13[[#This Row],[Rating]] &lt; 4, "Medium", "High")))</f>
        <v>Medium</v>
      </c>
      <c r="L496">
        <v>198</v>
      </c>
      <c r="M496">
        <v>32</v>
      </c>
      <c r="N496" t="str">
        <f>IF(Table13[[#This Row],[Price USD]]&lt;20,"Budget",IF(Table13[[#This Row],[Price USD]]&lt;=50,"Mid-range","Premium"))</f>
        <v>Mid-range</v>
      </c>
      <c r="O496">
        <v>0</v>
      </c>
      <c r="P496">
        <v>0</v>
      </c>
    </row>
    <row r="497" spans="1:16" x14ac:dyDescent="0.25">
      <c r="A497" t="s">
        <v>2304</v>
      </c>
      <c r="B497" t="s">
        <v>2305</v>
      </c>
      <c r="C497">
        <v>6219</v>
      </c>
      <c r="D497" t="s">
        <v>277</v>
      </c>
      <c r="E497" t="s">
        <v>13</v>
      </c>
      <c r="F497">
        <v>11814</v>
      </c>
      <c r="G4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7">
        <v>4.4523000000000001</v>
      </c>
      <c r="J497" t="str">
        <f>IF(ISBLANK(Table13[[#This Row],[Rating]]), "No", "Yes")</f>
        <v>Yes</v>
      </c>
      <c r="K497" t="str">
        <f>IF(ISBLANK(Table13[[#This Row],[Rating]]), "Not Rated", IF(Table13[[#This Row],[Rating]] &lt; 3, "Low", IF(Table13[[#This Row],[Rating]] &lt; 4, "Medium", "High")))</f>
        <v>High</v>
      </c>
      <c r="L497">
        <v>199</v>
      </c>
      <c r="M497">
        <v>42</v>
      </c>
      <c r="N497" t="str">
        <f>IF(Table13[[#This Row],[Price USD]]&lt;20,"Budget",IF(Table13[[#This Row],[Price USD]]&lt;=50,"Mid-range","Premium"))</f>
        <v>Mid-range</v>
      </c>
      <c r="O497">
        <v>0</v>
      </c>
      <c r="P497">
        <v>0</v>
      </c>
    </row>
    <row r="498" spans="1:16" x14ac:dyDescent="0.25">
      <c r="A498" t="s">
        <v>1338</v>
      </c>
      <c r="B498" t="s">
        <v>1339</v>
      </c>
      <c r="C498">
        <v>6352</v>
      </c>
      <c r="D498" t="s">
        <v>251</v>
      </c>
      <c r="E498" t="s">
        <v>8</v>
      </c>
      <c r="F498">
        <v>25289</v>
      </c>
      <c r="G4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8">
        <v>4.5829000000000004</v>
      </c>
      <c r="J498" t="str">
        <f>IF(ISBLANK(Table13[[#This Row],[Rating]]), "No", "Yes")</f>
        <v>Yes</v>
      </c>
      <c r="K498" t="str">
        <f>IF(ISBLANK(Table13[[#This Row],[Rating]]), "Not Rated", IF(Table13[[#This Row],[Rating]] &lt; 3, "Low", IF(Table13[[#This Row],[Rating]] &lt; 4, "Medium", "High")))</f>
        <v>High</v>
      </c>
      <c r="L498">
        <v>199</v>
      </c>
      <c r="M498">
        <v>42</v>
      </c>
      <c r="N498" t="str">
        <f>IF(Table13[[#This Row],[Price USD]]&lt;20,"Budget",IF(Table13[[#This Row],[Price USD]]&lt;=50,"Mid-range","Premium"))</f>
        <v>Mid-range</v>
      </c>
      <c r="O498">
        <v>0</v>
      </c>
      <c r="P498">
        <v>0</v>
      </c>
    </row>
    <row r="499" spans="1:16" x14ac:dyDescent="0.25">
      <c r="A499" t="s">
        <v>1269</v>
      </c>
      <c r="B499" t="s">
        <v>1270</v>
      </c>
      <c r="C499">
        <v>6341</v>
      </c>
      <c r="D499" t="s">
        <v>66</v>
      </c>
      <c r="E499" t="s">
        <v>13</v>
      </c>
      <c r="F499">
        <v>27344</v>
      </c>
      <c r="G4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4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499">
        <v>4.7300000000000004</v>
      </c>
      <c r="J499" t="str">
        <f>IF(ISBLANK(Table13[[#This Row],[Rating]]), "No", "Yes")</f>
        <v>Yes</v>
      </c>
      <c r="K499" t="str">
        <f>IF(ISBLANK(Table13[[#This Row],[Rating]]), "Not Rated", IF(Table13[[#This Row],[Rating]] &lt; 3, "Low", IF(Table13[[#This Row],[Rating]] &lt; 4, "Medium", "High")))</f>
        <v>High</v>
      </c>
      <c r="L499">
        <v>200</v>
      </c>
      <c r="M499">
        <v>22</v>
      </c>
      <c r="N499" t="str">
        <f>IF(Table13[[#This Row],[Price USD]]&lt;20,"Budget",IF(Table13[[#This Row],[Price USD]]&lt;=50,"Mid-range","Premium"))</f>
        <v>Mid-range</v>
      </c>
      <c r="O499">
        <v>0</v>
      </c>
      <c r="P499">
        <v>0</v>
      </c>
    </row>
    <row r="500" spans="1:16" x14ac:dyDescent="0.25">
      <c r="A500" t="s">
        <v>2322</v>
      </c>
      <c r="B500" t="s">
        <v>2323</v>
      </c>
      <c r="C500">
        <v>6218</v>
      </c>
      <c r="D500" t="s">
        <v>116</v>
      </c>
      <c r="E500" t="s">
        <v>21</v>
      </c>
      <c r="F500">
        <v>11677</v>
      </c>
      <c r="G5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0">
        <v>4.4875999999999996</v>
      </c>
      <c r="J500" t="str">
        <f>IF(ISBLANK(Table13[[#This Row],[Rating]]), "No", "Yes")</f>
        <v>Yes</v>
      </c>
      <c r="K500" t="str">
        <f>IF(ISBLANK(Table13[[#This Row],[Rating]]), "Not Rated", IF(Table13[[#This Row],[Rating]] &lt; 3, "Low", IF(Table13[[#This Row],[Rating]] &lt; 4, "Medium", "High")))</f>
        <v>High</v>
      </c>
      <c r="L500">
        <v>201</v>
      </c>
      <c r="M500">
        <v>38</v>
      </c>
      <c r="N500" t="str">
        <f>IF(Table13[[#This Row],[Price USD]]&lt;20,"Budget",IF(Table13[[#This Row],[Price USD]]&lt;=50,"Mid-range","Premium"))</f>
        <v>Mid-range</v>
      </c>
      <c r="O500">
        <v>0</v>
      </c>
      <c r="P500">
        <v>0</v>
      </c>
    </row>
    <row r="501" spans="1:16" x14ac:dyDescent="0.25">
      <c r="A501" t="s">
        <v>1279</v>
      </c>
      <c r="B501" t="s">
        <v>1280</v>
      </c>
      <c r="C501">
        <v>3902</v>
      </c>
      <c r="D501" t="s">
        <v>72</v>
      </c>
      <c r="E501" t="s">
        <v>69</v>
      </c>
      <c r="F501">
        <v>27165</v>
      </c>
      <c r="G5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1">
        <v>4.4825999999999997</v>
      </c>
      <c r="J501" t="str">
        <f>IF(ISBLANK(Table13[[#This Row],[Rating]]), "No", "Yes")</f>
        <v>Yes</v>
      </c>
      <c r="K501" t="str">
        <f>IF(ISBLANK(Table13[[#This Row],[Rating]]), "Not Rated", IF(Table13[[#This Row],[Rating]] &lt; 3, "Low", IF(Table13[[#This Row],[Rating]] &lt; 4, "Medium", "High")))</f>
        <v>High</v>
      </c>
      <c r="L501">
        <v>201</v>
      </c>
      <c r="M501">
        <v>10</v>
      </c>
      <c r="N501" t="str">
        <f>IF(Table13[[#This Row],[Price USD]]&lt;20,"Budget",IF(Table13[[#This Row],[Price USD]]&lt;=50,"Mid-range","Premium"))</f>
        <v>Budget</v>
      </c>
      <c r="O501">
        <v>0</v>
      </c>
      <c r="P501">
        <v>1</v>
      </c>
    </row>
    <row r="502" spans="1:16" x14ac:dyDescent="0.25">
      <c r="A502" t="s">
        <v>1865</v>
      </c>
      <c r="B502" t="s">
        <v>1866</v>
      </c>
      <c r="C502">
        <v>6272</v>
      </c>
      <c r="D502" t="s">
        <v>1711</v>
      </c>
      <c r="E502" t="s">
        <v>149</v>
      </c>
      <c r="F502">
        <v>16264</v>
      </c>
      <c r="G5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2">
        <v>4.0594000000000001</v>
      </c>
      <c r="J502" t="str">
        <f>IF(ISBLANK(Table13[[#This Row],[Rating]]), "No", "Yes")</f>
        <v>Yes</v>
      </c>
      <c r="K502" t="str">
        <f>IF(ISBLANK(Table13[[#This Row],[Rating]]), "Not Rated", IF(Table13[[#This Row],[Rating]] &lt; 3, "Low", IF(Table13[[#This Row],[Rating]] &lt; 4, "Medium", "High")))</f>
        <v>High</v>
      </c>
      <c r="L502">
        <v>202</v>
      </c>
      <c r="M502">
        <v>40</v>
      </c>
      <c r="N502" t="str">
        <f>IF(Table13[[#This Row],[Price USD]]&lt;20,"Budget",IF(Table13[[#This Row],[Price USD]]&lt;=50,"Mid-range","Premium"))</f>
        <v>Mid-range</v>
      </c>
      <c r="O502">
        <v>0</v>
      </c>
      <c r="P502">
        <v>0</v>
      </c>
    </row>
    <row r="503" spans="1:16" x14ac:dyDescent="0.25">
      <c r="A503" t="s">
        <v>2464</v>
      </c>
      <c r="B503" t="s">
        <v>2465</v>
      </c>
      <c r="C503">
        <v>6125</v>
      </c>
      <c r="D503" t="s">
        <v>3</v>
      </c>
      <c r="E503" t="s">
        <v>21</v>
      </c>
      <c r="F503">
        <v>10478</v>
      </c>
      <c r="G5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3">
        <v>4.6994999999999996</v>
      </c>
      <c r="J503" t="str">
        <f>IF(ISBLANK(Table13[[#This Row],[Rating]]), "No", "Yes")</f>
        <v>Yes</v>
      </c>
      <c r="K503" t="str">
        <f>IF(ISBLANK(Table13[[#This Row],[Rating]]), "Not Rated", IF(Table13[[#This Row],[Rating]] &lt; 3, "Low", IF(Table13[[#This Row],[Rating]] &lt; 4, "Medium", "High")))</f>
        <v>High</v>
      </c>
      <c r="L503">
        <v>203</v>
      </c>
      <c r="M503">
        <v>39</v>
      </c>
      <c r="N503" t="str">
        <f>IF(Table13[[#This Row],[Price USD]]&lt;20,"Budget",IF(Table13[[#This Row],[Price USD]]&lt;=50,"Mid-range","Premium"))</f>
        <v>Mid-range</v>
      </c>
      <c r="O503">
        <v>0</v>
      </c>
      <c r="P503">
        <v>0</v>
      </c>
    </row>
    <row r="504" spans="1:16" x14ac:dyDescent="0.25">
      <c r="A504" t="s">
        <v>2007</v>
      </c>
      <c r="B504" t="s">
        <v>2008</v>
      </c>
      <c r="C504">
        <v>5674</v>
      </c>
      <c r="D504" t="s">
        <v>141</v>
      </c>
      <c r="E504" t="s">
        <v>21</v>
      </c>
      <c r="F504">
        <v>14652</v>
      </c>
      <c r="G5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4">
        <v>4.8186</v>
      </c>
      <c r="J504" t="str">
        <f>IF(ISBLANK(Table13[[#This Row],[Rating]]), "No", "Yes")</f>
        <v>Yes</v>
      </c>
      <c r="K504" t="str">
        <f>IF(ISBLANK(Table13[[#This Row],[Rating]]), "Not Rated", IF(Table13[[#This Row],[Rating]] &lt; 3, "Low", IF(Table13[[#This Row],[Rating]] &lt; 4, "Medium", "High")))</f>
        <v>High</v>
      </c>
      <c r="L504">
        <v>204</v>
      </c>
      <c r="M504">
        <v>58</v>
      </c>
      <c r="N504" t="str">
        <f>IF(Table13[[#This Row],[Price USD]]&lt;20,"Budget",IF(Table13[[#This Row],[Price USD]]&lt;=50,"Mid-range","Premium"))</f>
        <v>Premium</v>
      </c>
      <c r="O504">
        <v>1</v>
      </c>
      <c r="P504">
        <v>0</v>
      </c>
    </row>
    <row r="505" spans="1:16" x14ac:dyDescent="0.25">
      <c r="A505" t="s">
        <v>2442</v>
      </c>
      <c r="B505" t="s">
        <v>2443</v>
      </c>
      <c r="C505">
        <v>3902</v>
      </c>
      <c r="D505" t="s">
        <v>72</v>
      </c>
      <c r="E505" t="s">
        <v>8</v>
      </c>
      <c r="F505">
        <v>10653</v>
      </c>
      <c r="G5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5">
        <v>4.5999999999999996</v>
      </c>
      <c r="J505" t="str">
        <f>IF(ISBLANK(Table13[[#This Row],[Rating]]), "No", "Yes")</f>
        <v>Yes</v>
      </c>
      <c r="K505" t="str">
        <f>IF(ISBLANK(Table13[[#This Row],[Rating]]), "Not Rated", IF(Table13[[#This Row],[Rating]] &lt; 3, "Low", IF(Table13[[#This Row],[Rating]] &lt; 4, "Medium", "High")))</f>
        <v>High</v>
      </c>
      <c r="L505">
        <v>205</v>
      </c>
      <c r="M505">
        <v>20</v>
      </c>
      <c r="N505" t="str">
        <f>IF(Table13[[#This Row],[Price USD]]&lt;20,"Budget",IF(Table13[[#This Row],[Price USD]]&lt;=50,"Mid-range","Premium"))</f>
        <v>Mid-range</v>
      </c>
      <c r="O505">
        <v>0</v>
      </c>
      <c r="P505">
        <v>0</v>
      </c>
    </row>
    <row r="506" spans="1:16" x14ac:dyDescent="0.25">
      <c r="A506" t="s">
        <v>2420</v>
      </c>
      <c r="B506" t="s">
        <v>2421</v>
      </c>
      <c r="C506">
        <v>6018</v>
      </c>
      <c r="D506" t="s">
        <v>517</v>
      </c>
      <c r="E506" t="s">
        <v>8</v>
      </c>
      <c r="F506">
        <v>10859</v>
      </c>
      <c r="G5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6">
        <v>4.3853999999999997</v>
      </c>
      <c r="J506" t="str">
        <f>IF(ISBLANK(Table13[[#This Row],[Rating]]), "No", "Yes")</f>
        <v>Yes</v>
      </c>
      <c r="K506" t="str">
        <f>IF(ISBLANK(Table13[[#This Row],[Rating]]), "Not Rated", IF(Table13[[#This Row],[Rating]] &lt; 3, "Low", IF(Table13[[#This Row],[Rating]] &lt; 4, "Medium", "High")))</f>
        <v>High</v>
      </c>
      <c r="L506">
        <v>205</v>
      </c>
      <c r="M506">
        <v>95</v>
      </c>
      <c r="N506" t="str">
        <f>IF(Table13[[#This Row],[Price USD]]&lt;20,"Budget",IF(Table13[[#This Row],[Price USD]]&lt;=50,"Mid-range","Premium"))</f>
        <v>Premium</v>
      </c>
      <c r="O506">
        <v>0</v>
      </c>
      <c r="P506">
        <v>0</v>
      </c>
    </row>
    <row r="507" spans="1:16" x14ac:dyDescent="0.25">
      <c r="A507" t="s">
        <v>1434</v>
      </c>
      <c r="B507" t="s">
        <v>1435</v>
      </c>
      <c r="C507">
        <v>5648</v>
      </c>
      <c r="D507" t="s">
        <v>408</v>
      </c>
      <c r="E507" t="s">
        <v>4</v>
      </c>
      <c r="F507">
        <v>23307</v>
      </c>
      <c r="G5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7">
        <v>4.1024000000000003</v>
      </c>
      <c r="J507" t="str">
        <f>IF(ISBLANK(Table13[[#This Row],[Rating]]), "No", "Yes")</f>
        <v>Yes</v>
      </c>
      <c r="K507" t="str">
        <f>IF(ISBLANK(Table13[[#This Row],[Rating]]), "Not Rated", IF(Table13[[#This Row],[Rating]] &lt; 3, "Low", IF(Table13[[#This Row],[Rating]] &lt; 4, "Medium", "High")))</f>
        <v>High</v>
      </c>
      <c r="L507">
        <v>205</v>
      </c>
      <c r="M507">
        <v>16</v>
      </c>
      <c r="N507" t="str">
        <f>IF(Table13[[#This Row],[Price USD]]&lt;20,"Budget",IF(Table13[[#This Row],[Price USD]]&lt;=50,"Mid-range","Premium"))</f>
        <v>Budget</v>
      </c>
      <c r="O507">
        <v>0</v>
      </c>
      <c r="P507">
        <v>1</v>
      </c>
    </row>
    <row r="508" spans="1:16" x14ac:dyDescent="0.25">
      <c r="A508" t="s">
        <v>874</v>
      </c>
      <c r="B508" t="s">
        <v>875</v>
      </c>
      <c r="C508">
        <v>6357</v>
      </c>
      <c r="D508" t="s">
        <v>876</v>
      </c>
      <c r="E508" t="s">
        <v>4</v>
      </c>
      <c r="F508">
        <v>41560</v>
      </c>
      <c r="G5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8">
        <v>4.4292999999999996</v>
      </c>
      <c r="J508" t="str">
        <f>IF(ISBLANK(Table13[[#This Row],[Rating]]), "No", "Yes")</f>
        <v>Yes</v>
      </c>
      <c r="K508" t="str">
        <f>IF(ISBLANK(Table13[[#This Row],[Rating]]), "Not Rated", IF(Table13[[#This Row],[Rating]] &lt; 3, "Low", IF(Table13[[#This Row],[Rating]] &lt; 4, "Medium", "High")))</f>
        <v>High</v>
      </c>
      <c r="L508">
        <v>205</v>
      </c>
      <c r="M508">
        <v>17</v>
      </c>
      <c r="N508" t="str">
        <f>IF(Table13[[#This Row],[Price USD]]&lt;20,"Budget",IF(Table13[[#This Row],[Price USD]]&lt;=50,"Mid-range","Premium"))</f>
        <v>Budget</v>
      </c>
      <c r="O508">
        <v>0</v>
      </c>
      <c r="P508">
        <v>0</v>
      </c>
    </row>
    <row r="509" spans="1:16" x14ac:dyDescent="0.25">
      <c r="A509" t="s">
        <v>1687</v>
      </c>
      <c r="B509" t="s">
        <v>1688</v>
      </c>
      <c r="C509">
        <v>5337</v>
      </c>
      <c r="D509" t="s">
        <v>209</v>
      </c>
      <c r="E509" t="s">
        <v>21</v>
      </c>
      <c r="F509">
        <v>18392</v>
      </c>
      <c r="G5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09">
        <v>4.5121000000000002</v>
      </c>
      <c r="J509" t="str">
        <f>IF(ISBLANK(Table13[[#This Row],[Rating]]), "No", "Yes")</f>
        <v>Yes</v>
      </c>
      <c r="K509" t="str">
        <f>IF(ISBLANK(Table13[[#This Row],[Rating]]), "Not Rated", IF(Table13[[#This Row],[Rating]] &lt; 3, "Low", IF(Table13[[#This Row],[Rating]] &lt; 4, "Medium", "High")))</f>
        <v>High</v>
      </c>
      <c r="L509">
        <v>207</v>
      </c>
      <c r="M509">
        <v>75</v>
      </c>
      <c r="N509" t="str">
        <f>IF(Table13[[#This Row],[Price USD]]&lt;20,"Budget",IF(Table13[[#This Row],[Price USD]]&lt;=50,"Mid-range","Premium"))</f>
        <v>Premium</v>
      </c>
      <c r="O509">
        <v>0</v>
      </c>
      <c r="P509">
        <v>0</v>
      </c>
    </row>
    <row r="510" spans="1:16" x14ac:dyDescent="0.25">
      <c r="A510" t="s">
        <v>1663</v>
      </c>
      <c r="B510" t="s">
        <v>1664</v>
      </c>
      <c r="C510">
        <v>3733</v>
      </c>
      <c r="D510" t="s">
        <v>124</v>
      </c>
      <c r="E510" t="s">
        <v>21</v>
      </c>
      <c r="F510">
        <v>18986</v>
      </c>
      <c r="G5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0">
        <v>4.0965999999999996</v>
      </c>
      <c r="J510" t="str">
        <f>IF(ISBLANK(Table13[[#This Row],[Rating]]), "No", "Yes")</f>
        <v>Yes</v>
      </c>
      <c r="K510" t="str">
        <f>IF(ISBLANK(Table13[[#This Row],[Rating]]), "Not Rated", IF(Table13[[#This Row],[Rating]] &lt; 3, "Low", IF(Table13[[#This Row],[Rating]] &lt; 4, "Medium", "High")))</f>
        <v>High</v>
      </c>
      <c r="L510">
        <v>207</v>
      </c>
      <c r="M510">
        <v>63</v>
      </c>
      <c r="N510" t="str">
        <f>IF(Table13[[#This Row],[Price USD]]&lt;20,"Budget",IF(Table13[[#This Row],[Price USD]]&lt;=50,"Mid-range","Premium"))</f>
        <v>Premium</v>
      </c>
      <c r="O510">
        <v>0</v>
      </c>
      <c r="P510">
        <v>0</v>
      </c>
    </row>
    <row r="511" spans="1:16" x14ac:dyDescent="0.25">
      <c r="A511" t="s">
        <v>2460</v>
      </c>
      <c r="B511" t="s">
        <v>2461</v>
      </c>
      <c r="C511">
        <v>6347</v>
      </c>
      <c r="D511" t="s">
        <v>1767</v>
      </c>
      <c r="E511" t="s">
        <v>13</v>
      </c>
      <c r="F511">
        <v>10510</v>
      </c>
      <c r="G5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1">
        <v>4.5311000000000003</v>
      </c>
      <c r="J511" t="str">
        <f>IF(ISBLANK(Table13[[#This Row],[Rating]]), "No", "Yes")</f>
        <v>Yes</v>
      </c>
      <c r="K511" t="str">
        <f>IF(ISBLANK(Table13[[#This Row],[Rating]]), "Not Rated", IF(Table13[[#This Row],[Rating]] &lt; 3, "Low", IF(Table13[[#This Row],[Rating]] &lt; 4, "Medium", "High")))</f>
        <v>High</v>
      </c>
      <c r="L511">
        <v>209</v>
      </c>
      <c r="M511">
        <v>32</v>
      </c>
      <c r="N511" t="str">
        <f>IF(Table13[[#This Row],[Price USD]]&lt;20,"Budget",IF(Table13[[#This Row],[Price USD]]&lt;=50,"Mid-range","Premium"))</f>
        <v>Mid-range</v>
      </c>
      <c r="O511">
        <v>0</v>
      </c>
      <c r="P511">
        <v>0</v>
      </c>
    </row>
    <row r="512" spans="1:16" x14ac:dyDescent="0.25">
      <c r="A512" t="s">
        <v>2161</v>
      </c>
      <c r="B512" t="s">
        <v>2162</v>
      </c>
      <c r="C512">
        <v>7020</v>
      </c>
      <c r="D512" t="s">
        <v>657</v>
      </c>
      <c r="E512" t="s">
        <v>149</v>
      </c>
      <c r="F512">
        <v>12946</v>
      </c>
      <c r="G5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2">
        <v>4.1100000000000003</v>
      </c>
      <c r="J512" t="str">
        <f>IF(ISBLANK(Table13[[#This Row],[Rating]]), "No", "Yes")</f>
        <v>Yes</v>
      </c>
      <c r="K512" t="str">
        <f>IF(ISBLANK(Table13[[#This Row],[Rating]]), "Not Rated", IF(Table13[[#This Row],[Rating]] &lt; 3, "Low", IF(Table13[[#This Row],[Rating]] &lt; 4, "Medium", "High")))</f>
        <v>High</v>
      </c>
      <c r="L512">
        <v>209</v>
      </c>
      <c r="M512">
        <v>130</v>
      </c>
      <c r="N512" t="str">
        <f>IF(Table13[[#This Row],[Price USD]]&lt;20,"Budget",IF(Table13[[#This Row],[Price USD]]&lt;=50,"Mid-range","Premium"))</f>
        <v>Premium</v>
      </c>
      <c r="O512">
        <v>0</v>
      </c>
      <c r="P512">
        <v>0</v>
      </c>
    </row>
    <row r="513" spans="1:16" x14ac:dyDescent="0.25">
      <c r="A513" t="s">
        <v>1638</v>
      </c>
      <c r="B513" t="s">
        <v>1639</v>
      </c>
      <c r="C513">
        <v>6117</v>
      </c>
      <c r="D513" t="s">
        <v>229</v>
      </c>
      <c r="E513" t="s">
        <v>8</v>
      </c>
      <c r="F513">
        <v>19480</v>
      </c>
      <c r="G5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3">
        <v>4.3875999999999999</v>
      </c>
      <c r="J513" t="str">
        <f>IF(ISBLANK(Table13[[#This Row],[Rating]]), "No", "Yes")</f>
        <v>Yes</v>
      </c>
      <c r="K513" t="str">
        <f>IF(ISBLANK(Table13[[#This Row],[Rating]]), "Not Rated", IF(Table13[[#This Row],[Rating]] &lt; 3, "Low", IF(Table13[[#This Row],[Rating]] &lt; 4, "Medium", "High")))</f>
        <v>High</v>
      </c>
      <c r="L513">
        <v>209</v>
      </c>
      <c r="M513">
        <v>50</v>
      </c>
      <c r="N513" t="str">
        <f>IF(Table13[[#This Row],[Price USD]]&lt;20,"Budget",IF(Table13[[#This Row],[Price USD]]&lt;=50,"Mid-range","Premium"))</f>
        <v>Mid-range</v>
      </c>
      <c r="O513">
        <v>0</v>
      </c>
      <c r="P513">
        <v>0</v>
      </c>
    </row>
    <row r="514" spans="1:16" x14ac:dyDescent="0.25">
      <c r="A514" t="s">
        <v>778</v>
      </c>
      <c r="B514" t="s">
        <v>779</v>
      </c>
      <c r="C514">
        <v>6041</v>
      </c>
      <c r="D514" t="s">
        <v>33</v>
      </c>
      <c r="E514" t="s">
        <v>69</v>
      </c>
      <c r="F514">
        <v>46732</v>
      </c>
      <c r="G5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4">
        <v>4.6315999999999997</v>
      </c>
      <c r="J514" t="str">
        <f>IF(ISBLANK(Table13[[#This Row],[Rating]]), "No", "Yes")</f>
        <v>Yes</v>
      </c>
      <c r="K514" t="str">
        <f>IF(ISBLANK(Table13[[#This Row],[Rating]]), "Not Rated", IF(Table13[[#This Row],[Rating]] &lt; 3, "Low", IF(Table13[[#This Row],[Rating]] &lt; 4, "Medium", "High")))</f>
        <v>High</v>
      </c>
      <c r="L514">
        <v>209</v>
      </c>
      <c r="M514">
        <v>70</v>
      </c>
      <c r="N514" t="str">
        <f>IF(Table13[[#This Row],[Price USD]]&lt;20,"Budget",IF(Table13[[#This Row],[Price USD]]&lt;=50,"Mid-range","Premium"))</f>
        <v>Premium</v>
      </c>
      <c r="O514">
        <v>0</v>
      </c>
      <c r="P514">
        <v>0</v>
      </c>
    </row>
    <row r="515" spans="1:16" x14ac:dyDescent="0.25">
      <c r="A515" t="s">
        <v>2398</v>
      </c>
      <c r="B515" t="s">
        <v>2399</v>
      </c>
      <c r="C515">
        <v>6234</v>
      </c>
      <c r="D515" t="s">
        <v>7</v>
      </c>
      <c r="E515" t="s">
        <v>149</v>
      </c>
      <c r="F515">
        <v>11059</v>
      </c>
      <c r="G5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5">
        <v>3.9714</v>
      </c>
      <c r="J515" t="str">
        <f>IF(ISBLANK(Table13[[#This Row],[Rating]]), "No", "Yes")</f>
        <v>Yes</v>
      </c>
      <c r="K515" t="str">
        <f>IF(ISBLANK(Table13[[#This Row],[Rating]]), "Not Rated", IF(Table13[[#This Row],[Rating]] &lt; 3, "Low", IF(Table13[[#This Row],[Rating]] &lt; 4, "Medium", "High")))</f>
        <v>Medium</v>
      </c>
      <c r="L515">
        <v>210</v>
      </c>
      <c r="M515">
        <v>25</v>
      </c>
      <c r="N515" t="str">
        <f>IF(Table13[[#This Row],[Price USD]]&lt;20,"Budget",IF(Table13[[#This Row],[Price USD]]&lt;=50,"Mid-range","Premium"))</f>
        <v>Mid-range</v>
      </c>
      <c r="O515">
        <v>1</v>
      </c>
      <c r="P515">
        <v>0</v>
      </c>
    </row>
    <row r="516" spans="1:16" x14ac:dyDescent="0.25">
      <c r="A516" t="s">
        <v>2226</v>
      </c>
      <c r="B516" t="s">
        <v>2227</v>
      </c>
      <c r="C516">
        <v>4171</v>
      </c>
      <c r="D516" t="s">
        <v>133</v>
      </c>
      <c r="E516" t="s">
        <v>8</v>
      </c>
      <c r="F516">
        <v>12449</v>
      </c>
      <c r="G5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6">
        <v>4.75</v>
      </c>
      <c r="J516" t="str">
        <f>IF(ISBLANK(Table13[[#This Row],[Rating]]), "No", "Yes")</f>
        <v>Yes</v>
      </c>
      <c r="K516" t="str">
        <f>IF(ISBLANK(Table13[[#This Row],[Rating]]), "Not Rated", IF(Table13[[#This Row],[Rating]] &lt; 3, "Low", IF(Table13[[#This Row],[Rating]] &lt; 4, "Medium", "High")))</f>
        <v>High</v>
      </c>
      <c r="L516">
        <v>212</v>
      </c>
      <c r="M516">
        <v>139</v>
      </c>
      <c r="N516" t="str">
        <f>IF(Table13[[#This Row],[Price USD]]&lt;20,"Budget",IF(Table13[[#This Row],[Price USD]]&lt;=50,"Mid-range","Premium"))</f>
        <v>Premium</v>
      </c>
      <c r="O516">
        <v>0</v>
      </c>
      <c r="P516">
        <v>0</v>
      </c>
    </row>
    <row r="517" spans="1:16" x14ac:dyDescent="0.25">
      <c r="A517" t="s">
        <v>2277</v>
      </c>
      <c r="B517" t="s">
        <v>2278</v>
      </c>
      <c r="C517">
        <v>6195</v>
      </c>
      <c r="D517" t="s">
        <v>163</v>
      </c>
      <c r="E517" t="s">
        <v>8</v>
      </c>
      <c r="F517">
        <v>12007</v>
      </c>
      <c r="G5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7">
        <v>4.4741999999999997</v>
      </c>
      <c r="J517" t="str">
        <f>IF(ISBLANK(Table13[[#This Row],[Rating]]), "No", "Yes")</f>
        <v>Yes</v>
      </c>
      <c r="K517" t="str">
        <f>IF(ISBLANK(Table13[[#This Row],[Rating]]), "Not Rated", IF(Table13[[#This Row],[Rating]] &lt; 3, "Low", IF(Table13[[#This Row],[Rating]] &lt; 4, "Medium", "High")))</f>
        <v>High</v>
      </c>
      <c r="L517">
        <v>213</v>
      </c>
      <c r="M517">
        <v>72</v>
      </c>
      <c r="N517" t="str">
        <f>IF(Table13[[#This Row],[Price USD]]&lt;20,"Budget",IF(Table13[[#This Row],[Price USD]]&lt;=50,"Mid-range","Premium"))</f>
        <v>Premium</v>
      </c>
      <c r="O517">
        <v>0</v>
      </c>
      <c r="P517">
        <v>0</v>
      </c>
    </row>
    <row r="518" spans="1:16" x14ac:dyDescent="0.25">
      <c r="A518" t="s">
        <v>772</v>
      </c>
      <c r="B518" t="s">
        <v>773</v>
      </c>
      <c r="C518">
        <v>6247</v>
      </c>
      <c r="D518" t="s">
        <v>38</v>
      </c>
      <c r="E518" t="s">
        <v>21</v>
      </c>
      <c r="F518">
        <v>46744</v>
      </c>
      <c r="G5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8">
        <v>4.4507000000000003</v>
      </c>
      <c r="J518" t="str">
        <f>IF(ISBLANK(Table13[[#This Row],[Rating]]), "No", "Yes")</f>
        <v>Yes</v>
      </c>
      <c r="K518" t="str">
        <f>IF(ISBLANK(Table13[[#This Row],[Rating]]), "Not Rated", IF(Table13[[#This Row],[Rating]] &lt; 3, "Low", IF(Table13[[#This Row],[Rating]] &lt; 4, "Medium", "High")))</f>
        <v>High</v>
      </c>
      <c r="L518">
        <v>213</v>
      </c>
      <c r="M518">
        <v>55</v>
      </c>
      <c r="N518" t="str">
        <f>IF(Table13[[#This Row],[Price USD]]&lt;20,"Budget",IF(Table13[[#This Row],[Price USD]]&lt;=50,"Mid-range","Premium"))</f>
        <v>Premium</v>
      </c>
      <c r="O518">
        <v>0</v>
      </c>
      <c r="P518">
        <v>0</v>
      </c>
    </row>
    <row r="519" spans="1:16" x14ac:dyDescent="0.25">
      <c r="A519" t="s">
        <v>2054</v>
      </c>
      <c r="B519" t="s">
        <v>2055</v>
      </c>
      <c r="C519">
        <v>7050</v>
      </c>
      <c r="D519" t="s">
        <v>721</v>
      </c>
      <c r="E519" t="s">
        <v>201</v>
      </c>
      <c r="F519">
        <v>14123</v>
      </c>
      <c r="G5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19">
        <v>4.1542000000000003</v>
      </c>
      <c r="J519" t="str">
        <f>IF(ISBLANK(Table13[[#This Row],[Rating]]), "No", "Yes")</f>
        <v>Yes</v>
      </c>
      <c r="K519" t="str">
        <f>IF(ISBLANK(Table13[[#This Row],[Rating]]), "Not Rated", IF(Table13[[#This Row],[Rating]] &lt; 3, "Low", IF(Table13[[#This Row],[Rating]] &lt; 4, "Medium", "High")))</f>
        <v>High</v>
      </c>
      <c r="L519">
        <v>214</v>
      </c>
      <c r="M519">
        <v>10</v>
      </c>
      <c r="N519" t="str">
        <f>IF(Table13[[#This Row],[Price USD]]&lt;20,"Budget",IF(Table13[[#This Row],[Price USD]]&lt;=50,"Mid-range","Premium"))</f>
        <v>Budget</v>
      </c>
      <c r="O519">
        <v>0</v>
      </c>
      <c r="P519">
        <v>0</v>
      </c>
    </row>
    <row r="520" spans="1:16" x14ac:dyDescent="0.25">
      <c r="A520" t="s">
        <v>2201</v>
      </c>
      <c r="B520" t="s">
        <v>2202</v>
      </c>
      <c r="C520">
        <v>6226</v>
      </c>
      <c r="D520" t="s">
        <v>843</v>
      </c>
      <c r="E520" t="s">
        <v>8</v>
      </c>
      <c r="F520">
        <v>12648</v>
      </c>
      <c r="G5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0">
        <v>4.2605000000000004</v>
      </c>
      <c r="J520" t="str">
        <f>IF(ISBLANK(Table13[[#This Row],[Rating]]), "No", "Yes")</f>
        <v>Yes</v>
      </c>
      <c r="K520" t="str">
        <f>IF(ISBLANK(Table13[[#This Row],[Rating]]), "Not Rated", IF(Table13[[#This Row],[Rating]] &lt; 3, "Low", IF(Table13[[#This Row],[Rating]] &lt; 4, "Medium", "High")))</f>
        <v>High</v>
      </c>
      <c r="L520">
        <v>215</v>
      </c>
      <c r="M520">
        <v>58</v>
      </c>
      <c r="N520" t="str">
        <f>IF(Table13[[#This Row],[Price USD]]&lt;20,"Budget",IF(Table13[[#This Row],[Price USD]]&lt;=50,"Mid-range","Premium"))</f>
        <v>Premium</v>
      </c>
      <c r="O520">
        <v>0</v>
      </c>
      <c r="P520">
        <v>0</v>
      </c>
    </row>
    <row r="521" spans="1:16" x14ac:dyDescent="0.25">
      <c r="A521" t="s">
        <v>1901</v>
      </c>
      <c r="B521" t="s">
        <v>1902</v>
      </c>
      <c r="C521">
        <v>6377</v>
      </c>
      <c r="D521" t="s">
        <v>1903</v>
      </c>
      <c r="E521" t="s">
        <v>8</v>
      </c>
      <c r="F521">
        <v>15740</v>
      </c>
      <c r="G5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1">
        <v>4.4790999999999999</v>
      </c>
      <c r="J521" t="str">
        <f>IF(ISBLANK(Table13[[#This Row],[Rating]]), "No", "Yes")</f>
        <v>Yes</v>
      </c>
      <c r="K521" t="str">
        <f>IF(ISBLANK(Table13[[#This Row],[Rating]]), "Not Rated", IF(Table13[[#This Row],[Rating]] &lt; 3, "Low", IF(Table13[[#This Row],[Rating]] &lt; 4, "Medium", "High")))</f>
        <v>High</v>
      </c>
      <c r="L521">
        <v>215</v>
      </c>
      <c r="M521">
        <v>68</v>
      </c>
      <c r="N521" t="str">
        <f>IF(Table13[[#This Row],[Price USD]]&lt;20,"Budget",IF(Table13[[#This Row],[Price USD]]&lt;=50,"Mid-range","Premium"))</f>
        <v>Premium</v>
      </c>
      <c r="O521">
        <v>0</v>
      </c>
      <c r="P521">
        <v>0</v>
      </c>
    </row>
    <row r="522" spans="1:16" x14ac:dyDescent="0.25">
      <c r="A522" t="s">
        <v>864</v>
      </c>
      <c r="B522" t="s">
        <v>865</v>
      </c>
      <c r="C522">
        <v>6341</v>
      </c>
      <c r="D522" t="s">
        <v>66</v>
      </c>
      <c r="E522" t="s">
        <v>8</v>
      </c>
      <c r="F522">
        <v>42037</v>
      </c>
      <c r="G5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2">
        <v>4.7534999999999998</v>
      </c>
      <c r="J522" t="str">
        <f>IF(ISBLANK(Table13[[#This Row],[Rating]]), "No", "Yes")</f>
        <v>Yes</v>
      </c>
      <c r="K522" t="str">
        <f>IF(ISBLANK(Table13[[#This Row],[Rating]]), "Not Rated", IF(Table13[[#This Row],[Rating]] &lt; 3, "Low", IF(Table13[[#This Row],[Rating]] &lt; 4, "Medium", "High")))</f>
        <v>High</v>
      </c>
      <c r="L522">
        <v>215</v>
      </c>
      <c r="M522">
        <v>39</v>
      </c>
      <c r="N522" t="str">
        <f>IF(Table13[[#This Row],[Price USD]]&lt;20,"Budget",IF(Table13[[#This Row],[Price USD]]&lt;=50,"Mid-range","Premium"))</f>
        <v>Mid-range</v>
      </c>
      <c r="O522">
        <v>0</v>
      </c>
      <c r="P522">
        <v>0</v>
      </c>
    </row>
    <row r="523" spans="1:16" x14ac:dyDescent="0.25">
      <c r="A523" t="s">
        <v>1863</v>
      </c>
      <c r="B523" t="s">
        <v>1864</v>
      </c>
      <c r="C523">
        <v>6117</v>
      </c>
      <c r="D523" t="s">
        <v>229</v>
      </c>
      <c r="E523" t="s">
        <v>21</v>
      </c>
      <c r="F523">
        <v>16279</v>
      </c>
      <c r="G5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3">
        <v>4.2869999999999999</v>
      </c>
      <c r="J523" t="str">
        <f>IF(ISBLANK(Table13[[#This Row],[Rating]]), "No", "Yes")</f>
        <v>Yes</v>
      </c>
      <c r="K523" t="str">
        <f>IF(ISBLANK(Table13[[#This Row],[Rating]]), "Not Rated", IF(Table13[[#This Row],[Rating]] &lt; 3, "Low", IF(Table13[[#This Row],[Rating]] &lt; 4, "Medium", "High")))</f>
        <v>High</v>
      </c>
      <c r="L523">
        <v>216</v>
      </c>
      <c r="M523">
        <v>46</v>
      </c>
      <c r="N523" t="str">
        <f>IF(Table13[[#This Row],[Price USD]]&lt;20,"Budget",IF(Table13[[#This Row],[Price USD]]&lt;=50,"Mid-range","Premium"))</f>
        <v>Mid-range</v>
      </c>
      <c r="O523">
        <v>0</v>
      </c>
      <c r="P523">
        <v>0</v>
      </c>
    </row>
    <row r="524" spans="1:16" x14ac:dyDescent="0.25">
      <c r="A524" t="s">
        <v>1845</v>
      </c>
      <c r="B524" t="s">
        <v>1846</v>
      </c>
      <c r="C524">
        <v>3728</v>
      </c>
      <c r="D524" t="s">
        <v>458</v>
      </c>
      <c r="E524" t="s">
        <v>149</v>
      </c>
      <c r="F524">
        <v>16592</v>
      </c>
      <c r="G5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4">
        <v>4.6912000000000003</v>
      </c>
      <c r="J524" t="str">
        <f>IF(ISBLANK(Table13[[#This Row],[Rating]]), "No", "Yes")</f>
        <v>Yes</v>
      </c>
      <c r="K524" t="str">
        <f>IF(ISBLANK(Table13[[#This Row],[Rating]]), "Not Rated", IF(Table13[[#This Row],[Rating]] &lt; 3, "Low", IF(Table13[[#This Row],[Rating]] &lt; 4, "Medium", "High")))</f>
        <v>High</v>
      </c>
      <c r="L524">
        <v>217</v>
      </c>
      <c r="M524">
        <v>65</v>
      </c>
      <c r="N524" t="str">
        <f>IF(Table13[[#This Row],[Price USD]]&lt;20,"Budget",IF(Table13[[#This Row],[Price USD]]&lt;=50,"Mid-range","Premium"))</f>
        <v>Premium</v>
      </c>
      <c r="O524">
        <v>0</v>
      </c>
      <c r="P524">
        <v>0</v>
      </c>
    </row>
    <row r="525" spans="1:16" x14ac:dyDescent="0.25">
      <c r="A525" t="s">
        <v>1667</v>
      </c>
      <c r="B525" t="s">
        <v>1668</v>
      </c>
      <c r="C525">
        <v>6285</v>
      </c>
      <c r="D525" t="s">
        <v>119</v>
      </c>
      <c r="E525" t="s">
        <v>13</v>
      </c>
      <c r="F525">
        <v>18857</v>
      </c>
      <c r="G5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5">
        <v>4.1734999999999998</v>
      </c>
      <c r="J525" t="str">
        <f>IF(ISBLANK(Table13[[#This Row],[Rating]]), "No", "Yes")</f>
        <v>Yes</v>
      </c>
      <c r="K525" t="str">
        <f>IF(ISBLANK(Table13[[#This Row],[Rating]]), "Not Rated", IF(Table13[[#This Row],[Rating]] &lt; 3, "Low", IF(Table13[[#This Row],[Rating]] &lt; 4, "Medium", "High")))</f>
        <v>High</v>
      </c>
      <c r="L525">
        <v>219</v>
      </c>
      <c r="M525">
        <v>10.99</v>
      </c>
      <c r="N525" t="str">
        <f>IF(Table13[[#This Row],[Price USD]]&lt;20,"Budget",IF(Table13[[#This Row],[Price USD]]&lt;=50,"Mid-range","Premium"))</f>
        <v>Budget</v>
      </c>
      <c r="O525">
        <v>0</v>
      </c>
      <c r="P525">
        <v>0</v>
      </c>
    </row>
    <row r="526" spans="1:16" x14ac:dyDescent="0.25">
      <c r="A526" t="s">
        <v>1171</v>
      </c>
      <c r="B526" t="s">
        <v>1172</v>
      </c>
      <c r="C526">
        <v>6041</v>
      </c>
      <c r="D526" t="s">
        <v>33</v>
      </c>
      <c r="E526" t="s">
        <v>8</v>
      </c>
      <c r="F526">
        <v>30103</v>
      </c>
      <c r="G5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6">
        <v>4.6483999999999996</v>
      </c>
      <c r="J526" t="str">
        <f>IF(ISBLANK(Table13[[#This Row],[Rating]]), "No", "Yes")</f>
        <v>Yes</v>
      </c>
      <c r="K526" t="str">
        <f>IF(ISBLANK(Table13[[#This Row],[Rating]]), "Not Rated", IF(Table13[[#This Row],[Rating]] &lt; 3, "Low", IF(Table13[[#This Row],[Rating]] &lt; 4, "Medium", "High")))</f>
        <v>High</v>
      </c>
      <c r="L526">
        <v>219</v>
      </c>
      <c r="M526">
        <v>62</v>
      </c>
      <c r="N526" t="str">
        <f>IF(Table13[[#This Row],[Price USD]]&lt;20,"Budget",IF(Table13[[#This Row],[Price USD]]&lt;=50,"Mid-range","Premium"))</f>
        <v>Premium</v>
      </c>
      <c r="O526">
        <v>0</v>
      </c>
      <c r="P526">
        <v>0</v>
      </c>
    </row>
    <row r="527" spans="1:16" x14ac:dyDescent="0.25">
      <c r="A527" t="s">
        <v>1018</v>
      </c>
      <c r="B527" t="s">
        <v>1019</v>
      </c>
      <c r="C527">
        <v>6341</v>
      </c>
      <c r="D527" t="s">
        <v>66</v>
      </c>
      <c r="E527" t="s">
        <v>8</v>
      </c>
      <c r="F527">
        <v>36209</v>
      </c>
      <c r="G5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7">
        <v>4.5317999999999996</v>
      </c>
      <c r="J527" t="str">
        <f>IF(ISBLANK(Table13[[#This Row],[Rating]]), "No", "Yes")</f>
        <v>Yes</v>
      </c>
      <c r="K527" t="str">
        <f>IF(ISBLANK(Table13[[#This Row],[Rating]]), "Not Rated", IF(Table13[[#This Row],[Rating]] &lt; 3, "Low", IF(Table13[[#This Row],[Rating]] &lt; 4, "Medium", "High")))</f>
        <v>High</v>
      </c>
      <c r="L527">
        <v>220</v>
      </c>
      <c r="M527">
        <v>52</v>
      </c>
      <c r="N527" t="str">
        <f>IF(Table13[[#This Row],[Price USD]]&lt;20,"Budget",IF(Table13[[#This Row],[Price USD]]&lt;=50,"Mid-range","Premium"))</f>
        <v>Premium</v>
      </c>
      <c r="O527">
        <v>0</v>
      </c>
      <c r="P527">
        <v>0</v>
      </c>
    </row>
    <row r="528" spans="1:16" x14ac:dyDescent="0.25">
      <c r="A528" t="s">
        <v>1443</v>
      </c>
      <c r="B528" t="s">
        <v>1444</v>
      </c>
      <c r="C528">
        <v>6742</v>
      </c>
      <c r="D528" t="s">
        <v>1445</v>
      </c>
      <c r="E528" t="s">
        <v>4</v>
      </c>
      <c r="F528">
        <v>23148</v>
      </c>
      <c r="G5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8">
        <v>4.0814000000000004</v>
      </c>
      <c r="J528" t="str">
        <f>IF(ISBLANK(Table13[[#This Row],[Rating]]), "No", "Yes")</f>
        <v>Yes</v>
      </c>
      <c r="K528" t="str">
        <f>IF(ISBLANK(Table13[[#This Row],[Rating]]), "Not Rated", IF(Table13[[#This Row],[Rating]] &lt; 3, "Low", IF(Table13[[#This Row],[Rating]] &lt; 4, "Medium", "High")))</f>
        <v>High</v>
      </c>
      <c r="L528">
        <v>221</v>
      </c>
      <c r="M528">
        <v>14</v>
      </c>
      <c r="N528" t="str">
        <f>IF(Table13[[#This Row],[Price USD]]&lt;20,"Budget",IF(Table13[[#This Row],[Price USD]]&lt;=50,"Mid-range","Premium"))</f>
        <v>Budget</v>
      </c>
      <c r="O528">
        <v>0</v>
      </c>
      <c r="P528">
        <v>0</v>
      </c>
    </row>
    <row r="529" spans="1:16" x14ac:dyDescent="0.25">
      <c r="A529" t="s">
        <v>1765</v>
      </c>
      <c r="B529" t="s">
        <v>1766</v>
      </c>
      <c r="C529">
        <v>6347</v>
      </c>
      <c r="D529" t="s">
        <v>1767</v>
      </c>
      <c r="E529" t="s">
        <v>21</v>
      </c>
      <c r="F529">
        <v>17528</v>
      </c>
      <c r="G5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29">
        <v>4.3784000000000001</v>
      </c>
      <c r="J529" t="str">
        <f>IF(ISBLANK(Table13[[#This Row],[Rating]]), "No", "Yes")</f>
        <v>Yes</v>
      </c>
      <c r="K529" t="str">
        <f>IF(ISBLANK(Table13[[#This Row],[Rating]]), "Not Rated", IF(Table13[[#This Row],[Rating]] &lt; 3, "Low", IF(Table13[[#This Row],[Rating]] &lt; 4, "Medium", "High")))</f>
        <v>High</v>
      </c>
      <c r="L529">
        <v>222</v>
      </c>
      <c r="M529">
        <v>34</v>
      </c>
      <c r="N529" t="str">
        <f>IF(Table13[[#This Row],[Price USD]]&lt;20,"Budget",IF(Table13[[#This Row],[Price USD]]&lt;=50,"Mid-range","Premium"))</f>
        <v>Mid-range</v>
      </c>
      <c r="O529">
        <v>0</v>
      </c>
      <c r="P529">
        <v>0</v>
      </c>
    </row>
    <row r="530" spans="1:16" x14ac:dyDescent="0.25">
      <c r="A530" t="s">
        <v>1753</v>
      </c>
      <c r="B530" t="s">
        <v>1754</v>
      </c>
      <c r="C530">
        <v>6218</v>
      </c>
      <c r="D530" t="s">
        <v>116</v>
      </c>
      <c r="E530" t="s">
        <v>21</v>
      </c>
      <c r="F530">
        <v>17721</v>
      </c>
      <c r="G5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0">
        <v>4.1395999999999997</v>
      </c>
      <c r="J530" t="str">
        <f>IF(ISBLANK(Table13[[#This Row],[Rating]]), "No", "Yes")</f>
        <v>Yes</v>
      </c>
      <c r="K530" t="str">
        <f>IF(ISBLANK(Table13[[#This Row],[Rating]]), "Not Rated", IF(Table13[[#This Row],[Rating]] &lt; 3, "Low", IF(Table13[[#This Row],[Rating]] &lt; 4, "Medium", "High")))</f>
        <v>High</v>
      </c>
      <c r="L530">
        <v>222</v>
      </c>
      <c r="M530">
        <v>55</v>
      </c>
      <c r="N530" t="str">
        <f>IF(Table13[[#This Row],[Price USD]]&lt;20,"Budget",IF(Table13[[#This Row],[Price USD]]&lt;=50,"Mid-range","Premium"))</f>
        <v>Premium</v>
      </c>
      <c r="O530">
        <v>0</v>
      </c>
      <c r="P530">
        <v>0</v>
      </c>
    </row>
    <row r="531" spans="1:16" x14ac:dyDescent="0.25">
      <c r="A531" t="s">
        <v>2122</v>
      </c>
      <c r="B531" t="s">
        <v>2123</v>
      </c>
      <c r="C531">
        <v>6357</v>
      </c>
      <c r="D531" t="s">
        <v>876</v>
      </c>
      <c r="E531" t="s">
        <v>8</v>
      </c>
      <c r="F531">
        <v>13387</v>
      </c>
      <c r="G5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1">
        <v>4.7545000000000002</v>
      </c>
      <c r="J531" t="str">
        <f>IF(ISBLANK(Table13[[#This Row],[Rating]]), "No", "Yes")</f>
        <v>Yes</v>
      </c>
      <c r="K531" t="str">
        <f>IF(ISBLANK(Table13[[#This Row],[Rating]]), "Not Rated", IF(Table13[[#This Row],[Rating]] &lt; 3, "Low", IF(Table13[[#This Row],[Rating]] &lt; 4, "Medium", "High")))</f>
        <v>High</v>
      </c>
      <c r="L531">
        <v>224</v>
      </c>
      <c r="M531">
        <v>48</v>
      </c>
      <c r="N531" t="str">
        <f>IF(Table13[[#This Row],[Price USD]]&lt;20,"Budget",IF(Table13[[#This Row],[Price USD]]&lt;=50,"Mid-range","Premium"))</f>
        <v>Mid-range</v>
      </c>
      <c r="O531">
        <v>0</v>
      </c>
      <c r="P531">
        <v>0</v>
      </c>
    </row>
    <row r="532" spans="1:16" x14ac:dyDescent="0.25">
      <c r="A532" t="s">
        <v>2032</v>
      </c>
      <c r="B532" t="s">
        <v>2033</v>
      </c>
      <c r="C532">
        <v>5644</v>
      </c>
      <c r="D532" t="s">
        <v>158</v>
      </c>
      <c r="E532" t="s">
        <v>21</v>
      </c>
      <c r="F532">
        <v>14373</v>
      </c>
      <c r="G5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2">
        <v>4.2187999999999999</v>
      </c>
      <c r="J532" t="str">
        <f>IF(ISBLANK(Table13[[#This Row],[Rating]]), "No", "Yes")</f>
        <v>Yes</v>
      </c>
      <c r="K532" t="str">
        <f>IF(ISBLANK(Table13[[#This Row],[Rating]]), "Not Rated", IF(Table13[[#This Row],[Rating]] &lt; 3, "Low", IF(Table13[[#This Row],[Rating]] &lt; 4, "Medium", "High")))</f>
        <v>High</v>
      </c>
      <c r="L532">
        <v>224</v>
      </c>
      <c r="M532">
        <v>66</v>
      </c>
      <c r="N532" t="str">
        <f>IF(Table13[[#This Row],[Price USD]]&lt;20,"Budget",IF(Table13[[#This Row],[Price USD]]&lt;=50,"Mid-range","Premium"))</f>
        <v>Premium</v>
      </c>
      <c r="O532">
        <v>0</v>
      </c>
      <c r="P532">
        <v>0</v>
      </c>
    </row>
    <row r="533" spans="1:16" x14ac:dyDescent="0.25">
      <c r="A533" t="s">
        <v>1358</v>
      </c>
      <c r="B533" t="s">
        <v>1359</v>
      </c>
      <c r="C533">
        <v>6218</v>
      </c>
      <c r="D533" t="s">
        <v>116</v>
      </c>
      <c r="E533" t="s">
        <v>13</v>
      </c>
      <c r="F533">
        <v>24814</v>
      </c>
      <c r="G5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3">
        <v>4.2843999999999998</v>
      </c>
      <c r="J533" t="str">
        <f>IF(ISBLANK(Table13[[#This Row],[Rating]]), "No", "Yes")</f>
        <v>Yes</v>
      </c>
      <c r="K533" t="str">
        <f>IF(ISBLANK(Table13[[#This Row],[Rating]]), "Not Rated", IF(Table13[[#This Row],[Rating]] &lt; 3, "Low", IF(Table13[[#This Row],[Rating]] &lt; 4, "Medium", "High")))</f>
        <v>High</v>
      </c>
      <c r="L533">
        <v>225</v>
      </c>
      <c r="M533">
        <v>35</v>
      </c>
      <c r="N533" t="str">
        <f>IF(Table13[[#This Row],[Price USD]]&lt;20,"Budget",IF(Table13[[#This Row],[Price USD]]&lt;=50,"Mid-range","Premium"))</f>
        <v>Mid-range</v>
      </c>
      <c r="O533">
        <v>0</v>
      </c>
      <c r="P533">
        <v>0</v>
      </c>
    </row>
    <row r="534" spans="1:16" x14ac:dyDescent="0.25">
      <c r="A534" t="s">
        <v>2183</v>
      </c>
      <c r="B534" t="s">
        <v>2184</v>
      </c>
      <c r="C534">
        <v>5337</v>
      </c>
      <c r="D534" t="s">
        <v>209</v>
      </c>
      <c r="E534" t="s">
        <v>49</v>
      </c>
      <c r="F534">
        <v>12724</v>
      </c>
      <c r="G5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4">
        <v>3.1858</v>
      </c>
      <c r="J534" t="str">
        <f>IF(ISBLANK(Table13[[#This Row],[Rating]]), "No", "Yes")</f>
        <v>Yes</v>
      </c>
      <c r="K534" t="str">
        <f>IF(ISBLANK(Table13[[#This Row],[Rating]]), "Not Rated", IF(Table13[[#This Row],[Rating]] &lt; 3, "Low", IF(Table13[[#This Row],[Rating]] &lt; 4, "Medium", "High")))</f>
        <v>Medium</v>
      </c>
      <c r="L534">
        <v>226</v>
      </c>
      <c r="M534">
        <v>42</v>
      </c>
      <c r="N534" t="str">
        <f>IF(Table13[[#This Row],[Price USD]]&lt;20,"Budget",IF(Table13[[#This Row],[Price USD]]&lt;=50,"Mid-range","Premium"))</f>
        <v>Mid-range</v>
      </c>
      <c r="O534">
        <v>0</v>
      </c>
      <c r="P534">
        <v>0</v>
      </c>
    </row>
    <row r="535" spans="1:16" x14ac:dyDescent="0.25">
      <c r="A535" t="s">
        <v>1525</v>
      </c>
      <c r="B535" t="s">
        <v>1526</v>
      </c>
      <c r="C535">
        <v>6323</v>
      </c>
      <c r="D535" t="s">
        <v>1527</v>
      </c>
      <c r="E535" t="s">
        <v>21</v>
      </c>
      <c r="F535">
        <v>21558</v>
      </c>
      <c r="G5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5">
        <v>4.6902999999999997</v>
      </c>
      <c r="J535" t="str">
        <f>IF(ISBLANK(Table13[[#This Row],[Rating]]), "No", "Yes")</f>
        <v>Yes</v>
      </c>
      <c r="K535" t="str">
        <f>IF(ISBLANK(Table13[[#This Row],[Rating]]), "Not Rated", IF(Table13[[#This Row],[Rating]] &lt; 3, "Low", IF(Table13[[#This Row],[Rating]] &lt; 4, "Medium", "High")))</f>
        <v>High</v>
      </c>
      <c r="L535">
        <v>226</v>
      </c>
      <c r="M535">
        <v>60</v>
      </c>
      <c r="N535" t="str">
        <f>IF(Table13[[#This Row],[Price USD]]&lt;20,"Budget",IF(Table13[[#This Row],[Price USD]]&lt;=50,"Mid-range","Premium"))</f>
        <v>Premium</v>
      </c>
      <c r="O535">
        <v>0</v>
      </c>
      <c r="P535">
        <v>0</v>
      </c>
    </row>
    <row r="536" spans="1:16" x14ac:dyDescent="0.25">
      <c r="A536" t="s">
        <v>1162</v>
      </c>
      <c r="B536" t="s">
        <v>1163</v>
      </c>
      <c r="C536">
        <v>6285</v>
      </c>
      <c r="D536" t="s">
        <v>119</v>
      </c>
      <c r="E536" t="s">
        <v>69</v>
      </c>
      <c r="F536">
        <v>30744</v>
      </c>
      <c r="G5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6">
        <v>4.3083999999999998</v>
      </c>
      <c r="J536" t="str">
        <f>IF(ISBLANK(Table13[[#This Row],[Rating]]), "No", "Yes")</f>
        <v>Yes</v>
      </c>
      <c r="K536" t="str">
        <f>IF(ISBLANK(Table13[[#This Row],[Rating]]), "Not Rated", IF(Table13[[#This Row],[Rating]] &lt; 3, "Low", IF(Table13[[#This Row],[Rating]] &lt; 4, "Medium", "High")))</f>
        <v>High</v>
      </c>
      <c r="L536">
        <v>227</v>
      </c>
      <c r="M536">
        <v>7.49</v>
      </c>
      <c r="N536" t="str">
        <f>IF(Table13[[#This Row],[Price USD]]&lt;20,"Budget",IF(Table13[[#This Row],[Price USD]]&lt;=50,"Mid-range","Premium"))</f>
        <v>Budget</v>
      </c>
      <c r="O536">
        <v>0</v>
      </c>
      <c r="P536">
        <v>0</v>
      </c>
    </row>
    <row r="537" spans="1:16" x14ac:dyDescent="0.25">
      <c r="A537" t="s">
        <v>2001</v>
      </c>
      <c r="B537" t="s">
        <v>2002</v>
      </c>
      <c r="C537">
        <v>6247</v>
      </c>
      <c r="D537" t="s">
        <v>38</v>
      </c>
      <c r="E537" t="s">
        <v>8</v>
      </c>
      <c r="F537">
        <v>14766</v>
      </c>
      <c r="G5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7">
        <v>4.7587999999999999</v>
      </c>
      <c r="J537" t="str">
        <f>IF(ISBLANK(Table13[[#This Row],[Rating]]), "No", "Yes")</f>
        <v>Yes</v>
      </c>
      <c r="K537" t="str">
        <f>IF(ISBLANK(Table13[[#This Row],[Rating]]), "Not Rated", IF(Table13[[#This Row],[Rating]] &lt; 3, "Low", IF(Table13[[#This Row],[Rating]] &lt; 4, "Medium", "High")))</f>
        <v>High</v>
      </c>
      <c r="L537">
        <v>228</v>
      </c>
      <c r="M537">
        <v>69</v>
      </c>
      <c r="N537" t="str">
        <f>IF(Table13[[#This Row],[Price USD]]&lt;20,"Budget",IF(Table13[[#This Row],[Price USD]]&lt;=50,"Mid-range","Premium"))</f>
        <v>Premium</v>
      </c>
      <c r="O537">
        <v>1</v>
      </c>
      <c r="P537">
        <v>0</v>
      </c>
    </row>
    <row r="538" spans="1:16" x14ac:dyDescent="0.25">
      <c r="A538" t="s">
        <v>2536</v>
      </c>
      <c r="B538" t="s">
        <v>2537</v>
      </c>
      <c r="C538">
        <v>6018</v>
      </c>
      <c r="D538" t="s">
        <v>517</v>
      </c>
      <c r="E538" t="s">
        <v>8</v>
      </c>
      <c r="F538">
        <v>10068</v>
      </c>
      <c r="G5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8">
        <v>3.9824999999999999</v>
      </c>
      <c r="J538" t="str">
        <f>IF(ISBLANK(Table13[[#This Row],[Rating]]), "No", "Yes")</f>
        <v>Yes</v>
      </c>
      <c r="K538" t="str">
        <f>IF(ISBLANK(Table13[[#This Row],[Rating]]), "Not Rated", IF(Table13[[#This Row],[Rating]] &lt; 3, "Low", IF(Table13[[#This Row],[Rating]] &lt; 4, "Medium", "High")))</f>
        <v>Medium</v>
      </c>
      <c r="L538">
        <v>229</v>
      </c>
      <c r="M538">
        <v>118</v>
      </c>
      <c r="N538" t="str">
        <f>IF(Table13[[#This Row],[Price USD]]&lt;20,"Budget",IF(Table13[[#This Row],[Price USD]]&lt;=50,"Mid-range","Premium"))</f>
        <v>Premium</v>
      </c>
      <c r="O538">
        <v>0</v>
      </c>
      <c r="P538">
        <v>0</v>
      </c>
    </row>
    <row r="539" spans="1:16" x14ac:dyDescent="0.25">
      <c r="A539" t="s">
        <v>2418</v>
      </c>
      <c r="B539" t="s">
        <v>2419</v>
      </c>
      <c r="C539">
        <v>6117</v>
      </c>
      <c r="D539" t="s">
        <v>229</v>
      </c>
      <c r="E539" t="s">
        <v>21</v>
      </c>
      <c r="F539">
        <v>10870</v>
      </c>
      <c r="G5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39">
        <v>3.786</v>
      </c>
      <c r="J539" t="str">
        <f>IF(ISBLANK(Table13[[#This Row],[Rating]]), "No", "Yes")</f>
        <v>Yes</v>
      </c>
      <c r="K539" t="str">
        <f>IF(ISBLANK(Table13[[#This Row],[Rating]]), "Not Rated", IF(Table13[[#This Row],[Rating]] &lt; 3, "Low", IF(Table13[[#This Row],[Rating]] &lt; 4, "Medium", "High")))</f>
        <v>Medium</v>
      </c>
      <c r="L539">
        <v>229</v>
      </c>
      <c r="M539">
        <v>46</v>
      </c>
      <c r="N539" t="str">
        <f>IF(Table13[[#This Row],[Price USD]]&lt;20,"Budget",IF(Table13[[#This Row],[Price USD]]&lt;=50,"Mid-range","Premium"))</f>
        <v>Mid-range</v>
      </c>
      <c r="O539">
        <v>0</v>
      </c>
      <c r="P539">
        <v>0</v>
      </c>
    </row>
    <row r="540" spans="1:16" x14ac:dyDescent="0.25">
      <c r="A540" t="s">
        <v>2312</v>
      </c>
      <c r="B540" t="s">
        <v>2313</v>
      </c>
      <c r="C540">
        <v>7037</v>
      </c>
      <c r="D540" t="s">
        <v>1718</v>
      </c>
      <c r="E540" t="s">
        <v>347</v>
      </c>
      <c r="F540">
        <v>11753</v>
      </c>
      <c r="G5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0">
        <v>4.4236000000000004</v>
      </c>
      <c r="J540" t="str">
        <f>IF(ISBLANK(Table13[[#This Row],[Rating]]), "No", "Yes")</f>
        <v>Yes</v>
      </c>
      <c r="K540" t="str">
        <f>IF(ISBLANK(Table13[[#This Row],[Rating]]), "Not Rated", IF(Table13[[#This Row],[Rating]] &lt; 3, "Low", IF(Table13[[#This Row],[Rating]] &lt; 4, "Medium", "High")))</f>
        <v>High</v>
      </c>
      <c r="L540">
        <v>229</v>
      </c>
      <c r="M540">
        <v>329</v>
      </c>
      <c r="N540" t="str">
        <f>IF(Table13[[#This Row],[Price USD]]&lt;20,"Budget",IF(Table13[[#This Row],[Price USD]]&lt;=50,"Mid-range","Premium"))</f>
        <v>Premium</v>
      </c>
      <c r="O540">
        <v>0</v>
      </c>
      <c r="P540">
        <v>0</v>
      </c>
    </row>
    <row r="541" spans="1:16" x14ac:dyDescent="0.25">
      <c r="A541" t="s">
        <v>1394</v>
      </c>
      <c r="B541" t="s">
        <v>1395</v>
      </c>
      <c r="C541">
        <v>5668</v>
      </c>
      <c r="D541" t="s">
        <v>93</v>
      </c>
      <c r="E541" t="s">
        <v>8</v>
      </c>
      <c r="F541">
        <v>24244</v>
      </c>
      <c r="G5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1">
        <v>4.556</v>
      </c>
      <c r="J541" t="str">
        <f>IF(ISBLANK(Table13[[#This Row],[Rating]]), "No", "Yes")</f>
        <v>Yes</v>
      </c>
      <c r="K541" t="str">
        <f>IF(ISBLANK(Table13[[#This Row],[Rating]]), "Not Rated", IF(Table13[[#This Row],[Rating]] &lt; 3, "Low", IF(Table13[[#This Row],[Rating]] &lt; 4, "Medium", "High")))</f>
        <v>High</v>
      </c>
      <c r="L541">
        <v>232</v>
      </c>
      <c r="M541">
        <v>85</v>
      </c>
      <c r="N541" t="str">
        <f>IF(Table13[[#This Row],[Price USD]]&lt;20,"Budget",IF(Table13[[#This Row],[Price USD]]&lt;=50,"Mid-range","Premium"))</f>
        <v>Premium</v>
      </c>
      <c r="O541">
        <v>0</v>
      </c>
      <c r="P541">
        <v>0</v>
      </c>
    </row>
    <row r="542" spans="1:16" x14ac:dyDescent="0.25">
      <c r="A542" t="s">
        <v>1548</v>
      </c>
      <c r="B542" t="s">
        <v>1549</v>
      </c>
      <c r="C542">
        <v>6195</v>
      </c>
      <c r="D542" t="s">
        <v>163</v>
      </c>
      <c r="E542" t="s">
        <v>13</v>
      </c>
      <c r="F542">
        <v>21228</v>
      </c>
      <c r="G5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2">
        <v>3.6440999999999999</v>
      </c>
      <c r="J542" t="str">
        <f>IF(ISBLANK(Table13[[#This Row],[Rating]]), "No", "Yes")</f>
        <v>Yes</v>
      </c>
      <c r="K542" t="str">
        <f>IF(ISBLANK(Table13[[#This Row],[Rating]]), "Not Rated", IF(Table13[[#This Row],[Rating]] &lt; 3, "Low", IF(Table13[[#This Row],[Rating]] &lt; 4, "Medium", "High")))</f>
        <v>Medium</v>
      </c>
      <c r="L542">
        <v>236</v>
      </c>
      <c r="M542">
        <v>28</v>
      </c>
      <c r="N542" t="str">
        <f>IF(Table13[[#This Row],[Price USD]]&lt;20,"Budget",IF(Table13[[#This Row],[Price USD]]&lt;=50,"Mid-range","Premium"))</f>
        <v>Mid-range</v>
      </c>
      <c r="O542">
        <v>0</v>
      </c>
      <c r="P542">
        <v>1</v>
      </c>
    </row>
    <row r="543" spans="1:16" x14ac:dyDescent="0.25">
      <c r="A543" t="s">
        <v>1000</v>
      </c>
      <c r="B543" t="s">
        <v>1001</v>
      </c>
      <c r="C543">
        <v>6341</v>
      </c>
      <c r="D543" t="s">
        <v>66</v>
      </c>
      <c r="E543" t="s">
        <v>13</v>
      </c>
      <c r="F543">
        <v>37158</v>
      </c>
      <c r="G5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3">
        <v>4.7300000000000004</v>
      </c>
      <c r="J543" t="str">
        <f>IF(ISBLANK(Table13[[#This Row],[Rating]]), "No", "Yes")</f>
        <v>Yes</v>
      </c>
      <c r="K543" t="str">
        <f>IF(ISBLANK(Table13[[#This Row],[Rating]]), "Not Rated", IF(Table13[[#This Row],[Rating]] &lt; 3, "Low", IF(Table13[[#This Row],[Rating]] &lt; 4, "Medium", "High")))</f>
        <v>High</v>
      </c>
      <c r="L543">
        <v>237</v>
      </c>
      <c r="M543">
        <v>26</v>
      </c>
      <c r="N543" t="str">
        <f>IF(Table13[[#This Row],[Price USD]]&lt;20,"Budget",IF(Table13[[#This Row],[Price USD]]&lt;=50,"Mid-range","Premium"))</f>
        <v>Mid-range</v>
      </c>
      <c r="O543">
        <v>0</v>
      </c>
      <c r="P543">
        <v>0</v>
      </c>
    </row>
    <row r="544" spans="1:16" x14ac:dyDescent="0.25">
      <c r="A544" t="s">
        <v>967</v>
      </c>
      <c r="B544" t="s">
        <v>968</v>
      </c>
      <c r="C544">
        <v>3902</v>
      </c>
      <c r="D544" t="s">
        <v>72</v>
      </c>
      <c r="E544" t="s">
        <v>347</v>
      </c>
      <c r="F544">
        <v>38239</v>
      </c>
      <c r="G5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4">
        <v>4.4725999999999999</v>
      </c>
      <c r="J544" t="str">
        <f>IF(ISBLANK(Table13[[#This Row],[Rating]]), "No", "Yes")</f>
        <v>Yes</v>
      </c>
      <c r="K544" t="str">
        <f>IF(ISBLANK(Table13[[#This Row],[Rating]]), "Not Rated", IF(Table13[[#This Row],[Rating]] &lt; 3, "Low", IF(Table13[[#This Row],[Rating]] &lt; 4, "Medium", "High")))</f>
        <v>High</v>
      </c>
      <c r="L544">
        <v>237</v>
      </c>
      <c r="M544">
        <v>18</v>
      </c>
      <c r="N544" t="str">
        <f>IF(Table13[[#This Row],[Price USD]]&lt;20,"Budget",IF(Table13[[#This Row],[Price USD]]&lt;=50,"Mid-range","Premium"))</f>
        <v>Budget</v>
      </c>
      <c r="O544">
        <v>0</v>
      </c>
      <c r="P544">
        <v>0</v>
      </c>
    </row>
    <row r="545" spans="1:16" x14ac:dyDescent="0.25">
      <c r="A545" t="s">
        <v>1861</v>
      </c>
      <c r="B545" t="s">
        <v>1862</v>
      </c>
      <c r="C545">
        <v>1254</v>
      </c>
      <c r="D545" t="s">
        <v>136</v>
      </c>
      <c r="E545" t="s">
        <v>49</v>
      </c>
      <c r="F545">
        <v>16286</v>
      </c>
      <c r="G5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5">
        <v>3.9706000000000001</v>
      </c>
      <c r="J545" t="str">
        <f>IF(ISBLANK(Table13[[#This Row],[Rating]]), "No", "Yes")</f>
        <v>Yes</v>
      </c>
      <c r="K545" t="str">
        <f>IF(ISBLANK(Table13[[#This Row],[Rating]]), "Not Rated", IF(Table13[[#This Row],[Rating]] &lt; 3, "Low", IF(Table13[[#This Row],[Rating]] &lt; 4, "Medium", "High")))</f>
        <v>Medium</v>
      </c>
      <c r="L545">
        <v>238</v>
      </c>
      <c r="M545">
        <v>30</v>
      </c>
      <c r="N545" t="str">
        <f>IF(Table13[[#This Row],[Price USD]]&lt;20,"Budget",IF(Table13[[#This Row],[Price USD]]&lt;=50,"Mid-range","Premium"))</f>
        <v>Mid-range</v>
      </c>
      <c r="O545">
        <v>0</v>
      </c>
      <c r="P545">
        <v>0</v>
      </c>
    </row>
    <row r="546" spans="1:16" x14ac:dyDescent="0.25">
      <c r="A546" t="s">
        <v>872</v>
      </c>
      <c r="B546" t="s">
        <v>873</v>
      </c>
      <c r="C546">
        <v>3902</v>
      </c>
      <c r="D546" t="s">
        <v>72</v>
      </c>
      <c r="E546" t="s">
        <v>8</v>
      </c>
      <c r="F546">
        <v>41657</v>
      </c>
      <c r="G5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6">
        <v>3.3235000000000001</v>
      </c>
      <c r="J546" t="str">
        <f>IF(ISBLANK(Table13[[#This Row],[Rating]]), "No", "Yes")</f>
        <v>Yes</v>
      </c>
      <c r="K546" t="str">
        <f>IF(ISBLANK(Table13[[#This Row],[Rating]]), "Not Rated", IF(Table13[[#This Row],[Rating]] &lt; 3, "Low", IF(Table13[[#This Row],[Rating]] &lt; 4, "Medium", "High")))</f>
        <v>Medium</v>
      </c>
      <c r="L546">
        <v>238</v>
      </c>
      <c r="M546">
        <v>9</v>
      </c>
      <c r="N546" t="str">
        <f>IF(Table13[[#This Row],[Price USD]]&lt;20,"Budget",IF(Table13[[#This Row],[Price USD]]&lt;=50,"Mid-range","Premium"))</f>
        <v>Budget</v>
      </c>
      <c r="O546">
        <v>0</v>
      </c>
      <c r="P546">
        <v>0</v>
      </c>
    </row>
    <row r="547" spans="1:16" x14ac:dyDescent="0.25">
      <c r="A547" t="s">
        <v>2448</v>
      </c>
      <c r="B547" t="s">
        <v>2449</v>
      </c>
      <c r="C547">
        <v>6018</v>
      </c>
      <c r="D547" t="s">
        <v>517</v>
      </c>
      <c r="E547" t="s">
        <v>21</v>
      </c>
      <c r="F547">
        <v>10578</v>
      </c>
      <c r="G5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7">
        <v>4.3807999999999998</v>
      </c>
      <c r="J547" t="str">
        <f>IF(ISBLANK(Table13[[#This Row],[Rating]]), "No", "Yes")</f>
        <v>Yes</v>
      </c>
      <c r="K547" t="str">
        <f>IF(ISBLANK(Table13[[#This Row],[Rating]]), "Not Rated", IF(Table13[[#This Row],[Rating]] &lt; 3, "Low", IF(Table13[[#This Row],[Rating]] &lt; 4, "Medium", "High")))</f>
        <v>High</v>
      </c>
      <c r="L547">
        <v>239</v>
      </c>
      <c r="M547">
        <v>94</v>
      </c>
      <c r="N547" t="str">
        <f>IF(Table13[[#This Row],[Price USD]]&lt;20,"Budget",IF(Table13[[#This Row],[Price USD]]&lt;=50,"Mid-range","Premium"))</f>
        <v>Premium</v>
      </c>
      <c r="O547">
        <v>0</v>
      </c>
      <c r="P547">
        <v>0</v>
      </c>
    </row>
    <row r="548" spans="1:16" x14ac:dyDescent="0.25">
      <c r="A548" t="s">
        <v>1869</v>
      </c>
      <c r="B548" t="s">
        <v>1870</v>
      </c>
      <c r="C548">
        <v>4372</v>
      </c>
      <c r="D548" t="s">
        <v>1513</v>
      </c>
      <c r="E548" t="s">
        <v>69</v>
      </c>
      <c r="F548">
        <v>16237</v>
      </c>
      <c r="G5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8">
        <v>3.887</v>
      </c>
      <c r="J548" t="str">
        <f>IF(ISBLANK(Table13[[#This Row],[Rating]]), "No", "Yes")</f>
        <v>Yes</v>
      </c>
      <c r="K548" t="str">
        <f>IF(ISBLANK(Table13[[#This Row],[Rating]]), "Not Rated", IF(Table13[[#This Row],[Rating]] &lt; 3, "Low", IF(Table13[[#This Row],[Rating]] &lt; 4, "Medium", "High")))</f>
        <v>Medium</v>
      </c>
      <c r="L548">
        <v>239</v>
      </c>
      <c r="M548">
        <v>44</v>
      </c>
      <c r="N548" t="str">
        <f>IF(Table13[[#This Row],[Price USD]]&lt;20,"Budget",IF(Table13[[#This Row],[Price USD]]&lt;=50,"Mid-range","Premium"))</f>
        <v>Mid-range</v>
      </c>
      <c r="O548">
        <v>0</v>
      </c>
      <c r="P548">
        <v>0</v>
      </c>
    </row>
    <row r="549" spans="1:16" x14ac:dyDescent="0.25">
      <c r="A549" t="s">
        <v>1412</v>
      </c>
      <c r="B549" t="s">
        <v>1413</v>
      </c>
      <c r="C549">
        <v>5668</v>
      </c>
      <c r="D549" t="s">
        <v>93</v>
      </c>
      <c r="E549" t="s">
        <v>8</v>
      </c>
      <c r="F549">
        <v>23751</v>
      </c>
      <c r="G5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49">
        <v>4.3388999999999998</v>
      </c>
      <c r="J549" t="str">
        <f>IF(ISBLANK(Table13[[#This Row],[Rating]]), "No", "Yes")</f>
        <v>Yes</v>
      </c>
      <c r="K549" t="str">
        <f>IF(ISBLANK(Table13[[#This Row],[Rating]]), "Not Rated", IF(Table13[[#This Row],[Rating]] &lt; 3, "Low", IF(Table13[[#This Row],[Rating]] &lt; 4, "Medium", "High")))</f>
        <v>High</v>
      </c>
      <c r="L549">
        <v>239</v>
      </c>
      <c r="M549">
        <v>20</v>
      </c>
      <c r="N549" t="str">
        <f>IF(Table13[[#This Row],[Price USD]]&lt;20,"Budget",IF(Table13[[#This Row],[Price USD]]&lt;=50,"Mid-range","Premium"))</f>
        <v>Mid-range</v>
      </c>
      <c r="O549">
        <v>0</v>
      </c>
      <c r="P549">
        <v>0</v>
      </c>
    </row>
    <row r="550" spans="1:16" x14ac:dyDescent="0.25">
      <c r="A550" t="s">
        <v>2059</v>
      </c>
      <c r="B550" t="s">
        <v>2060</v>
      </c>
      <c r="C550">
        <v>4171</v>
      </c>
      <c r="D550" t="s">
        <v>133</v>
      </c>
      <c r="E550" t="s">
        <v>21</v>
      </c>
      <c r="F550">
        <v>14020</v>
      </c>
      <c r="G5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0">
        <v>4.4667000000000003</v>
      </c>
      <c r="J550" t="str">
        <f>IF(ISBLANK(Table13[[#This Row],[Rating]]), "No", "Yes")</f>
        <v>Yes</v>
      </c>
      <c r="K550" t="str">
        <f>IF(ISBLANK(Table13[[#This Row],[Rating]]), "Not Rated", IF(Table13[[#This Row],[Rating]] &lt; 3, "Low", IF(Table13[[#This Row],[Rating]] &lt; 4, "Medium", "High")))</f>
        <v>High</v>
      </c>
      <c r="L550">
        <v>240</v>
      </c>
      <c r="M550">
        <v>69</v>
      </c>
      <c r="N550" t="str">
        <f>IF(Table13[[#This Row],[Price USD]]&lt;20,"Budget",IF(Table13[[#This Row],[Price USD]]&lt;=50,"Mid-range","Premium"))</f>
        <v>Premium</v>
      </c>
      <c r="O550">
        <v>0</v>
      </c>
      <c r="P550">
        <v>0</v>
      </c>
    </row>
    <row r="551" spans="1:16" x14ac:dyDescent="0.25">
      <c r="A551" t="s">
        <v>1604</v>
      </c>
      <c r="B551" t="s">
        <v>1605</v>
      </c>
      <c r="C551">
        <v>6289</v>
      </c>
      <c r="D551" t="s">
        <v>111</v>
      </c>
      <c r="E551" t="s">
        <v>69</v>
      </c>
      <c r="F551">
        <v>19905</v>
      </c>
      <c r="G5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1">
        <v>4.1577000000000002</v>
      </c>
      <c r="J551" t="str">
        <f>IF(ISBLANK(Table13[[#This Row],[Rating]]), "No", "Yes")</f>
        <v>Yes</v>
      </c>
      <c r="K551" t="str">
        <f>IF(ISBLANK(Table13[[#This Row],[Rating]]), "Not Rated", IF(Table13[[#This Row],[Rating]] &lt; 3, "Low", IF(Table13[[#This Row],[Rating]] &lt; 4, "Medium", "High")))</f>
        <v>High</v>
      </c>
      <c r="L551">
        <v>241</v>
      </c>
      <c r="M551">
        <v>52</v>
      </c>
      <c r="N551" t="str">
        <f>IF(Table13[[#This Row],[Price USD]]&lt;20,"Budget",IF(Table13[[#This Row],[Price USD]]&lt;=50,"Mid-range","Premium"))</f>
        <v>Premium</v>
      </c>
      <c r="O551">
        <v>0</v>
      </c>
      <c r="P551">
        <v>0</v>
      </c>
    </row>
    <row r="552" spans="1:16" x14ac:dyDescent="0.25">
      <c r="A552" t="s">
        <v>1602</v>
      </c>
      <c r="B552" t="s">
        <v>1603</v>
      </c>
      <c r="C552">
        <v>3902</v>
      </c>
      <c r="D552" t="s">
        <v>72</v>
      </c>
      <c r="E552" t="s">
        <v>347</v>
      </c>
      <c r="F552">
        <v>19958</v>
      </c>
      <c r="G5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2">
        <v>4.3651</v>
      </c>
      <c r="J552" t="str">
        <f>IF(ISBLANK(Table13[[#This Row],[Rating]]), "No", "Yes")</f>
        <v>Yes</v>
      </c>
      <c r="K552" t="str">
        <f>IF(ISBLANK(Table13[[#This Row],[Rating]]), "Not Rated", IF(Table13[[#This Row],[Rating]] &lt; 3, "Low", IF(Table13[[#This Row],[Rating]] &lt; 4, "Medium", "High")))</f>
        <v>High</v>
      </c>
      <c r="L552">
        <v>241</v>
      </c>
      <c r="M552">
        <v>14</v>
      </c>
      <c r="N552" t="str">
        <f>IF(Table13[[#This Row],[Price USD]]&lt;20,"Budget",IF(Table13[[#This Row],[Price USD]]&lt;=50,"Mid-range","Premium"))</f>
        <v>Budget</v>
      </c>
      <c r="O552">
        <v>0</v>
      </c>
      <c r="P552">
        <v>0</v>
      </c>
    </row>
    <row r="553" spans="1:16" x14ac:dyDescent="0.25">
      <c r="A553" t="s">
        <v>1590</v>
      </c>
      <c r="B553" t="s">
        <v>1591</v>
      </c>
      <c r="C553">
        <v>3902</v>
      </c>
      <c r="D553" t="s">
        <v>72</v>
      </c>
      <c r="E553" t="s">
        <v>8</v>
      </c>
      <c r="F553">
        <v>20307</v>
      </c>
      <c r="G5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3">
        <v>4.8299000000000003</v>
      </c>
      <c r="J553" t="str">
        <f>IF(ISBLANK(Table13[[#This Row],[Rating]]), "No", "Yes")</f>
        <v>Yes</v>
      </c>
      <c r="K553" t="str">
        <f>IF(ISBLANK(Table13[[#This Row],[Rating]]), "Not Rated", IF(Table13[[#This Row],[Rating]] &lt; 3, "Low", IF(Table13[[#This Row],[Rating]] &lt; 4, "Medium", "High")))</f>
        <v>High</v>
      </c>
      <c r="L553">
        <v>241</v>
      </c>
      <c r="M553">
        <v>18</v>
      </c>
      <c r="N553" t="str">
        <f>IF(Table13[[#This Row],[Price USD]]&lt;20,"Budget",IF(Table13[[#This Row],[Price USD]]&lt;=50,"Mid-range","Premium"))</f>
        <v>Budget</v>
      </c>
      <c r="O553">
        <v>0</v>
      </c>
      <c r="P553">
        <v>0</v>
      </c>
    </row>
    <row r="554" spans="1:16" x14ac:dyDescent="0.25">
      <c r="A554" t="s">
        <v>1380</v>
      </c>
      <c r="B554" t="s">
        <v>1381</v>
      </c>
      <c r="C554">
        <v>5644</v>
      </c>
      <c r="D554" t="s">
        <v>158</v>
      </c>
      <c r="E554" t="s">
        <v>149</v>
      </c>
      <c r="F554">
        <v>24532</v>
      </c>
      <c r="G5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4">
        <v>4.6390000000000002</v>
      </c>
      <c r="J554" t="str">
        <f>IF(ISBLANK(Table13[[#This Row],[Rating]]), "No", "Yes")</f>
        <v>Yes</v>
      </c>
      <c r="K554" t="str">
        <f>IF(ISBLANK(Table13[[#This Row],[Rating]]), "Not Rated", IF(Table13[[#This Row],[Rating]] &lt; 3, "Low", IF(Table13[[#This Row],[Rating]] &lt; 4, "Medium", "High")))</f>
        <v>High</v>
      </c>
      <c r="L554">
        <v>241</v>
      </c>
      <c r="M554">
        <v>58</v>
      </c>
      <c r="N554" t="str">
        <f>IF(Table13[[#This Row],[Price USD]]&lt;20,"Budget",IF(Table13[[#This Row],[Price USD]]&lt;=50,"Mid-range","Premium"))</f>
        <v>Premium</v>
      </c>
      <c r="O554">
        <v>0</v>
      </c>
      <c r="P554">
        <v>0</v>
      </c>
    </row>
    <row r="555" spans="1:16" x14ac:dyDescent="0.25">
      <c r="A555" t="s">
        <v>1301</v>
      </c>
      <c r="B555" t="s">
        <v>1302</v>
      </c>
      <c r="C555">
        <v>6117</v>
      </c>
      <c r="D555" t="s">
        <v>229</v>
      </c>
      <c r="E555" t="s">
        <v>21</v>
      </c>
      <c r="F555">
        <v>26322</v>
      </c>
      <c r="G5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5">
        <v>4.3526999999999996</v>
      </c>
      <c r="J555" t="str">
        <f>IF(ISBLANK(Table13[[#This Row],[Rating]]), "No", "Yes")</f>
        <v>Yes</v>
      </c>
      <c r="K555" t="str">
        <f>IF(ISBLANK(Table13[[#This Row],[Rating]]), "Not Rated", IF(Table13[[#This Row],[Rating]] &lt; 3, "Low", IF(Table13[[#This Row],[Rating]] &lt; 4, "Medium", "High")))</f>
        <v>High</v>
      </c>
      <c r="L555">
        <v>241</v>
      </c>
      <c r="M555">
        <v>74</v>
      </c>
      <c r="N555" t="str">
        <f>IF(Table13[[#This Row],[Price USD]]&lt;20,"Budget",IF(Table13[[#This Row],[Price USD]]&lt;=50,"Mid-range","Premium"))</f>
        <v>Premium</v>
      </c>
      <c r="O555">
        <v>0</v>
      </c>
      <c r="P555">
        <v>0</v>
      </c>
    </row>
    <row r="556" spans="1:16" x14ac:dyDescent="0.25">
      <c r="A556" t="s">
        <v>1877</v>
      </c>
      <c r="B556" t="s">
        <v>1878</v>
      </c>
      <c r="C556">
        <v>6209</v>
      </c>
      <c r="D556" t="s">
        <v>45</v>
      </c>
      <c r="E556" t="s">
        <v>13</v>
      </c>
      <c r="F556">
        <v>16182</v>
      </c>
      <c r="G5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6">
        <v>4.5597000000000003</v>
      </c>
      <c r="J556" t="str">
        <f>IF(ISBLANK(Table13[[#This Row],[Rating]]), "No", "Yes")</f>
        <v>Yes</v>
      </c>
      <c r="K556" t="str">
        <f>IF(ISBLANK(Table13[[#This Row],[Rating]]), "Not Rated", IF(Table13[[#This Row],[Rating]] &lt; 3, "Low", IF(Table13[[#This Row],[Rating]] &lt; 4, "Medium", "High")))</f>
        <v>High</v>
      </c>
      <c r="L556">
        <v>243</v>
      </c>
      <c r="M556">
        <v>22</v>
      </c>
      <c r="N556" t="str">
        <f>IF(Table13[[#This Row],[Price USD]]&lt;20,"Budget",IF(Table13[[#This Row],[Price USD]]&lt;=50,"Mid-range","Premium"))</f>
        <v>Mid-range</v>
      </c>
      <c r="O556">
        <v>0</v>
      </c>
      <c r="P556">
        <v>0</v>
      </c>
    </row>
    <row r="557" spans="1:16" x14ac:dyDescent="0.25">
      <c r="A557" t="s">
        <v>1558</v>
      </c>
      <c r="B557" t="s">
        <v>1559</v>
      </c>
      <c r="C557">
        <v>4171</v>
      </c>
      <c r="D557" t="s">
        <v>133</v>
      </c>
      <c r="E557" t="s">
        <v>21</v>
      </c>
      <c r="F557">
        <v>20963</v>
      </c>
      <c r="G5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7">
        <v>4.6379000000000001</v>
      </c>
      <c r="J557" t="str">
        <f>IF(ISBLANK(Table13[[#This Row],[Rating]]), "No", "Yes")</f>
        <v>Yes</v>
      </c>
      <c r="K557" t="str">
        <f>IF(ISBLANK(Table13[[#This Row],[Rating]]), "Not Rated", IF(Table13[[#This Row],[Rating]] &lt; 3, "Low", IF(Table13[[#This Row],[Rating]] &lt; 4, "Medium", "High")))</f>
        <v>High</v>
      </c>
      <c r="L557">
        <v>243</v>
      </c>
      <c r="M557">
        <v>129</v>
      </c>
      <c r="N557" t="str">
        <f>IF(Table13[[#This Row],[Price USD]]&lt;20,"Budget",IF(Table13[[#This Row],[Price USD]]&lt;=50,"Mid-range","Premium"))</f>
        <v>Premium</v>
      </c>
      <c r="O557">
        <v>0</v>
      </c>
      <c r="P557">
        <v>0</v>
      </c>
    </row>
    <row r="558" spans="1:16" x14ac:dyDescent="0.25">
      <c r="A558" t="s">
        <v>1640</v>
      </c>
      <c r="B558" t="s">
        <v>1641</v>
      </c>
      <c r="C558">
        <v>1254</v>
      </c>
      <c r="D558" t="s">
        <v>136</v>
      </c>
      <c r="E558" t="s">
        <v>21</v>
      </c>
      <c r="F558">
        <v>19480</v>
      </c>
      <c r="G5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8">
        <v>4.0246000000000004</v>
      </c>
      <c r="J558" t="str">
        <f>IF(ISBLANK(Table13[[#This Row],[Rating]]), "No", "Yes")</f>
        <v>Yes</v>
      </c>
      <c r="K558" t="str">
        <f>IF(ISBLANK(Table13[[#This Row],[Rating]]), "Not Rated", IF(Table13[[#This Row],[Rating]] &lt; 3, "Low", IF(Table13[[#This Row],[Rating]] &lt; 4, "Medium", "High")))</f>
        <v>High</v>
      </c>
      <c r="L558">
        <v>244</v>
      </c>
      <c r="M558">
        <v>44</v>
      </c>
      <c r="N558" t="str">
        <f>IF(Table13[[#This Row],[Price USD]]&lt;20,"Budget",IF(Table13[[#This Row],[Price USD]]&lt;=50,"Mid-range","Premium"))</f>
        <v>Mid-range</v>
      </c>
      <c r="O558">
        <v>0</v>
      </c>
      <c r="P558">
        <v>0</v>
      </c>
    </row>
    <row r="559" spans="1:16" x14ac:dyDescent="0.25">
      <c r="A559" t="s">
        <v>831</v>
      </c>
      <c r="B559" t="s">
        <v>832</v>
      </c>
      <c r="C559">
        <v>6234</v>
      </c>
      <c r="D559" t="s">
        <v>7</v>
      </c>
      <c r="E559" t="s">
        <v>8</v>
      </c>
      <c r="F559">
        <v>43421</v>
      </c>
      <c r="G5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59">
        <v>4.2089999999999996</v>
      </c>
      <c r="J559" t="str">
        <f>IF(ISBLANK(Table13[[#This Row],[Rating]]), "No", "Yes")</f>
        <v>Yes</v>
      </c>
      <c r="K559" t="str">
        <f>IF(ISBLANK(Table13[[#This Row],[Rating]]), "Not Rated", IF(Table13[[#This Row],[Rating]] &lt; 3, "Low", IF(Table13[[#This Row],[Rating]] &lt; 4, "Medium", "High")))</f>
        <v>High</v>
      </c>
      <c r="L559">
        <v>244</v>
      </c>
      <c r="M559">
        <v>8.9</v>
      </c>
      <c r="N559" t="str">
        <f>IF(Table13[[#This Row],[Price USD]]&lt;20,"Budget",IF(Table13[[#This Row],[Price USD]]&lt;=50,"Mid-range","Premium"))</f>
        <v>Budget</v>
      </c>
      <c r="O559">
        <v>0</v>
      </c>
      <c r="P559">
        <v>0</v>
      </c>
    </row>
    <row r="560" spans="1:16" x14ac:dyDescent="0.25">
      <c r="A560" t="s">
        <v>2438</v>
      </c>
      <c r="B560" t="s">
        <v>2439</v>
      </c>
      <c r="C560">
        <v>6018</v>
      </c>
      <c r="D560" t="s">
        <v>517</v>
      </c>
      <c r="E560" t="s">
        <v>21</v>
      </c>
      <c r="F560">
        <v>10676</v>
      </c>
      <c r="G5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0">
        <v>4.4531000000000001</v>
      </c>
      <c r="J560" t="str">
        <f>IF(ISBLANK(Table13[[#This Row],[Rating]]), "No", "Yes")</f>
        <v>Yes</v>
      </c>
      <c r="K560" t="str">
        <f>IF(ISBLANK(Table13[[#This Row],[Rating]]), "Not Rated", IF(Table13[[#This Row],[Rating]] &lt; 3, "Low", IF(Table13[[#This Row],[Rating]] &lt; 4, "Medium", "High")))</f>
        <v>High</v>
      </c>
      <c r="L560">
        <v>245</v>
      </c>
      <c r="M560">
        <v>82</v>
      </c>
      <c r="N560" t="str">
        <f>IF(Table13[[#This Row],[Price USD]]&lt;20,"Budget",IF(Table13[[#This Row],[Price USD]]&lt;=50,"Mid-range","Premium"))</f>
        <v>Premium</v>
      </c>
      <c r="O560">
        <v>0</v>
      </c>
      <c r="P560">
        <v>0</v>
      </c>
    </row>
    <row r="561" spans="1:16" x14ac:dyDescent="0.25">
      <c r="A561" t="s">
        <v>722</v>
      </c>
      <c r="B561" t="s">
        <v>723</v>
      </c>
      <c r="C561">
        <v>6234</v>
      </c>
      <c r="D561" t="s">
        <v>7</v>
      </c>
      <c r="E561" t="s">
        <v>21</v>
      </c>
      <c r="F561">
        <v>49358</v>
      </c>
      <c r="G5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1">
        <v>4.2286000000000001</v>
      </c>
      <c r="J561" t="str">
        <f>IF(ISBLANK(Table13[[#This Row],[Rating]]), "No", "Yes")</f>
        <v>Yes</v>
      </c>
      <c r="K561" t="str">
        <f>IF(ISBLANK(Table13[[#This Row],[Rating]]), "Not Rated", IF(Table13[[#This Row],[Rating]] &lt; 3, "Low", IF(Table13[[#This Row],[Rating]] &lt; 4, "Medium", "High")))</f>
        <v>High</v>
      </c>
      <c r="L561">
        <v>245</v>
      </c>
      <c r="M561">
        <v>11.1</v>
      </c>
      <c r="N561" t="str">
        <f>IF(Table13[[#This Row],[Price USD]]&lt;20,"Budget",IF(Table13[[#This Row],[Price USD]]&lt;=50,"Mid-range","Premium"))</f>
        <v>Budget</v>
      </c>
      <c r="O561">
        <v>0</v>
      </c>
      <c r="P561">
        <v>1</v>
      </c>
    </row>
    <row r="562" spans="1:16" x14ac:dyDescent="0.25">
      <c r="A562" t="s">
        <v>2291</v>
      </c>
      <c r="B562" t="s">
        <v>2292</v>
      </c>
      <c r="C562">
        <v>7050</v>
      </c>
      <c r="D562" t="s">
        <v>721</v>
      </c>
      <c r="E562" t="s">
        <v>201</v>
      </c>
      <c r="F562">
        <v>11891</v>
      </c>
      <c r="G5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2">
        <v>4.1902999999999997</v>
      </c>
      <c r="J562" t="str">
        <f>IF(ISBLANK(Table13[[#This Row],[Rating]]), "No", "Yes")</f>
        <v>Yes</v>
      </c>
      <c r="K562" t="str">
        <f>IF(ISBLANK(Table13[[#This Row],[Rating]]), "Not Rated", IF(Table13[[#This Row],[Rating]] &lt; 3, "Low", IF(Table13[[#This Row],[Rating]] &lt; 4, "Medium", "High")))</f>
        <v>High</v>
      </c>
      <c r="L562">
        <v>247</v>
      </c>
      <c r="M562">
        <v>39</v>
      </c>
      <c r="N562" t="str">
        <f>IF(Table13[[#This Row],[Price USD]]&lt;20,"Budget",IF(Table13[[#This Row],[Price USD]]&lt;=50,"Mid-range","Premium"))</f>
        <v>Mid-range</v>
      </c>
      <c r="O562">
        <v>0</v>
      </c>
      <c r="P562">
        <v>0</v>
      </c>
    </row>
    <row r="563" spans="1:16" x14ac:dyDescent="0.25">
      <c r="A563" t="s">
        <v>1962</v>
      </c>
      <c r="B563" t="s">
        <v>1963</v>
      </c>
      <c r="C563">
        <v>5668</v>
      </c>
      <c r="D563" t="s">
        <v>93</v>
      </c>
      <c r="E563" t="s">
        <v>8</v>
      </c>
      <c r="F563">
        <v>15061</v>
      </c>
      <c r="G5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3">
        <v>4.7286999999999999</v>
      </c>
      <c r="J563" t="str">
        <f>IF(ISBLANK(Table13[[#This Row],[Rating]]), "No", "Yes")</f>
        <v>Yes</v>
      </c>
      <c r="K563" t="str">
        <f>IF(ISBLANK(Table13[[#This Row],[Rating]]), "Not Rated", IF(Table13[[#This Row],[Rating]] &lt; 3, "Low", IF(Table13[[#This Row],[Rating]] &lt; 4, "Medium", "High")))</f>
        <v>High</v>
      </c>
      <c r="L563">
        <v>247</v>
      </c>
      <c r="M563">
        <v>87</v>
      </c>
      <c r="N563" t="str">
        <f>IF(Table13[[#This Row],[Price USD]]&lt;20,"Budget",IF(Table13[[#This Row],[Price USD]]&lt;=50,"Mid-range","Premium"))</f>
        <v>Premium</v>
      </c>
      <c r="O563">
        <v>0</v>
      </c>
      <c r="P563">
        <v>0</v>
      </c>
    </row>
    <row r="564" spans="1:16" x14ac:dyDescent="0.25">
      <c r="A564" t="s">
        <v>1814</v>
      </c>
      <c r="B564" t="s">
        <v>1815</v>
      </c>
      <c r="C564">
        <v>7020</v>
      </c>
      <c r="D564" t="s">
        <v>657</v>
      </c>
      <c r="E564" t="s">
        <v>69</v>
      </c>
      <c r="F564">
        <v>16958</v>
      </c>
      <c r="G5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4">
        <v>3.9159999999999999</v>
      </c>
      <c r="J564" t="str">
        <f>IF(ISBLANK(Table13[[#This Row],[Rating]]), "No", "Yes")</f>
        <v>Yes</v>
      </c>
      <c r="K564" t="str">
        <f>IF(ISBLANK(Table13[[#This Row],[Rating]]), "Not Rated", IF(Table13[[#This Row],[Rating]] &lt; 3, "Low", IF(Table13[[#This Row],[Rating]] &lt; 4, "Medium", "High")))</f>
        <v>Medium</v>
      </c>
      <c r="L564">
        <v>250</v>
      </c>
      <c r="M564">
        <v>75</v>
      </c>
      <c r="N564" t="str">
        <f>IF(Table13[[#This Row],[Price USD]]&lt;20,"Budget",IF(Table13[[#This Row],[Price USD]]&lt;=50,"Mid-range","Premium"))</f>
        <v>Premium</v>
      </c>
      <c r="O564">
        <v>0</v>
      </c>
      <c r="P564">
        <v>0</v>
      </c>
    </row>
    <row r="565" spans="1:16" x14ac:dyDescent="0.25">
      <c r="A565" t="s">
        <v>2530</v>
      </c>
      <c r="B565" t="s">
        <v>2531</v>
      </c>
      <c r="C565">
        <v>5668</v>
      </c>
      <c r="D565" t="s">
        <v>93</v>
      </c>
      <c r="E565" t="s">
        <v>21</v>
      </c>
      <c r="F565">
        <v>10107</v>
      </c>
      <c r="G5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5">
        <v>4.8007999999999997</v>
      </c>
      <c r="J565" t="str">
        <f>IF(ISBLANK(Table13[[#This Row],[Rating]]), "No", "Yes")</f>
        <v>Yes</v>
      </c>
      <c r="K565" t="str">
        <f>IF(ISBLANK(Table13[[#This Row],[Rating]]), "Not Rated", IF(Table13[[#This Row],[Rating]] &lt; 3, "Low", IF(Table13[[#This Row],[Rating]] &lt; 4, "Medium", "High")))</f>
        <v>High</v>
      </c>
      <c r="L565">
        <v>251</v>
      </c>
      <c r="M565">
        <v>75</v>
      </c>
      <c r="N565" t="str">
        <f>IF(Table13[[#This Row],[Price USD]]&lt;20,"Budget",IF(Table13[[#This Row],[Price USD]]&lt;=50,"Mid-range","Premium"))</f>
        <v>Premium</v>
      </c>
      <c r="O565">
        <v>0</v>
      </c>
      <c r="P565">
        <v>0</v>
      </c>
    </row>
    <row r="566" spans="1:16" x14ac:dyDescent="0.25">
      <c r="A566" t="s">
        <v>2205</v>
      </c>
      <c r="B566" t="s">
        <v>2206</v>
      </c>
      <c r="C566">
        <v>6246</v>
      </c>
      <c r="D566" t="s">
        <v>2207</v>
      </c>
      <c r="E566" t="s">
        <v>8</v>
      </c>
      <c r="F566">
        <v>12625</v>
      </c>
      <c r="G5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6">
        <v>4.5975999999999999</v>
      </c>
      <c r="J566" t="str">
        <f>IF(ISBLANK(Table13[[#This Row],[Rating]]), "No", "Yes")</f>
        <v>Yes</v>
      </c>
      <c r="K566" t="str">
        <f>IF(ISBLANK(Table13[[#This Row],[Rating]]), "Not Rated", IF(Table13[[#This Row],[Rating]] &lt; 3, "Low", IF(Table13[[#This Row],[Rating]] &lt; 4, "Medium", "High")))</f>
        <v>High</v>
      </c>
      <c r="L566">
        <v>251</v>
      </c>
      <c r="M566">
        <v>32</v>
      </c>
      <c r="N566" t="str">
        <f>IF(Table13[[#This Row],[Price USD]]&lt;20,"Budget",IF(Table13[[#This Row],[Price USD]]&lt;=50,"Mid-range","Premium"))</f>
        <v>Mid-range</v>
      </c>
      <c r="O566">
        <v>0</v>
      </c>
      <c r="P566">
        <v>0</v>
      </c>
    </row>
    <row r="567" spans="1:16" x14ac:dyDescent="0.25">
      <c r="A567" t="s">
        <v>1410</v>
      </c>
      <c r="B567" t="s">
        <v>1411</v>
      </c>
      <c r="C567">
        <v>6357</v>
      </c>
      <c r="D567" t="s">
        <v>876</v>
      </c>
      <c r="E567" t="s">
        <v>8</v>
      </c>
      <c r="F567">
        <v>23827</v>
      </c>
      <c r="G5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7">
        <v>4.1673</v>
      </c>
      <c r="J567" t="str">
        <f>IF(ISBLANK(Table13[[#This Row],[Rating]]), "No", "Yes")</f>
        <v>Yes</v>
      </c>
      <c r="K567" t="str">
        <f>IF(ISBLANK(Table13[[#This Row],[Rating]]), "Not Rated", IF(Table13[[#This Row],[Rating]] &lt; 3, "Low", IF(Table13[[#This Row],[Rating]] &lt; 4, "Medium", "High")))</f>
        <v>High</v>
      </c>
      <c r="L567">
        <v>251</v>
      </c>
      <c r="M567">
        <v>17</v>
      </c>
      <c r="N567" t="str">
        <f>IF(Table13[[#This Row],[Price USD]]&lt;20,"Budget",IF(Table13[[#This Row],[Price USD]]&lt;=50,"Mid-range","Premium"))</f>
        <v>Budget</v>
      </c>
      <c r="O567">
        <v>0</v>
      </c>
      <c r="P567">
        <v>0</v>
      </c>
    </row>
    <row r="568" spans="1:16" x14ac:dyDescent="0.25">
      <c r="A568" t="s">
        <v>1691</v>
      </c>
      <c r="B568" t="s">
        <v>1692</v>
      </c>
      <c r="C568">
        <v>6326</v>
      </c>
      <c r="D568" t="s">
        <v>1693</v>
      </c>
      <c r="E568" t="s">
        <v>13</v>
      </c>
      <c r="F568">
        <v>18322</v>
      </c>
      <c r="G5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8">
        <v>4.1745999999999999</v>
      </c>
      <c r="J568" t="str">
        <f>IF(ISBLANK(Table13[[#This Row],[Rating]]), "No", "Yes")</f>
        <v>Yes</v>
      </c>
      <c r="K568" t="str">
        <f>IF(ISBLANK(Table13[[#This Row],[Rating]]), "Not Rated", IF(Table13[[#This Row],[Rating]] &lt; 3, "Low", IF(Table13[[#This Row],[Rating]] &lt; 4, "Medium", "High")))</f>
        <v>High</v>
      </c>
      <c r="L568">
        <v>252</v>
      </c>
      <c r="M568">
        <v>24</v>
      </c>
      <c r="N568" t="str">
        <f>IF(Table13[[#This Row],[Price USD]]&lt;20,"Budget",IF(Table13[[#This Row],[Price USD]]&lt;=50,"Mid-range","Premium"))</f>
        <v>Mid-range</v>
      </c>
      <c r="O568">
        <v>0</v>
      </c>
      <c r="P568">
        <v>0</v>
      </c>
    </row>
    <row r="569" spans="1:16" x14ac:dyDescent="0.25">
      <c r="A569" t="s">
        <v>1372</v>
      </c>
      <c r="B569" t="s">
        <v>1373</v>
      </c>
      <c r="C569">
        <v>6117</v>
      </c>
      <c r="D569" t="s">
        <v>229</v>
      </c>
      <c r="E569" t="s">
        <v>8</v>
      </c>
      <c r="F569">
        <v>24635</v>
      </c>
      <c r="G5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69">
        <v>4.5039999999999996</v>
      </c>
      <c r="J569" t="str">
        <f>IF(ISBLANK(Table13[[#This Row],[Rating]]), "No", "Yes")</f>
        <v>Yes</v>
      </c>
      <c r="K569" t="str">
        <f>IF(ISBLANK(Table13[[#This Row],[Rating]]), "Not Rated", IF(Table13[[#This Row],[Rating]] &lt; 3, "Low", IF(Table13[[#This Row],[Rating]] &lt; 4, "Medium", "High")))</f>
        <v>High</v>
      </c>
      <c r="L569">
        <v>252</v>
      </c>
      <c r="M569">
        <v>65</v>
      </c>
      <c r="N569" t="str">
        <f>IF(Table13[[#This Row],[Price USD]]&lt;20,"Budget",IF(Table13[[#This Row],[Price USD]]&lt;=50,"Mid-range","Premium"))</f>
        <v>Premium</v>
      </c>
      <c r="O569">
        <v>0</v>
      </c>
      <c r="P569">
        <v>0</v>
      </c>
    </row>
    <row r="570" spans="1:16" x14ac:dyDescent="0.25">
      <c r="A570" t="s">
        <v>2141</v>
      </c>
      <c r="B570" t="s">
        <v>2142</v>
      </c>
      <c r="C570">
        <v>4164</v>
      </c>
      <c r="D570" t="s">
        <v>623</v>
      </c>
      <c r="E570" t="s">
        <v>149</v>
      </c>
      <c r="F570">
        <v>13212</v>
      </c>
      <c r="G5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0">
        <v>4.0316000000000001</v>
      </c>
      <c r="J570" t="str">
        <f>IF(ISBLANK(Table13[[#This Row],[Rating]]), "No", "Yes")</f>
        <v>Yes</v>
      </c>
      <c r="K570" t="str">
        <f>IF(ISBLANK(Table13[[#This Row],[Rating]]), "Not Rated", IF(Table13[[#This Row],[Rating]] &lt; 3, "Low", IF(Table13[[#This Row],[Rating]] &lt; 4, "Medium", "High")))</f>
        <v>High</v>
      </c>
      <c r="L570">
        <v>253</v>
      </c>
      <c r="M570">
        <v>89</v>
      </c>
      <c r="N570" t="str">
        <f>IF(Table13[[#This Row],[Price USD]]&lt;20,"Budget",IF(Table13[[#This Row],[Price USD]]&lt;=50,"Mid-range","Premium"))</f>
        <v>Premium</v>
      </c>
      <c r="O570">
        <v>0</v>
      </c>
      <c r="P570">
        <v>0</v>
      </c>
    </row>
    <row r="571" spans="1:16" x14ac:dyDescent="0.25">
      <c r="A571" t="s">
        <v>2248</v>
      </c>
      <c r="B571" t="s">
        <v>2249</v>
      </c>
      <c r="C571">
        <v>6314</v>
      </c>
      <c r="D571" t="s">
        <v>558</v>
      </c>
      <c r="E571" t="s">
        <v>149</v>
      </c>
      <c r="F571">
        <v>12224</v>
      </c>
      <c r="G5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1">
        <v>4.2087000000000003</v>
      </c>
      <c r="J571" t="str">
        <f>IF(ISBLANK(Table13[[#This Row],[Rating]]), "No", "Yes")</f>
        <v>Yes</v>
      </c>
      <c r="K571" t="str">
        <f>IF(ISBLANK(Table13[[#This Row],[Rating]]), "Not Rated", IF(Table13[[#This Row],[Rating]] &lt; 3, "Low", IF(Table13[[#This Row],[Rating]] &lt; 4, "Medium", "High")))</f>
        <v>High</v>
      </c>
      <c r="L571">
        <v>254</v>
      </c>
      <c r="M571">
        <v>68</v>
      </c>
      <c r="N571" t="str">
        <f>IF(Table13[[#This Row],[Price USD]]&lt;20,"Budget",IF(Table13[[#This Row],[Price USD]]&lt;=50,"Mid-range","Premium"))</f>
        <v>Premium</v>
      </c>
      <c r="O571">
        <v>0</v>
      </c>
      <c r="P571">
        <v>0</v>
      </c>
    </row>
    <row r="572" spans="1:16" x14ac:dyDescent="0.25">
      <c r="A572" t="s">
        <v>2366</v>
      </c>
      <c r="B572" t="s">
        <v>2367</v>
      </c>
      <c r="C572">
        <v>6209</v>
      </c>
      <c r="D572" t="s">
        <v>45</v>
      </c>
      <c r="E572" t="s">
        <v>8</v>
      </c>
      <c r="F572">
        <v>11314</v>
      </c>
      <c r="G5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2">
        <v>4.5842999999999998</v>
      </c>
      <c r="J572" t="str">
        <f>IF(ISBLANK(Table13[[#This Row],[Rating]]), "No", "Yes")</f>
        <v>Yes</v>
      </c>
      <c r="K572" t="str">
        <f>IF(ISBLANK(Table13[[#This Row],[Rating]]), "Not Rated", IF(Table13[[#This Row],[Rating]] &lt; 3, "Low", IF(Table13[[#This Row],[Rating]] &lt; 4, "Medium", "High")))</f>
        <v>High</v>
      </c>
      <c r="L572">
        <v>255</v>
      </c>
      <c r="M572">
        <v>28</v>
      </c>
      <c r="N572" t="str">
        <f>IF(Table13[[#This Row],[Price USD]]&lt;20,"Budget",IF(Table13[[#This Row],[Price USD]]&lt;=50,"Mid-range","Premium"))</f>
        <v>Mid-range</v>
      </c>
      <c r="O572">
        <v>0</v>
      </c>
      <c r="P572">
        <v>0</v>
      </c>
    </row>
    <row r="573" spans="1:16" x14ac:dyDescent="0.25">
      <c r="A573" t="s">
        <v>1340</v>
      </c>
      <c r="B573" t="s">
        <v>1341</v>
      </c>
      <c r="C573">
        <v>3733</v>
      </c>
      <c r="D573" t="s">
        <v>124</v>
      </c>
      <c r="E573" t="s">
        <v>8</v>
      </c>
      <c r="F573">
        <v>25211</v>
      </c>
      <c r="G5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3">
        <v>4.5327999999999999</v>
      </c>
      <c r="J573" t="str">
        <f>IF(ISBLANK(Table13[[#This Row],[Rating]]), "No", "Yes")</f>
        <v>Yes</v>
      </c>
      <c r="K573" t="str">
        <f>IF(ISBLANK(Table13[[#This Row],[Rating]]), "Not Rated", IF(Table13[[#This Row],[Rating]] &lt; 3, "Low", IF(Table13[[#This Row],[Rating]] &lt; 4, "Medium", "High")))</f>
        <v>High</v>
      </c>
      <c r="L573">
        <v>259</v>
      </c>
      <c r="M573">
        <v>46</v>
      </c>
      <c r="N573" t="str">
        <f>IF(Table13[[#This Row],[Price USD]]&lt;20,"Budget",IF(Table13[[#This Row],[Price USD]]&lt;=50,"Mid-range","Premium"))</f>
        <v>Mid-range</v>
      </c>
      <c r="O573">
        <v>0</v>
      </c>
      <c r="P573">
        <v>0</v>
      </c>
    </row>
    <row r="574" spans="1:16" x14ac:dyDescent="0.25">
      <c r="A574" t="s">
        <v>2544</v>
      </c>
      <c r="B574" t="s">
        <v>2545</v>
      </c>
      <c r="C574">
        <v>4164</v>
      </c>
      <c r="D574" t="s">
        <v>623</v>
      </c>
      <c r="E574" t="s">
        <v>8</v>
      </c>
      <c r="F574">
        <v>10030</v>
      </c>
      <c r="G5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4">
        <v>4.1923000000000004</v>
      </c>
      <c r="J574" t="str">
        <f>IF(ISBLANK(Table13[[#This Row],[Rating]]), "No", "Yes")</f>
        <v>Yes</v>
      </c>
      <c r="K574" t="str">
        <f>IF(ISBLANK(Table13[[#This Row],[Rating]]), "Not Rated", IF(Table13[[#This Row],[Rating]] &lt; 3, "Low", IF(Table13[[#This Row],[Rating]] &lt; 4, "Medium", "High")))</f>
        <v>High</v>
      </c>
      <c r="L574">
        <v>260</v>
      </c>
      <c r="M574">
        <v>49</v>
      </c>
      <c r="N574" t="str">
        <f>IF(Table13[[#This Row],[Price USD]]&lt;20,"Budget",IF(Table13[[#This Row],[Price USD]]&lt;=50,"Mid-range","Premium"))</f>
        <v>Mid-range</v>
      </c>
      <c r="O574">
        <v>0</v>
      </c>
      <c r="P574">
        <v>0</v>
      </c>
    </row>
    <row r="575" spans="1:16" x14ac:dyDescent="0.25">
      <c r="A575" t="s">
        <v>805</v>
      </c>
      <c r="B575" t="s">
        <v>806</v>
      </c>
      <c r="C575">
        <v>6041</v>
      </c>
      <c r="D575" t="s">
        <v>33</v>
      </c>
      <c r="E575" t="s">
        <v>21</v>
      </c>
      <c r="F575">
        <v>44847</v>
      </c>
      <c r="G5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5">
        <v>4.1885000000000003</v>
      </c>
      <c r="J575" t="str">
        <f>IF(ISBLANK(Table13[[#This Row],[Rating]]), "No", "Yes")</f>
        <v>Yes</v>
      </c>
      <c r="K575" t="str">
        <f>IF(ISBLANK(Table13[[#This Row],[Rating]]), "Not Rated", IF(Table13[[#This Row],[Rating]] &lt; 3, "Low", IF(Table13[[#This Row],[Rating]] &lt; 4, "Medium", "High")))</f>
        <v>High</v>
      </c>
      <c r="L575">
        <v>260</v>
      </c>
      <c r="M575">
        <v>125</v>
      </c>
      <c r="N575" t="str">
        <f>IF(Table13[[#This Row],[Price USD]]&lt;20,"Budget",IF(Table13[[#This Row],[Price USD]]&lt;=50,"Mid-range","Premium"))</f>
        <v>Premium</v>
      </c>
      <c r="O575">
        <v>0</v>
      </c>
      <c r="P575">
        <v>0</v>
      </c>
    </row>
    <row r="576" spans="1:16" x14ac:dyDescent="0.25">
      <c r="A576" t="s">
        <v>2177</v>
      </c>
      <c r="B576" t="s">
        <v>2178</v>
      </c>
      <c r="C576">
        <v>6312</v>
      </c>
      <c r="D576" t="s">
        <v>1242</v>
      </c>
      <c r="E576" t="s">
        <v>149</v>
      </c>
      <c r="F576">
        <v>12740</v>
      </c>
      <c r="G5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6">
        <v>4.3205999999999998</v>
      </c>
      <c r="J576" t="str">
        <f>IF(ISBLANK(Table13[[#This Row],[Rating]]), "No", "Yes")</f>
        <v>Yes</v>
      </c>
      <c r="K576" t="str">
        <f>IF(ISBLANK(Table13[[#This Row],[Rating]]), "Not Rated", IF(Table13[[#This Row],[Rating]] &lt; 3, "Low", IF(Table13[[#This Row],[Rating]] &lt; 4, "Medium", "High")))</f>
        <v>High</v>
      </c>
      <c r="L576">
        <v>262</v>
      </c>
      <c r="M576">
        <v>62</v>
      </c>
      <c r="N576" t="str">
        <f>IF(Table13[[#This Row],[Price USD]]&lt;20,"Budget",IF(Table13[[#This Row],[Price USD]]&lt;=50,"Mid-range","Premium"))</f>
        <v>Premium</v>
      </c>
      <c r="O576">
        <v>0</v>
      </c>
      <c r="P576">
        <v>0</v>
      </c>
    </row>
    <row r="577" spans="1:16" x14ac:dyDescent="0.25">
      <c r="A577" t="s">
        <v>1532</v>
      </c>
      <c r="B577" t="s">
        <v>1533</v>
      </c>
      <c r="C577">
        <v>5987</v>
      </c>
      <c r="D577" t="s">
        <v>48</v>
      </c>
      <c r="E577" t="s">
        <v>49</v>
      </c>
      <c r="F577">
        <v>21531</v>
      </c>
      <c r="G5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7">
        <v>4.4389000000000003</v>
      </c>
      <c r="J577" t="str">
        <f>IF(ISBLANK(Table13[[#This Row],[Rating]]), "No", "Yes")</f>
        <v>Yes</v>
      </c>
      <c r="K577" t="str">
        <f>IF(ISBLANK(Table13[[#This Row],[Rating]]), "Not Rated", IF(Table13[[#This Row],[Rating]] &lt; 3, "Low", IF(Table13[[#This Row],[Rating]] &lt; 4, "Medium", "High")))</f>
        <v>High</v>
      </c>
      <c r="L577">
        <v>262</v>
      </c>
      <c r="M577">
        <v>42</v>
      </c>
      <c r="N577" t="str">
        <f>IF(Table13[[#This Row],[Price USD]]&lt;20,"Budget",IF(Table13[[#This Row],[Price USD]]&lt;=50,"Mid-range","Premium"))</f>
        <v>Mid-range</v>
      </c>
      <c r="O577">
        <v>0</v>
      </c>
      <c r="P577">
        <v>0</v>
      </c>
    </row>
    <row r="578" spans="1:16" x14ac:dyDescent="0.25">
      <c r="A578" t="s">
        <v>1514</v>
      </c>
      <c r="B578" t="s">
        <v>1515</v>
      </c>
      <c r="C578">
        <v>6341</v>
      </c>
      <c r="D578" t="s">
        <v>66</v>
      </c>
      <c r="E578" t="s">
        <v>8</v>
      </c>
      <c r="F578">
        <v>21691</v>
      </c>
      <c r="G5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8">
        <v>4.7385999999999999</v>
      </c>
      <c r="J578" t="str">
        <f>IF(ISBLANK(Table13[[#This Row],[Rating]]), "No", "Yes")</f>
        <v>Yes</v>
      </c>
      <c r="K578" t="str">
        <f>IF(ISBLANK(Table13[[#This Row],[Rating]]), "Not Rated", IF(Table13[[#This Row],[Rating]] &lt; 3, "Low", IF(Table13[[#This Row],[Rating]] &lt; 4, "Medium", "High")))</f>
        <v>High</v>
      </c>
      <c r="L578">
        <v>264</v>
      </c>
      <c r="M578">
        <v>58</v>
      </c>
      <c r="N578" t="str">
        <f>IF(Table13[[#This Row],[Price USD]]&lt;20,"Budget",IF(Table13[[#This Row],[Price USD]]&lt;=50,"Mid-range","Premium"))</f>
        <v>Premium</v>
      </c>
      <c r="O578">
        <v>1</v>
      </c>
      <c r="P578">
        <v>0</v>
      </c>
    </row>
    <row r="579" spans="1:16" x14ac:dyDescent="0.25">
      <c r="A579" t="s">
        <v>738</v>
      </c>
      <c r="B579" t="s">
        <v>739</v>
      </c>
      <c r="C579">
        <v>7083</v>
      </c>
      <c r="D579" t="s">
        <v>20</v>
      </c>
      <c r="E579" t="s">
        <v>21</v>
      </c>
      <c r="F579">
        <v>48487</v>
      </c>
      <c r="G5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79">
        <v>4.2367999999999997</v>
      </c>
      <c r="J579" t="str">
        <f>IF(ISBLANK(Table13[[#This Row],[Rating]]), "No", "Yes")</f>
        <v>Yes</v>
      </c>
      <c r="K579" t="str">
        <f>IF(ISBLANK(Table13[[#This Row],[Rating]]), "Not Rated", IF(Table13[[#This Row],[Rating]] &lt; 3, "Low", IF(Table13[[#This Row],[Rating]] &lt; 4, "Medium", "High")))</f>
        <v>High</v>
      </c>
      <c r="L579">
        <v>266</v>
      </c>
      <c r="M579">
        <v>38</v>
      </c>
      <c r="N579" t="str">
        <f>IF(Table13[[#This Row],[Price USD]]&lt;20,"Budget",IF(Table13[[#This Row],[Price USD]]&lt;=50,"Mid-range","Premium"))</f>
        <v>Mid-range</v>
      </c>
      <c r="O579">
        <v>0</v>
      </c>
      <c r="P579">
        <v>0</v>
      </c>
    </row>
    <row r="580" spans="1:16" x14ac:dyDescent="0.25">
      <c r="A580" t="s">
        <v>1634</v>
      </c>
      <c r="B580" t="s">
        <v>1635</v>
      </c>
      <c r="C580">
        <v>7020</v>
      </c>
      <c r="D580" t="s">
        <v>657</v>
      </c>
      <c r="E580" t="s">
        <v>13</v>
      </c>
      <c r="F580">
        <v>19570</v>
      </c>
      <c r="G5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0">
        <v>3.9476</v>
      </c>
      <c r="J580" t="str">
        <f>IF(ISBLANK(Table13[[#This Row],[Rating]]), "No", "Yes")</f>
        <v>Yes</v>
      </c>
      <c r="K580" t="str">
        <f>IF(ISBLANK(Table13[[#This Row],[Rating]]), "Not Rated", IF(Table13[[#This Row],[Rating]] &lt; 3, "Low", IF(Table13[[#This Row],[Rating]] &lt; 4, "Medium", "High")))</f>
        <v>Medium</v>
      </c>
      <c r="L580">
        <v>267</v>
      </c>
      <c r="M580">
        <v>88</v>
      </c>
      <c r="N580" t="str">
        <f>IF(Table13[[#This Row],[Price USD]]&lt;20,"Budget",IF(Table13[[#This Row],[Price USD]]&lt;=50,"Mid-range","Premium"))</f>
        <v>Premium</v>
      </c>
      <c r="O580">
        <v>0</v>
      </c>
      <c r="P580">
        <v>0</v>
      </c>
    </row>
    <row r="581" spans="1:16" x14ac:dyDescent="0.25">
      <c r="A581" t="s">
        <v>1432</v>
      </c>
      <c r="B581" t="s">
        <v>1433</v>
      </c>
      <c r="C581">
        <v>5987</v>
      </c>
      <c r="D581" t="s">
        <v>48</v>
      </c>
      <c r="E581" t="s">
        <v>21</v>
      </c>
      <c r="F581">
        <v>23310</v>
      </c>
      <c r="G5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1">
        <v>4.3783000000000003</v>
      </c>
      <c r="J581" t="str">
        <f>IF(ISBLANK(Table13[[#This Row],[Rating]]), "No", "Yes")</f>
        <v>Yes</v>
      </c>
      <c r="K581" t="str">
        <f>IF(ISBLANK(Table13[[#This Row],[Rating]]), "Not Rated", IF(Table13[[#This Row],[Rating]] &lt; 3, "Low", IF(Table13[[#This Row],[Rating]] &lt; 4, "Medium", "High")))</f>
        <v>High</v>
      </c>
      <c r="L581">
        <v>267</v>
      </c>
      <c r="M581">
        <v>46</v>
      </c>
      <c r="N581" t="str">
        <f>IF(Table13[[#This Row],[Price USD]]&lt;20,"Budget",IF(Table13[[#This Row],[Price USD]]&lt;=50,"Mid-range","Premium"))</f>
        <v>Mid-range</v>
      </c>
      <c r="O581">
        <v>0</v>
      </c>
      <c r="P581">
        <v>0</v>
      </c>
    </row>
    <row r="582" spans="1:16" x14ac:dyDescent="0.25">
      <c r="A582" t="s">
        <v>904</v>
      </c>
      <c r="B582" t="s">
        <v>905</v>
      </c>
      <c r="C582">
        <v>6295</v>
      </c>
      <c r="D582" t="s">
        <v>184</v>
      </c>
      <c r="E582" t="s">
        <v>21</v>
      </c>
      <c r="F582">
        <v>40516</v>
      </c>
      <c r="G5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2">
        <v>4.3745000000000003</v>
      </c>
      <c r="J582" t="str">
        <f>IF(ISBLANK(Table13[[#This Row],[Rating]]), "No", "Yes")</f>
        <v>Yes</v>
      </c>
      <c r="K582" t="str">
        <f>IF(ISBLANK(Table13[[#This Row],[Rating]]), "Not Rated", IF(Table13[[#This Row],[Rating]] &lt; 3, "Low", IF(Table13[[#This Row],[Rating]] &lt; 4, "Medium", "High")))</f>
        <v>High</v>
      </c>
      <c r="L582">
        <v>267</v>
      </c>
      <c r="M582">
        <v>26</v>
      </c>
      <c r="N582" t="str">
        <f>IF(Table13[[#This Row],[Price USD]]&lt;20,"Budget",IF(Table13[[#This Row],[Price USD]]&lt;=50,"Mid-range","Premium"))</f>
        <v>Mid-range</v>
      </c>
      <c r="O582">
        <v>0</v>
      </c>
      <c r="P582">
        <v>0</v>
      </c>
    </row>
    <row r="583" spans="1:16" x14ac:dyDescent="0.25">
      <c r="A583" t="s">
        <v>929</v>
      </c>
      <c r="B583" t="s">
        <v>930</v>
      </c>
      <c r="C583">
        <v>1254</v>
      </c>
      <c r="D583" t="s">
        <v>136</v>
      </c>
      <c r="E583" t="s">
        <v>220</v>
      </c>
      <c r="F583">
        <v>39928</v>
      </c>
      <c r="G5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3">
        <v>4.3320999999999996</v>
      </c>
      <c r="J583" t="str">
        <f>IF(ISBLANK(Table13[[#This Row],[Rating]]), "No", "Yes")</f>
        <v>Yes</v>
      </c>
      <c r="K583" t="str">
        <f>IF(ISBLANK(Table13[[#This Row],[Rating]]), "Not Rated", IF(Table13[[#This Row],[Rating]] &lt; 3, "Low", IF(Table13[[#This Row],[Rating]] &lt; 4, "Medium", "High")))</f>
        <v>High</v>
      </c>
      <c r="L583">
        <v>268</v>
      </c>
      <c r="M583">
        <v>32.5</v>
      </c>
      <c r="N583" t="str">
        <f>IF(Table13[[#This Row],[Price USD]]&lt;20,"Budget",IF(Table13[[#This Row],[Price USD]]&lt;=50,"Mid-range","Premium"))</f>
        <v>Mid-range</v>
      </c>
      <c r="O583">
        <v>0</v>
      </c>
      <c r="P583">
        <v>0</v>
      </c>
    </row>
    <row r="584" spans="1:16" x14ac:dyDescent="0.25">
      <c r="A584" t="s">
        <v>2262</v>
      </c>
      <c r="B584" t="s">
        <v>2263</v>
      </c>
      <c r="C584">
        <v>6175</v>
      </c>
      <c r="D584" t="s">
        <v>338</v>
      </c>
      <c r="E584" t="s">
        <v>8</v>
      </c>
      <c r="F584">
        <v>12144</v>
      </c>
      <c r="G5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4">
        <v>4.3532000000000002</v>
      </c>
      <c r="J584" t="str">
        <f>IF(ISBLANK(Table13[[#This Row],[Rating]]), "No", "Yes")</f>
        <v>Yes</v>
      </c>
      <c r="K584" t="str">
        <f>IF(ISBLANK(Table13[[#This Row],[Rating]]), "Not Rated", IF(Table13[[#This Row],[Rating]] &lt; 3, "Low", IF(Table13[[#This Row],[Rating]] &lt; 4, "Medium", "High")))</f>
        <v>High</v>
      </c>
      <c r="L584">
        <v>269</v>
      </c>
      <c r="M584">
        <v>29</v>
      </c>
      <c r="N584" t="str">
        <f>IF(Table13[[#This Row],[Price USD]]&lt;20,"Budget",IF(Table13[[#This Row],[Price USD]]&lt;=50,"Mid-range","Premium"))</f>
        <v>Mid-range</v>
      </c>
      <c r="O584">
        <v>0</v>
      </c>
      <c r="P584">
        <v>0</v>
      </c>
    </row>
    <row r="585" spans="1:16" x14ac:dyDescent="0.25">
      <c r="A585" t="s">
        <v>1950</v>
      </c>
      <c r="B585" t="s">
        <v>1951</v>
      </c>
      <c r="C585">
        <v>1254</v>
      </c>
      <c r="D585" t="s">
        <v>136</v>
      </c>
      <c r="E585" t="s">
        <v>4</v>
      </c>
      <c r="F585">
        <v>15182</v>
      </c>
      <c r="G5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5">
        <v>4.2962999999999996</v>
      </c>
      <c r="J585" t="str">
        <f>IF(ISBLANK(Table13[[#This Row],[Rating]]), "No", "Yes")</f>
        <v>Yes</v>
      </c>
      <c r="K585" t="str">
        <f>IF(ISBLANK(Table13[[#This Row],[Rating]]), "Not Rated", IF(Table13[[#This Row],[Rating]] &lt; 3, "Low", IF(Table13[[#This Row],[Rating]] &lt; 4, "Medium", "High")))</f>
        <v>High</v>
      </c>
      <c r="L585">
        <v>270</v>
      </c>
      <c r="M585">
        <v>31.5</v>
      </c>
      <c r="N585" t="str">
        <f>IF(Table13[[#This Row],[Price USD]]&lt;20,"Budget",IF(Table13[[#This Row],[Price USD]]&lt;=50,"Mid-range","Premium"))</f>
        <v>Mid-range</v>
      </c>
      <c r="O585">
        <v>0</v>
      </c>
      <c r="P585">
        <v>0</v>
      </c>
    </row>
    <row r="586" spans="1:16" x14ac:dyDescent="0.25">
      <c r="A586" t="s">
        <v>1230</v>
      </c>
      <c r="B586" t="s">
        <v>1231</v>
      </c>
      <c r="C586">
        <v>6209</v>
      </c>
      <c r="D586" t="s">
        <v>45</v>
      </c>
      <c r="E586" t="s">
        <v>8</v>
      </c>
      <c r="F586">
        <v>28434</v>
      </c>
      <c r="G5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6">
        <v>4.5148000000000001</v>
      </c>
      <c r="J586" t="str">
        <f>IF(ISBLANK(Table13[[#This Row],[Rating]]), "No", "Yes")</f>
        <v>Yes</v>
      </c>
      <c r="K586" t="str">
        <f>IF(ISBLANK(Table13[[#This Row],[Rating]]), "Not Rated", IF(Table13[[#This Row],[Rating]] &lt; 3, "Low", IF(Table13[[#This Row],[Rating]] &lt; 4, "Medium", "High")))</f>
        <v>High</v>
      </c>
      <c r="L586">
        <v>270</v>
      </c>
      <c r="M586">
        <v>34</v>
      </c>
      <c r="N586" t="str">
        <f>IF(Table13[[#This Row],[Price USD]]&lt;20,"Budget",IF(Table13[[#This Row],[Price USD]]&lt;=50,"Mid-range","Premium"))</f>
        <v>Mid-range</v>
      </c>
      <c r="O586">
        <v>0</v>
      </c>
      <c r="P586">
        <v>0</v>
      </c>
    </row>
    <row r="587" spans="1:16" x14ac:dyDescent="0.25">
      <c r="A587" t="s">
        <v>1934</v>
      </c>
      <c r="B587" t="s">
        <v>1935</v>
      </c>
      <c r="C587">
        <v>6175</v>
      </c>
      <c r="D587" t="s">
        <v>338</v>
      </c>
      <c r="E587" t="s">
        <v>8</v>
      </c>
      <c r="F587">
        <v>15408</v>
      </c>
      <c r="G5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7">
        <v>4.3284000000000002</v>
      </c>
      <c r="J587" t="str">
        <f>IF(ISBLANK(Table13[[#This Row],[Rating]]), "No", "Yes")</f>
        <v>Yes</v>
      </c>
      <c r="K587" t="str">
        <f>IF(ISBLANK(Table13[[#This Row],[Rating]]), "Not Rated", IF(Table13[[#This Row],[Rating]] &lt; 3, "Low", IF(Table13[[#This Row],[Rating]] &lt; 4, "Medium", "High")))</f>
        <v>High</v>
      </c>
      <c r="L587">
        <v>271</v>
      </c>
      <c r="M587">
        <v>29</v>
      </c>
      <c r="N587" t="str">
        <f>IF(Table13[[#This Row],[Price USD]]&lt;20,"Budget",IF(Table13[[#This Row],[Price USD]]&lt;=50,"Mid-range","Premium"))</f>
        <v>Mid-range</v>
      </c>
      <c r="O587">
        <v>0</v>
      </c>
      <c r="P587">
        <v>0</v>
      </c>
    </row>
    <row r="588" spans="1:16" x14ac:dyDescent="0.25">
      <c r="A588" t="s">
        <v>1954</v>
      </c>
      <c r="B588" t="s">
        <v>1955</v>
      </c>
      <c r="C588">
        <v>4164</v>
      </c>
      <c r="D588" t="s">
        <v>623</v>
      </c>
      <c r="E588" t="s">
        <v>13</v>
      </c>
      <c r="F588">
        <v>15154</v>
      </c>
      <c r="G5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8">
        <v>4.3087999999999997</v>
      </c>
      <c r="J588" t="str">
        <f>IF(ISBLANK(Table13[[#This Row],[Rating]]), "No", "Yes")</f>
        <v>Yes</v>
      </c>
      <c r="K588" t="str">
        <f>IF(ISBLANK(Table13[[#This Row],[Rating]]), "Not Rated", IF(Table13[[#This Row],[Rating]] &lt; 3, "Low", IF(Table13[[#This Row],[Rating]] &lt; 4, "Medium", "High")))</f>
        <v>High</v>
      </c>
      <c r="L588">
        <v>272</v>
      </c>
      <c r="M588">
        <v>42</v>
      </c>
      <c r="N588" t="str">
        <f>IF(Table13[[#This Row],[Price USD]]&lt;20,"Budget",IF(Table13[[#This Row],[Price USD]]&lt;=50,"Mid-range","Premium"))</f>
        <v>Mid-range</v>
      </c>
      <c r="O588">
        <v>0</v>
      </c>
      <c r="P588">
        <v>0</v>
      </c>
    </row>
    <row r="589" spans="1:16" x14ac:dyDescent="0.25">
      <c r="A589" t="s">
        <v>2505</v>
      </c>
      <c r="B589" t="s">
        <v>2506</v>
      </c>
      <c r="C589">
        <v>6373</v>
      </c>
      <c r="D589" t="s">
        <v>1652</v>
      </c>
      <c r="E589" t="s">
        <v>8</v>
      </c>
      <c r="F589">
        <v>10279</v>
      </c>
      <c r="G5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89">
        <v>4.2572000000000001</v>
      </c>
      <c r="J589" t="str">
        <f>IF(ISBLANK(Table13[[#This Row],[Rating]]), "No", "Yes")</f>
        <v>Yes</v>
      </c>
      <c r="K589" t="str">
        <f>IF(ISBLANK(Table13[[#This Row],[Rating]]), "Not Rated", IF(Table13[[#This Row],[Rating]] &lt; 3, "Low", IF(Table13[[#This Row],[Rating]] &lt; 4, "Medium", "High")))</f>
        <v>High</v>
      </c>
      <c r="L589">
        <v>276</v>
      </c>
      <c r="M589">
        <v>56</v>
      </c>
      <c r="N589" t="str">
        <f>IF(Table13[[#This Row],[Price USD]]&lt;20,"Budget",IF(Table13[[#This Row],[Price USD]]&lt;=50,"Mid-range","Premium"))</f>
        <v>Premium</v>
      </c>
      <c r="O589">
        <v>0</v>
      </c>
      <c r="P589">
        <v>0</v>
      </c>
    </row>
    <row r="590" spans="1:16" x14ac:dyDescent="0.25">
      <c r="A590" t="s">
        <v>1906</v>
      </c>
      <c r="B590" t="s">
        <v>1907</v>
      </c>
      <c r="C590">
        <v>6073</v>
      </c>
      <c r="D590" t="s">
        <v>78</v>
      </c>
      <c r="E590" t="s">
        <v>13</v>
      </c>
      <c r="F590">
        <v>15699</v>
      </c>
      <c r="G5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0">
        <v>4.2717000000000001</v>
      </c>
      <c r="J590" t="str">
        <f>IF(ISBLANK(Table13[[#This Row],[Rating]]), "No", "Yes")</f>
        <v>Yes</v>
      </c>
      <c r="K590" t="str">
        <f>IF(ISBLANK(Table13[[#This Row],[Rating]]), "Not Rated", IF(Table13[[#This Row],[Rating]] &lt; 3, "Low", IF(Table13[[#This Row],[Rating]] &lt; 4, "Medium", "High")))</f>
        <v>High</v>
      </c>
      <c r="L590">
        <v>276</v>
      </c>
      <c r="M590">
        <v>50</v>
      </c>
      <c r="N590" t="str">
        <f>IF(Table13[[#This Row],[Price USD]]&lt;20,"Budget",IF(Table13[[#This Row],[Price USD]]&lt;=50,"Mid-range","Premium"))</f>
        <v>Mid-range</v>
      </c>
      <c r="O590">
        <v>0</v>
      </c>
      <c r="P590">
        <v>0</v>
      </c>
    </row>
    <row r="591" spans="1:16" x14ac:dyDescent="0.25">
      <c r="A591" t="s">
        <v>923</v>
      </c>
      <c r="B591" t="s">
        <v>924</v>
      </c>
      <c r="C591">
        <v>6014</v>
      </c>
      <c r="D591" t="s">
        <v>102</v>
      </c>
      <c r="E591" t="s">
        <v>69</v>
      </c>
      <c r="F591">
        <v>40090</v>
      </c>
      <c r="G5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1">
        <v>4.5507</v>
      </c>
      <c r="J591" t="str">
        <f>IF(ISBLANK(Table13[[#This Row],[Rating]]), "No", "Yes")</f>
        <v>Yes</v>
      </c>
      <c r="K591" t="str">
        <f>IF(ISBLANK(Table13[[#This Row],[Rating]]), "Not Rated", IF(Table13[[#This Row],[Rating]] &lt; 3, "Low", IF(Table13[[#This Row],[Rating]] &lt; 4, "Medium", "High")))</f>
        <v>High</v>
      </c>
      <c r="L591">
        <v>276</v>
      </c>
      <c r="M591">
        <v>7</v>
      </c>
      <c r="N591" t="str">
        <f>IF(Table13[[#This Row],[Price USD]]&lt;20,"Budget",IF(Table13[[#This Row],[Price USD]]&lt;=50,"Mid-range","Premium"))</f>
        <v>Budget</v>
      </c>
      <c r="O591">
        <v>0</v>
      </c>
      <c r="P591">
        <v>0</v>
      </c>
    </row>
    <row r="592" spans="1:16" x14ac:dyDescent="0.25">
      <c r="A592" t="s">
        <v>908</v>
      </c>
      <c r="B592" t="s">
        <v>909</v>
      </c>
      <c r="C592">
        <v>6134</v>
      </c>
      <c r="D592" t="s">
        <v>286</v>
      </c>
      <c r="E592" t="s">
        <v>21</v>
      </c>
      <c r="F592">
        <v>40465</v>
      </c>
      <c r="G5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2">
        <v>3.8477999999999999</v>
      </c>
      <c r="J592" t="str">
        <f>IF(ISBLANK(Table13[[#This Row],[Rating]]), "No", "Yes")</f>
        <v>Yes</v>
      </c>
      <c r="K592" t="str">
        <f>IF(ISBLANK(Table13[[#This Row],[Rating]]), "Not Rated", IF(Table13[[#This Row],[Rating]] &lt; 3, "Low", IF(Table13[[#This Row],[Rating]] &lt; 4, "Medium", "High")))</f>
        <v>Medium</v>
      </c>
      <c r="L592">
        <v>276</v>
      </c>
      <c r="M592">
        <v>32</v>
      </c>
      <c r="N592" t="str">
        <f>IF(Table13[[#This Row],[Price USD]]&lt;20,"Budget",IF(Table13[[#This Row],[Price USD]]&lt;=50,"Mid-range","Premium"))</f>
        <v>Mid-range</v>
      </c>
      <c r="O592">
        <v>0</v>
      </c>
      <c r="P592">
        <v>0</v>
      </c>
    </row>
    <row r="593" spans="1:16" x14ac:dyDescent="0.25">
      <c r="A593" t="s">
        <v>2157</v>
      </c>
      <c r="B593" t="s">
        <v>2158</v>
      </c>
      <c r="C593">
        <v>6307</v>
      </c>
      <c r="D593" t="s">
        <v>1132</v>
      </c>
      <c r="E593" t="s">
        <v>144</v>
      </c>
      <c r="F593">
        <v>12981</v>
      </c>
      <c r="G5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3">
        <v>4.5595999999999997</v>
      </c>
      <c r="J593" t="str">
        <f>IF(ISBLANK(Table13[[#This Row],[Rating]]), "No", "Yes")</f>
        <v>Yes</v>
      </c>
      <c r="K593" t="str">
        <f>IF(ISBLANK(Table13[[#This Row],[Rating]]), "Not Rated", IF(Table13[[#This Row],[Rating]] &lt; 3, "Low", IF(Table13[[#This Row],[Rating]] &lt; 4, "Medium", "High")))</f>
        <v>High</v>
      </c>
      <c r="L593">
        <v>277</v>
      </c>
      <c r="M593">
        <v>12</v>
      </c>
      <c r="N593" t="str">
        <f>IF(Table13[[#This Row],[Price USD]]&lt;20,"Budget",IF(Table13[[#This Row],[Price USD]]&lt;=50,"Mid-range","Premium"))</f>
        <v>Budget</v>
      </c>
      <c r="O593">
        <v>0</v>
      </c>
      <c r="P593">
        <v>0</v>
      </c>
    </row>
    <row r="594" spans="1:16" x14ac:dyDescent="0.25">
      <c r="A594" t="s">
        <v>1501</v>
      </c>
      <c r="B594" t="s">
        <v>1502</v>
      </c>
      <c r="C594">
        <v>6307</v>
      </c>
      <c r="D594" t="s">
        <v>1132</v>
      </c>
      <c r="E594" t="s">
        <v>13</v>
      </c>
      <c r="F594">
        <v>22064</v>
      </c>
      <c r="G5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4">
        <v>4.5595999999999997</v>
      </c>
      <c r="J594" t="str">
        <f>IF(ISBLANK(Table13[[#This Row],[Rating]]), "No", "Yes")</f>
        <v>Yes</v>
      </c>
      <c r="K594" t="str">
        <f>IF(ISBLANK(Table13[[#This Row],[Rating]]), "Not Rated", IF(Table13[[#This Row],[Rating]] &lt; 3, "Low", IF(Table13[[#This Row],[Rating]] &lt; 4, "Medium", "High")))</f>
        <v>High</v>
      </c>
      <c r="L594">
        <v>277</v>
      </c>
      <c r="M594">
        <v>38</v>
      </c>
      <c r="N594" t="str">
        <f>IF(Table13[[#This Row],[Price USD]]&lt;20,"Budget",IF(Table13[[#This Row],[Price USD]]&lt;=50,"Mid-range","Premium"))</f>
        <v>Mid-range</v>
      </c>
      <c r="O594">
        <v>0</v>
      </c>
      <c r="P594">
        <v>0</v>
      </c>
    </row>
    <row r="595" spans="1:16" x14ac:dyDescent="0.25">
      <c r="A595" t="s">
        <v>1188</v>
      </c>
      <c r="B595" t="s">
        <v>1189</v>
      </c>
      <c r="C595">
        <v>6195</v>
      </c>
      <c r="D595" t="s">
        <v>163</v>
      </c>
      <c r="E595" t="s">
        <v>4</v>
      </c>
      <c r="F595">
        <v>29662</v>
      </c>
      <c r="G5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5">
        <v>3.8809</v>
      </c>
      <c r="J595" t="str">
        <f>IF(ISBLANK(Table13[[#This Row],[Rating]]), "No", "Yes")</f>
        <v>Yes</v>
      </c>
      <c r="K595" t="str">
        <f>IF(ISBLANK(Table13[[#This Row],[Rating]]), "Not Rated", IF(Table13[[#This Row],[Rating]] &lt; 3, "Low", IF(Table13[[#This Row],[Rating]] &lt; 4, "Medium", "High")))</f>
        <v>Medium</v>
      </c>
      <c r="L595">
        <v>277</v>
      </c>
      <c r="M595">
        <v>16</v>
      </c>
      <c r="N595" t="str">
        <f>IF(Table13[[#This Row],[Price USD]]&lt;20,"Budget",IF(Table13[[#This Row],[Price USD]]&lt;=50,"Mid-range","Premium"))</f>
        <v>Budget</v>
      </c>
      <c r="O595">
        <v>0</v>
      </c>
      <c r="P595">
        <v>0</v>
      </c>
    </row>
    <row r="596" spans="1:16" x14ac:dyDescent="0.25">
      <c r="A596" t="s">
        <v>1982</v>
      </c>
      <c r="B596" t="s">
        <v>1983</v>
      </c>
      <c r="C596">
        <v>7050</v>
      </c>
      <c r="D596" t="s">
        <v>721</v>
      </c>
      <c r="E596" t="s">
        <v>201</v>
      </c>
      <c r="F596">
        <v>14955</v>
      </c>
      <c r="G5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6">
        <v>4.6726999999999999</v>
      </c>
      <c r="J596" t="str">
        <f>IF(ISBLANK(Table13[[#This Row],[Rating]]), "No", "Yes")</f>
        <v>Yes</v>
      </c>
      <c r="K596" t="str">
        <f>IF(ISBLANK(Table13[[#This Row],[Rating]]), "Not Rated", IF(Table13[[#This Row],[Rating]] &lt; 3, "Low", IF(Table13[[#This Row],[Rating]] &lt; 4, "Medium", "High")))</f>
        <v>High</v>
      </c>
      <c r="L596">
        <v>278</v>
      </c>
      <c r="M596">
        <v>26</v>
      </c>
      <c r="N596" t="str">
        <f>IF(Table13[[#This Row],[Price USD]]&lt;20,"Budget",IF(Table13[[#This Row],[Price USD]]&lt;=50,"Mid-range","Premium"))</f>
        <v>Mid-range</v>
      </c>
      <c r="O596">
        <v>0</v>
      </c>
      <c r="P596">
        <v>0</v>
      </c>
    </row>
    <row r="597" spans="1:16" x14ac:dyDescent="0.25">
      <c r="A597" t="s">
        <v>949</v>
      </c>
      <c r="B597" t="s">
        <v>950</v>
      </c>
      <c r="C597">
        <v>6352</v>
      </c>
      <c r="D597" t="s">
        <v>251</v>
      </c>
      <c r="E597" t="s">
        <v>220</v>
      </c>
      <c r="F597">
        <v>38902</v>
      </c>
      <c r="G5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7">
        <v>4.0647000000000002</v>
      </c>
      <c r="J597" t="str">
        <f>IF(ISBLANK(Table13[[#This Row],[Rating]]), "No", "Yes")</f>
        <v>Yes</v>
      </c>
      <c r="K597" t="str">
        <f>IF(ISBLANK(Table13[[#This Row],[Rating]]), "Not Rated", IF(Table13[[#This Row],[Rating]] &lt; 3, "Low", IF(Table13[[#This Row],[Rating]] &lt; 4, "Medium", "High")))</f>
        <v>High</v>
      </c>
      <c r="L597">
        <v>278</v>
      </c>
      <c r="M597">
        <v>45</v>
      </c>
      <c r="N597" t="str">
        <f>IF(Table13[[#This Row],[Price USD]]&lt;20,"Budget",IF(Table13[[#This Row],[Price USD]]&lt;=50,"Mid-range","Premium"))</f>
        <v>Mid-range</v>
      </c>
      <c r="O597">
        <v>0</v>
      </c>
      <c r="P597">
        <v>1</v>
      </c>
    </row>
    <row r="598" spans="1:16" x14ac:dyDescent="0.25">
      <c r="A598" t="s">
        <v>1076</v>
      </c>
      <c r="B598" t="s">
        <v>1077</v>
      </c>
      <c r="C598">
        <v>8008</v>
      </c>
      <c r="D598" t="s">
        <v>105</v>
      </c>
      <c r="E598" t="s">
        <v>220</v>
      </c>
      <c r="F598">
        <v>33502</v>
      </c>
      <c r="G5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8">
        <v>3.7713999999999999</v>
      </c>
      <c r="J598" t="str">
        <f>IF(ISBLANK(Table13[[#This Row],[Rating]]), "No", "Yes")</f>
        <v>Yes</v>
      </c>
      <c r="K598" t="str">
        <f>IF(ISBLANK(Table13[[#This Row],[Rating]]), "Not Rated", IF(Table13[[#This Row],[Rating]] &lt; 3, "Low", IF(Table13[[#This Row],[Rating]] &lt; 4, "Medium", "High")))</f>
        <v>Medium</v>
      </c>
      <c r="L598">
        <v>280</v>
      </c>
      <c r="M598">
        <v>35</v>
      </c>
      <c r="N598" t="str">
        <f>IF(Table13[[#This Row],[Price USD]]&lt;20,"Budget",IF(Table13[[#This Row],[Price USD]]&lt;=50,"Mid-range","Premium"))</f>
        <v>Mid-range</v>
      </c>
      <c r="O598">
        <v>0</v>
      </c>
      <c r="P598">
        <v>0</v>
      </c>
    </row>
    <row r="599" spans="1:16" x14ac:dyDescent="0.25">
      <c r="A599" t="s">
        <v>1681</v>
      </c>
      <c r="B599" t="s">
        <v>1682</v>
      </c>
      <c r="C599">
        <v>1254</v>
      </c>
      <c r="D599" t="s">
        <v>136</v>
      </c>
      <c r="E599" t="s">
        <v>69</v>
      </c>
      <c r="F599">
        <v>18472</v>
      </c>
      <c r="G5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5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599">
        <v>4.4768999999999997</v>
      </c>
      <c r="J599" t="str">
        <f>IF(ISBLANK(Table13[[#This Row],[Rating]]), "No", "Yes")</f>
        <v>Yes</v>
      </c>
      <c r="K599" t="str">
        <f>IF(ISBLANK(Table13[[#This Row],[Rating]]), "Not Rated", IF(Table13[[#This Row],[Rating]] &lt; 3, "Low", IF(Table13[[#This Row],[Rating]] &lt; 4, "Medium", "High")))</f>
        <v>High</v>
      </c>
      <c r="L599">
        <v>281</v>
      </c>
      <c r="M599">
        <v>29</v>
      </c>
      <c r="N599" t="str">
        <f>IF(Table13[[#This Row],[Price USD]]&lt;20,"Budget",IF(Table13[[#This Row],[Price USD]]&lt;=50,"Mid-range","Premium"))</f>
        <v>Mid-range</v>
      </c>
      <c r="O599">
        <v>0</v>
      </c>
      <c r="P599">
        <v>0</v>
      </c>
    </row>
    <row r="600" spans="1:16" x14ac:dyDescent="0.25">
      <c r="A600" t="s">
        <v>2412</v>
      </c>
      <c r="B600" t="s">
        <v>2413</v>
      </c>
      <c r="C600">
        <v>6294</v>
      </c>
      <c r="D600" t="s">
        <v>1520</v>
      </c>
      <c r="E600" t="s">
        <v>49</v>
      </c>
      <c r="F600">
        <v>10922</v>
      </c>
      <c r="G6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0">
        <v>4.8262</v>
      </c>
      <c r="J600" t="str">
        <f>IF(ISBLANK(Table13[[#This Row],[Rating]]), "No", "Yes")</f>
        <v>Yes</v>
      </c>
      <c r="K600" t="str">
        <f>IF(ISBLANK(Table13[[#This Row],[Rating]]), "Not Rated", IF(Table13[[#This Row],[Rating]] &lt; 3, "Low", IF(Table13[[#This Row],[Rating]] &lt; 4, "Medium", "High")))</f>
        <v>High</v>
      </c>
      <c r="L600">
        <v>282</v>
      </c>
      <c r="M600">
        <v>38</v>
      </c>
      <c r="N600" t="str">
        <f>IF(Table13[[#This Row],[Price USD]]&lt;20,"Budget",IF(Table13[[#This Row],[Price USD]]&lt;=50,"Mid-range","Premium"))</f>
        <v>Mid-range</v>
      </c>
      <c r="O600">
        <v>0</v>
      </c>
      <c r="P600">
        <v>0</v>
      </c>
    </row>
    <row r="601" spans="1:16" x14ac:dyDescent="0.25">
      <c r="A601" t="s">
        <v>2285</v>
      </c>
      <c r="B601" t="s">
        <v>2286</v>
      </c>
      <c r="C601">
        <v>1254</v>
      </c>
      <c r="D601" t="s">
        <v>136</v>
      </c>
      <c r="E601" t="s">
        <v>149</v>
      </c>
      <c r="F601">
        <v>11912</v>
      </c>
      <c r="G6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1">
        <v>4.1702000000000004</v>
      </c>
      <c r="J601" t="str">
        <f>IF(ISBLANK(Table13[[#This Row],[Rating]]), "No", "Yes")</f>
        <v>Yes</v>
      </c>
      <c r="K601" t="str">
        <f>IF(ISBLANK(Table13[[#This Row],[Rating]]), "Not Rated", IF(Table13[[#This Row],[Rating]] &lt; 3, "Low", IF(Table13[[#This Row],[Rating]] &lt; 4, "Medium", "High")))</f>
        <v>High</v>
      </c>
      <c r="L601">
        <v>282</v>
      </c>
      <c r="M601">
        <v>54</v>
      </c>
      <c r="N601" t="str">
        <f>IF(Table13[[#This Row],[Price USD]]&lt;20,"Budget",IF(Table13[[#This Row],[Price USD]]&lt;=50,"Mid-range","Premium"))</f>
        <v>Premium</v>
      </c>
      <c r="O601">
        <v>0</v>
      </c>
      <c r="P601">
        <v>0</v>
      </c>
    </row>
    <row r="602" spans="1:16" x14ac:dyDescent="0.25">
      <c r="A602" t="s">
        <v>1584</v>
      </c>
      <c r="B602" t="s">
        <v>1585</v>
      </c>
      <c r="C602">
        <v>5946</v>
      </c>
      <c r="D602" t="s">
        <v>341</v>
      </c>
      <c r="E602" t="s">
        <v>8</v>
      </c>
      <c r="F602">
        <v>20613</v>
      </c>
      <c r="G6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2">
        <v>4.3723000000000001</v>
      </c>
      <c r="J602" t="str">
        <f>IF(ISBLANK(Table13[[#This Row],[Rating]]), "No", "Yes")</f>
        <v>Yes</v>
      </c>
      <c r="K602" t="str">
        <f>IF(ISBLANK(Table13[[#This Row],[Rating]]), "Not Rated", IF(Table13[[#This Row],[Rating]] &lt; 3, "Low", IF(Table13[[#This Row],[Rating]] &lt; 4, "Medium", "High")))</f>
        <v>High</v>
      </c>
      <c r="L602">
        <v>282</v>
      </c>
      <c r="M602">
        <v>72</v>
      </c>
      <c r="N602" t="str">
        <f>IF(Table13[[#This Row],[Price USD]]&lt;20,"Budget",IF(Table13[[#This Row],[Price USD]]&lt;=50,"Mid-range","Premium"))</f>
        <v>Premium</v>
      </c>
      <c r="O602">
        <v>0</v>
      </c>
      <c r="P602">
        <v>0</v>
      </c>
    </row>
    <row r="603" spans="1:16" x14ac:dyDescent="0.25">
      <c r="A603" t="s">
        <v>1440</v>
      </c>
      <c r="B603" t="s">
        <v>1441</v>
      </c>
      <c r="C603">
        <v>6029</v>
      </c>
      <c r="D603" t="s">
        <v>1442</v>
      </c>
      <c r="E603" t="s">
        <v>13</v>
      </c>
      <c r="F603">
        <v>23197</v>
      </c>
      <c r="G6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3">
        <v>4.4789000000000003</v>
      </c>
      <c r="J603" t="str">
        <f>IF(ISBLANK(Table13[[#This Row],[Rating]]), "No", "Yes")</f>
        <v>Yes</v>
      </c>
      <c r="K603" t="str">
        <f>IF(ISBLANK(Table13[[#This Row],[Rating]]), "Not Rated", IF(Table13[[#This Row],[Rating]] &lt; 3, "Low", IF(Table13[[#This Row],[Rating]] &lt; 4, "Medium", "High")))</f>
        <v>High</v>
      </c>
      <c r="L603">
        <v>284</v>
      </c>
      <c r="M603">
        <v>23</v>
      </c>
      <c r="N603" t="str">
        <f>IF(Table13[[#This Row],[Price USD]]&lt;20,"Budget",IF(Table13[[#This Row],[Price USD]]&lt;=50,"Mid-range","Premium"))</f>
        <v>Mid-range</v>
      </c>
      <c r="O603">
        <v>0</v>
      </c>
      <c r="P603">
        <v>0</v>
      </c>
    </row>
    <row r="604" spans="1:16" x14ac:dyDescent="0.25">
      <c r="A604" t="s">
        <v>1491</v>
      </c>
      <c r="B604" t="s">
        <v>1492</v>
      </c>
      <c r="C604">
        <v>5668</v>
      </c>
      <c r="D604" t="s">
        <v>93</v>
      </c>
      <c r="E604" t="s">
        <v>8</v>
      </c>
      <c r="F604">
        <v>22246</v>
      </c>
      <c r="G6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4">
        <v>4.4667000000000003</v>
      </c>
      <c r="J604" t="str">
        <f>IF(ISBLANK(Table13[[#This Row],[Rating]]), "No", "Yes")</f>
        <v>Yes</v>
      </c>
      <c r="K604" t="str">
        <f>IF(ISBLANK(Table13[[#This Row],[Rating]]), "Not Rated", IF(Table13[[#This Row],[Rating]] &lt; 3, "Low", IF(Table13[[#This Row],[Rating]] &lt; 4, "Medium", "High")))</f>
        <v>High</v>
      </c>
      <c r="L604">
        <v>285</v>
      </c>
      <c r="M604">
        <v>76</v>
      </c>
      <c r="N604" t="str">
        <f>IF(Table13[[#This Row],[Price USD]]&lt;20,"Budget",IF(Table13[[#This Row],[Price USD]]&lt;=50,"Mid-range","Premium"))</f>
        <v>Premium</v>
      </c>
      <c r="O604">
        <v>0</v>
      </c>
      <c r="P604">
        <v>0</v>
      </c>
    </row>
    <row r="605" spans="1:16" x14ac:dyDescent="0.25">
      <c r="A605" t="s">
        <v>2252</v>
      </c>
      <c r="B605" t="s">
        <v>2253</v>
      </c>
      <c r="C605">
        <v>6312</v>
      </c>
      <c r="D605" t="s">
        <v>1242</v>
      </c>
      <c r="E605" t="s">
        <v>8</v>
      </c>
      <c r="F605">
        <v>12209</v>
      </c>
      <c r="G6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5">
        <v>4.7630999999999997</v>
      </c>
      <c r="J605" t="str">
        <f>IF(ISBLANK(Table13[[#This Row],[Rating]]), "No", "Yes")</f>
        <v>Yes</v>
      </c>
      <c r="K605" t="str">
        <f>IF(ISBLANK(Table13[[#This Row],[Rating]]), "Not Rated", IF(Table13[[#This Row],[Rating]] &lt; 3, "Low", IF(Table13[[#This Row],[Rating]] &lt; 4, "Medium", "High")))</f>
        <v>High</v>
      </c>
      <c r="L605">
        <v>287</v>
      </c>
      <c r="M605">
        <v>58</v>
      </c>
      <c r="N605" t="str">
        <f>IF(Table13[[#This Row],[Price USD]]&lt;20,"Budget",IF(Table13[[#This Row],[Price USD]]&lt;=50,"Mid-range","Premium"))</f>
        <v>Premium</v>
      </c>
      <c r="O605">
        <v>0</v>
      </c>
      <c r="P605">
        <v>0</v>
      </c>
    </row>
    <row r="606" spans="1:16" x14ac:dyDescent="0.25">
      <c r="A606" t="s">
        <v>1400</v>
      </c>
      <c r="B606" t="s">
        <v>1401</v>
      </c>
      <c r="C606">
        <v>5972</v>
      </c>
      <c r="D606" t="s">
        <v>54</v>
      </c>
      <c r="E606" t="s">
        <v>21</v>
      </c>
      <c r="F606">
        <v>24055</v>
      </c>
      <c r="G6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6">
        <v>4.2388000000000003</v>
      </c>
      <c r="J606" t="str">
        <f>IF(ISBLANK(Table13[[#This Row],[Rating]]), "No", "Yes")</f>
        <v>Yes</v>
      </c>
      <c r="K606" t="str">
        <f>IF(ISBLANK(Table13[[#This Row],[Rating]]), "Not Rated", IF(Table13[[#This Row],[Rating]] &lt; 3, "Low", IF(Table13[[#This Row],[Rating]] &lt; 4, "Medium", "High")))</f>
        <v>High</v>
      </c>
      <c r="L606">
        <v>289</v>
      </c>
      <c r="M606">
        <v>36</v>
      </c>
      <c r="N606" t="str">
        <f>IF(Table13[[#This Row],[Price USD]]&lt;20,"Budget",IF(Table13[[#This Row],[Price USD]]&lt;=50,"Mid-range","Premium"))</f>
        <v>Mid-range</v>
      </c>
      <c r="O606">
        <v>0</v>
      </c>
      <c r="P606">
        <v>0</v>
      </c>
    </row>
    <row r="607" spans="1:16" x14ac:dyDescent="0.25">
      <c r="A607" t="s">
        <v>1448</v>
      </c>
      <c r="B607" t="s">
        <v>1449</v>
      </c>
      <c r="C607">
        <v>4164</v>
      </c>
      <c r="D607" t="s">
        <v>623</v>
      </c>
      <c r="E607" t="s">
        <v>149</v>
      </c>
      <c r="F607">
        <v>23093</v>
      </c>
      <c r="G6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7">
        <v>4.0686999999999998</v>
      </c>
      <c r="J607" t="str">
        <f>IF(ISBLANK(Table13[[#This Row],[Rating]]), "No", "Yes")</f>
        <v>Yes</v>
      </c>
      <c r="K607" t="str">
        <f>IF(ISBLANK(Table13[[#This Row],[Rating]]), "Not Rated", IF(Table13[[#This Row],[Rating]] &lt; 3, "Low", IF(Table13[[#This Row],[Rating]] &lt; 4, "Medium", "High")))</f>
        <v>High</v>
      </c>
      <c r="L607">
        <v>291</v>
      </c>
      <c r="M607">
        <v>67</v>
      </c>
      <c r="N607" t="str">
        <f>IF(Table13[[#This Row],[Price USD]]&lt;20,"Budget",IF(Table13[[#This Row],[Price USD]]&lt;=50,"Mid-range","Premium"))</f>
        <v>Premium</v>
      </c>
      <c r="O607">
        <v>0</v>
      </c>
      <c r="P607">
        <v>0</v>
      </c>
    </row>
    <row r="608" spans="1:16" x14ac:dyDescent="0.25">
      <c r="A608" t="s">
        <v>839</v>
      </c>
      <c r="B608" t="s">
        <v>840</v>
      </c>
      <c r="C608">
        <v>6125</v>
      </c>
      <c r="D608" t="s">
        <v>3</v>
      </c>
      <c r="E608" t="s">
        <v>21</v>
      </c>
      <c r="F608">
        <v>43168</v>
      </c>
      <c r="G6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8">
        <v>4.5739000000000001</v>
      </c>
      <c r="J608" t="str">
        <f>IF(ISBLANK(Table13[[#This Row],[Rating]]), "No", "Yes")</f>
        <v>Yes</v>
      </c>
      <c r="K608" t="str">
        <f>IF(ISBLANK(Table13[[#This Row],[Rating]]), "Not Rated", IF(Table13[[#This Row],[Rating]] &lt; 3, "Low", IF(Table13[[#This Row],[Rating]] &lt; 4, "Medium", "High")))</f>
        <v>High</v>
      </c>
      <c r="L608">
        <v>291</v>
      </c>
      <c r="M608">
        <v>27</v>
      </c>
      <c r="N608" t="str">
        <f>IF(Table13[[#This Row],[Price USD]]&lt;20,"Budget",IF(Table13[[#This Row],[Price USD]]&lt;=50,"Mid-range","Premium"))</f>
        <v>Mid-range</v>
      </c>
      <c r="O608">
        <v>0</v>
      </c>
      <c r="P608">
        <v>0</v>
      </c>
    </row>
    <row r="609" spans="1:16" x14ac:dyDescent="0.25">
      <c r="A609" t="s">
        <v>796</v>
      </c>
      <c r="B609" t="s">
        <v>797</v>
      </c>
      <c r="C609">
        <v>6285</v>
      </c>
      <c r="D609" t="s">
        <v>119</v>
      </c>
      <c r="E609" t="s">
        <v>13</v>
      </c>
      <c r="F609">
        <v>45406</v>
      </c>
      <c r="G6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09">
        <v>4.3917999999999999</v>
      </c>
      <c r="J609" t="str">
        <f>IF(ISBLANK(Table13[[#This Row],[Rating]]), "No", "Yes")</f>
        <v>Yes</v>
      </c>
      <c r="K609" t="str">
        <f>IF(ISBLANK(Table13[[#This Row],[Rating]]), "Not Rated", IF(Table13[[#This Row],[Rating]] &lt; 3, "Low", IF(Table13[[#This Row],[Rating]] &lt; 4, "Medium", "High")))</f>
        <v>High</v>
      </c>
      <c r="L609">
        <v>291</v>
      </c>
      <c r="M609">
        <v>12.99</v>
      </c>
      <c r="N609" t="str">
        <f>IF(Table13[[#This Row],[Price USD]]&lt;20,"Budget",IF(Table13[[#This Row],[Price USD]]&lt;=50,"Mid-range","Premium"))</f>
        <v>Budget</v>
      </c>
      <c r="O609">
        <v>0</v>
      </c>
      <c r="P609">
        <v>0</v>
      </c>
    </row>
    <row r="610" spans="1:16" x14ac:dyDescent="0.25">
      <c r="A610" t="s">
        <v>2135</v>
      </c>
      <c r="B610" t="s">
        <v>2136</v>
      </c>
      <c r="C610">
        <v>6341</v>
      </c>
      <c r="D610" t="s">
        <v>66</v>
      </c>
      <c r="E610" t="s">
        <v>21</v>
      </c>
      <c r="F610">
        <v>13256</v>
      </c>
      <c r="G6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0">
        <v>4.6985999999999999</v>
      </c>
      <c r="J610" t="str">
        <f>IF(ISBLANK(Table13[[#This Row],[Rating]]), "No", "Yes")</f>
        <v>Yes</v>
      </c>
      <c r="K610" t="str">
        <f>IF(ISBLANK(Table13[[#This Row],[Rating]]), "Not Rated", IF(Table13[[#This Row],[Rating]] &lt; 3, "Low", IF(Table13[[#This Row],[Rating]] &lt; 4, "Medium", "High")))</f>
        <v>High</v>
      </c>
      <c r="L610">
        <v>292</v>
      </c>
      <c r="M610">
        <v>45</v>
      </c>
      <c r="N610" t="str">
        <f>IF(Table13[[#This Row],[Price USD]]&lt;20,"Budget",IF(Table13[[#This Row],[Price USD]]&lt;=50,"Mid-range","Premium"))</f>
        <v>Mid-range</v>
      </c>
      <c r="O610">
        <v>0</v>
      </c>
      <c r="P610">
        <v>0</v>
      </c>
    </row>
    <row r="611" spans="1:16" x14ac:dyDescent="0.25">
      <c r="A611" t="s">
        <v>1080</v>
      </c>
      <c r="B611" t="s">
        <v>1081</v>
      </c>
      <c r="C611">
        <v>6117</v>
      </c>
      <c r="D611" t="s">
        <v>229</v>
      </c>
      <c r="E611" t="s">
        <v>201</v>
      </c>
      <c r="F611">
        <v>33236</v>
      </c>
      <c r="G6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1">
        <v>3.5478999999999998</v>
      </c>
      <c r="J611" t="str">
        <f>IF(ISBLANK(Table13[[#This Row],[Rating]]), "No", "Yes")</f>
        <v>Yes</v>
      </c>
      <c r="K611" t="str">
        <f>IF(ISBLANK(Table13[[#This Row],[Rating]]), "Not Rated", IF(Table13[[#This Row],[Rating]] &lt; 3, "Low", IF(Table13[[#This Row],[Rating]] &lt; 4, "Medium", "High")))</f>
        <v>Medium</v>
      </c>
      <c r="L611">
        <v>292</v>
      </c>
      <c r="M611">
        <v>32</v>
      </c>
      <c r="N611" t="str">
        <f>IF(Table13[[#This Row],[Price USD]]&lt;20,"Budget",IF(Table13[[#This Row],[Price USD]]&lt;=50,"Mid-range","Premium"))</f>
        <v>Mid-range</v>
      </c>
      <c r="O611">
        <v>0</v>
      </c>
      <c r="P611">
        <v>0</v>
      </c>
    </row>
    <row r="612" spans="1:16" x14ac:dyDescent="0.25">
      <c r="A612" t="s">
        <v>2069</v>
      </c>
      <c r="B612" t="s">
        <v>2070</v>
      </c>
      <c r="C612">
        <v>6357</v>
      </c>
      <c r="D612" t="s">
        <v>876</v>
      </c>
      <c r="E612" t="s">
        <v>21</v>
      </c>
      <c r="F612">
        <v>13877</v>
      </c>
      <c r="G6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2">
        <v>4.5646000000000004</v>
      </c>
      <c r="J612" t="str">
        <f>IF(ISBLANK(Table13[[#This Row],[Rating]]), "No", "Yes")</f>
        <v>Yes</v>
      </c>
      <c r="K612" t="str">
        <f>IF(ISBLANK(Table13[[#This Row],[Rating]]), "Not Rated", IF(Table13[[#This Row],[Rating]] &lt; 3, "Low", IF(Table13[[#This Row],[Rating]] &lt; 4, "Medium", "High")))</f>
        <v>High</v>
      </c>
      <c r="L612">
        <v>294</v>
      </c>
      <c r="M612">
        <v>35</v>
      </c>
      <c r="N612" t="str">
        <f>IF(Table13[[#This Row],[Price USD]]&lt;20,"Budget",IF(Table13[[#This Row],[Price USD]]&lt;=50,"Mid-range","Premium"))</f>
        <v>Mid-range</v>
      </c>
      <c r="O612">
        <v>0</v>
      </c>
      <c r="P612">
        <v>0</v>
      </c>
    </row>
    <row r="613" spans="1:16" x14ac:dyDescent="0.25">
      <c r="A613" t="s">
        <v>1224</v>
      </c>
      <c r="B613" t="s">
        <v>1225</v>
      </c>
      <c r="C613">
        <v>5987</v>
      </c>
      <c r="D613" t="s">
        <v>48</v>
      </c>
      <c r="E613" t="s">
        <v>49</v>
      </c>
      <c r="F613">
        <v>28604</v>
      </c>
      <c r="G6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3">
        <v>3.9047999999999998</v>
      </c>
      <c r="J613" t="str">
        <f>IF(ISBLANK(Table13[[#This Row],[Rating]]), "No", "Yes")</f>
        <v>Yes</v>
      </c>
      <c r="K613" t="str">
        <f>IF(ISBLANK(Table13[[#This Row],[Rating]]), "Not Rated", IF(Table13[[#This Row],[Rating]] &lt; 3, "Low", IF(Table13[[#This Row],[Rating]] &lt; 4, "Medium", "High")))</f>
        <v>Medium</v>
      </c>
      <c r="L613">
        <v>294</v>
      </c>
      <c r="M613">
        <v>21</v>
      </c>
      <c r="N613" t="str">
        <f>IF(Table13[[#This Row],[Price USD]]&lt;20,"Budget",IF(Table13[[#This Row],[Price USD]]&lt;=50,"Mid-range","Premium"))</f>
        <v>Mid-range</v>
      </c>
      <c r="O613">
        <v>0</v>
      </c>
      <c r="P613">
        <v>0</v>
      </c>
    </row>
    <row r="614" spans="1:16" x14ac:dyDescent="0.25">
      <c r="A614" t="s">
        <v>742</v>
      </c>
      <c r="B614" t="s">
        <v>743</v>
      </c>
      <c r="C614">
        <v>6234</v>
      </c>
      <c r="D614" t="s">
        <v>7</v>
      </c>
      <c r="E614" t="s">
        <v>8</v>
      </c>
      <c r="F614">
        <v>48131</v>
      </c>
      <c r="G6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4">
        <v>4.3979999999999997</v>
      </c>
      <c r="J614" t="str">
        <f>IF(ISBLANK(Table13[[#This Row],[Rating]]), "No", "Yes")</f>
        <v>Yes</v>
      </c>
      <c r="K614" t="str">
        <f>IF(ISBLANK(Table13[[#This Row],[Rating]]), "Not Rated", IF(Table13[[#This Row],[Rating]] &lt; 3, "Low", IF(Table13[[#This Row],[Rating]] &lt; 4, "Medium", "High")))</f>
        <v>High</v>
      </c>
      <c r="L614">
        <v>294</v>
      </c>
      <c r="M614">
        <v>5</v>
      </c>
      <c r="N614" t="str">
        <f>IF(Table13[[#This Row],[Price USD]]&lt;20,"Budget",IF(Table13[[#This Row],[Price USD]]&lt;=50,"Mid-range","Premium"))</f>
        <v>Budget</v>
      </c>
      <c r="O614">
        <v>0</v>
      </c>
      <c r="P614">
        <v>0</v>
      </c>
    </row>
    <row r="615" spans="1:16" x14ac:dyDescent="0.25">
      <c r="A615" t="s">
        <v>1378</v>
      </c>
      <c r="B615" t="s">
        <v>1379</v>
      </c>
      <c r="C615">
        <v>6352</v>
      </c>
      <c r="D615" t="s">
        <v>251</v>
      </c>
      <c r="E615" t="s">
        <v>21</v>
      </c>
      <c r="F615">
        <v>24560</v>
      </c>
      <c r="G6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5">
        <v>4.6554000000000002</v>
      </c>
      <c r="J615" t="str">
        <f>IF(ISBLANK(Table13[[#This Row],[Rating]]), "No", "Yes")</f>
        <v>Yes</v>
      </c>
      <c r="K615" t="str">
        <f>IF(ISBLANK(Table13[[#This Row],[Rating]]), "Not Rated", IF(Table13[[#This Row],[Rating]] &lt; 3, "Low", IF(Table13[[#This Row],[Rating]] &lt; 4, "Medium", "High")))</f>
        <v>High</v>
      </c>
      <c r="L615">
        <v>296</v>
      </c>
      <c r="M615">
        <v>34</v>
      </c>
      <c r="N615" t="str">
        <f>IF(Table13[[#This Row],[Price USD]]&lt;20,"Budget",IF(Table13[[#This Row],[Price USD]]&lt;=50,"Mid-range","Premium"))</f>
        <v>Mid-range</v>
      </c>
      <c r="O615">
        <v>0</v>
      </c>
      <c r="P615">
        <v>0</v>
      </c>
    </row>
    <row r="616" spans="1:16" x14ac:dyDescent="0.25">
      <c r="A616" t="s">
        <v>1739</v>
      </c>
      <c r="B616" t="s">
        <v>1740</v>
      </c>
      <c r="C616">
        <v>5674</v>
      </c>
      <c r="D616" t="s">
        <v>141</v>
      </c>
      <c r="E616" t="s">
        <v>149</v>
      </c>
      <c r="F616">
        <v>17823</v>
      </c>
      <c r="G6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6">
        <v>4.6040000000000001</v>
      </c>
      <c r="J616" t="str">
        <f>IF(ISBLANK(Table13[[#This Row],[Rating]]), "No", "Yes")</f>
        <v>Yes</v>
      </c>
      <c r="K616" t="str">
        <f>IF(ISBLANK(Table13[[#This Row],[Rating]]), "Not Rated", IF(Table13[[#This Row],[Rating]] &lt; 3, "Low", IF(Table13[[#This Row],[Rating]] &lt; 4, "Medium", "High")))</f>
        <v>High</v>
      </c>
      <c r="L616">
        <v>298</v>
      </c>
      <c r="M616">
        <v>34</v>
      </c>
      <c r="N616" t="str">
        <f>IF(Table13[[#This Row],[Price USD]]&lt;20,"Budget",IF(Table13[[#This Row],[Price USD]]&lt;=50,"Mid-range","Premium"))</f>
        <v>Mid-range</v>
      </c>
      <c r="O616">
        <v>1</v>
      </c>
      <c r="P616">
        <v>0</v>
      </c>
    </row>
    <row r="617" spans="1:16" x14ac:dyDescent="0.25">
      <c r="A617" t="s">
        <v>2175</v>
      </c>
      <c r="B617" t="s">
        <v>2176</v>
      </c>
      <c r="C617">
        <v>6352</v>
      </c>
      <c r="D617" t="s">
        <v>251</v>
      </c>
      <c r="E617" t="s">
        <v>13</v>
      </c>
      <c r="F617">
        <v>12779</v>
      </c>
      <c r="G6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7">
        <v>4.1738999999999997</v>
      </c>
      <c r="J617" t="str">
        <f>IF(ISBLANK(Table13[[#This Row],[Rating]]), "No", "Yes")</f>
        <v>Yes</v>
      </c>
      <c r="K617" t="str">
        <f>IF(ISBLANK(Table13[[#This Row],[Rating]]), "Not Rated", IF(Table13[[#This Row],[Rating]] &lt; 3, "Low", IF(Table13[[#This Row],[Rating]] &lt; 4, "Medium", "High")))</f>
        <v>High</v>
      </c>
      <c r="L617">
        <v>299</v>
      </c>
      <c r="M617">
        <v>14</v>
      </c>
      <c r="N617" t="str">
        <f>IF(Table13[[#This Row],[Price USD]]&lt;20,"Budget",IF(Table13[[#This Row],[Price USD]]&lt;=50,"Mid-range","Premium"))</f>
        <v>Budget</v>
      </c>
      <c r="O617">
        <v>0</v>
      </c>
      <c r="P617">
        <v>0</v>
      </c>
    </row>
    <row r="618" spans="1:16" x14ac:dyDescent="0.25">
      <c r="A618" t="s">
        <v>947</v>
      </c>
      <c r="B618" t="s">
        <v>948</v>
      </c>
      <c r="C618">
        <v>6134</v>
      </c>
      <c r="D618" t="s">
        <v>286</v>
      </c>
      <c r="E618" t="s">
        <v>8</v>
      </c>
      <c r="F618">
        <v>38968</v>
      </c>
      <c r="G6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8">
        <v>3.7258</v>
      </c>
      <c r="J618" t="str">
        <f>IF(ISBLANK(Table13[[#This Row],[Rating]]), "No", "Yes")</f>
        <v>Yes</v>
      </c>
      <c r="K618" t="str">
        <f>IF(ISBLANK(Table13[[#This Row],[Rating]]), "Not Rated", IF(Table13[[#This Row],[Rating]] &lt; 3, "Low", IF(Table13[[#This Row],[Rating]] &lt; 4, "Medium", "High")))</f>
        <v>Medium</v>
      </c>
      <c r="L618">
        <v>299</v>
      </c>
      <c r="M618">
        <v>36</v>
      </c>
      <c r="N618" t="str">
        <f>IF(Table13[[#This Row],[Price USD]]&lt;20,"Budget",IF(Table13[[#This Row],[Price USD]]&lt;=50,"Mid-range","Premium"))</f>
        <v>Mid-range</v>
      </c>
      <c r="O618">
        <v>0</v>
      </c>
      <c r="P618">
        <v>0</v>
      </c>
    </row>
    <row r="619" spans="1:16" x14ac:dyDescent="0.25">
      <c r="A619" t="s">
        <v>2320</v>
      </c>
      <c r="B619" t="s">
        <v>2321</v>
      </c>
      <c r="C619">
        <v>6218</v>
      </c>
      <c r="D619" t="s">
        <v>116</v>
      </c>
      <c r="E619" t="s">
        <v>21</v>
      </c>
      <c r="F619">
        <v>11696</v>
      </c>
      <c r="G6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19">
        <v>4.5232999999999999</v>
      </c>
      <c r="J619" t="str">
        <f>IF(ISBLANK(Table13[[#This Row],[Rating]]), "No", "Yes")</f>
        <v>Yes</v>
      </c>
      <c r="K619" t="str">
        <f>IF(ISBLANK(Table13[[#This Row],[Rating]]), "Not Rated", IF(Table13[[#This Row],[Rating]] &lt; 3, "Low", IF(Table13[[#This Row],[Rating]] &lt; 4, "Medium", "High")))</f>
        <v>High</v>
      </c>
      <c r="L619">
        <v>300</v>
      </c>
      <c r="M619">
        <v>60</v>
      </c>
      <c r="N619" t="str">
        <f>IF(Table13[[#This Row],[Price USD]]&lt;20,"Budget",IF(Table13[[#This Row],[Price USD]]&lt;=50,"Mid-range","Premium"))</f>
        <v>Premium</v>
      </c>
      <c r="O619">
        <v>0</v>
      </c>
      <c r="P619">
        <v>0</v>
      </c>
    </row>
    <row r="620" spans="1:16" x14ac:dyDescent="0.25">
      <c r="A620" t="s">
        <v>1141</v>
      </c>
      <c r="B620" t="s">
        <v>1142</v>
      </c>
      <c r="C620">
        <v>8001</v>
      </c>
      <c r="D620" t="s">
        <v>27</v>
      </c>
      <c r="E620" t="s">
        <v>49</v>
      </c>
      <c r="F620">
        <v>31465</v>
      </c>
      <c r="G6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0">
        <v>3.9767000000000001</v>
      </c>
      <c r="J620" t="str">
        <f>IF(ISBLANK(Table13[[#This Row],[Rating]]), "No", "Yes")</f>
        <v>Yes</v>
      </c>
      <c r="K620" t="str">
        <f>IF(ISBLANK(Table13[[#This Row],[Rating]]), "Not Rated", IF(Table13[[#This Row],[Rating]] &lt; 3, "Low", IF(Table13[[#This Row],[Rating]] &lt; 4, "Medium", "High")))</f>
        <v>Medium</v>
      </c>
      <c r="L620">
        <v>300</v>
      </c>
      <c r="M620">
        <v>36</v>
      </c>
      <c r="N620" t="str">
        <f>IF(Table13[[#This Row],[Price USD]]&lt;20,"Budget",IF(Table13[[#This Row],[Price USD]]&lt;=50,"Mid-range","Premium"))</f>
        <v>Mid-range</v>
      </c>
      <c r="O620">
        <v>0</v>
      </c>
      <c r="P620">
        <v>0</v>
      </c>
    </row>
    <row r="621" spans="1:16" x14ac:dyDescent="0.25">
      <c r="A621" t="s">
        <v>862</v>
      </c>
      <c r="B621" t="s">
        <v>863</v>
      </c>
      <c r="C621">
        <v>8017</v>
      </c>
      <c r="D621" t="s">
        <v>620</v>
      </c>
      <c r="E621" t="s">
        <v>21</v>
      </c>
      <c r="F621">
        <v>42146</v>
      </c>
      <c r="G6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1">
        <v>3.7566999999999999</v>
      </c>
      <c r="J621" t="str">
        <f>IF(ISBLANK(Table13[[#This Row],[Rating]]), "No", "Yes")</f>
        <v>Yes</v>
      </c>
      <c r="K621" t="str">
        <f>IF(ISBLANK(Table13[[#This Row],[Rating]]), "Not Rated", IF(Table13[[#This Row],[Rating]] &lt; 3, "Low", IF(Table13[[#This Row],[Rating]] &lt; 4, "Medium", "High")))</f>
        <v>Medium</v>
      </c>
      <c r="L621">
        <v>300</v>
      </c>
      <c r="M621">
        <v>7</v>
      </c>
      <c r="N621" t="str">
        <f>IF(Table13[[#This Row],[Price USD]]&lt;20,"Budget",IF(Table13[[#This Row],[Price USD]]&lt;=50,"Mid-range","Premium"))</f>
        <v>Budget</v>
      </c>
      <c r="O621">
        <v>0</v>
      </c>
      <c r="P621">
        <v>0</v>
      </c>
    </row>
    <row r="622" spans="1:16" x14ac:dyDescent="0.25">
      <c r="A622" t="s">
        <v>1560</v>
      </c>
      <c r="B622" t="s">
        <v>1561</v>
      </c>
      <c r="C622">
        <v>5648</v>
      </c>
      <c r="D622" t="s">
        <v>408</v>
      </c>
      <c r="E622" t="s">
        <v>8</v>
      </c>
      <c r="F622">
        <v>20912</v>
      </c>
      <c r="G6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2">
        <v>4.1093000000000002</v>
      </c>
      <c r="J622" t="str">
        <f>IF(ISBLANK(Table13[[#This Row],[Rating]]), "No", "Yes")</f>
        <v>Yes</v>
      </c>
      <c r="K622" t="str">
        <f>IF(ISBLANK(Table13[[#This Row],[Rating]]), "Not Rated", IF(Table13[[#This Row],[Rating]] &lt; 3, "Low", IF(Table13[[#This Row],[Rating]] &lt; 4, "Medium", "High")))</f>
        <v>High</v>
      </c>
      <c r="L622">
        <v>302</v>
      </c>
      <c r="M622">
        <v>15</v>
      </c>
      <c r="N622" t="str">
        <f>IF(Table13[[#This Row],[Price USD]]&lt;20,"Budget",IF(Table13[[#This Row],[Price USD]]&lt;=50,"Mid-range","Premium"))</f>
        <v>Budget</v>
      </c>
      <c r="O622">
        <v>0</v>
      </c>
      <c r="P622">
        <v>1</v>
      </c>
    </row>
    <row r="623" spans="1:16" x14ac:dyDescent="0.25">
      <c r="A623" t="s">
        <v>1303</v>
      </c>
      <c r="B623" t="s">
        <v>1304</v>
      </c>
      <c r="C623">
        <v>6307</v>
      </c>
      <c r="D623" t="s">
        <v>1132</v>
      </c>
      <c r="E623" t="s">
        <v>220</v>
      </c>
      <c r="F623">
        <v>26274</v>
      </c>
      <c r="G6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3">
        <v>4.702</v>
      </c>
      <c r="J623" t="str">
        <f>IF(ISBLANK(Table13[[#This Row],[Rating]]), "No", "Yes")</f>
        <v>Yes</v>
      </c>
      <c r="K623" t="str">
        <f>IF(ISBLANK(Table13[[#This Row],[Rating]]), "Not Rated", IF(Table13[[#This Row],[Rating]] &lt; 3, "Low", IF(Table13[[#This Row],[Rating]] &lt; 4, "Medium", "High")))</f>
        <v>High</v>
      </c>
      <c r="L623">
        <v>302</v>
      </c>
      <c r="M623">
        <v>58</v>
      </c>
      <c r="N623" t="str">
        <f>IF(Table13[[#This Row],[Price USD]]&lt;20,"Budget",IF(Table13[[#This Row],[Price USD]]&lt;=50,"Mid-range","Premium"))</f>
        <v>Premium</v>
      </c>
      <c r="O623">
        <v>0</v>
      </c>
      <c r="P623">
        <v>0</v>
      </c>
    </row>
    <row r="624" spans="1:16" x14ac:dyDescent="0.25">
      <c r="A624" t="s">
        <v>798</v>
      </c>
      <c r="B624" t="s">
        <v>799</v>
      </c>
      <c r="C624">
        <v>6117</v>
      </c>
      <c r="D624" t="s">
        <v>229</v>
      </c>
      <c r="E624" t="s">
        <v>8</v>
      </c>
      <c r="F624">
        <v>45368</v>
      </c>
      <c r="G6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4">
        <v>4.2615999999999996</v>
      </c>
      <c r="J624" t="str">
        <f>IF(ISBLANK(Table13[[#This Row],[Rating]]), "No", "Yes")</f>
        <v>Yes</v>
      </c>
      <c r="K624" t="str">
        <f>IF(ISBLANK(Table13[[#This Row],[Rating]]), "Not Rated", IF(Table13[[#This Row],[Rating]] &lt; 3, "Low", IF(Table13[[#This Row],[Rating]] &lt; 4, "Medium", "High")))</f>
        <v>High</v>
      </c>
      <c r="L624">
        <v>302</v>
      </c>
      <c r="M624">
        <v>58</v>
      </c>
      <c r="N624" t="str">
        <f>IF(Table13[[#This Row],[Price USD]]&lt;20,"Budget",IF(Table13[[#This Row],[Price USD]]&lt;=50,"Mid-range","Premium"))</f>
        <v>Premium</v>
      </c>
      <c r="O624">
        <v>0</v>
      </c>
      <c r="P624">
        <v>0</v>
      </c>
    </row>
    <row r="625" spans="1:16" x14ac:dyDescent="0.25">
      <c r="A625" t="s">
        <v>1265</v>
      </c>
      <c r="B625" t="s">
        <v>1266</v>
      </c>
      <c r="C625">
        <v>6125</v>
      </c>
      <c r="D625" t="s">
        <v>3</v>
      </c>
      <c r="E625" t="s">
        <v>13</v>
      </c>
      <c r="F625">
        <v>27415</v>
      </c>
      <c r="G6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5">
        <v>4.3728999999999996</v>
      </c>
      <c r="J625" t="str">
        <f>IF(ISBLANK(Table13[[#This Row],[Rating]]), "No", "Yes")</f>
        <v>Yes</v>
      </c>
      <c r="K625" t="str">
        <f>IF(ISBLANK(Table13[[#This Row],[Rating]]), "Not Rated", IF(Table13[[#This Row],[Rating]] &lt; 3, "Low", IF(Table13[[#This Row],[Rating]] &lt; 4, "Medium", "High")))</f>
        <v>High</v>
      </c>
      <c r="L625">
        <v>303</v>
      </c>
      <c r="M625">
        <v>34</v>
      </c>
      <c r="N625" t="str">
        <f>IF(Table13[[#This Row],[Price USD]]&lt;20,"Budget",IF(Table13[[#This Row],[Price USD]]&lt;=50,"Mid-range","Premium"))</f>
        <v>Mid-range</v>
      </c>
      <c r="O625">
        <v>0</v>
      </c>
      <c r="P625">
        <v>0</v>
      </c>
    </row>
    <row r="626" spans="1:16" x14ac:dyDescent="0.25">
      <c r="A626" t="s">
        <v>1198</v>
      </c>
      <c r="B626" t="s">
        <v>1199</v>
      </c>
      <c r="C626">
        <v>5668</v>
      </c>
      <c r="D626" t="s">
        <v>93</v>
      </c>
      <c r="E626" t="s">
        <v>149</v>
      </c>
      <c r="F626">
        <v>29199</v>
      </c>
      <c r="G6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6">
        <v>4.4966999999999997</v>
      </c>
      <c r="J626" t="str">
        <f>IF(ISBLANK(Table13[[#This Row],[Rating]]), "No", "Yes")</f>
        <v>Yes</v>
      </c>
      <c r="K626" t="str">
        <f>IF(ISBLANK(Table13[[#This Row],[Rating]]), "Not Rated", IF(Table13[[#This Row],[Rating]] &lt; 3, "Low", IF(Table13[[#This Row],[Rating]] &lt; 4, "Medium", "High")))</f>
        <v>High</v>
      </c>
      <c r="L626">
        <v>304</v>
      </c>
      <c r="M626">
        <v>71</v>
      </c>
      <c r="N626" t="str">
        <f>IF(Table13[[#This Row],[Price USD]]&lt;20,"Budget",IF(Table13[[#This Row],[Price USD]]&lt;=50,"Mid-range","Premium"))</f>
        <v>Premium</v>
      </c>
      <c r="O626">
        <v>0</v>
      </c>
      <c r="P626">
        <v>0</v>
      </c>
    </row>
    <row r="627" spans="1:16" x14ac:dyDescent="0.25">
      <c r="A627" t="s">
        <v>1997</v>
      </c>
      <c r="B627" t="s">
        <v>1998</v>
      </c>
      <c r="C627">
        <v>6218</v>
      </c>
      <c r="D627" t="s">
        <v>116</v>
      </c>
      <c r="E627" t="s">
        <v>13</v>
      </c>
      <c r="F627">
        <v>14773</v>
      </c>
      <c r="G6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7">
        <v>4.6820000000000004</v>
      </c>
      <c r="J627" t="str">
        <f>IF(ISBLANK(Table13[[#This Row],[Rating]]), "No", "Yes")</f>
        <v>Yes</v>
      </c>
      <c r="K627" t="str">
        <f>IF(ISBLANK(Table13[[#This Row],[Rating]]), "Not Rated", IF(Table13[[#This Row],[Rating]] &lt; 3, "Low", IF(Table13[[#This Row],[Rating]] &lt; 4, "Medium", "High")))</f>
        <v>High</v>
      </c>
      <c r="L627">
        <v>305</v>
      </c>
      <c r="M627">
        <v>60</v>
      </c>
      <c r="N627" t="str">
        <f>IF(Table13[[#This Row],[Price USD]]&lt;20,"Budget",IF(Table13[[#This Row],[Price USD]]&lt;=50,"Mid-range","Premium"))</f>
        <v>Premium</v>
      </c>
      <c r="O627">
        <v>0</v>
      </c>
      <c r="P627">
        <v>0</v>
      </c>
    </row>
    <row r="628" spans="1:16" x14ac:dyDescent="0.25">
      <c r="A628" t="s">
        <v>1606</v>
      </c>
      <c r="B628" t="s">
        <v>1607</v>
      </c>
      <c r="C628">
        <v>4372</v>
      </c>
      <c r="D628" t="s">
        <v>1513</v>
      </c>
      <c r="E628" t="s">
        <v>69</v>
      </c>
      <c r="F628">
        <v>19870</v>
      </c>
      <c r="G6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8">
        <v>3.9216000000000002</v>
      </c>
      <c r="J628" t="str">
        <f>IF(ISBLANK(Table13[[#This Row],[Rating]]), "No", "Yes")</f>
        <v>Yes</v>
      </c>
      <c r="K628" t="str">
        <f>IF(ISBLANK(Table13[[#This Row],[Rating]]), "Not Rated", IF(Table13[[#This Row],[Rating]] &lt; 3, "Low", IF(Table13[[#This Row],[Rating]] &lt; 4, "Medium", "High")))</f>
        <v>Medium</v>
      </c>
      <c r="L628">
        <v>306</v>
      </c>
      <c r="M628">
        <v>75</v>
      </c>
      <c r="N628" t="str">
        <f>IF(Table13[[#This Row],[Price USD]]&lt;20,"Budget",IF(Table13[[#This Row],[Price USD]]&lt;=50,"Mid-range","Premium"))</f>
        <v>Premium</v>
      </c>
      <c r="O628">
        <v>0</v>
      </c>
      <c r="P628">
        <v>0</v>
      </c>
    </row>
    <row r="629" spans="1:16" x14ac:dyDescent="0.25">
      <c r="A629" t="s">
        <v>931</v>
      </c>
      <c r="B629" t="s">
        <v>932</v>
      </c>
      <c r="C629">
        <v>6218</v>
      </c>
      <c r="D629" t="s">
        <v>116</v>
      </c>
      <c r="E629" t="s">
        <v>13</v>
      </c>
      <c r="F629">
        <v>39855</v>
      </c>
      <c r="G6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29">
        <v>4.5033000000000003</v>
      </c>
      <c r="J629" t="str">
        <f>IF(ISBLANK(Table13[[#This Row],[Rating]]), "No", "Yes")</f>
        <v>Yes</v>
      </c>
      <c r="K629" t="str">
        <f>IF(ISBLANK(Table13[[#This Row],[Rating]]), "Not Rated", IF(Table13[[#This Row],[Rating]] &lt; 3, "Low", IF(Table13[[#This Row],[Rating]] &lt; 4, "Medium", "High")))</f>
        <v>High</v>
      </c>
      <c r="L629">
        <v>306</v>
      </c>
      <c r="M629">
        <v>38</v>
      </c>
      <c r="N629" t="str">
        <f>IF(Table13[[#This Row],[Price USD]]&lt;20,"Budget",IF(Table13[[#This Row],[Price USD]]&lt;=50,"Mid-range","Premium"))</f>
        <v>Mid-range</v>
      </c>
      <c r="O629">
        <v>0</v>
      </c>
      <c r="P629">
        <v>0</v>
      </c>
    </row>
    <row r="630" spans="1:16" x14ac:dyDescent="0.25">
      <c r="A630" t="s">
        <v>2293</v>
      </c>
      <c r="B630" t="s">
        <v>2294</v>
      </c>
      <c r="C630">
        <v>6335</v>
      </c>
      <c r="D630" t="s">
        <v>2128</v>
      </c>
      <c r="E630" t="s">
        <v>69</v>
      </c>
      <c r="F630">
        <v>11890</v>
      </c>
      <c r="G6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0">
        <v>4.0129999999999999</v>
      </c>
      <c r="J630" t="str">
        <f>IF(ISBLANK(Table13[[#This Row],[Rating]]), "No", "Yes")</f>
        <v>Yes</v>
      </c>
      <c r="K630" t="str">
        <f>IF(ISBLANK(Table13[[#This Row],[Rating]]), "Not Rated", IF(Table13[[#This Row],[Rating]] &lt; 3, "Low", IF(Table13[[#This Row],[Rating]] &lt; 4, "Medium", "High")))</f>
        <v>High</v>
      </c>
      <c r="L630">
        <v>307</v>
      </c>
      <c r="M630">
        <v>49</v>
      </c>
      <c r="N630" t="str">
        <f>IF(Table13[[#This Row],[Price USD]]&lt;20,"Budget",IF(Table13[[#This Row],[Price USD]]&lt;=50,"Mid-range","Premium"))</f>
        <v>Mid-range</v>
      </c>
      <c r="O630">
        <v>0</v>
      </c>
      <c r="P630">
        <v>0</v>
      </c>
    </row>
    <row r="631" spans="1:16" x14ac:dyDescent="0.25">
      <c r="A631" t="s">
        <v>1014</v>
      </c>
      <c r="B631" t="s">
        <v>1015</v>
      </c>
      <c r="C631">
        <v>6285</v>
      </c>
      <c r="D631" t="s">
        <v>119</v>
      </c>
      <c r="E631" t="s">
        <v>8</v>
      </c>
      <c r="F631">
        <v>36241</v>
      </c>
      <c r="G6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1">
        <v>4.2899000000000003</v>
      </c>
      <c r="J631" t="str">
        <f>IF(ISBLANK(Table13[[#This Row],[Rating]]), "No", "Yes")</f>
        <v>Yes</v>
      </c>
      <c r="K631" t="str">
        <f>IF(ISBLANK(Table13[[#This Row],[Rating]]), "Not Rated", IF(Table13[[#This Row],[Rating]] &lt; 3, "Low", IF(Table13[[#This Row],[Rating]] &lt; 4, "Medium", "High")))</f>
        <v>High</v>
      </c>
      <c r="L631">
        <v>307</v>
      </c>
      <c r="M631">
        <v>15.99</v>
      </c>
      <c r="N631" t="str">
        <f>IF(Table13[[#This Row],[Price USD]]&lt;20,"Budget",IF(Table13[[#This Row],[Price USD]]&lt;=50,"Mid-range","Premium"))</f>
        <v>Budget</v>
      </c>
      <c r="O631">
        <v>0</v>
      </c>
      <c r="P631">
        <v>0</v>
      </c>
    </row>
    <row r="632" spans="1:16" x14ac:dyDescent="0.25">
      <c r="A632" t="s">
        <v>2440</v>
      </c>
      <c r="B632" t="s">
        <v>2441</v>
      </c>
      <c r="C632">
        <v>6219</v>
      </c>
      <c r="D632" t="s">
        <v>277</v>
      </c>
      <c r="E632" t="s">
        <v>13</v>
      </c>
      <c r="F632">
        <v>10658</v>
      </c>
      <c r="G6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2">
        <v>4.5631000000000004</v>
      </c>
      <c r="J632" t="str">
        <f>IF(ISBLANK(Table13[[#This Row],[Rating]]), "No", "Yes")</f>
        <v>Yes</v>
      </c>
      <c r="K632" t="str">
        <f>IF(ISBLANK(Table13[[#This Row],[Rating]]), "Not Rated", IF(Table13[[#This Row],[Rating]] &lt; 3, "Low", IF(Table13[[#This Row],[Rating]] &lt; 4, "Medium", "High")))</f>
        <v>High</v>
      </c>
      <c r="L632">
        <v>309</v>
      </c>
      <c r="M632">
        <v>65</v>
      </c>
      <c r="N632" t="str">
        <f>IF(Table13[[#This Row],[Price USD]]&lt;20,"Budget",IF(Table13[[#This Row],[Price USD]]&lt;=50,"Mid-range","Premium"))</f>
        <v>Premium</v>
      </c>
      <c r="O632">
        <v>0</v>
      </c>
      <c r="P632">
        <v>0</v>
      </c>
    </row>
    <row r="633" spans="1:16" x14ac:dyDescent="0.25">
      <c r="A633" t="s">
        <v>1362</v>
      </c>
      <c r="B633" t="s">
        <v>1363</v>
      </c>
      <c r="C633">
        <v>6125</v>
      </c>
      <c r="D633" t="s">
        <v>3</v>
      </c>
      <c r="E633" t="s">
        <v>8</v>
      </c>
      <c r="F633">
        <v>24759</v>
      </c>
      <c r="G6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3">
        <v>4.7355</v>
      </c>
      <c r="J633" t="str">
        <f>IF(ISBLANK(Table13[[#This Row],[Rating]]), "No", "Yes")</f>
        <v>Yes</v>
      </c>
      <c r="K633" t="str">
        <f>IF(ISBLANK(Table13[[#This Row],[Rating]]), "Not Rated", IF(Table13[[#This Row],[Rating]] &lt; 3, "Low", IF(Table13[[#This Row],[Rating]] &lt; 4, "Medium", "High")))</f>
        <v>High</v>
      </c>
      <c r="L633">
        <v>310</v>
      </c>
      <c r="M633">
        <v>45</v>
      </c>
      <c r="N633" t="str">
        <f>IF(Table13[[#This Row],[Price USD]]&lt;20,"Budget",IF(Table13[[#This Row],[Price USD]]&lt;=50,"Mid-range","Premium"))</f>
        <v>Mid-range</v>
      </c>
      <c r="O633">
        <v>0</v>
      </c>
      <c r="P633">
        <v>0</v>
      </c>
    </row>
    <row r="634" spans="1:16" x14ac:dyDescent="0.25">
      <c r="A634" t="s">
        <v>763</v>
      </c>
      <c r="B634" t="s">
        <v>764</v>
      </c>
      <c r="C634">
        <v>8001</v>
      </c>
      <c r="D634" t="s">
        <v>27</v>
      </c>
      <c r="E634" t="s">
        <v>21</v>
      </c>
      <c r="F634">
        <v>47186</v>
      </c>
      <c r="G6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4">
        <v>4.2355</v>
      </c>
      <c r="J634" t="str">
        <f>IF(ISBLANK(Table13[[#This Row],[Rating]]), "No", "Yes")</f>
        <v>Yes</v>
      </c>
      <c r="K634" t="str">
        <f>IF(ISBLANK(Table13[[#This Row],[Rating]]), "Not Rated", IF(Table13[[#This Row],[Rating]] &lt; 3, "Low", IF(Table13[[#This Row],[Rating]] &lt; 4, "Medium", "High")))</f>
        <v>High</v>
      </c>
      <c r="L634">
        <v>310</v>
      </c>
      <c r="M634">
        <v>48</v>
      </c>
      <c r="N634" t="str">
        <f>IF(Table13[[#This Row],[Price USD]]&lt;20,"Budget",IF(Table13[[#This Row],[Price USD]]&lt;=50,"Mid-range","Premium"))</f>
        <v>Mid-range</v>
      </c>
      <c r="O634">
        <v>0</v>
      </c>
      <c r="P634">
        <v>0</v>
      </c>
    </row>
    <row r="635" spans="1:16" x14ac:dyDescent="0.25">
      <c r="A635" t="s">
        <v>1156</v>
      </c>
      <c r="B635" t="s">
        <v>1157</v>
      </c>
      <c r="C635">
        <v>6247</v>
      </c>
      <c r="D635" t="s">
        <v>38</v>
      </c>
      <c r="E635" t="s">
        <v>13</v>
      </c>
      <c r="F635">
        <v>30871</v>
      </c>
      <c r="G6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5">
        <v>4.0833000000000004</v>
      </c>
      <c r="J635" t="str">
        <f>IF(ISBLANK(Table13[[#This Row],[Rating]]), "No", "Yes")</f>
        <v>Yes</v>
      </c>
      <c r="K635" t="str">
        <f>IF(ISBLANK(Table13[[#This Row],[Rating]]), "Not Rated", IF(Table13[[#This Row],[Rating]] &lt; 3, "Low", IF(Table13[[#This Row],[Rating]] &lt; 4, "Medium", "High")))</f>
        <v>High</v>
      </c>
      <c r="L635">
        <v>312</v>
      </c>
      <c r="M635">
        <v>35</v>
      </c>
      <c r="N635" t="str">
        <f>IF(Table13[[#This Row],[Price USD]]&lt;20,"Budget",IF(Table13[[#This Row],[Price USD]]&lt;=50,"Mid-range","Premium"))</f>
        <v>Mid-range</v>
      </c>
      <c r="O635">
        <v>0</v>
      </c>
      <c r="P635">
        <v>0</v>
      </c>
    </row>
    <row r="636" spans="1:16" x14ac:dyDescent="0.25">
      <c r="A636" t="s">
        <v>945</v>
      </c>
      <c r="B636" t="s">
        <v>946</v>
      </c>
      <c r="C636">
        <v>6117</v>
      </c>
      <c r="D636" t="s">
        <v>229</v>
      </c>
      <c r="E636" t="s">
        <v>13</v>
      </c>
      <c r="F636">
        <v>39251</v>
      </c>
      <c r="G6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6">
        <v>4.0833000000000004</v>
      </c>
      <c r="J636" t="str">
        <f>IF(ISBLANK(Table13[[#This Row],[Rating]]), "No", "Yes")</f>
        <v>Yes</v>
      </c>
      <c r="K636" t="str">
        <f>IF(ISBLANK(Table13[[#This Row],[Rating]]), "Not Rated", IF(Table13[[#This Row],[Rating]] &lt; 3, "Low", IF(Table13[[#This Row],[Rating]] &lt; 4, "Medium", "High")))</f>
        <v>High</v>
      </c>
      <c r="L636">
        <v>312</v>
      </c>
      <c r="M636">
        <v>39</v>
      </c>
      <c r="N636" t="str">
        <f>IF(Table13[[#This Row],[Price USD]]&lt;20,"Budget",IF(Table13[[#This Row],[Price USD]]&lt;=50,"Mid-range","Premium"))</f>
        <v>Mid-range</v>
      </c>
      <c r="O636">
        <v>0</v>
      </c>
      <c r="P636">
        <v>0</v>
      </c>
    </row>
    <row r="637" spans="1:16" x14ac:dyDescent="0.25">
      <c r="A637" t="s">
        <v>884</v>
      </c>
      <c r="B637" t="s">
        <v>885</v>
      </c>
      <c r="C637">
        <v>6169</v>
      </c>
      <c r="D637" t="s">
        <v>24</v>
      </c>
      <c r="E637" t="s">
        <v>8</v>
      </c>
      <c r="F637">
        <v>41445</v>
      </c>
      <c r="G6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7">
        <v>4.5841000000000003</v>
      </c>
      <c r="J637" t="str">
        <f>IF(ISBLANK(Table13[[#This Row],[Rating]]), "No", "Yes")</f>
        <v>Yes</v>
      </c>
      <c r="K637" t="str">
        <f>IF(ISBLANK(Table13[[#This Row],[Rating]]), "Not Rated", IF(Table13[[#This Row],[Rating]] &lt; 3, "Low", IF(Table13[[#This Row],[Rating]] &lt; 4, "Medium", "High")))</f>
        <v>High</v>
      </c>
      <c r="L637">
        <v>315</v>
      </c>
      <c r="M637">
        <v>69</v>
      </c>
      <c r="N637" t="str">
        <f>IF(Table13[[#This Row],[Price USD]]&lt;20,"Budget",IF(Table13[[#This Row],[Price USD]]&lt;=50,"Mid-range","Premium"))</f>
        <v>Premium</v>
      </c>
      <c r="O637">
        <v>0</v>
      </c>
      <c r="P637">
        <v>0</v>
      </c>
    </row>
    <row r="638" spans="1:16" x14ac:dyDescent="0.25">
      <c r="A638" t="s">
        <v>2050</v>
      </c>
      <c r="B638" t="s">
        <v>2051</v>
      </c>
      <c r="C638">
        <v>6219</v>
      </c>
      <c r="D638" t="s">
        <v>277</v>
      </c>
      <c r="E638" t="s">
        <v>144</v>
      </c>
      <c r="F638">
        <v>14201</v>
      </c>
      <c r="G6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8">
        <v>4.3986999999999998</v>
      </c>
      <c r="J638" t="str">
        <f>IF(ISBLANK(Table13[[#This Row],[Rating]]), "No", "Yes")</f>
        <v>Yes</v>
      </c>
      <c r="K638" t="str">
        <f>IF(ISBLANK(Table13[[#This Row],[Rating]]), "Not Rated", IF(Table13[[#This Row],[Rating]] &lt; 3, "Low", IF(Table13[[#This Row],[Rating]] &lt; 4, "Medium", "High")))</f>
        <v>High</v>
      </c>
      <c r="L638">
        <v>316</v>
      </c>
      <c r="M638">
        <v>13</v>
      </c>
      <c r="N638" t="str">
        <f>IF(Table13[[#This Row],[Price USD]]&lt;20,"Budget",IF(Table13[[#This Row],[Price USD]]&lt;=50,"Mid-range","Premium"))</f>
        <v>Budget</v>
      </c>
      <c r="O638">
        <v>0</v>
      </c>
      <c r="P638">
        <v>0</v>
      </c>
    </row>
    <row r="639" spans="1:16" x14ac:dyDescent="0.25">
      <c r="A639" t="s">
        <v>1855</v>
      </c>
      <c r="B639" t="s">
        <v>1856</v>
      </c>
      <c r="C639">
        <v>6219</v>
      </c>
      <c r="D639" t="s">
        <v>277</v>
      </c>
      <c r="E639" t="s">
        <v>13</v>
      </c>
      <c r="F639">
        <v>16363</v>
      </c>
      <c r="G6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39">
        <v>4.3986999999999998</v>
      </c>
      <c r="J639" t="str">
        <f>IF(ISBLANK(Table13[[#This Row],[Rating]]), "No", "Yes")</f>
        <v>Yes</v>
      </c>
      <c r="K639" t="str">
        <f>IF(ISBLANK(Table13[[#This Row],[Rating]]), "Not Rated", IF(Table13[[#This Row],[Rating]] &lt; 3, "Low", IF(Table13[[#This Row],[Rating]] &lt; 4, "Medium", "High")))</f>
        <v>High</v>
      </c>
      <c r="L639">
        <v>316</v>
      </c>
      <c r="M639">
        <v>43</v>
      </c>
      <c r="N639" t="str">
        <f>IF(Table13[[#This Row],[Price USD]]&lt;20,"Budget",IF(Table13[[#This Row],[Price USD]]&lt;=50,"Mid-range","Premium"))</f>
        <v>Mid-range</v>
      </c>
      <c r="O639">
        <v>0</v>
      </c>
      <c r="P639">
        <v>0</v>
      </c>
    </row>
    <row r="640" spans="1:16" x14ac:dyDescent="0.25">
      <c r="A640" t="s">
        <v>1673</v>
      </c>
      <c r="B640" t="s">
        <v>1674</v>
      </c>
      <c r="C640">
        <v>6218</v>
      </c>
      <c r="D640" t="s">
        <v>116</v>
      </c>
      <c r="E640" t="s">
        <v>69</v>
      </c>
      <c r="F640">
        <v>18646</v>
      </c>
      <c r="G6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0">
        <v>3.9018999999999999</v>
      </c>
      <c r="J640" t="str">
        <f>IF(ISBLANK(Table13[[#This Row],[Rating]]), "No", "Yes")</f>
        <v>Yes</v>
      </c>
      <c r="K640" t="str">
        <f>IF(ISBLANK(Table13[[#This Row],[Rating]]), "Not Rated", IF(Table13[[#This Row],[Rating]] &lt; 3, "Low", IF(Table13[[#This Row],[Rating]] &lt; 4, "Medium", "High")))</f>
        <v>Medium</v>
      </c>
      <c r="L640">
        <v>316</v>
      </c>
      <c r="M640">
        <v>48</v>
      </c>
      <c r="N640" t="str">
        <f>IF(Table13[[#This Row],[Price USD]]&lt;20,"Budget",IF(Table13[[#This Row],[Price USD]]&lt;=50,"Mid-range","Premium"))</f>
        <v>Mid-range</v>
      </c>
      <c r="O640">
        <v>0</v>
      </c>
      <c r="P640">
        <v>0</v>
      </c>
    </row>
    <row r="641" spans="1:16" x14ac:dyDescent="0.25">
      <c r="A641" t="s">
        <v>1574</v>
      </c>
      <c r="B641" t="s">
        <v>1575</v>
      </c>
      <c r="C641">
        <v>4372</v>
      </c>
      <c r="D641" t="s">
        <v>1513</v>
      </c>
      <c r="E641" t="s">
        <v>13</v>
      </c>
      <c r="F641">
        <v>20771</v>
      </c>
      <c r="G6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1">
        <v>4.2436999999999996</v>
      </c>
      <c r="J641" t="str">
        <f>IF(ISBLANK(Table13[[#This Row],[Rating]]), "No", "Yes")</f>
        <v>Yes</v>
      </c>
      <c r="K641" t="str">
        <f>IF(ISBLANK(Table13[[#This Row],[Rating]]), "Not Rated", IF(Table13[[#This Row],[Rating]] &lt; 3, "Low", IF(Table13[[#This Row],[Rating]] &lt; 4, "Medium", "High")))</f>
        <v>High</v>
      </c>
      <c r="L641">
        <v>316</v>
      </c>
      <c r="M641">
        <v>59</v>
      </c>
      <c r="N641" t="str">
        <f>IF(Table13[[#This Row],[Price USD]]&lt;20,"Budget",IF(Table13[[#This Row],[Price USD]]&lt;=50,"Mid-range","Premium"))</f>
        <v>Premium</v>
      </c>
      <c r="O641">
        <v>0</v>
      </c>
      <c r="P641">
        <v>0</v>
      </c>
    </row>
    <row r="642" spans="1:16" x14ac:dyDescent="0.25">
      <c r="A642" t="s">
        <v>790</v>
      </c>
      <c r="B642" t="s">
        <v>791</v>
      </c>
      <c r="C642">
        <v>3902</v>
      </c>
      <c r="D642" t="s">
        <v>72</v>
      </c>
      <c r="E642" t="s">
        <v>4</v>
      </c>
      <c r="F642">
        <v>45533</v>
      </c>
      <c r="G6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2">
        <v>3.5474999999999999</v>
      </c>
      <c r="J642" t="str">
        <f>IF(ISBLANK(Table13[[#This Row],[Rating]]), "No", "Yes")</f>
        <v>Yes</v>
      </c>
      <c r="K642" t="str">
        <f>IF(ISBLANK(Table13[[#This Row],[Rating]]), "Not Rated", IF(Table13[[#This Row],[Rating]] &lt; 3, "Low", IF(Table13[[#This Row],[Rating]] &lt; 4, "Medium", "High")))</f>
        <v>Medium</v>
      </c>
      <c r="L642">
        <v>316</v>
      </c>
      <c r="M642">
        <v>5</v>
      </c>
      <c r="N642" t="str">
        <f>IF(Table13[[#This Row],[Price USD]]&lt;20,"Budget",IF(Table13[[#This Row],[Price USD]]&lt;=50,"Mid-range","Premium"))</f>
        <v>Budget</v>
      </c>
      <c r="O642">
        <v>0</v>
      </c>
      <c r="P642">
        <v>0</v>
      </c>
    </row>
    <row r="643" spans="1:16" x14ac:dyDescent="0.25">
      <c r="A643" t="s">
        <v>770</v>
      </c>
      <c r="B643" t="s">
        <v>771</v>
      </c>
      <c r="C643">
        <v>6189</v>
      </c>
      <c r="D643" t="s">
        <v>30</v>
      </c>
      <c r="E643" t="s">
        <v>144</v>
      </c>
      <c r="F643">
        <v>47027</v>
      </c>
      <c r="G6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3">
        <v>3.7057000000000002</v>
      </c>
      <c r="J643" t="str">
        <f>IF(ISBLANK(Table13[[#This Row],[Rating]]), "No", "Yes")</f>
        <v>Yes</v>
      </c>
      <c r="K643" t="str">
        <f>IF(ISBLANK(Table13[[#This Row],[Rating]]), "Not Rated", IF(Table13[[#This Row],[Rating]] &lt; 3, "Low", IF(Table13[[#This Row],[Rating]] &lt; 4, "Medium", "High")))</f>
        <v>Medium</v>
      </c>
      <c r="L643">
        <v>316</v>
      </c>
      <c r="M643">
        <v>10</v>
      </c>
      <c r="N643" t="str">
        <f>IF(Table13[[#This Row],[Price USD]]&lt;20,"Budget",IF(Table13[[#This Row],[Price USD]]&lt;=50,"Mid-range","Premium"))</f>
        <v>Budget</v>
      </c>
      <c r="O643">
        <v>0</v>
      </c>
      <c r="P643">
        <v>0</v>
      </c>
    </row>
    <row r="644" spans="1:16" x14ac:dyDescent="0.25">
      <c r="A644" t="s">
        <v>1940</v>
      </c>
      <c r="B644" t="s">
        <v>1941</v>
      </c>
      <c r="C644">
        <v>4164</v>
      </c>
      <c r="D644" t="s">
        <v>623</v>
      </c>
      <c r="E644" t="s">
        <v>13</v>
      </c>
      <c r="F644">
        <v>15366</v>
      </c>
      <c r="G6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4">
        <v>4.2934000000000001</v>
      </c>
      <c r="J644" t="str">
        <f>IF(ISBLANK(Table13[[#This Row],[Rating]]), "No", "Yes")</f>
        <v>Yes</v>
      </c>
      <c r="K644" t="str">
        <f>IF(ISBLANK(Table13[[#This Row],[Rating]]), "Not Rated", IF(Table13[[#This Row],[Rating]] &lt; 3, "Low", IF(Table13[[#This Row],[Rating]] &lt; 4, "Medium", "High")))</f>
        <v>High</v>
      </c>
      <c r="L644">
        <v>317</v>
      </c>
      <c r="M644">
        <v>42</v>
      </c>
      <c r="N644" t="str">
        <f>IF(Table13[[#This Row],[Price USD]]&lt;20,"Budget",IF(Table13[[#This Row],[Price USD]]&lt;=50,"Mid-range","Premium"))</f>
        <v>Mid-range</v>
      </c>
      <c r="O644">
        <v>0</v>
      </c>
      <c r="P644">
        <v>0</v>
      </c>
    </row>
    <row r="645" spans="1:16" x14ac:dyDescent="0.25">
      <c r="A645" t="s">
        <v>2254</v>
      </c>
      <c r="B645" t="s">
        <v>2255</v>
      </c>
      <c r="C645">
        <v>3902</v>
      </c>
      <c r="D645" t="s">
        <v>72</v>
      </c>
      <c r="E645" t="s">
        <v>8</v>
      </c>
      <c r="F645">
        <v>12192</v>
      </c>
      <c r="G6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5">
        <v>4.6447000000000003</v>
      </c>
      <c r="J645" t="str">
        <f>IF(ISBLANK(Table13[[#This Row],[Rating]]), "No", "Yes")</f>
        <v>Yes</v>
      </c>
      <c r="K645" t="str">
        <f>IF(ISBLANK(Table13[[#This Row],[Rating]]), "Not Rated", IF(Table13[[#This Row],[Rating]] &lt; 3, "Low", IF(Table13[[#This Row],[Rating]] &lt; 4, "Medium", "High")))</f>
        <v>High</v>
      </c>
      <c r="L645">
        <v>318</v>
      </c>
      <c r="M645">
        <v>20</v>
      </c>
      <c r="N645" t="str">
        <f>IF(Table13[[#This Row],[Price USD]]&lt;20,"Budget",IF(Table13[[#This Row],[Price USD]]&lt;=50,"Mid-range","Premium"))</f>
        <v>Mid-range</v>
      </c>
      <c r="O645">
        <v>0</v>
      </c>
      <c r="P645">
        <v>0</v>
      </c>
    </row>
    <row r="646" spans="1:16" x14ac:dyDescent="0.25">
      <c r="A646" t="s">
        <v>1871</v>
      </c>
      <c r="B646" t="s">
        <v>1872</v>
      </c>
      <c r="C646">
        <v>6201</v>
      </c>
      <c r="D646" t="s">
        <v>367</v>
      </c>
      <c r="E646" t="s">
        <v>149</v>
      </c>
      <c r="F646">
        <v>16236</v>
      </c>
      <c r="G6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6">
        <v>4.0534999999999997</v>
      </c>
      <c r="J646" t="str">
        <f>IF(ISBLANK(Table13[[#This Row],[Rating]]), "No", "Yes")</f>
        <v>Yes</v>
      </c>
      <c r="K646" t="str">
        <f>IF(ISBLANK(Table13[[#This Row],[Rating]]), "Not Rated", IF(Table13[[#This Row],[Rating]] &lt; 3, "Low", IF(Table13[[#This Row],[Rating]] &lt; 4, "Medium", "High")))</f>
        <v>High</v>
      </c>
      <c r="L646">
        <v>318</v>
      </c>
      <c r="M646">
        <v>260</v>
      </c>
      <c r="N646" t="str">
        <f>IF(Table13[[#This Row],[Price USD]]&lt;20,"Budget",IF(Table13[[#This Row],[Price USD]]&lt;=50,"Mid-range","Premium"))</f>
        <v>Premium</v>
      </c>
      <c r="O646">
        <v>0</v>
      </c>
      <c r="P646">
        <v>0</v>
      </c>
    </row>
    <row r="647" spans="1:16" x14ac:dyDescent="0.25">
      <c r="A647" t="s">
        <v>1784</v>
      </c>
      <c r="B647" t="s">
        <v>1785</v>
      </c>
      <c r="C647">
        <v>8008</v>
      </c>
      <c r="D647" t="s">
        <v>105</v>
      </c>
      <c r="E647" t="s">
        <v>106</v>
      </c>
      <c r="F647">
        <v>17225</v>
      </c>
      <c r="G6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7">
        <v>4.3936999999999999</v>
      </c>
      <c r="J647" t="str">
        <f>IF(ISBLANK(Table13[[#This Row],[Rating]]), "No", "Yes")</f>
        <v>Yes</v>
      </c>
      <c r="K647" t="str">
        <f>IF(ISBLANK(Table13[[#This Row],[Rating]]), "Not Rated", IF(Table13[[#This Row],[Rating]] &lt; 3, "Low", IF(Table13[[#This Row],[Rating]] &lt; 4, "Medium", "High")))</f>
        <v>High</v>
      </c>
      <c r="L647">
        <v>320</v>
      </c>
      <c r="M647">
        <v>32</v>
      </c>
      <c r="N647" t="str">
        <f>IF(Table13[[#This Row],[Price USD]]&lt;20,"Budget",IF(Table13[[#This Row],[Price USD]]&lt;=50,"Mid-range","Premium"))</f>
        <v>Mid-range</v>
      </c>
      <c r="O647">
        <v>0</v>
      </c>
      <c r="P647">
        <v>0</v>
      </c>
    </row>
    <row r="648" spans="1:16" x14ac:dyDescent="0.25">
      <c r="A648" t="s">
        <v>1703</v>
      </c>
      <c r="B648" t="s">
        <v>1704</v>
      </c>
      <c r="C648">
        <v>7020</v>
      </c>
      <c r="D648" t="s">
        <v>657</v>
      </c>
      <c r="E648" t="s">
        <v>8</v>
      </c>
      <c r="F648">
        <v>18261</v>
      </c>
      <c r="G6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8">
        <v>4.2561999999999998</v>
      </c>
      <c r="J648" t="str">
        <f>IF(ISBLANK(Table13[[#This Row],[Rating]]), "No", "Yes")</f>
        <v>Yes</v>
      </c>
      <c r="K648" t="str">
        <f>IF(ISBLANK(Table13[[#This Row],[Rating]]), "Not Rated", IF(Table13[[#This Row],[Rating]] &lt; 3, "Low", IF(Table13[[#This Row],[Rating]] &lt; 4, "Medium", "High")))</f>
        <v>High</v>
      </c>
      <c r="L648">
        <v>320</v>
      </c>
      <c r="M648">
        <v>92</v>
      </c>
      <c r="N648" t="str">
        <f>IF(Table13[[#This Row],[Price USD]]&lt;20,"Budget",IF(Table13[[#This Row],[Price USD]]&lt;=50,"Mid-range","Premium"))</f>
        <v>Premium</v>
      </c>
      <c r="O648">
        <v>0</v>
      </c>
      <c r="P648">
        <v>0</v>
      </c>
    </row>
    <row r="649" spans="1:16" x14ac:dyDescent="0.25">
      <c r="A649" t="s">
        <v>1699</v>
      </c>
      <c r="B649" t="s">
        <v>1700</v>
      </c>
      <c r="C649">
        <v>6014</v>
      </c>
      <c r="D649" t="s">
        <v>102</v>
      </c>
      <c r="E649" t="s">
        <v>69</v>
      </c>
      <c r="F649">
        <v>18287</v>
      </c>
      <c r="G6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49">
        <v>4.1780999999999997</v>
      </c>
      <c r="J649" t="str">
        <f>IF(ISBLANK(Table13[[#This Row],[Rating]]), "No", "Yes")</f>
        <v>Yes</v>
      </c>
      <c r="K649" t="str">
        <f>IF(ISBLANK(Table13[[#This Row],[Rating]]), "Not Rated", IF(Table13[[#This Row],[Rating]] &lt; 3, "Low", IF(Table13[[#This Row],[Rating]] &lt; 4, "Medium", "High")))</f>
        <v>High</v>
      </c>
      <c r="L649">
        <v>320</v>
      </c>
      <c r="M649">
        <v>9</v>
      </c>
      <c r="N649" t="str">
        <f>IF(Table13[[#This Row],[Price USD]]&lt;20,"Budget",IF(Table13[[#This Row],[Price USD]]&lt;=50,"Mid-range","Premium"))</f>
        <v>Budget</v>
      </c>
      <c r="O649">
        <v>0</v>
      </c>
      <c r="P649">
        <v>0</v>
      </c>
    </row>
    <row r="650" spans="1:16" x14ac:dyDescent="0.25">
      <c r="A650" t="s">
        <v>717</v>
      </c>
      <c r="B650" t="s">
        <v>718</v>
      </c>
      <c r="C650">
        <v>3728</v>
      </c>
      <c r="D650" t="s">
        <v>458</v>
      </c>
      <c r="E650" t="s">
        <v>149</v>
      </c>
      <c r="F650">
        <v>49824</v>
      </c>
      <c r="G6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0">
        <v>3.7593999999999999</v>
      </c>
      <c r="J650" t="str">
        <f>IF(ISBLANK(Table13[[#This Row],[Rating]]), "No", "Yes")</f>
        <v>Yes</v>
      </c>
      <c r="K650" t="str">
        <f>IF(ISBLANK(Table13[[#This Row],[Rating]]), "Not Rated", IF(Table13[[#This Row],[Rating]] &lt; 3, "Low", IF(Table13[[#This Row],[Rating]] &lt; 4, "Medium", "High")))</f>
        <v>Medium</v>
      </c>
      <c r="L650">
        <v>320</v>
      </c>
      <c r="M650">
        <v>75</v>
      </c>
      <c r="N650" t="str">
        <f>IF(Table13[[#This Row],[Price USD]]&lt;20,"Budget",IF(Table13[[#This Row],[Price USD]]&lt;=50,"Mid-range","Premium"))</f>
        <v>Premium</v>
      </c>
      <c r="O650">
        <v>0</v>
      </c>
      <c r="P650">
        <v>0</v>
      </c>
    </row>
    <row r="651" spans="1:16" x14ac:dyDescent="0.25">
      <c r="A651" t="s">
        <v>1020</v>
      </c>
      <c r="B651" t="s">
        <v>1021</v>
      </c>
      <c r="C651">
        <v>6014</v>
      </c>
      <c r="D651" t="s">
        <v>102</v>
      </c>
      <c r="E651" t="s">
        <v>69</v>
      </c>
      <c r="F651">
        <v>35931</v>
      </c>
      <c r="G6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1">
        <v>4.4471999999999996</v>
      </c>
      <c r="J651" t="str">
        <f>IF(ISBLANK(Table13[[#This Row],[Rating]]), "No", "Yes")</f>
        <v>Yes</v>
      </c>
      <c r="K651" t="str">
        <f>IF(ISBLANK(Table13[[#This Row],[Rating]]), "Not Rated", IF(Table13[[#This Row],[Rating]] &lt; 3, "Low", IF(Table13[[#This Row],[Rating]] &lt; 4, "Medium", "High")))</f>
        <v>High</v>
      </c>
      <c r="L651">
        <v>322</v>
      </c>
      <c r="M651">
        <v>9</v>
      </c>
      <c r="N651" t="str">
        <f>IF(Table13[[#This Row],[Price USD]]&lt;20,"Budget",IF(Table13[[#This Row],[Price USD]]&lt;=50,"Mid-range","Premium"))</f>
        <v>Budget</v>
      </c>
      <c r="O651">
        <v>0</v>
      </c>
      <c r="P651">
        <v>0</v>
      </c>
    </row>
    <row r="652" spans="1:16" x14ac:dyDescent="0.25">
      <c r="A652" t="s">
        <v>1948</v>
      </c>
      <c r="B652" t="s">
        <v>1949</v>
      </c>
      <c r="C652">
        <v>6014</v>
      </c>
      <c r="D652" t="s">
        <v>102</v>
      </c>
      <c r="E652" t="s">
        <v>49</v>
      </c>
      <c r="F652">
        <v>15285</v>
      </c>
      <c r="G6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2">
        <v>4.4215</v>
      </c>
      <c r="J652" t="str">
        <f>IF(ISBLANK(Table13[[#This Row],[Rating]]), "No", "Yes")</f>
        <v>Yes</v>
      </c>
      <c r="K652" t="str">
        <f>IF(ISBLANK(Table13[[#This Row],[Rating]]), "Not Rated", IF(Table13[[#This Row],[Rating]] &lt; 3, "Low", IF(Table13[[#This Row],[Rating]] &lt; 4, "Medium", "High")))</f>
        <v>High</v>
      </c>
      <c r="L652">
        <v>325</v>
      </c>
      <c r="M652">
        <v>42</v>
      </c>
      <c r="N652" t="str">
        <f>IF(Table13[[#This Row],[Price USD]]&lt;20,"Budget",IF(Table13[[#This Row],[Price USD]]&lt;=50,"Mid-range","Premium"))</f>
        <v>Mid-range</v>
      </c>
      <c r="O652">
        <v>0</v>
      </c>
      <c r="P652">
        <v>0</v>
      </c>
    </row>
    <row r="653" spans="1:16" x14ac:dyDescent="0.25">
      <c r="A653" t="s">
        <v>955</v>
      </c>
      <c r="B653" t="s">
        <v>956</v>
      </c>
      <c r="C653">
        <v>6169</v>
      </c>
      <c r="D653" t="s">
        <v>24</v>
      </c>
      <c r="E653" t="s">
        <v>149</v>
      </c>
      <c r="F653">
        <v>38812</v>
      </c>
      <c r="G6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3">
        <v>3.6564000000000001</v>
      </c>
      <c r="J653" t="str">
        <f>IF(ISBLANK(Table13[[#This Row],[Rating]]), "No", "Yes")</f>
        <v>Yes</v>
      </c>
      <c r="K653" t="str">
        <f>IF(ISBLANK(Table13[[#This Row],[Rating]]), "Not Rated", IF(Table13[[#This Row],[Rating]] &lt; 3, "Low", IF(Table13[[#This Row],[Rating]] &lt; 4, "Medium", "High")))</f>
        <v>Medium</v>
      </c>
      <c r="L653">
        <v>326</v>
      </c>
      <c r="M653">
        <v>38</v>
      </c>
      <c r="N653" t="str">
        <f>IF(Table13[[#This Row],[Price USD]]&lt;20,"Budget",IF(Table13[[#This Row],[Price USD]]&lt;=50,"Mid-range","Premium"))</f>
        <v>Mid-range</v>
      </c>
      <c r="O653">
        <v>0</v>
      </c>
      <c r="P653">
        <v>0</v>
      </c>
    </row>
    <row r="654" spans="1:16" x14ac:dyDescent="0.25">
      <c r="A654" t="s">
        <v>1904</v>
      </c>
      <c r="B654" t="s">
        <v>1905</v>
      </c>
      <c r="C654">
        <v>6316</v>
      </c>
      <c r="D654" t="s">
        <v>563</v>
      </c>
      <c r="E654" t="s">
        <v>21</v>
      </c>
      <c r="F654">
        <v>15716</v>
      </c>
      <c r="G6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4">
        <v>4.5697000000000001</v>
      </c>
      <c r="J654" t="str">
        <f>IF(ISBLANK(Table13[[#This Row],[Rating]]), "No", "Yes")</f>
        <v>Yes</v>
      </c>
      <c r="K654" t="str">
        <f>IF(ISBLANK(Table13[[#This Row],[Rating]]), "Not Rated", IF(Table13[[#This Row],[Rating]] &lt; 3, "Low", IF(Table13[[#This Row],[Rating]] &lt; 4, "Medium", "High")))</f>
        <v>High</v>
      </c>
      <c r="L654">
        <v>330</v>
      </c>
      <c r="M654">
        <v>43</v>
      </c>
      <c r="N654" t="str">
        <f>IF(Table13[[#This Row],[Price USD]]&lt;20,"Budget",IF(Table13[[#This Row],[Price USD]]&lt;=50,"Mid-range","Premium"))</f>
        <v>Mid-range</v>
      </c>
      <c r="O654">
        <v>0</v>
      </c>
      <c r="P654">
        <v>0</v>
      </c>
    </row>
    <row r="655" spans="1:16" x14ac:dyDescent="0.25">
      <c r="A655" t="s">
        <v>1554</v>
      </c>
      <c r="B655" t="s">
        <v>1555</v>
      </c>
      <c r="C655">
        <v>3902</v>
      </c>
      <c r="D655" t="s">
        <v>72</v>
      </c>
      <c r="E655" t="s">
        <v>13</v>
      </c>
      <c r="F655">
        <v>21017</v>
      </c>
      <c r="G6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5">
        <v>3.6314000000000002</v>
      </c>
      <c r="J655" t="str">
        <f>IF(ISBLANK(Table13[[#This Row],[Rating]]), "No", "Yes")</f>
        <v>Yes</v>
      </c>
      <c r="K655" t="str">
        <f>IF(ISBLANK(Table13[[#This Row],[Rating]]), "Not Rated", IF(Table13[[#This Row],[Rating]] &lt; 3, "Low", IF(Table13[[#This Row],[Rating]] &lt; 4, "Medium", "High")))</f>
        <v>Medium</v>
      </c>
      <c r="L655">
        <v>331</v>
      </c>
      <c r="M655">
        <v>12</v>
      </c>
      <c r="N655" t="str">
        <f>IF(Table13[[#This Row],[Price USD]]&lt;20,"Budget",IF(Table13[[#This Row],[Price USD]]&lt;=50,"Mid-range","Premium"))</f>
        <v>Budget</v>
      </c>
      <c r="O655">
        <v>0</v>
      </c>
      <c r="P655">
        <v>0</v>
      </c>
    </row>
    <row r="656" spans="1:16" x14ac:dyDescent="0.25">
      <c r="A656" t="s">
        <v>1792</v>
      </c>
      <c r="B656" t="s">
        <v>1793</v>
      </c>
      <c r="C656">
        <v>6373</v>
      </c>
      <c r="D656" t="s">
        <v>1652</v>
      </c>
      <c r="E656" t="s">
        <v>149</v>
      </c>
      <c r="F656">
        <v>17136</v>
      </c>
      <c r="G6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6">
        <v>3.9578000000000002</v>
      </c>
      <c r="J656" t="str">
        <f>IF(ISBLANK(Table13[[#This Row],[Rating]]), "No", "Yes")</f>
        <v>Yes</v>
      </c>
      <c r="K656" t="str">
        <f>IF(ISBLANK(Table13[[#This Row],[Rating]]), "Not Rated", IF(Table13[[#This Row],[Rating]] &lt; 3, "Low", IF(Table13[[#This Row],[Rating]] &lt; 4, "Medium", "High")))</f>
        <v>Medium</v>
      </c>
      <c r="L656">
        <v>332</v>
      </c>
      <c r="M656">
        <v>30</v>
      </c>
      <c r="N656" t="str">
        <f>IF(Table13[[#This Row],[Price USD]]&lt;20,"Budget",IF(Table13[[#This Row],[Price USD]]&lt;=50,"Mid-range","Premium"))</f>
        <v>Mid-range</v>
      </c>
      <c r="O656">
        <v>0</v>
      </c>
      <c r="P656">
        <v>0</v>
      </c>
    </row>
    <row r="657" spans="1:16" x14ac:dyDescent="0.25">
      <c r="A657" t="s">
        <v>2342</v>
      </c>
      <c r="B657" t="s">
        <v>2343</v>
      </c>
      <c r="C657">
        <v>6195</v>
      </c>
      <c r="D657" t="s">
        <v>163</v>
      </c>
      <c r="E657" t="s">
        <v>21</v>
      </c>
      <c r="F657">
        <v>11500</v>
      </c>
      <c r="G6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7">
        <v>4.4234</v>
      </c>
      <c r="J657" t="str">
        <f>IF(ISBLANK(Table13[[#This Row],[Rating]]), "No", "Yes")</f>
        <v>Yes</v>
      </c>
      <c r="K657" t="str">
        <f>IF(ISBLANK(Table13[[#This Row],[Rating]]), "Not Rated", IF(Table13[[#This Row],[Rating]] &lt; 3, "Low", IF(Table13[[#This Row],[Rating]] &lt; 4, "Medium", "High")))</f>
        <v>High</v>
      </c>
      <c r="L657">
        <v>333</v>
      </c>
      <c r="M657">
        <v>56</v>
      </c>
      <c r="N657" t="str">
        <f>IF(Table13[[#This Row],[Price USD]]&lt;20,"Budget",IF(Table13[[#This Row],[Price USD]]&lt;=50,"Mid-range","Premium"))</f>
        <v>Premium</v>
      </c>
      <c r="O657">
        <v>0</v>
      </c>
      <c r="P657">
        <v>0</v>
      </c>
    </row>
    <row r="658" spans="1:16" x14ac:dyDescent="0.25">
      <c r="A658" t="s">
        <v>1534</v>
      </c>
      <c r="B658" t="s">
        <v>1535</v>
      </c>
      <c r="C658">
        <v>4164</v>
      </c>
      <c r="D658" t="s">
        <v>623</v>
      </c>
      <c r="E658" t="s">
        <v>21</v>
      </c>
      <c r="F658">
        <v>21491</v>
      </c>
      <c r="G6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8">
        <v>4.6078000000000001</v>
      </c>
      <c r="J658" t="str">
        <f>IF(ISBLANK(Table13[[#This Row],[Rating]]), "No", "Yes")</f>
        <v>Yes</v>
      </c>
      <c r="K658" t="str">
        <f>IF(ISBLANK(Table13[[#This Row],[Rating]]), "Not Rated", IF(Table13[[#This Row],[Rating]] &lt; 3, "Low", IF(Table13[[#This Row],[Rating]] &lt; 4, "Medium", "High")))</f>
        <v>High</v>
      </c>
      <c r="L658">
        <v>334</v>
      </c>
      <c r="M658">
        <v>88</v>
      </c>
      <c r="N658" t="str">
        <f>IF(Table13[[#This Row],[Price USD]]&lt;20,"Budget",IF(Table13[[#This Row],[Price USD]]&lt;=50,"Mid-range","Premium"))</f>
        <v>Premium</v>
      </c>
      <c r="O658">
        <v>0</v>
      </c>
      <c r="P658">
        <v>0</v>
      </c>
    </row>
    <row r="659" spans="1:16" x14ac:dyDescent="0.25">
      <c r="A659" t="s">
        <v>2029</v>
      </c>
      <c r="B659" t="s">
        <v>2030</v>
      </c>
      <c r="C659">
        <v>6349</v>
      </c>
      <c r="D659" t="s">
        <v>2031</v>
      </c>
      <c r="E659" t="s">
        <v>21</v>
      </c>
      <c r="F659">
        <v>14376</v>
      </c>
      <c r="G6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59">
        <v>4.6687000000000003</v>
      </c>
      <c r="J659" t="str">
        <f>IF(ISBLANK(Table13[[#This Row],[Rating]]), "No", "Yes")</f>
        <v>Yes</v>
      </c>
      <c r="K659" t="str">
        <f>IF(ISBLANK(Table13[[#This Row],[Rating]]), "Not Rated", IF(Table13[[#This Row],[Rating]] &lt; 3, "Low", IF(Table13[[#This Row],[Rating]] &lt; 4, "Medium", "High")))</f>
        <v>High</v>
      </c>
      <c r="L659">
        <v>335</v>
      </c>
      <c r="M659">
        <v>48</v>
      </c>
      <c r="N659" t="str">
        <f>IF(Table13[[#This Row],[Price USD]]&lt;20,"Budget",IF(Table13[[#This Row],[Price USD]]&lt;=50,"Mid-range","Premium"))</f>
        <v>Mid-range</v>
      </c>
      <c r="O659">
        <v>0</v>
      </c>
      <c r="P659">
        <v>0</v>
      </c>
    </row>
    <row r="660" spans="1:16" x14ac:dyDescent="0.25">
      <c r="A660" t="s">
        <v>1388</v>
      </c>
      <c r="B660" t="s">
        <v>1389</v>
      </c>
      <c r="C660">
        <v>4171</v>
      </c>
      <c r="D660" t="s">
        <v>133</v>
      </c>
      <c r="E660" t="s">
        <v>21</v>
      </c>
      <c r="F660">
        <v>24347</v>
      </c>
      <c r="G6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0">
        <v>4.6566999999999998</v>
      </c>
      <c r="J660" t="str">
        <f>IF(ISBLANK(Table13[[#This Row],[Rating]]), "No", "Yes")</f>
        <v>Yes</v>
      </c>
      <c r="K660" t="str">
        <f>IF(ISBLANK(Table13[[#This Row],[Rating]]), "Not Rated", IF(Table13[[#This Row],[Rating]] &lt; 3, "Low", IF(Table13[[#This Row],[Rating]] &lt; 4, "Medium", "High")))</f>
        <v>High</v>
      </c>
      <c r="L660">
        <v>335</v>
      </c>
      <c r="M660">
        <v>69</v>
      </c>
      <c r="N660" t="str">
        <f>IF(Table13[[#This Row],[Price USD]]&lt;20,"Budget",IF(Table13[[#This Row],[Price USD]]&lt;=50,"Mid-range","Premium"))</f>
        <v>Premium</v>
      </c>
      <c r="O660">
        <v>0</v>
      </c>
      <c r="P660">
        <v>0</v>
      </c>
    </row>
    <row r="661" spans="1:16" x14ac:dyDescent="0.25">
      <c r="A661" t="s">
        <v>2471</v>
      </c>
      <c r="B661" t="s">
        <v>2472</v>
      </c>
      <c r="C661">
        <v>5674</v>
      </c>
      <c r="D661" t="s">
        <v>141</v>
      </c>
      <c r="E661" t="s">
        <v>21</v>
      </c>
      <c r="F661">
        <v>10448</v>
      </c>
      <c r="G6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1">
        <v>4.8319000000000001</v>
      </c>
      <c r="J661" t="str">
        <f>IF(ISBLANK(Table13[[#This Row],[Rating]]), "No", "Yes")</f>
        <v>Yes</v>
      </c>
      <c r="K661" t="str">
        <f>IF(ISBLANK(Table13[[#This Row],[Rating]]), "Not Rated", IF(Table13[[#This Row],[Rating]] &lt; 3, "Low", IF(Table13[[#This Row],[Rating]] &lt; 4, "Medium", "High")))</f>
        <v>High</v>
      </c>
      <c r="L661">
        <v>339</v>
      </c>
      <c r="M661">
        <v>60</v>
      </c>
      <c r="N661" t="str">
        <f>IF(Table13[[#This Row],[Price USD]]&lt;20,"Budget",IF(Table13[[#This Row],[Price USD]]&lt;=50,"Mid-range","Premium"))</f>
        <v>Premium</v>
      </c>
      <c r="O661">
        <v>0</v>
      </c>
      <c r="P661">
        <v>0</v>
      </c>
    </row>
    <row r="662" spans="1:16" x14ac:dyDescent="0.25">
      <c r="A662" t="s">
        <v>2230</v>
      </c>
      <c r="B662" t="s">
        <v>2231</v>
      </c>
      <c r="C662">
        <v>3902</v>
      </c>
      <c r="D662" t="s">
        <v>72</v>
      </c>
      <c r="E662" t="s">
        <v>8</v>
      </c>
      <c r="F662">
        <v>12422</v>
      </c>
      <c r="G6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2">
        <v>4.6844000000000001</v>
      </c>
      <c r="J662" t="str">
        <f>IF(ISBLANK(Table13[[#This Row],[Rating]]), "No", "Yes")</f>
        <v>Yes</v>
      </c>
      <c r="K662" t="str">
        <f>IF(ISBLANK(Table13[[#This Row],[Rating]]), "Not Rated", IF(Table13[[#This Row],[Rating]] &lt; 3, "Low", IF(Table13[[#This Row],[Rating]] &lt; 4, "Medium", "High")))</f>
        <v>High</v>
      </c>
      <c r="L662">
        <v>339</v>
      </c>
      <c r="M662">
        <v>20</v>
      </c>
      <c r="N662" t="str">
        <f>IF(Table13[[#This Row],[Price USD]]&lt;20,"Budget",IF(Table13[[#This Row],[Price USD]]&lt;=50,"Mid-range","Premium"))</f>
        <v>Mid-range</v>
      </c>
      <c r="O662">
        <v>0</v>
      </c>
      <c r="P662">
        <v>0</v>
      </c>
    </row>
    <row r="663" spans="1:16" x14ac:dyDescent="0.25">
      <c r="A663" t="s">
        <v>1462</v>
      </c>
      <c r="B663" t="s">
        <v>1463</v>
      </c>
      <c r="C663">
        <v>6341</v>
      </c>
      <c r="D663" t="s">
        <v>66</v>
      </c>
      <c r="E663" t="s">
        <v>149</v>
      </c>
      <c r="F663">
        <v>22932</v>
      </c>
      <c r="G6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3">
        <v>4.5</v>
      </c>
      <c r="J663" t="str">
        <f>IF(ISBLANK(Table13[[#This Row],[Rating]]), "No", "Yes")</f>
        <v>Yes</v>
      </c>
      <c r="K663" t="str">
        <f>IF(ISBLANK(Table13[[#This Row],[Rating]]), "Not Rated", IF(Table13[[#This Row],[Rating]] &lt; 3, "Low", IF(Table13[[#This Row],[Rating]] &lt; 4, "Medium", "High")))</f>
        <v>High</v>
      </c>
      <c r="L663">
        <v>340</v>
      </c>
      <c r="M663">
        <v>39</v>
      </c>
      <c r="N663" t="str">
        <f>IF(Table13[[#This Row],[Price USD]]&lt;20,"Budget",IF(Table13[[#This Row],[Price USD]]&lt;=50,"Mid-range","Premium"))</f>
        <v>Mid-range</v>
      </c>
      <c r="O663">
        <v>0</v>
      </c>
      <c r="P663">
        <v>0</v>
      </c>
    </row>
    <row r="664" spans="1:16" x14ac:dyDescent="0.25">
      <c r="A664" t="s">
        <v>1208</v>
      </c>
      <c r="B664" t="s">
        <v>1209</v>
      </c>
      <c r="C664">
        <v>6117</v>
      </c>
      <c r="D664" t="s">
        <v>229</v>
      </c>
      <c r="E664" t="s">
        <v>13</v>
      </c>
      <c r="F664">
        <v>28997</v>
      </c>
      <c r="G6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4">
        <v>4.3011999999999997</v>
      </c>
      <c r="J664" t="str">
        <f>IF(ISBLANK(Table13[[#This Row],[Rating]]), "No", "Yes")</f>
        <v>Yes</v>
      </c>
      <c r="K664" t="str">
        <f>IF(ISBLANK(Table13[[#This Row],[Rating]]), "Not Rated", IF(Table13[[#This Row],[Rating]] &lt; 3, "Low", IF(Table13[[#This Row],[Rating]] &lt; 4, "Medium", "High")))</f>
        <v>High</v>
      </c>
      <c r="L664">
        <v>342</v>
      </c>
      <c r="M664">
        <v>14</v>
      </c>
      <c r="N664" t="str">
        <f>IF(Table13[[#This Row],[Price USD]]&lt;20,"Budget",IF(Table13[[#This Row],[Price USD]]&lt;=50,"Mid-range","Premium"))</f>
        <v>Budget</v>
      </c>
      <c r="O664">
        <v>0</v>
      </c>
      <c r="P664">
        <v>0</v>
      </c>
    </row>
    <row r="665" spans="1:16" x14ac:dyDescent="0.25">
      <c r="A665" t="s">
        <v>2071</v>
      </c>
      <c r="B665" t="s">
        <v>2072</v>
      </c>
      <c r="C665">
        <v>7020</v>
      </c>
      <c r="D665" t="s">
        <v>657</v>
      </c>
      <c r="E665" t="s">
        <v>21</v>
      </c>
      <c r="F665">
        <v>13855</v>
      </c>
      <c r="G6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5">
        <v>4.4461000000000004</v>
      </c>
      <c r="J665" t="str">
        <f>IF(ISBLANK(Table13[[#This Row],[Rating]]), "No", "Yes")</f>
        <v>Yes</v>
      </c>
      <c r="K665" t="str">
        <f>IF(ISBLANK(Table13[[#This Row],[Rating]]), "Not Rated", IF(Table13[[#This Row],[Rating]] &lt; 3, "Low", IF(Table13[[#This Row],[Rating]] &lt; 4, "Medium", "High")))</f>
        <v>High</v>
      </c>
      <c r="L665">
        <v>343</v>
      </c>
      <c r="M665">
        <v>68</v>
      </c>
      <c r="N665" t="str">
        <f>IF(Table13[[#This Row],[Price USD]]&lt;20,"Budget",IF(Table13[[#This Row],[Price USD]]&lt;=50,"Mid-range","Premium"))</f>
        <v>Premium</v>
      </c>
      <c r="O665">
        <v>0</v>
      </c>
      <c r="P665">
        <v>0</v>
      </c>
    </row>
    <row r="666" spans="1:16" x14ac:dyDescent="0.25">
      <c r="A666" t="s">
        <v>815</v>
      </c>
      <c r="B666" t="s">
        <v>816</v>
      </c>
      <c r="C666">
        <v>6117</v>
      </c>
      <c r="D666" t="s">
        <v>229</v>
      </c>
      <c r="E666" t="s">
        <v>21</v>
      </c>
      <c r="F666">
        <v>43956</v>
      </c>
      <c r="G6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6">
        <v>4.4169</v>
      </c>
      <c r="J666" t="str">
        <f>IF(ISBLANK(Table13[[#This Row],[Rating]]), "No", "Yes")</f>
        <v>Yes</v>
      </c>
      <c r="K666" t="str">
        <f>IF(ISBLANK(Table13[[#This Row],[Rating]]), "Not Rated", IF(Table13[[#This Row],[Rating]] &lt; 3, "Low", IF(Table13[[#This Row],[Rating]] &lt; 4, "Medium", "High")))</f>
        <v>High</v>
      </c>
      <c r="L666">
        <v>343</v>
      </c>
      <c r="M666">
        <v>88</v>
      </c>
      <c r="N666" t="str">
        <f>IF(Table13[[#This Row],[Price USD]]&lt;20,"Budget",IF(Table13[[#This Row],[Price USD]]&lt;=50,"Mid-range","Premium"))</f>
        <v>Premium</v>
      </c>
      <c r="O666">
        <v>0</v>
      </c>
      <c r="P666">
        <v>0</v>
      </c>
    </row>
    <row r="667" spans="1:16" x14ac:dyDescent="0.25">
      <c r="A667" t="s">
        <v>2346</v>
      </c>
      <c r="B667" t="s">
        <v>2347</v>
      </c>
      <c r="C667">
        <v>3728</v>
      </c>
      <c r="D667" t="s">
        <v>458</v>
      </c>
      <c r="E667" t="s">
        <v>149</v>
      </c>
      <c r="F667">
        <v>11436</v>
      </c>
      <c r="G6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7">
        <v>4.0115999999999996</v>
      </c>
      <c r="J667" t="str">
        <f>IF(ISBLANK(Table13[[#This Row],[Rating]]), "No", "Yes")</f>
        <v>Yes</v>
      </c>
      <c r="K667" t="str">
        <f>IF(ISBLANK(Table13[[#This Row],[Rating]]), "Not Rated", IF(Table13[[#This Row],[Rating]] &lt; 3, "Low", IF(Table13[[#This Row],[Rating]] &lt; 4, "Medium", "High")))</f>
        <v>High</v>
      </c>
      <c r="L667">
        <v>345</v>
      </c>
      <c r="M667">
        <v>68</v>
      </c>
      <c r="N667" t="str">
        <f>IF(Table13[[#This Row],[Price USD]]&lt;20,"Budget",IF(Table13[[#This Row],[Price USD]]&lt;=50,"Mid-range","Premium"))</f>
        <v>Premium</v>
      </c>
      <c r="O667">
        <v>0</v>
      </c>
      <c r="P667">
        <v>0</v>
      </c>
    </row>
    <row r="668" spans="1:16" x14ac:dyDescent="0.25">
      <c r="A668" t="s">
        <v>1685</v>
      </c>
      <c r="B668" t="s">
        <v>1686</v>
      </c>
      <c r="C668">
        <v>6285</v>
      </c>
      <c r="D668" t="s">
        <v>119</v>
      </c>
      <c r="E668" t="s">
        <v>13</v>
      </c>
      <c r="F668">
        <v>18399</v>
      </c>
      <c r="G6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8">
        <v>4.4203000000000001</v>
      </c>
      <c r="J668" t="str">
        <f>IF(ISBLANK(Table13[[#This Row],[Rating]]), "No", "Yes")</f>
        <v>Yes</v>
      </c>
      <c r="K668" t="str">
        <f>IF(ISBLANK(Table13[[#This Row],[Rating]]), "Not Rated", IF(Table13[[#This Row],[Rating]] &lt; 3, "Low", IF(Table13[[#This Row],[Rating]] &lt; 4, "Medium", "High")))</f>
        <v>High</v>
      </c>
      <c r="L668">
        <v>345</v>
      </c>
      <c r="M668">
        <v>5.99</v>
      </c>
      <c r="N668" t="str">
        <f>IF(Table13[[#This Row],[Price USD]]&lt;20,"Budget",IF(Table13[[#This Row],[Price USD]]&lt;=50,"Mid-range","Premium"))</f>
        <v>Budget</v>
      </c>
      <c r="O668">
        <v>0</v>
      </c>
      <c r="P668">
        <v>0</v>
      </c>
    </row>
    <row r="669" spans="1:16" x14ac:dyDescent="0.25">
      <c r="A669" t="s">
        <v>965</v>
      </c>
      <c r="B669" t="s">
        <v>966</v>
      </c>
      <c r="C669">
        <v>6285</v>
      </c>
      <c r="D669" t="s">
        <v>119</v>
      </c>
      <c r="E669" t="s">
        <v>13</v>
      </c>
      <c r="F669">
        <v>38263</v>
      </c>
      <c r="G6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69">
        <v>4.4203000000000001</v>
      </c>
      <c r="J669" t="str">
        <f>IF(ISBLANK(Table13[[#This Row],[Rating]]), "No", "Yes")</f>
        <v>Yes</v>
      </c>
      <c r="K669" t="str">
        <f>IF(ISBLANK(Table13[[#This Row],[Rating]]), "Not Rated", IF(Table13[[#This Row],[Rating]] &lt; 3, "Low", IF(Table13[[#This Row],[Rating]] &lt; 4, "Medium", "High")))</f>
        <v>High</v>
      </c>
      <c r="L669">
        <v>345</v>
      </c>
      <c r="M669">
        <v>11.99</v>
      </c>
      <c r="N669" t="str">
        <f>IF(Table13[[#This Row],[Price USD]]&lt;20,"Budget",IF(Table13[[#This Row],[Price USD]]&lt;=50,"Mid-range","Premium"))</f>
        <v>Budget</v>
      </c>
      <c r="O669">
        <v>0</v>
      </c>
      <c r="P669">
        <v>0</v>
      </c>
    </row>
    <row r="670" spans="1:16" x14ac:dyDescent="0.25">
      <c r="A670" t="s">
        <v>1214</v>
      </c>
      <c r="B670" t="s">
        <v>1215</v>
      </c>
      <c r="C670">
        <v>6285</v>
      </c>
      <c r="D670" t="s">
        <v>119</v>
      </c>
      <c r="E670" t="s">
        <v>8</v>
      </c>
      <c r="F670">
        <v>28723</v>
      </c>
      <c r="G6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0">
        <v>4.0376000000000003</v>
      </c>
      <c r="J670" t="str">
        <f>IF(ISBLANK(Table13[[#This Row],[Rating]]), "No", "Yes")</f>
        <v>Yes</v>
      </c>
      <c r="K670" t="str">
        <f>IF(ISBLANK(Table13[[#This Row],[Rating]]), "Not Rated", IF(Table13[[#This Row],[Rating]] &lt; 3, "Low", IF(Table13[[#This Row],[Rating]] &lt; 4, "Medium", "High")))</f>
        <v>High</v>
      </c>
      <c r="L670">
        <v>346</v>
      </c>
      <c r="M670">
        <v>12.99</v>
      </c>
      <c r="N670" t="str">
        <f>IF(Table13[[#This Row],[Price USD]]&lt;20,"Budget",IF(Table13[[#This Row],[Price USD]]&lt;=50,"Mid-range","Premium"))</f>
        <v>Budget</v>
      </c>
      <c r="O670">
        <v>0</v>
      </c>
      <c r="P670">
        <v>0</v>
      </c>
    </row>
    <row r="671" spans="1:16" x14ac:dyDescent="0.25">
      <c r="A671" t="s">
        <v>1240</v>
      </c>
      <c r="B671" t="s">
        <v>1241</v>
      </c>
      <c r="C671">
        <v>6312</v>
      </c>
      <c r="D671" t="s">
        <v>1242</v>
      </c>
      <c r="E671" t="s">
        <v>69</v>
      </c>
      <c r="F671">
        <v>28060</v>
      </c>
      <c r="G6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1">
        <v>4.6801000000000004</v>
      </c>
      <c r="J671" t="str">
        <f>IF(ISBLANK(Table13[[#This Row],[Rating]]), "No", "Yes")</f>
        <v>Yes</v>
      </c>
      <c r="K671" t="str">
        <f>IF(ISBLANK(Table13[[#This Row],[Rating]]), "Not Rated", IF(Table13[[#This Row],[Rating]] &lt; 3, "Low", IF(Table13[[#This Row],[Rating]] &lt; 4, "Medium", "High")))</f>
        <v>High</v>
      </c>
      <c r="L671">
        <v>347</v>
      </c>
      <c r="M671">
        <v>56</v>
      </c>
      <c r="N671" t="str">
        <f>IF(Table13[[#This Row],[Price USD]]&lt;20,"Budget",IF(Table13[[#This Row],[Price USD]]&lt;=50,"Mid-range","Premium"))</f>
        <v>Premium</v>
      </c>
      <c r="O671">
        <v>0</v>
      </c>
      <c r="P671">
        <v>0</v>
      </c>
    </row>
    <row r="672" spans="1:16" x14ac:dyDescent="0.25">
      <c r="A672" t="s">
        <v>2503</v>
      </c>
      <c r="B672" t="s">
        <v>2504</v>
      </c>
      <c r="C672">
        <v>4164</v>
      </c>
      <c r="D672" t="s">
        <v>623</v>
      </c>
      <c r="E672" t="s">
        <v>144</v>
      </c>
      <c r="F672">
        <v>10296</v>
      </c>
      <c r="G6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2">
        <v>4.2621000000000002</v>
      </c>
      <c r="J672" t="str">
        <f>IF(ISBLANK(Table13[[#This Row],[Rating]]), "No", "Yes")</f>
        <v>Yes</v>
      </c>
      <c r="K672" t="str">
        <f>IF(ISBLANK(Table13[[#This Row],[Rating]]), "Not Rated", IF(Table13[[#This Row],[Rating]] &lt; 3, "Low", IF(Table13[[#This Row],[Rating]] &lt; 4, "Medium", "High")))</f>
        <v>High</v>
      </c>
      <c r="L672">
        <v>351</v>
      </c>
      <c r="M672">
        <v>30</v>
      </c>
      <c r="N672" t="str">
        <f>IF(Table13[[#This Row],[Price USD]]&lt;20,"Budget",IF(Table13[[#This Row],[Price USD]]&lt;=50,"Mid-range","Premium"))</f>
        <v>Mid-range</v>
      </c>
      <c r="O672">
        <v>0</v>
      </c>
      <c r="P672">
        <v>0</v>
      </c>
    </row>
    <row r="673" spans="1:16" x14ac:dyDescent="0.25">
      <c r="A673" t="s">
        <v>1879</v>
      </c>
      <c r="B673" t="s">
        <v>1880</v>
      </c>
      <c r="C673">
        <v>5972</v>
      </c>
      <c r="D673" t="s">
        <v>54</v>
      </c>
      <c r="E673" t="s">
        <v>8</v>
      </c>
      <c r="F673">
        <v>16175</v>
      </c>
      <c r="G6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3">
        <v>4.6780999999999997</v>
      </c>
      <c r="J673" t="str">
        <f>IF(ISBLANK(Table13[[#This Row],[Rating]]), "No", "Yes")</f>
        <v>Yes</v>
      </c>
      <c r="K673" t="str">
        <f>IF(ISBLANK(Table13[[#This Row],[Rating]]), "Not Rated", IF(Table13[[#This Row],[Rating]] &lt; 3, "Low", IF(Table13[[#This Row],[Rating]] &lt; 4, "Medium", "High")))</f>
        <v>High</v>
      </c>
      <c r="L673">
        <v>351</v>
      </c>
      <c r="M673">
        <v>50</v>
      </c>
      <c r="N673" t="str">
        <f>IF(Table13[[#This Row],[Price USD]]&lt;20,"Budget",IF(Table13[[#This Row],[Price USD]]&lt;=50,"Mid-range","Premium"))</f>
        <v>Mid-range</v>
      </c>
      <c r="O673">
        <v>0</v>
      </c>
      <c r="P673">
        <v>0</v>
      </c>
    </row>
    <row r="674" spans="1:16" x14ac:dyDescent="0.25">
      <c r="A674" t="s">
        <v>1307</v>
      </c>
      <c r="B674" t="s">
        <v>1308</v>
      </c>
      <c r="C674">
        <v>4164</v>
      </c>
      <c r="D674" t="s">
        <v>623</v>
      </c>
      <c r="E674" t="s">
        <v>49</v>
      </c>
      <c r="F674">
        <v>26245</v>
      </c>
      <c r="G6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4">
        <v>4.3219000000000003</v>
      </c>
      <c r="J674" t="str">
        <f>IF(ISBLANK(Table13[[#This Row],[Rating]]), "No", "Yes")</f>
        <v>Yes</v>
      </c>
      <c r="K674" t="str">
        <f>IF(ISBLANK(Table13[[#This Row],[Rating]]), "Not Rated", IF(Table13[[#This Row],[Rating]] &lt; 3, "Low", IF(Table13[[#This Row],[Rating]] &lt; 4, "Medium", "High")))</f>
        <v>High</v>
      </c>
      <c r="L674">
        <v>351</v>
      </c>
      <c r="M674">
        <v>69</v>
      </c>
      <c r="N674" t="str">
        <f>IF(Table13[[#This Row],[Price USD]]&lt;20,"Budget",IF(Table13[[#This Row],[Price USD]]&lt;=50,"Mid-range","Premium"))</f>
        <v>Premium</v>
      </c>
      <c r="O674">
        <v>0</v>
      </c>
      <c r="P674">
        <v>0</v>
      </c>
    </row>
    <row r="675" spans="1:16" x14ac:dyDescent="0.25">
      <c r="A675" t="s">
        <v>1218</v>
      </c>
      <c r="B675" t="s">
        <v>1219</v>
      </c>
      <c r="C675">
        <v>4164</v>
      </c>
      <c r="D675" t="s">
        <v>623</v>
      </c>
      <c r="E675" t="s">
        <v>8</v>
      </c>
      <c r="F675">
        <v>28653</v>
      </c>
      <c r="G6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5">
        <v>4.2621000000000002</v>
      </c>
      <c r="J675" t="str">
        <f>IF(ISBLANK(Table13[[#This Row],[Rating]]), "No", "Yes")</f>
        <v>Yes</v>
      </c>
      <c r="K675" t="str">
        <f>IF(ISBLANK(Table13[[#This Row],[Rating]]), "Not Rated", IF(Table13[[#This Row],[Rating]] &lt; 3, "Low", IF(Table13[[#This Row],[Rating]] &lt; 4, "Medium", "High")))</f>
        <v>High</v>
      </c>
      <c r="L675">
        <v>351</v>
      </c>
      <c r="M675">
        <v>88</v>
      </c>
      <c r="N675" t="str">
        <f>IF(Table13[[#This Row],[Price USD]]&lt;20,"Budget",IF(Table13[[#This Row],[Price USD]]&lt;=50,"Mid-range","Premium"))</f>
        <v>Premium</v>
      </c>
      <c r="O675">
        <v>0</v>
      </c>
      <c r="P675">
        <v>0</v>
      </c>
    </row>
    <row r="676" spans="1:16" x14ac:dyDescent="0.25">
      <c r="A676" t="s">
        <v>1418</v>
      </c>
      <c r="B676" t="s">
        <v>1419</v>
      </c>
      <c r="C676">
        <v>5987</v>
      </c>
      <c r="D676" t="s">
        <v>48</v>
      </c>
      <c r="E676" t="s">
        <v>49</v>
      </c>
      <c r="F676">
        <v>23635</v>
      </c>
      <c r="G6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6">
        <v>4.2805</v>
      </c>
      <c r="J676" t="str">
        <f>IF(ISBLANK(Table13[[#This Row],[Rating]]), "No", "Yes")</f>
        <v>Yes</v>
      </c>
      <c r="K676" t="str">
        <f>IF(ISBLANK(Table13[[#This Row],[Rating]]), "Not Rated", IF(Table13[[#This Row],[Rating]] &lt; 3, "Low", IF(Table13[[#This Row],[Rating]] &lt; 4, "Medium", "High")))</f>
        <v>High</v>
      </c>
      <c r="L676">
        <v>353</v>
      </c>
      <c r="M676">
        <v>34</v>
      </c>
      <c r="N676" t="str">
        <f>IF(Table13[[#This Row],[Price USD]]&lt;20,"Budget",IF(Table13[[#This Row],[Price USD]]&lt;=50,"Mid-range","Premium"))</f>
        <v>Mid-range</v>
      </c>
      <c r="O676">
        <v>0</v>
      </c>
      <c r="P676">
        <v>0</v>
      </c>
    </row>
    <row r="677" spans="1:16" x14ac:dyDescent="0.25">
      <c r="A677" t="s">
        <v>734</v>
      </c>
      <c r="B677" t="s">
        <v>735</v>
      </c>
      <c r="C677">
        <v>4171</v>
      </c>
      <c r="D677" t="s">
        <v>133</v>
      </c>
      <c r="E677" t="s">
        <v>8</v>
      </c>
      <c r="F677">
        <v>48739</v>
      </c>
      <c r="G6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7">
        <v>4.5721999999999996</v>
      </c>
      <c r="J677" t="str">
        <f>IF(ISBLANK(Table13[[#This Row],[Rating]]), "No", "Yes")</f>
        <v>Yes</v>
      </c>
      <c r="K677" t="str">
        <f>IF(ISBLANK(Table13[[#This Row],[Rating]]), "Not Rated", IF(Table13[[#This Row],[Rating]] &lt; 3, "Low", IF(Table13[[#This Row],[Rating]] &lt; 4, "Medium", "High")))</f>
        <v>High</v>
      </c>
      <c r="L677">
        <v>353</v>
      </c>
      <c r="M677">
        <v>84</v>
      </c>
      <c r="N677" t="str">
        <f>IF(Table13[[#This Row],[Price USD]]&lt;20,"Budget",IF(Table13[[#This Row],[Price USD]]&lt;=50,"Mid-range","Premium"))</f>
        <v>Premium</v>
      </c>
      <c r="O677">
        <v>0</v>
      </c>
      <c r="P677">
        <v>0</v>
      </c>
    </row>
    <row r="678" spans="1:16" x14ac:dyDescent="0.25">
      <c r="A678" t="s">
        <v>1592</v>
      </c>
      <c r="B678" t="s">
        <v>1593</v>
      </c>
      <c r="C678">
        <v>5987</v>
      </c>
      <c r="D678" t="s">
        <v>48</v>
      </c>
      <c r="E678" t="s">
        <v>49</v>
      </c>
      <c r="F678">
        <v>20095</v>
      </c>
      <c r="G6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8">
        <v>3.8729</v>
      </c>
      <c r="J678" t="str">
        <f>IF(ISBLANK(Table13[[#This Row],[Rating]]), "No", "Yes")</f>
        <v>Yes</v>
      </c>
      <c r="K678" t="str">
        <f>IF(ISBLANK(Table13[[#This Row],[Rating]]), "Not Rated", IF(Table13[[#This Row],[Rating]] &lt; 3, "Low", IF(Table13[[#This Row],[Rating]] &lt; 4, "Medium", "High")))</f>
        <v>Medium</v>
      </c>
      <c r="L678">
        <v>354</v>
      </c>
      <c r="M678">
        <v>44</v>
      </c>
      <c r="N678" t="str">
        <f>IF(Table13[[#This Row],[Price USD]]&lt;20,"Budget",IF(Table13[[#This Row],[Price USD]]&lt;=50,"Mid-range","Premium"))</f>
        <v>Mid-range</v>
      </c>
      <c r="O678">
        <v>0</v>
      </c>
      <c r="P678">
        <v>0</v>
      </c>
    </row>
    <row r="679" spans="1:16" x14ac:dyDescent="0.25">
      <c r="A679" t="s">
        <v>1518</v>
      </c>
      <c r="B679" t="s">
        <v>1519</v>
      </c>
      <c r="C679">
        <v>6294</v>
      </c>
      <c r="D679" t="s">
        <v>1520</v>
      </c>
      <c r="E679" t="s">
        <v>8</v>
      </c>
      <c r="F679">
        <v>21687</v>
      </c>
      <c r="G6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79">
        <v>4.3971999999999998</v>
      </c>
      <c r="J679" t="str">
        <f>IF(ISBLANK(Table13[[#This Row],[Rating]]), "No", "Yes")</f>
        <v>Yes</v>
      </c>
      <c r="K679" t="str">
        <f>IF(ISBLANK(Table13[[#This Row],[Rating]]), "Not Rated", IF(Table13[[#This Row],[Rating]] &lt; 3, "Low", IF(Table13[[#This Row],[Rating]] &lt; 4, "Medium", "High")))</f>
        <v>High</v>
      </c>
      <c r="L679">
        <v>355</v>
      </c>
      <c r="M679">
        <v>125</v>
      </c>
      <c r="N679" t="str">
        <f>IF(Table13[[#This Row],[Price USD]]&lt;20,"Budget",IF(Table13[[#This Row],[Price USD]]&lt;=50,"Mid-range","Premium"))</f>
        <v>Premium</v>
      </c>
      <c r="O679">
        <v>0</v>
      </c>
      <c r="P679">
        <v>0</v>
      </c>
    </row>
    <row r="680" spans="1:16" x14ac:dyDescent="0.25">
      <c r="A680" t="s">
        <v>1751</v>
      </c>
      <c r="B680" t="s">
        <v>1752</v>
      </c>
      <c r="C680">
        <v>6219</v>
      </c>
      <c r="D680" t="s">
        <v>277</v>
      </c>
      <c r="E680" t="s">
        <v>13</v>
      </c>
      <c r="F680">
        <v>17736</v>
      </c>
      <c r="G6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0">
        <v>4.7843</v>
      </c>
      <c r="J680" t="str">
        <f>IF(ISBLANK(Table13[[#This Row],[Rating]]), "No", "Yes")</f>
        <v>Yes</v>
      </c>
      <c r="K680" t="str">
        <f>IF(ISBLANK(Table13[[#This Row],[Rating]]), "Not Rated", IF(Table13[[#This Row],[Rating]] &lt; 3, "Low", IF(Table13[[#This Row],[Rating]] &lt; 4, "Medium", "High")))</f>
        <v>High</v>
      </c>
      <c r="L680">
        <v>357</v>
      </c>
      <c r="M680">
        <v>37</v>
      </c>
      <c r="N680" t="str">
        <f>IF(Table13[[#This Row],[Price USD]]&lt;20,"Budget",IF(Table13[[#This Row],[Price USD]]&lt;=50,"Mid-range","Premium"))</f>
        <v>Mid-range</v>
      </c>
      <c r="O680">
        <v>0</v>
      </c>
      <c r="P680">
        <v>0</v>
      </c>
    </row>
    <row r="681" spans="1:16" x14ac:dyDescent="0.25">
      <c r="A681" t="s">
        <v>1485</v>
      </c>
      <c r="B681" t="s">
        <v>1486</v>
      </c>
      <c r="C681">
        <v>5337</v>
      </c>
      <c r="D681" t="s">
        <v>209</v>
      </c>
      <c r="E681" t="s">
        <v>21</v>
      </c>
      <c r="F681">
        <v>22311</v>
      </c>
      <c r="G6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1">
        <v>4.5335000000000001</v>
      </c>
      <c r="J681" t="str">
        <f>IF(ISBLANK(Table13[[#This Row],[Rating]]), "No", "Yes")</f>
        <v>Yes</v>
      </c>
      <c r="K681" t="str">
        <f>IF(ISBLANK(Table13[[#This Row],[Rating]]), "Not Rated", IF(Table13[[#This Row],[Rating]] &lt; 3, "Low", IF(Table13[[#This Row],[Rating]] &lt; 4, "Medium", "High")))</f>
        <v>High</v>
      </c>
      <c r="L681">
        <v>358</v>
      </c>
      <c r="M681">
        <v>85</v>
      </c>
      <c r="N681" t="str">
        <f>IF(Table13[[#This Row],[Price USD]]&lt;20,"Budget",IF(Table13[[#This Row],[Price USD]]&lt;=50,"Mid-range","Premium"))</f>
        <v>Premium</v>
      </c>
      <c r="O681">
        <v>0</v>
      </c>
      <c r="P681">
        <v>0</v>
      </c>
    </row>
    <row r="682" spans="1:16" x14ac:dyDescent="0.25">
      <c r="A682" t="s">
        <v>2519</v>
      </c>
      <c r="B682" t="s">
        <v>2520</v>
      </c>
      <c r="C682">
        <v>6014</v>
      </c>
      <c r="D682" t="s">
        <v>102</v>
      </c>
      <c r="E682" t="s">
        <v>69</v>
      </c>
      <c r="F682">
        <v>10190</v>
      </c>
      <c r="G6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2">
        <v>4.6936</v>
      </c>
      <c r="J682" t="str">
        <f>IF(ISBLANK(Table13[[#This Row],[Rating]]), "No", "Yes")</f>
        <v>Yes</v>
      </c>
      <c r="K682" t="str">
        <f>IF(ISBLANK(Table13[[#This Row],[Rating]]), "Not Rated", IF(Table13[[#This Row],[Rating]] &lt; 3, "Low", IF(Table13[[#This Row],[Rating]] &lt; 4, "Medium", "High")))</f>
        <v>High</v>
      </c>
      <c r="L682">
        <v>359</v>
      </c>
      <c r="M682">
        <v>9</v>
      </c>
      <c r="N682" t="str">
        <f>IF(Table13[[#This Row],[Price USD]]&lt;20,"Budget",IF(Table13[[#This Row],[Price USD]]&lt;=50,"Mid-range","Premium"))</f>
        <v>Budget</v>
      </c>
      <c r="O682">
        <v>1</v>
      </c>
      <c r="P682">
        <v>0</v>
      </c>
    </row>
    <row r="683" spans="1:16" x14ac:dyDescent="0.25">
      <c r="A683" t="s">
        <v>1620</v>
      </c>
      <c r="B683" t="s">
        <v>1621</v>
      </c>
      <c r="C683">
        <v>5946</v>
      </c>
      <c r="D683" t="s">
        <v>341</v>
      </c>
      <c r="E683" t="s">
        <v>21</v>
      </c>
      <c r="F683">
        <v>19713</v>
      </c>
      <c r="G6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3">
        <v>3.7075</v>
      </c>
      <c r="J683" t="str">
        <f>IF(ISBLANK(Table13[[#This Row],[Rating]]), "No", "Yes")</f>
        <v>Yes</v>
      </c>
      <c r="K683" t="str">
        <f>IF(ISBLANK(Table13[[#This Row],[Rating]]), "Not Rated", IF(Table13[[#This Row],[Rating]] &lt; 3, "Low", IF(Table13[[#This Row],[Rating]] &lt; 4, "Medium", "High")))</f>
        <v>Medium</v>
      </c>
      <c r="L683">
        <v>359</v>
      </c>
      <c r="M683">
        <v>98</v>
      </c>
      <c r="N683" t="str">
        <f>IF(Table13[[#This Row],[Price USD]]&lt;20,"Budget",IF(Table13[[#This Row],[Price USD]]&lt;=50,"Mid-range","Premium"))</f>
        <v>Premium</v>
      </c>
      <c r="O683">
        <v>0</v>
      </c>
      <c r="P683">
        <v>0</v>
      </c>
    </row>
    <row r="684" spans="1:16" x14ac:dyDescent="0.25">
      <c r="A684" t="s">
        <v>1267</v>
      </c>
      <c r="B684" t="s">
        <v>1268</v>
      </c>
      <c r="C684">
        <v>4164</v>
      </c>
      <c r="D684" t="s">
        <v>623</v>
      </c>
      <c r="E684" t="s">
        <v>149</v>
      </c>
      <c r="F684">
        <v>27356</v>
      </c>
      <c r="G6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4">
        <v>4.5278</v>
      </c>
      <c r="J684" t="str">
        <f>IF(ISBLANK(Table13[[#This Row],[Rating]]), "No", "Yes")</f>
        <v>Yes</v>
      </c>
      <c r="K684" t="str">
        <f>IF(ISBLANK(Table13[[#This Row],[Rating]]), "Not Rated", IF(Table13[[#This Row],[Rating]] &lt; 3, "Low", IF(Table13[[#This Row],[Rating]] &lt; 4, "Medium", "High")))</f>
        <v>High</v>
      </c>
      <c r="L684">
        <v>360</v>
      </c>
      <c r="M684">
        <v>89</v>
      </c>
      <c r="N684" t="str">
        <f>IF(Table13[[#This Row],[Price USD]]&lt;20,"Budget",IF(Table13[[#This Row],[Price USD]]&lt;=50,"Mid-range","Premium"))</f>
        <v>Premium</v>
      </c>
      <c r="O684">
        <v>0</v>
      </c>
      <c r="P684">
        <v>0</v>
      </c>
    </row>
    <row r="685" spans="1:16" x14ac:dyDescent="0.25">
      <c r="A685" t="s">
        <v>1460</v>
      </c>
      <c r="B685" t="s">
        <v>1461</v>
      </c>
      <c r="C685">
        <v>6209</v>
      </c>
      <c r="D685" t="s">
        <v>45</v>
      </c>
      <c r="E685" t="s">
        <v>8</v>
      </c>
      <c r="F685">
        <v>22947</v>
      </c>
      <c r="G6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5">
        <v>4.0385999999999997</v>
      </c>
      <c r="J685" t="str">
        <f>IF(ISBLANK(Table13[[#This Row],[Rating]]), "No", "Yes")</f>
        <v>Yes</v>
      </c>
      <c r="K685" t="str">
        <f>IF(ISBLANK(Table13[[#This Row],[Rating]]), "Not Rated", IF(Table13[[#This Row],[Rating]] &lt; 3, "Low", IF(Table13[[#This Row],[Rating]] &lt; 4, "Medium", "High")))</f>
        <v>High</v>
      </c>
      <c r="L685">
        <v>363</v>
      </c>
      <c r="M685">
        <v>28</v>
      </c>
      <c r="N685" t="str">
        <f>IF(Table13[[#This Row],[Price USD]]&lt;20,"Budget",IF(Table13[[#This Row],[Price USD]]&lt;=50,"Mid-range","Premium"))</f>
        <v>Mid-range</v>
      </c>
      <c r="O685">
        <v>0</v>
      </c>
      <c r="P685">
        <v>0</v>
      </c>
    </row>
    <row r="686" spans="1:16" x14ac:dyDescent="0.25">
      <c r="A686" t="s">
        <v>1614</v>
      </c>
      <c r="B686" t="s">
        <v>1615</v>
      </c>
      <c r="C686">
        <v>1254</v>
      </c>
      <c r="D686" t="s">
        <v>136</v>
      </c>
      <c r="E686" t="s">
        <v>49</v>
      </c>
      <c r="F686">
        <v>19781</v>
      </c>
      <c r="G6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6">
        <v>4.2521000000000004</v>
      </c>
      <c r="J686" t="str">
        <f>IF(ISBLANK(Table13[[#This Row],[Rating]]), "No", "Yes")</f>
        <v>Yes</v>
      </c>
      <c r="K686" t="str">
        <f>IF(ISBLANK(Table13[[#This Row],[Rating]]), "Not Rated", IF(Table13[[#This Row],[Rating]] &lt; 3, "Low", IF(Table13[[#This Row],[Rating]] &lt; 4, "Medium", "High")))</f>
        <v>High</v>
      </c>
      <c r="L686">
        <v>365</v>
      </c>
      <c r="M686">
        <v>23</v>
      </c>
      <c r="N686" t="str">
        <f>IF(Table13[[#This Row],[Price USD]]&lt;20,"Budget",IF(Table13[[#This Row],[Price USD]]&lt;=50,"Mid-range","Premium"))</f>
        <v>Mid-range</v>
      </c>
      <c r="O686">
        <v>0</v>
      </c>
      <c r="P686">
        <v>0</v>
      </c>
    </row>
    <row r="687" spans="1:16" x14ac:dyDescent="0.25">
      <c r="A687" t="s">
        <v>890</v>
      </c>
      <c r="B687" t="s">
        <v>891</v>
      </c>
      <c r="C687">
        <v>6295</v>
      </c>
      <c r="D687" t="s">
        <v>184</v>
      </c>
      <c r="E687" t="s">
        <v>8</v>
      </c>
      <c r="F687">
        <v>41215</v>
      </c>
      <c r="G6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7">
        <v>4.5835999999999997</v>
      </c>
      <c r="J687" t="str">
        <f>IF(ISBLANK(Table13[[#This Row],[Rating]]), "No", "Yes")</f>
        <v>Yes</v>
      </c>
      <c r="K687" t="str">
        <f>IF(ISBLANK(Table13[[#This Row],[Rating]]), "Not Rated", IF(Table13[[#This Row],[Rating]] &lt; 3, "Low", IF(Table13[[#This Row],[Rating]] &lt; 4, "Medium", "High")))</f>
        <v>High</v>
      </c>
      <c r="L687">
        <v>365</v>
      </c>
      <c r="M687">
        <v>30</v>
      </c>
      <c r="N687" t="str">
        <f>IF(Table13[[#This Row],[Price USD]]&lt;20,"Budget",IF(Table13[[#This Row],[Price USD]]&lt;=50,"Mid-range","Premium"))</f>
        <v>Mid-range</v>
      </c>
      <c r="O687">
        <v>0</v>
      </c>
      <c r="P687">
        <v>0</v>
      </c>
    </row>
    <row r="688" spans="1:16" x14ac:dyDescent="0.25">
      <c r="A688" t="s">
        <v>2297</v>
      </c>
      <c r="B688" t="s">
        <v>2298</v>
      </c>
      <c r="C688">
        <v>5987</v>
      </c>
      <c r="D688" t="s">
        <v>48</v>
      </c>
      <c r="E688" t="s">
        <v>8</v>
      </c>
      <c r="F688">
        <v>11846</v>
      </c>
      <c r="G6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8">
        <v>4.7356999999999996</v>
      </c>
      <c r="J688" t="str">
        <f>IF(ISBLANK(Table13[[#This Row],[Rating]]), "No", "Yes")</f>
        <v>Yes</v>
      </c>
      <c r="K688" t="str">
        <f>IF(ISBLANK(Table13[[#This Row],[Rating]]), "Not Rated", IF(Table13[[#This Row],[Rating]] &lt; 3, "Low", IF(Table13[[#This Row],[Rating]] &lt; 4, "Medium", "High")))</f>
        <v>High</v>
      </c>
      <c r="L688">
        <v>367</v>
      </c>
      <c r="M688">
        <v>46</v>
      </c>
      <c r="N688" t="str">
        <f>IF(Table13[[#This Row],[Price USD]]&lt;20,"Budget",IF(Table13[[#This Row],[Price USD]]&lt;=50,"Mid-range","Premium"))</f>
        <v>Mid-range</v>
      </c>
      <c r="O688">
        <v>0</v>
      </c>
      <c r="P688">
        <v>0</v>
      </c>
    </row>
    <row r="689" spans="1:16" x14ac:dyDescent="0.25">
      <c r="A689" t="s">
        <v>1588</v>
      </c>
      <c r="B689" t="s">
        <v>1589</v>
      </c>
      <c r="C689">
        <v>4164</v>
      </c>
      <c r="D689" t="s">
        <v>623</v>
      </c>
      <c r="E689" t="s">
        <v>149</v>
      </c>
      <c r="F689">
        <v>20483</v>
      </c>
      <c r="G6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89">
        <v>4.6294000000000004</v>
      </c>
      <c r="J689" t="str">
        <f>IF(ISBLANK(Table13[[#This Row],[Rating]]), "No", "Yes")</f>
        <v>Yes</v>
      </c>
      <c r="K689" t="str">
        <f>IF(ISBLANK(Table13[[#This Row],[Rating]]), "Not Rated", IF(Table13[[#This Row],[Rating]] &lt; 3, "Low", IF(Table13[[#This Row],[Rating]] &lt; 4, "Medium", "High")))</f>
        <v>High</v>
      </c>
      <c r="L689">
        <v>367</v>
      </c>
      <c r="M689">
        <v>42</v>
      </c>
      <c r="N689" t="str">
        <f>IF(Table13[[#This Row],[Price USD]]&lt;20,"Budget",IF(Table13[[#This Row],[Price USD]]&lt;=50,"Mid-range","Premium"))</f>
        <v>Mid-range</v>
      </c>
      <c r="O689">
        <v>0</v>
      </c>
      <c r="P689">
        <v>0</v>
      </c>
    </row>
    <row r="690" spans="1:16" x14ac:dyDescent="0.25">
      <c r="A690" t="s">
        <v>1090</v>
      </c>
      <c r="B690" t="s">
        <v>1091</v>
      </c>
      <c r="C690">
        <v>3728</v>
      </c>
      <c r="D690" t="s">
        <v>458</v>
      </c>
      <c r="E690" t="s">
        <v>8</v>
      </c>
      <c r="F690">
        <v>32582</v>
      </c>
      <c r="G6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0">
        <v>4.1608000000000001</v>
      </c>
      <c r="J690" t="str">
        <f>IF(ISBLANK(Table13[[#This Row],[Rating]]), "No", "Yes")</f>
        <v>Yes</v>
      </c>
      <c r="K690" t="str">
        <f>IF(ISBLANK(Table13[[#This Row],[Rating]]), "Not Rated", IF(Table13[[#This Row],[Rating]] &lt; 3, "Low", IF(Table13[[#This Row],[Rating]] &lt; 4, "Medium", "High")))</f>
        <v>High</v>
      </c>
      <c r="L690">
        <v>367</v>
      </c>
      <c r="M690">
        <v>88</v>
      </c>
      <c r="N690" t="str">
        <f>IF(Table13[[#This Row],[Price USD]]&lt;20,"Budget",IF(Table13[[#This Row],[Price USD]]&lt;=50,"Mid-range","Premium"))</f>
        <v>Premium</v>
      </c>
      <c r="O690">
        <v>0</v>
      </c>
      <c r="P690">
        <v>0</v>
      </c>
    </row>
    <row r="691" spans="1:16" x14ac:dyDescent="0.25">
      <c r="A691" t="s">
        <v>1650</v>
      </c>
      <c r="B691" t="s">
        <v>1651</v>
      </c>
      <c r="C691">
        <v>6373</v>
      </c>
      <c r="D691" t="s">
        <v>1652</v>
      </c>
      <c r="E691" t="s">
        <v>149</v>
      </c>
      <c r="F691">
        <v>19298</v>
      </c>
      <c r="G6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1">
        <v>4.0731999999999999</v>
      </c>
      <c r="J691" t="str">
        <f>IF(ISBLANK(Table13[[#This Row],[Rating]]), "No", "Yes")</f>
        <v>Yes</v>
      </c>
      <c r="K691" t="str">
        <f>IF(ISBLANK(Table13[[#This Row],[Rating]]), "Not Rated", IF(Table13[[#This Row],[Rating]] &lt; 3, "Low", IF(Table13[[#This Row],[Rating]] &lt; 4, "Medium", "High")))</f>
        <v>High</v>
      </c>
      <c r="L691">
        <v>369</v>
      </c>
      <c r="M691">
        <v>32</v>
      </c>
      <c r="N691" t="str">
        <f>IF(Table13[[#This Row],[Price USD]]&lt;20,"Budget",IF(Table13[[#This Row],[Price USD]]&lt;=50,"Mid-range","Premium"))</f>
        <v>Mid-range</v>
      </c>
      <c r="O691">
        <v>0</v>
      </c>
      <c r="P691">
        <v>0</v>
      </c>
    </row>
    <row r="692" spans="1:16" x14ac:dyDescent="0.25">
      <c r="A692" t="s">
        <v>1562</v>
      </c>
      <c r="B692" t="s">
        <v>1563</v>
      </c>
      <c r="C692">
        <v>5857</v>
      </c>
      <c r="D692" t="s">
        <v>433</v>
      </c>
      <c r="E692" t="s">
        <v>149</v>
      </c>
      <c r="F692">
        <v>20905</v>
      </c>
      <c r="G6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2">
        <v>4.3026999999999997</v>
      </c>
      <c r="J692" t="str">
        <f>IF(ISBLANK(Table13[[#This Row],[Rating]]), "No", "Yes")</f>
        <v>Yes</v>
      </c>
      <c r="K692" t="str">
        <f>IF(ISBLANK(Table13[[#This Row],[Rating]]), "Not Rated", IF(Table13[[#This Row],[Rating]] &lt; 3, "Low", IF(Table13[[#This Row],[Rating]] &lt; 4, "Medium", "High")))</f>
        <v>High</v>
      </c>
      <c r="L692">
        <v>370</v>
      </c>
      <c r="M692">
        <v>51</v>
      </c>
      <c r="N692" t="str">
        <f>IF(Table13[[#This Row],[Price USD]]&lt;20,"Budget",IF(Table13[[#This Row],[Price USD]]&lt;=50,"Mid-range","Premium"))</f>
        <v>Premium</v>
      </c>
      <c r="O692">
        <v>0</v>
      </c>
      <c r="P692">
        <v>0</v>
      </c>
    </row>
    <row r="693" spans="1:16" x14ac:dyDescent="0.25">
      <c r="A693" t="s">
        <v>1158</v>
      </c>
      <c r="B693" t="s">
        <v>1159</v>
      </c>
      <c r="C693">
        <v>6357</v>
      </c>
      <c r="D693" t="s">
        <v>876</v>
      </c>
      <c r="E693" t="s">
        <v>8</v>
      </c>
      <c r="F693">
        <v>30846</v>
      </c>
      <c r="G6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3">
        <v>4.4043000000000001</v>
      </c>
      <c r="J693" t="str">
        <f>IF(ISBLANK(Table13[[#This Row],[Rating]]), "No", "Yes")</f>
        <v>Yes</v>
      </c>
      <c r="K693" t="str">
        <f>IF(ISBLANK(Table13[[#This Row],[Rating]]), "Not Rated", IF(Table13[[#This Row],[Rating]] &lt; 3, "Low", IF(Table13[[#This Row],[Rating]] &lt; 4, "Medium", "High")))</f>
        <v>High</v>
      </c>
      <c r="L693">
        <v>376</v>
      </c>
      <c r="M693">
        <v>34</v>
      </c>
      <c r="N693" t="str">
        <f>IF(Table13[[#This Row],[Price USD]]&lt;20,"Budget",IF(Table13[[#This Row],[Price USD]]&lt;=50,"Mid-range","Premium"))</f>
        <v>Mid-range</v>
      </c>
      <c r="O693">
        <v>0</v>
      </c>
      <c r="P693">
        <v>0</v>
      </c>
    </row>
    <row r="694" spans="1:16" x14ac:dyDescent="0.25">
      <c r="A694" t="s">
        <v>2228</v>
      </c>
      <c r="B694" t="s">
        <v>2229</v>
      </c>
      <c r="C694">
        <v>6316</v>
      </c>
      <c r="D694" t="s">
        <v>563</v>
      </c>
      <c r="E694" t="s">
        <v>21</v>
      </c>
      <c r="F694">
        <v>12439</v>
      </c>
      <c r="G6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4">
        <v>4.3925999999999998</v>
      </c>
      <c r="J694" t="str">
        <f>IF(ISBLANK(Table13[[#This Row],[Rating]]), "No", "Yes")</f>
        <v>Yes</v>
      </c>
      <c r="K694" t="str">
        <f>IF(ISBLANK(Table13[[#This Row],[Rating]]), "Not Rated", IF(Table13[[#This Row],[Rating]] &lt; 3, "Low", IF(Table13[[#This Row],[Rating]] &lt; 4, "Medium", "High")))</f>
        <v>High</v>
      </c>
      <c r="L694">
        <v>377</v>
      </c>
      <c r="M694">
        <v>63</v>
      </c>
      <c r="N694" t="str">
        <f>IF(Table13[[#This Row],[Price USD]]&lt;20,"Budget",IF(Table13[[#This Row],[Price USD]]&lt;=50,"Mid-range","Premium"))</f>
        <v>Premium</v>
      </c>
      <c r="O694">
        <v>0</v>
      </c>
      <c r="P694">
        <v>0</v>
      </c>
    </row>
    <row r="695" spans="1:16" x14ac:dyDescent="0.25">
      <c r="A695" t="s">
        <v>1202</v>
      </c>
      <c r="B695" t="s">
        <v>1203</v>
      </c>
      <c r="C695">
        <v>6169</v>
      </c>
      <c r="D695" t="s">
        <v>24</v>
      </c>
      <c r="E695" t="s">
        <v>21</v>
      </c>
      <c r="F695">
        <v>29088</v>
      </c>
      <c r="G6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5">
        <v>4.4402999999999997</v>
      </c>
      <c r="J695" t="str">
        <f>IF(ISBLANK(Table13[[#This Row],[Rating]]), "No", "Yes")</f>
        <v>Yes</v>
      </c>
      <c r="K695" t="str">
        <f>IF(ISBLANK(Table13[[#This Row],[Rating]]), "Not Rated", IF(Table13[[#This Row],[Rating]] &lt; 3, "Low", IF(Table13[[#This Row],[Rating]] &lt; 4, "Medium", "High")))</f>
        <v>High</v>
      </c>
      <c r="L695">
        <v>377</v>
      </c>
      <c r="M695">
        <v>68</v>
      </c>
      <c r="N695" t="str">
        <f>IF(Table13[[#This Row],[Price USD]]&lt;20,"Budget",IF(Table13[[#This Row],[Price USD]]&lt;=50,"Mid-range","Premium"))</f>
        <v>Premium</v>
      </c>
      <c r="O695">
        <v>0</v>
      </c>
      <c r="P695">
        <v>0</v>
      </c>
    </row>
    <row r="696" spans="1:16" x14ac:dyDescent="0.25">
      <c r="A696" t="s">
        <v>1342</v>
      </c>
      <c r="B696" t="s">
        <v>1343</v>
      </c>
      <c r="C696">
        <v>5626</v>
      </c>
      <c r="D696" t="s">
        <v>1069</v>
      </c>
      <c r="E696" t="s">
        <v>106</v>
      </c>
      <c r="F696">
        <v>25187</v>
      </c>
      <c r="G6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6">
        <v>4.5556000000000001</v>
      </c>
      <c r="J696" t="str">
        <f>IF(ISBLANK(Table13[[#This Row],[Rating]]), "No", "Yes")</f>
        <v>Yes</v>
      </c>
      <c r="K696" t="str">
        <f>IF(ISBLANK(Table13[[#This Row],[Rating]]), "Not Rated", IF(Table13[[#This Row],[Rating]] &lt; 3, "Low", IF(Table13[[#This Row],[Rating]] &lt; 4, "Medium", "High")))</f>
        <v>High</v>
      </c>
      <c r="L696">
        <v>378</v>
      </c>
      <c r="M696">
        <v>9</v>
      </c>
      <c r="N696" t="str">
        <f>IF(Table13[[#This Row],[Price USD]]&lt;20,"Budget",IF(Table13[[#This Row],[Price USD]]&lt;=50,"Mid-range","Premium"))</f>
        <v>Budget</v>
      </c>
      <c r="O696">
        <v>0</v>
      </c>
      <c r="P696">
        <v>0</v>
      </c>
    </row>
    <row r="697" spans="1:16" x14ac:dyDescent="0.25">
      <c r="A697" t="s">
        <v>1112</v>
      </c>
      <c r="B697" t="s">
        <v>1113</v>
      </c>
      <c r="C697">
        <v>5987</v>
      </c>
      <c r="D697" t="s">
        <v>48</v>
      </c>
      <c r="E697" t="s">
        <v>49</v>
      </c>
      <c r="F697">
        <v>32091</v>
      </c>
      <c r="G6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7">
        <v>3.6648999999999998</v>
      </c>
      <c r="J697" t="str">
        <f>IF(ISBLANK(Table13[[#This Row],[Rating]]), "No", "Yes")</f>
        <v>Yes</v>
      </c>
      <c r="K697" t="str">
        <f>IF(ISBLANK(Table13[[#This Row],[Rating]]), "Not Rated", IF(Table13[[#This Row],[Rating]] &lt; 3, "Low", IF(Table13[[#This Row],[Rating]] &lt; 4, "Medium", "High")))</f>
        <v>Medium</v>
      </c>
      <c r="L697">
        <v>379</v>
      </c>
      <c r="M697">
        <v>34</v>
      </c>
      <c r="N697" t="str">
        <f>IF(Table13[[#This Row],[Price USD]]&lt;20,"Budget",IF(Table13[[#This Row],[Price USD]]&lt;=50,"Mid-range","Premium"))</f>
        <v>Mid-range</v>
      </c>
      <c r="O697">
        <v>0</v>
      </c>
      <c r="P697">
        <v>0</v>
      </c>
    </row>
    <row r="698" spans="1:16" x14ac:dyDescent="0.25">
      <c r="A698" t="s">
        <v>896</v>
      </c>
      <c r="B698" t="s">
        <v>897</v>
      </c>
      <c r="C698">
        <v>6247</v>
      </c>
      <c r="D698" t="s">
        <v>38</v>
      </c>
      <c r="E698" t="s">
        <v>149</v>
      </c>
      <c r="F698">
        <v>40911</v>
      </c>
      <c r="G6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8">
        <v>4.3596000000000004</v>
      </c>
      <c r="J698" t="str">
        <f>IF(ISBLANK(Table13[[#This Row],[Rating]]), "No", "Yes")</f>
        <v>Yes</v>
      </c>
      <c r="K698" t="str">
        <f>IF(ISBLANK(Table13[[#This Row],[Rating]]), "Not Rated", IF(Table13[[#This Row],[Rating]] &lt; 3, "Low", IF(Table13[[#This Row],[Rating]] &lt; 4, "Medium", "High")))</f>
        <v>High</v>
      </c>
      <c r="L698">
        <v>381</v>
      </c>
      <c r="M698">
        <v>42</v>
      </c>
      <c r="N698" t="str">
        <f>IF(Table13[[#This Row],[Price USD]]&lt;20,"Budget",IF(Table13[[#This Row],[Price USD]]&lt;=50,"Mid-range","Premium"))</f>
        <v>Mid-range</v>
      </c>
      <c r="O698">
        <v>0</v>
      </c>
      <c r="P698">
        <v>0</v>
      </c>
    </row>
    <row r="699" spans="1:16" x14ac:dyDescent="0.25">
      <c r="A699" t="s">
        <v>1916</v>
      </c>
      <c r="B699" t="s">
        <v>1917</v>
      </c>
      <c r="C699">
        <v>1254</v>
      </c>
      <c r="D699" t="s">
        <v>136</v>
      </c>
      <c r="E699" t="s">
        <v>149</v>
      </c>
      <c r="F699">
        <v>15610</v>
      </c>
      <c r="G6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6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699">
        <v>3.2427999999999999</v>
      </c>
      <c r="J699" t="str">
        <f>IF(ISBLANK(Table13[[#This Row],[Rating]]), "No", "Yes")</f>
        <v>Yes</v>
      </c>
      <c r="K699" t="str">
        <f>IF(ISBLANK(Table13[[#This Row],[Rating]]), "Not Rated", IF(Table13[[#This Row],[Rating]] &lt; 3, "Low", IF(Table13[[#This Row],[Rating]] &lt; 4, "Medium", "High")))</f>
        <v>Medium</v>
      </c>
      <c r="L699">
        <v>383</v>
      </c>
      <c r="M699">
        <v>44</v>
      </c>
      <c r="N699" t="str">
        <f>IF(Table13[[#This Row],[Price USD]]&lt;20,"Budget",IF(Table13[[#This Row],[Price USD]]&lt;=50,"Mid-range","Premium"))</f>
        <v>Mid-range</v>
      </c>
      <c r="O699">
        <v>0</v>
      </c>
      <c r="P699">
        <v>0</v>
      </c>
    </row>
    <row r="700" spans="1:16" x14ac:dyDescent="0.25">
      <c r="A700" t="s">
        <v>2314</v>
      </c>
      <c r="B700" t="s">
        <v>2315</v>
      </c>
      <c r="C700">
        <v>6209</v>
      </c>
      <c r="D700" t="s">
        <v>45</v>
      </c>
      <c r="E700" t="s">
        <v>8</v>
      </c>
      <c r="F700">
        <v>11747</v>
      </c>
      <c r="G7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0">
        <v>4.4973999999999998</v>
      </c>
      <c r="J700" t="str">
        <f>IF(ISBLANK(Table13[[#This Row],[Rating]]), "No", "Yes")</f>
        <v>Yes</v>
      </c>
      <c r="K700" t="str">
        <f>IF(ISBLANK(Table13[[#This Row],[Rating]]), "Not Rated", IF(Table13[[#This Row],[Rating]] &lt; 3, "Low", IF(Table13[[#This Row],[Rating]] &lt; 4, "Medium", "High")))</f>
        <v>High</v>
      </c>
      <c r="L700">
        <v>384</v>
      </c>
      <c r="M700">
        <v>19</v>
      </c>
      <c r="N700" t="str">
        <f>IF(Table13[[#This Row],[Price USD]]&lt;20,"Budget",IF(Table13[[#This Row],[Price USD]]&lt;=50,"Mid-range","Premium"))</f>
        <v>Budget</v>
      </c>
      <c r="O700">
        <v>0</v>
      </c>
      <c r="P700">
        <v>0</v>
      </c>
    </row>
    <row r="701" spans="1:16" x14ac:dyDescent="0.25">
      <c r="A701" t="s">
        <v>1145</v>
      </c>
      <c r="B701" t="s">
        <v>1146</v>
      </c>
      <c r="C701">
        <v>3526</v>
      </c>
      <c r="D701" t="s">
        <v>1147</v>
      </c>
      <c r="E701" t="s">
        <v>21</v>
      </c>
      <c r="F701">
        <v>31434</v>
      </c>
      <c r="G7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1">
        <v>4.3932000000000002</v>
      </c>
      <c r="J701" t="str">
        <f>IF(ISBLANK(Table13[[#This Row],[Rating]]), "No", "Yes")</f>
        <v>Yes</v>
      </c>
      <c r="K701" t="str">
        <f>IF(ISBLANK(Table13[[#This Row],[Rating]]), "Not Rated", IF(Table13[[#This Row],[Rating]] &lt; 3, "Low", IF(Table13[[#This Row],[Rating]] &lt; 4, "Medium", "High")))</f>
        <v>High</v>
      </c>
      <c r="L701">
        <v>384</v>
      </c>
      <c r="M701">
        <v>14</v>
      </c>
      <c r="N701" t="str">
        <f>IF(Table13[[#This Row],[Price USD]]&lt;20,"Budget",IF(Table13[[#This Row],[Price USD]]&lt;=50,"Mid-range","Premium"))</f>
        <v>Budget</v>
      </c>
      <c r="O701">
        <v>0</v>
      </c>
      <c r="P701">
        <v>0</v>
      </c>
    </row>
    <row r="702" spans="1:16" x14ac:dyDescent="0.25">
      <c r="A702" t="s">
        <v>2434</v>
      </c>
      <c r="B702" t="s">
        <v>2435</v>
      </c>
      <c r="C702">
        <v>6219</v>
      </c>
      <c r="D702" t="s">
        <v>277</v>
      </c>
      <c r="E702" t="s">
        <v>49</v>
      </c>
      <c r="F702">
        <v>10706</v>
      </c>
      <c r="G7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2">
        <v>4.3731</v>
      </c>
      <c r="J702" t="str">
        <f>IF(ISBLANK(Table13[[#This Row],[Rating]]), "No", "Yes")</f>
        <v>Yes</v>
      </c>
      <c r="K702" t="str">
        <f>IF(ISBLANK(Table13[[#This Row],[Rating]]), "Not Rated", IF(Table13[[#This Row],[Rating]] &lt; 3, "Low", IF(Table13[[#This Row],[Rating]] &lt; 4, "Medium", "High")))</f>
        <v>High</v>
      </c>
      <c r="L702">
        <v>386</v>
      </c>
      <c r="M702">
        <v>48</v>
      </c>
      <c r="N702" t="str">
        <f>IF(Table13[[#This Row],[Price USD]]&lt;20,"Budget",IF(Table13[[#This Row],[Price USD]]&lt;=50,"Mid-range","Premium"))</f>
        <v>Mid-range</v>
      </c>
      <c r="O702">
        <v>0</v>
      </c>
      <c r="P702">
        <v>0</v>
      </c>
    </row>
    <row r="703" spans="1:16" x14ac:dyDescent="0.25">
      <c r="A703" t="s">
        <v>1167</v>
      </c>
      <c r="B703" t="s">
        <v>1168</v>
      </c>
      <c r="C703">
        <v>7083</v>
      </c>
      <c r="D703" t="s">
        <v>20</v>
      </c>
      <c r="E703" t="s">
        <v>13</v>
      </c>
      <c r="F703">
        <v>30472</v>
      </c>
      <c r="G7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3">
        <v>4.4663000000000004</v>
      </c>
      <c r="J703" t="str">
        <f>IF(ISBLANK(Table13[[#This Row],[Rating]]), "No", "Yes")</f>
        <v>Yes</v>
      </c>
      <c r="K703" t="str">
        <f>IF(ISBLANK(Table13[[#This Row],[Rating]]), "Not Rated", IF(Table13[[#This Row],[Rating]] &lt; 3, "Low", IF(Table13[[#This Row],[Rating]] &lt; 4, "Medium", "High")))</f>
        <v>High</v>
      </c>
      <c r="L703">
        <v>386</v>
      </c>
      <c r="M703">
        <v>28</v>
      </c>
      <c r="N703" t="str">
        <f>IF(Table13[[#This Row],[Price USD]]&lt;20,"Budget",IF(Table13[[#This Row],[Price USD]]&lt;=50,"Mid-range","Premium"))</f>
        <v>Mid-range</v>
      </c>
      <c r="O703">
        <v>0</v>
      </c>
      <c r="P703">
        <v>0</v>
      </c>
    </row>
    <row r="704" spans="1:16" x14ac:dyDescent="0.25">
      <c r="A704" t="s">
        <v>1181</v>
      </c>
      <c r="B704" t="s">
        <v>1182</v>
      </c>
      <c r="C704">
        <v>6357</v>
      </c>
      <c r="D704" t="s">
        <v>876</v>
      </c>
      <c r="E704" t="s">
        <v>8</v>
      </c>
      <c r="F704">
        <v>29785</v>
      </c>
      <c r="G7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4">
        <v>4.6047000000000002</v>
      </c>
      <c r="J704" t="str">
        <f>IF(ISBLANK(Table13[[#This Row],[Rating]]), "No", "Yes")</f>
        <v>Yes</v>
      </c>
      <c r="K704" t="str">
        <f>IF(ISBLANK(Table13[[#This Row],[Rating]]), "Not Rated", IF(Table13[[#This Row],[Rating]] &lt; 3, "Low", IF(Table13[[#This Row],[Rating]] &lt; 4, "Medium", "High")))</f>
        <v>High</v>
      </c>
      <c r="L704">
        <v>387</v>
      </c>
      <c r="M704">
        <v>30</v>
      </c>
      <c r="N704" t="str">
        <f>IF(Table13[[#This Row],[Price USD]]&lt;20,"Budget",IF(Table13[[#This Row],[Price USD]]&lt;=50,"Mid-range","Premium"))</f>
        <v>Mid-range</v>
      </c>
      <c r="O704">
        <v>0</v>
      </c>
      <c r="P704">
        <v>0</v>
      </c>
    </row>
    <row r="705" spans="1:16" x14ac:dyDescent="0.25">
      <c r="A705" t="s">
        <v>1542</v>
      </c>
      <c r="B705" t="s">
        <v>1543</v>
      </c>
      <c r="C705">
        <v>6207</v>
      </c>
      <c r="D705" t="s">
        <v>914</v>
      </c>
      <c r="E705" t="s">
        <v>8</v>
      </c>
      <c r="F705">
        <v>21320</v>
      </c>
      <c r="G7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5">
        <v>4.2287999999999997</v>
      </c>
      <c r="J705" t="str">
        <f>IF(ISBLANK(Table13[[#This Row],[Rating]]), "No", "Yes")</f>
        <v>Yes</v>
      </c>
      <c r="K705" t="str">
        <f>IF(ISBLANK(Table13[[#This Row],[Rating]]), "Not Rated", IF(Table13[[#This Row],[Rating]] &lt; 3, "Low", IF(Table13[[#This Row],[Rating]] &lt; 4, "Medium", "High")))</f>
        <v>High</v>
      </c>
      <c r="L705">
        <v>389</v>
      </c>
      <c r="M705">
        <v>73</v>
      </c>
      <c r="N705" t="str">
        <f>IF(Table13[[#This Row],[Price USD]]&lt;20,"Budget",IF(Table13[[#This Row],[Price USD]]&lt;=50,"Mid-range","Premium"))</f>
        <v>Premium</v>
      </c>
      <c r="O705">
        <v>0</v>
      </c>
      <c r="P705">
        <v>0</v>
      </c>
    </row>
    <row r="706" spans="1:16" x14ac:dyDescent="0.25">
      <c r="A706" t="s">
        <v>792</v>
      </c>
      <c r="B706" t="s">
        <v>793</v>
      </c>
      <c r="C706">
        <v>6218</v>
      </c>
      <c r="D706" t="s">
        <v>116</v>
      </c>
      <c r="E706" t="s">
        <v>8</v>
      </c>
      <c r="F706">
        <v>45478</v>
      </c>
      <c r="G7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6">
        <v>3.6684000000000001</v>
      </c>
      <c r="J706" t="str">
        <f>IF(ISBLANK(Table13[[#This Row],[Rating]]), "No", "Yes")</f>
        <v>Yes</v>
      </c>
      <c r="K706" t="str">
        <f>IF(ISBLANK(Table13[[#This Row],[Rating]]), "Not Rated", IF(Table13[[#This Row],[Rating]] &lt; 3, "Low", IF(Table13[[#This Row],[Rating]] &lt; 4, "Medium", "High")))</f>
        <v>Medium</v>
      </c>
      <c r="L706">
        <v>389</v>
      </c>
      <c r="M706">
        <v>78</v>
      </c>
      <c r="N706" t="str">
        <f>IF(Table13[[#This Row],[Price USD]]&lt;20,"Budget",IF(Table13[[#This Row],[Price USD]]&lt;=50,"Mid-range","Premium"))</f>
        <v>Premium</v>
      </c>
      <c r="O706">
        <v>0</v>
      </c>
      <c r="P706">
        <v>0</v>
      </c>
    </row>
    <row r="707" spans="1:16" x14ac:dyDescent="0.25">
      <c r="A707" t="s">
        <v>986</v>
      </c>
      <c r="B707" t="s">
        <v>987</v>
      </c>
      <c r="C707">
        <v>6219</v>
      </c>
      <c r="D707" t="s">
        <v>277</v>
      </c>
      <c r="E707" t="s">
        <v>69</v>
      </c>
      <c r="F707">
        <v>37767</v>
      </c>
      <c r="G7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7">
        <v>4.3666999999999998</v>
      </c>
      <c r="J707" t="str">
        <f>IF(ISBLANK(Table13[[#This Row],[Rating]]), "No", "Yes")</f>
        <v>Yes</v>
      </c>
      <c r="K707" t="str">
        <f>IF(ISBLANK(Table13[[#This Row],[Rating]]), "Not Rated", IF(Table13[[#This Row],[Rating]] &lt; 3, "Low", IF(Table13[[#This Row],[Rating]] &lt; 4, "Medium", "High")))</f>
        <v>High</v>
      </c>
      <c r="L707">
        <v>390</v>
      </c>
      <c r="M707">
        <v>65</v>
      </c>
      <c r="N707" t="str">
        <f>IF(Table13[[#This Row],[Price USD]]&lt;20,"Budget",IF(Table13[[#This Row],[Price USD]]&lt;=50,"Mid-range","Premium"))</f>
        <v>Premium</v>
      </c>
      <c r="O707">
        <v>0</v>
      </c>
      <c r="P707">
        <v>0</v>
      </c>
    </row>
    <row r="708" spans="1:16" x14ac:dyDescent="0.25">
      <c r="A708" t="s">
        <v>1705</v>
      </c>
      <c r="B708" t="s">
        <v>1706</v>
      </c>
      <c r="C708">
        <v>4164</v>
      </c>
      <c r="D708" t="s">
        <v>623</v>
      </c>
      <c r="E708" t="s">
        <v>13</v>
      </c>
      <c r="F708">
        <v>18246</v>
      </c>
      <c r="G7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8">
        <v>4.4962</v>
      </c>
      <c r="J708" t="str">
        <f>IF(ISBLANK(Table13[[#This Row],[Rating]]), "No", "Yes")</f>
        <v>Yes</v>
      </c>
      <c r="K708" t="str">
        <f>IF(ISBLANK(Table13[[#This Row],[Rating]]), "Not Rated", IF(Table13[[#This Row],[Rating]] &lt; 3, "Low", IF(Table13[[#This Row],[Rating]] &lt; 4, "Medium", "High")))</f>
        <v>High</v>
      </c>
      <c r="L708">
        <v>391</v>
      </c>
      <c r="M708">
        <v>44</v>
      </c>
      <c r="N708" t="str">
        <f>IF(Table13[[#This Row],[Price USD]]&lt;20,"Budget",IF(Table13[[#This Row],[Price USD]]&lt;=50,"Mid-range","Premium"))</f>
        <v>Mid-range</v>
      </c>
      <c r="O708">
        <v>0</v>
      </c>
      <c r="P708">
        <v>0</v>
      </c>
    </row>
    <row r="709" spans="1:16" x14ac:dyDescent="0.25">
      <c r="A709" t="s">
        <v>726</v>
      </c>
      <c r="B709" t="s">
        <v>727</v>
      </c>
      <c r="C709">
        <v>5972</v>
      </c>
      <c r="D709" t="s">
        <v>54</v>
      </c>
      <c r="E709" t="s">
        <v>149</v>
      </c>
      <c r="F709">
        <v>49318</v>
      </c>
      <c r="G7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09">
        <v>3.6735000000000002</v>
      </c>
      <c r="J709" t="str">
        <f>IF(ISBLANK(Table13[[#This Row],[Rating]]), "No", "Yes")</f>
        <v>Yes</v>
      </c>
      <c r="K709" t="str">
        <f>IF(ISBLANK(Table13[[#This Row],[Rating]]), "Not Rated", IF(Table13[[#This Row],[Rating]] &lt; 3, "Low", IF(Table13[[#This Row],[Rating]] &lt; 4, "Medium", "High")))</f>
        <v>Medium</v>
      </c>
      <c r="L709">
        <v>392</v>
      </c>
      <c r="M709">
        <v>36</v>
      </c>
      <c r="N709" t="str">
        <f>IF(Table13[[#This Row],[Price USD]]&lt;20,"Budget",IF(Table13[[#This Row],[Price USD]]&lt;=50,"Mid-range","Premium"))</f>
        <v>Mid-range</v>
      </c>
      <c r="O709">
        <v>0</v>
      </c>
      <c r="P709">
        <v>0</v>
      </c>
    </row>
    <row r="710" spans="1:16" x14ac:dyDescent="0.25">
      <c r="A710" t="s">
        <v>1897</v>
      </c>
      <c r="B710" t="s">
        <v>1898</v>
      </c>
      <c r="C710">
        <v>5337</v>
      </c>
      <c r="D710" t="s">
        <v>209</v>
      </c>
      <c r="E710" t="s">
        <v>149</v>
      </c>
      <c r="F710">
        <v>15783</v>
      </c>
      <c r="G7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0">
        <v>3.5878000000000001</v>
      </c>
      <c r="J710" t="str">
        <f>IF(ISBLANK(Table13[[#This Row],[Rating]]), "No", "Yes")</f>
        <v>Yes</v>
      </c>
      <c r="K710" t="str">
        <f>IF(ISBLANK(Table13[[#This Row],[Rating]]), "Not Rated", IF(Table13[[#This Row],[Rating]] &lt; 3, "Low", IF(Table13[[#This Row],[Rating]] &lt; 4, "Medium", "High")))</f>
        <v>Medium</v>
      </c>
      <c r="L710">
        <v>393</v>
      </c>
      <c r="M710">
        <v>65</v>
      </c>
      <c r="N710" t="str">
        <f>IF(Table13[[#This Row],[Price USD]]&lt;20,"Budget",IF(Table13[[#This Row],[Price USD]]&lt;=50,"Mid-range","Premium"))</f>
        <v>Premium</v>
      </c>
      <c r="O710">
        <v>0</v>
      </c>
      <c r="P710">
        <v>0</v>
      </c>
    </row>
    <row r="711" spans="1:16" x14ac:dyDescent="0.25">
      <c r="A711" t="s">
        <v>1798</v>
      </c>
      <c r="B711" t="s">
        <v>1799</v>
      </c>
      <c r="C711">
        <v>1741</v>
      </c>
      <c r="D711" t="s">
        <v>388</v>
      </c>
      <c r="E711" t="s">
        <v>13</v>
      </c>
      <c r="F711">
        <v>17120</v>
      </c>
      <c r="G7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1">
        <v>4.4416000000000002</v>
      </c>
      <c r="J711" t="str">
        <f>IF(ISBLANK(Table13[[#This Row],[Rating]]), "No", "Yes")</f>
        <v>Yes</v>
      </c>
      <c r="K711" t="str">
        <f>IF(ISBLANK(Table13[[#This Row],[Rating]]), "Not Rated", IF(Table13[[#This Row],[Rating]] &lt; 3, "Low", IF(Table13[[#This Row],[Rating]] &lt; 4, "Medium", "High")))</f>
        <v>High</v>
      </c>
      <c r="L711">
        <v>394</v>
      </c>
      <c r="M711">
        <v>34</v>
      </c>
      <c r="N711" t="str">
        <f>IF(Table13[[#This Row],[Price USD]]&lt;20,"Budget",IF(Table13[[#This Row],[Price USD]]&lt;=50,"Mid-range","Premium"))</f>
        <v>Mid-range</v>
      </c>
      <c r="O711">
        <v>0</v>
      </c>
      <c r="P711">
        <v>0</v>
      </c>
    </row>
    <row r="712" spans="1:16" x14ac:dyDescent="0.25">
      <c r="A712" t="s">
        <v>1404</v>
      </c>
      <c r="B712" t="s">
        <v>1405</v>
      </c>
      <c r="C712">
        <v>8008</v>
      </c>
      <c r="D712" t="s">
        <v>105</v>
      </c>
      <c r="E712" t="s">
        <v>106</v>
      </c>
      <c r="F712">
        <v>23933</v>
      </c>
      <c r="G7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2">
        <v>3.4289000000000001</v>
      </c>
      <c r="J712" t="str">
        <f>IF(ISBLANK(Table13[[#This Row],[Rating]]), "No", "Yes")</f>
        <v>Yes</v>
      </c>
      <c r="K712" t="str">
        <f>IF(ISBLANK(Table13[[#This Row],[Rating]]), "Not Rated", IF(Table13[[#This Row],[Rating]] &lt; 3, "Low", IF(Table13[[#This Row],[Rating]] &lt; 4, "Medium", "High")))</f>
        <v>Medium</v>
      </c>
      <c r="L712">
        <v>394</v>
      </c>
      <c r="M712">
        <v>32</v>
      </c>
      <c r="N712" t="str">
        <f>IF(Table13[[#This Row],[Price USD]]&lt;20,"Budget",IF(Table13[[#This Row],[Price USD]]&lt;=50,"Mid-range","Premium"))</f>
        <v>Mid-range</v>
      </c>
      <c r="O712">
        <v>0</v>
      </c>
      <c r="P712">
        <v>0</v>
      </c>
    </row>
    <row r="713" spans="1:16" x14ac:dyDescent="0.25">
      <c r="A713" t="s">
        <v>1051</v>
      </c>
      <c r="B713" t="s">
        <v>1052</v>
      </c>
      <c r="C713">
        <v>6169</v>
      </c>
      <c r="D713" t="s">
        <v>24</v>
      </c>
      <c r="E713" t="s">
        <v>21</v>
      </c>
      <c r="F713">
        <v>34503</v>
      </c>
      <c r="G7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3">
        <v>4.1878000000000002</v>
      </c>
      <c r="J713" t="str">
        <f>IF(ISBLANK(Table13[[#This Row],[Rating]]), "No", "Yes")</f>
        <v>Yes</v>
      </c>
      <c r="K713" t="str">
        <f>IF(ISBLANK(Table13[[#This Row],[Rating]]), "Not Rated", IF(Table13[[#This Row],[Rating]] &lt; 3, "Low", IF(Table13[[#This Row],[Rating]] &lt; 4, "Medium", "High")))</f>
        <v>High</v>
      </c>
      <c r="L713">
        <v>394</v>
      </c>
      <c r="M713">
        <v>42</v>
      </c>
      <c r="N713" t="str">
        <f>IF(Table13[[#This Row],[Price USD]]&lt;20,"Budget",IF(Table13[[#This Row],[Price USD]]&lt;=50,"Mid-range","Premium"))</f>
        <v>Mid-range</v>
      </c>
      <c r="O713">
        <v>0</v>
      </c>
      <c r="P713">
        <v>0</v>
      </c>
    </row>
    <row r="714" spans="1:16" x14ac:dyDescent="0.25">
      <c r="A714" t="s">
        <v>1582</v>
      </c>
      <c r="B714" t="s">
        <v>1583</v>
      </c>
      <c r="C714">
        <v>5987</v>
      </c>
      <c r="D714" t="s">
        <v>48</v>
      </c>
      <c r="E714" t="s">
        <v>144</v>
      </c>
      <c r="F714">
        <v>20710</v>
      </c>
      <c r="G7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4">
        <v>3.9470000000000001</v>
      </c>
      <c r="J714" t="str">
        <f>IF(ISBLANK(Table13[[#This Row],[Rating]]), "No", "Yes")</f>
        <v>Yes</v>
      </c>
      <c r="K714" t="str">
        <f>IF(ISBLANK(Table13[[#This Row],[Rating]]), "Not Rated", IF(Table13[[#This Row],[Rating]] &lt; 3, "Low", IF(Table13[[#This Row],[Rating]] &lt; 4, "Medium", "High")))</f>
        <v>Medium</v>
      </c>
      <c r="L714">
        <v>396</v>
      </c>
      <c r="M714">
        <v>15</v>
      </c>
      <c r="N714" t="str">
        <f>IF(Table13[[#This Row],[Price USD]]&lt;20,"Budget",IF(Table13[[#This Row],[Price USD]]&lt;=50,"Mid-range","Premium"))</f>
        <v>Budget</v>
      </c>
      <c r="O714">
        <v>0</v>
      </c>
      <c r="P714">
        <v>0</v>
      </c>
    </row>
    <row r="715" spans="1:16" x14ac:dyDescent="0.25">
      <c r="A715" t="s">
        <v>856</v>
      </c>
      <c r="B715" t="s">
        <v>857</v>
      </c>
      <c r="C715">
        <v>5987</v>
      </c>
      <c r="D715" t="s">
        <v>48</v>
      </c>
      <c r="E715" t="s">
        <v>49</v>
      </c>
      <c r="F715">
        <v>42598</v>
      </c>
      <c r="G7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5">
        <v>3.9470000000000001</v>
      </c>
      <c r="J715" t="str">
        <f>IF(ISBLANK(Table13[[#This Row],[Rating]]), "No", "Yes")</f>
        <v>Yes</v>
      </c>
      <c r="K715" t="str">
        <f>IF(ISBLANK(Table13[[#This Row],[Rating]]), "Not Rated", IF(Table13[[#This Row],[Rating]] &lt; 3, "Low", IF(Table13[[#This Row],[Rating]] &lt; 4, "Medium", "High")))</f>
        <v>Medium</v>
      </c>
      <c r="L715">
        <v>396</v>
      </c>
      <c r="M715">
        <v>38</v>
      </c>
      <c r="N715" t="str">
        <f>IF(Table13[[#This Row],[Price USD]]&lt;20,"Budget",IF(Table13[[#This Row],[Price USD]]&lt;=50,"Mid-range","Premium"))</f>
        <v>Mid-range</v>
      </c>
      <c r="O715">
        <v>0</v>
      </c>
      <c r="P715">
        <v>0</v>
      </c>
    </row>
    <row r="716" spans="1:16" x14ac:dyDescent="0.25">
      <c r="A716" t="s">
        <v>1972</v>
      </c>
      <c r="B716" t="s">
        <v>1973</v>
      </c>
      <c r="C716">
        <v>2082</v>
      </c>
      <c r="D716" t="s">
        <v>594</v>
      </c>
      <c r="E716" t="s">
        <v>149</v>
      </c>
      <c r="F716">
        <v>15015</v>
      </c>
      <c r="G7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6">
        <v>4.5945</v>
      </c>
      <c r="J716" t="str">
        <f>IF(ISBLANK(Table13[[#This Row],[Rating]]), "No", "Yes")</f>
        <v>Yes</v>
      </c>
      <c r="K716" t="str">
        <f>IF(ISBLANK(Table13[[#This Row],[Rating]]), "Not Rated", IF(Table13[[#This Row],[Rating]] &lt; 3, "Low", IF(Table13[[#This Row],[Rating]] &lt; 4, "Medium", "High")))</f>
        <v>High</v>
      </c>
      <c r="L716">
        <v>397</v>
      </c>
      <c r="M716">
        <v>90</v>
      </c>
      <c r="N716" t="str">
        <f>IF(Table13[[#This Row],[Price USD]]&lt;20,"Budget",IF(Table13[[#This Row],[Price USD]]&lt;=50,"Mid-range","Premium"))</f>
        <v>Premium</v>
      </c>
      <c r="O716">
        <v>0</v>
      </c>
      <c r="P716">
        <v>0</v>
      </c>
    </row>
    <row r="717" spans="1:16" x14ac:dyDescent="0.25">
      <c r="A717" t="s">
        <v>2256</v>
      </c>
      <c r="B717" t="s">
        <v>2257</v>
      </c>
      <c r="C717">
        <v>6373</v>
      </c>
      <c r="D717" t="s">
        <v>1652</v>
      </c>
      <c r="E717" t="s">
        <v>21</v>
      </c>
      <c r="F717">
        <v>12166</v>
      </c>
      <c r="G7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7">
        <v>4.1883999999999997</v>
      </c>
      <c r="J717" t="str">
        <f>IF(ISBLANK(Table13[[#This Row],[Rating]]), "No", "Yes")</f>
        <v>Yes</v>
      </c>
      <c r="K717" t="str">
        <f>IF(ISBLANK(Table13[[#This Row],[Rating]]), "Not Rated", IF(Table13[[#This Row],[Rating]] &lt; 3, "Low", IF(Table13[[#This Row],[Rating]] &lt; 4, "Medium", "High")))</f>
        <v>High</v>
      </c>
      <c r="L717">
        <v>398</v>
      </c>
      <c r="M717">
        <v>54</v>
      </c>
      <c r="N717" t="str">
        <f>IF(Table13[[#This Row],[Price USD]]&lt;20,"Budget",IF(Table13[[#This Row],[Price USD]]&lt;=50,"Mid-range","Premium"))</f>
        <v>Premium</v>
      </c>
      <c r="O717">
        <v>0</v>
      </c>
      <c r="P717">
        <v>0</v>
      </c>
    </row>
    <row r="718" spans="1:16" x14ac:dyDescent="0.25">
      <c r="A718" t="s">
        <v>1348</v>
      </c>
      <c r="B718" t="s">
        <v>1349</v>
      </c>
      <c r="C718">
        <v>6207</v>
      </c>
      <c r="D718" t="s">
        <v>914</v>
      </c>
      <c r="E718" t="s">
        <v>149</v>
      </c>
      <c r="F718">
        <v>24957</v>
      </c>
      <c r="G7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8">
        <v>3.7915000000000001</v>
      </c>
      <c r="J718" t="str">
        <f>IF(ISBLANK(Table13[[#This Row],[Rating]]), "No", "Yes")</f>
        <v>Yes</v>
      </c>
      <c r="K718" t="str">
        <f>IF(ISBLANK(Table13[[#This Row],[Rating]]), "Not Rated", IF(Table13[[#This Row],[Rating]] &lt; 3, "Low", IF(Table13[[#This Row],[Rating]] &lt; 4, "Medium", "High")))</f>
        <v>Medium</v>
      </c>
      <c r="L718">
        <v>398</v>
      </c>
      <c r="M718">
        <v>42</v>
      </c>
      <c r="N718" t="str">
        <f>IF(Table13[[#This Row],[Price USD]]&lt;20,"Budget",IF(Table13[[#This Row],[Price USD]]&lt;=50,"Mid-range","Premium"))</f>
        <v>Mid-range</v>
      </c>
      <c r="O718">
        <v>0</v>
      </c>
      <c r="P718">
        <v>0</v>
      </c>
    </row>
    <row r="719" spans="1:16" x14ac:dyDescent="0.25">
      <c r="A719" t="s">
        <v>1067</v>
      </c>
      <c r="B719" t="s">
        <v>1068</v>
      </c>
      <c r="C719">
        <v>5626</v>
      </c>
      <c r="D719" t="s">
        <v>1069</v>
      </c>
      <c r="E719" t="s">
        <v>106</v>
      </c>
      <c r="F719">
        <v>33699</v>
      </c>
      <c r="G7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19">
        <v>3.88</v>
      </c>
      <c r="J719" t="str">
        <f>IF(ISBLANK(Table13[[#This Row],[Rating]]), "No", "Yes")</f>
        <v>Yes</v>
      </c>
      <c r="K719" t="str">
        <f>IF(ISBLANK(Table13[[#This Row],[Rating]]), "Not Rated", IF(Table13[[#This Row],[Rating]] &lt; 3, "Low", IF(Table13[[#This Row],[Rating]] &lt; 4, "Medium", "High")))</f>
        <v>Medium</v>
      </c>
      <c r="L719">
        <v>400</v>
      </c>
      <c r="M719">
        <v>33</v>
      </c>
      <c r="N719" t="str">
        <f>IF(Table13[[#This Row],[Price USD]]&lt;20,"Budget",IF(Table13[[#This Row],[Price USD]]&lt;=50,"Mid-range","Premium"))</f>
        <v>Mid-range</v>
      </c>
      <c r="O719">
        <v>0</v>
      </c>
      <c r="P719">
        <v>0</v>
      </c>
    </row>
    <row r="720" spans="1:16" x14ac:dyDescent="0.25">
      <c r="A720" t="s">
        <v>1570</v>
      </c>
      <c r="B720" t="s">
        <v>1571</v>
      </c>
      <c r="C720">
        <v>5671</v>
      </c>
      <c r="D720" t="s">
        <v>393</v>
      </c>
      <c r="E720" t="s">
        <v>4</v>
      </c>
      <c r="F720">
        <v>20830</v>
      </c>
      <c r="G7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0">
        <v>4.0998000000000001</v>
      </c>
      <c r="J720" t="str">
        <f>IF(ISBLANK(Table13[[#This Row],[Rating]]), "No", "Yes")</f>
        <v>Yes</v>
      </c>
      <c r="K720" t="str">
        <f>IF(ISBLANK(Table13[[#This Row],[Rating]]), "Not Rated", IF(Table13[[#This Row],[Rating]] &lt; 3, "Low", IF(Table13[[#This Row],[Rating]] &lt; 4, "Medium", "High")))</f>
        <v>High</v>
      </c>
      <c r="L720">
        <v>401</v>
      </c>
      <c r="M720">
        <v>7</v>
      </c>
      <c r="N720" t="str">
        <f>IF(Table13[[#This Row],[Price USD]]&lt;20,"Budget",IF(Table13[[#This Row],[Price USD]]&lt;=50,"Mid-range","Premium"))</f>
        <v>Budget</v>
      </c>
      <c r="O720">
        <v>0</v>
      </c>
      <c r="P720">
        <v>0</v>
      </c>
    </row>
    <row r="721" spans="1:16" x14ac:dyDescent="0.25">
      <c r="A721" t="s">
        <v>1122</v>
      </c>
      <c r="B721" t="s">
        <v>1123</v>
      </c>
      <c r="C721">
        <v>7050</v>
      </c>
      <c r="D721" t="s">
        <v>721</v>
      </c>
      <c r="E721" t="s">
        <v>201</v>
      </c>
      <c r="F721">
        <v>31935</v>
      </c>
      <c r="G7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1">
        <v>4.2643000000000004</v>
      </c>
      <c r="J721" t="str">
        <f>IF(ISBLANK(Table13[[#This Row],[Rating]]), "No", "Yes")</f>
        <v>Yes</v>
      </c>
      <c r="K721" t="str">
        <f>IF(ISBLANK(Table13[[#This Row],[Rating]]), "Not Rated", IF(Table13[[#This Row],[Rating]] &lt; 3, "Low", IF(Table13[[#This Row],[Rating]] &lt; 4, "Medium", "High")))</f>
        <v>High</v>
      </c>
      <c r="L721">
        <v>401</v>
      </c>
      <c r="M721">
        <v>26</v>
      </c>
      <c r="N721" t="str">
        <f>IF(Table13[[#This Row],[Price USD]]&lt;20,"Budget",IF(Table13[[#This Row],[Price USD]]&lt;=50,"Mid-range","Premium"))</f>
        <v>Mid-range</v>
      </c>
      <c r="O721">
        <v>0</v>
      </c>
      <c r="P721">
        <v>0</v>
      </c>
    </row>
    <row r="722" spans="1:16" x14ac:dyDescent="0.25">
      <c r="A722" t="s">
        <v>2456</v>
      </c>
      <c r="B722" t="s">
        <v>2457</v>
      </c>
      <c r="C722">
        <v>5626</v>
      </c>
      <c r="D722" t="s">
        <v>1069</v>
      </c>
      <c r="E722" t="s">
        <v>106</v>
      </c>
      <c r="F722">
        <v>10541</v>
      </c>
      <c r="G7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2">
        <v>4.3905000000000003</v>
      </c>
      <c r="J722" t="str">
        <f>IF(ISBLANK(Table13[[#This Row],[Rating]]), "No", "Yes")</f>
        <v>Yes</v>
      </c>
      <c r="K722" t="str">
        <f>IF(ISBLANK(Table13[[#This Row],[Rating]]), "Not Rated", IF(Table13[[#This Row],[Rating]] &lt; 3, "Low", IF(Table13[[#This Row],[Rating]] &lt; 4, "Medium", "High")))</f>
        <v>High</v>
      </c>
      <c r="L722">
        <v>402</v>
      </c>
      <c r="M722">
        <v>45</v>
      </c>
      <c r="N722" t="str">
        <f>IF(Table13[[#This Row],[Price USD]]&lt;20,"Budget",IF(Table13[[#This Row],[Price USD]]&lt;=50,"Mid-range","Premium"))</f>
        <v>Mid-range</v>
      </c>
      <c r="O722">
        <v>0</v>
      </c>
      <c r="P722">
        <v>0</v>
      </c>
    </row>
    <row r="723" spans="1:16" x14ac:dyDescent="0.25">
      <c r="A723" t="s">
        <v>2422</v>
      </c>
      <c r="B723" t="s">
        <v>2423</v>
      </c>
      <c r="C723">
        <v>3733</v>
      </c>
      <c r="D723" t="s">
        <v>124</v>
      </c>
      <c r="E723" t="s">
        <v>21</v>
      </c>
      <c r="F723">
        <v>10847</v>
      </c>
      <c r="G7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3">
        <v>4.3357999999999999</v>
      </c>
      <c r="J723" t="str">
        <f>IF(ISBLANK(Table13[[#This Row],[Rating]]), "No", "Yes")</f>
        <v>Yes</v>
      </c>
      <c r="K723" t="str">
        <f>IF(ISBLANK(Table13[[#This Row],[Rating]]), "Not Rated", IF(Table13[[#This Row],[Rating]] &lt; 3, "Low", IF(Table13[[#This Row],[Rating]] &lt; 4, "Medium", "High")))</f>
        <v>High</v>
      </c>
      <c r="L723">
        <v>402</v>
      </c>
      <c r="M723">
        <v>52</v>
      </c>
      <c r="N723" t="str">
        <f>IF(Table13[[#This Row],[Price USD]]&lt;20,"Budget",IF(Table13[[#This Row],[Price USD]]&lt;=50,"Mid-range","Premium"))</f>
        <v>Premium</v>
      </c>
      <c r="O723">
        <v>0</v>
      </c>
      <c r="P723">
        <v>0</v>
      </c>
    </row>
    <row r="724" spans="1:16" x14ac:dyDescent="0.25">
      <c r="A724" t="s">
        <v>1536</v>
      </c>
      <c r="B724" t="s">
        <v>1537</v>
      </c>
      <c r="C724">
        <v>5644</v>
      </c>
      <c r="D724" t="s">
        <v>158</v>
      </c>
      <c r="E724" t="s">
        <v>149</v>
      </c>
      <c r="F724">
        <v>21441</v>
      </c>
      <c r="G7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4">
        <v>4.0990000000000002</v>
      </c>
      <c r="J724" t="str">
        <f>IF(ISBLANK(Table13[[#This Row],[Rating]]), "No", "Yes")</f>
        <v>Yes</v>
      </c>
      <c r="K724" t="str">
        <f>IF(ISBLANK(Table13[[#This Row],[Rating]]), "Not Rated", IF(Table13[[#This Row],[Rating]] &lt; 3, "Low", IF(Table13[[#This Row],[Rating]] &lt; 4, "Medium", "High")))</f>
        <v>High</v>
      </c>
      <c r="L724">
        <v>404</v>
      </c>
      <c r="M724">
        <v>58</v>
      </c>
      <c r="N724" t="str">
        <f>IF(Table13[[#This Row],[Price USD]]&lt;20,"Budget",IF(Table13[[#This Row],[Price USD]]&lt;=50,"Mid-range","Premium"))</f>
        <v>Premium</v>
      </c>
      <c r="O724">
        <v>0</v>
      </c>
      <c r="P724">
        <v>0</v>
      </c>
    </row>
    <row r="725" spans="1:16" x14ac:dyDescent="0.25">
      <c r="A725" t="s">
        <v>1183</v>
      </c>
      <c r="B725" t="s">
        <v>1184</v>
      </c>
      <c r="C725">
        <v>4171</v>
      </c>
      <c r="D725" t="s">
        <v>133</v>
      </c>
      <c r="E725" t="s">
        <v>149</v>
      </c>
      <c r="F725">
        <v>29708</v>
      </c>
      <c r="G7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5">
        <v>4.6139000000000001</v>
      </c>
      <c r="J725" t="str">
        <f>IF(ISBLANK(Table13[[#This Row],[Rating]]), "No", "Yes")</f>
        <v>Yes</v>
      </c>
      <c r="K725" t="str">
        <f>IF(ISBLANK(Table13[[#This Row],[Rating]]), "Not Rated", IF(Table13[[#This Row],[Rating]] &lt; 3, "Low", IF(Table13[[#This Row],[Rating]] &lt; 4, "Medium", "High")))</f>
        <v>High</v>
      </c>
      <c r="L725">
        <v>404</v>
      </c>
      <c r="M725">
        <v>85</v>
      </c>
      <c r="N725" t="str">
        <f>IF(Table13[[#This Row],[Price USD]]&lt;20,"Budget",IF(Table13[[#This Row],[Price USD]]&lt;=50,"Mid-range","Premium"))</f>
        <v>Premium</v>
      </c>
      <c r="O725">
        <v>0</v>
      </c>
      <c r="P725">
        <v>0</v>
      </c>
    </row>
    <row r="726" spans="1:16" x14ac:dyDescent="0.25">
      <c r="A726" t="s">
        <v>841</v>
      </c>
      <c r="B726" t="s">
        <v>842</v>
      </c>
      <c r="C726">
        <v>6226</v>
      </c>
      <c r="D726" t="s">
        <v>843</v>
      </c>
      <c r="E726" t="s">
        <v>8</v>
      </c>
      <c r="F726">
        <v>43083</v>
      </c>
      <c r="G7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6">
        <v>4.5469999999999997</v>
      </c>
      <c r="J726" t="str">
        <f>IF(ISBLANK(Table13[[#This Row],[Rating]]), "No", "Yes")</f>
        <v>Yes</v>
      </c>
      <c r="K726" t="str">
        <f>IF(ISBLANK(Table13[[#This Row],[Rating]]), "Not Rated", IF(Table13[[#This Row],[Rating]] &lt; 3, "Low", IF(Table13[[#This Row],[Rating]] &lt; 4, "Medium", "High")))</f>
        <v>High</v>
      </c>
      <c r="L726">
        <v>404</v>
      </c>
      <c r="M726">
        <v>42</v>
      </c>
      <c r="N726" t="str">
        <f>IF(Table13[[#This Row],[Price USD]]&lt;20,"Budget",IF(Table13[[#This Row],[Price USD]]&lt;=50,"Mid-range","Premium"))</f>
        <v>Mid-range</v>
      </c>
      <c r="O726">
        <v>0</v>
      </c>
      <c r="P726">
        <v>0</v>
      </c>
    </row>
    <row r="727" spans="1:16" x14ac:dyDescent="0.25">
      <c r="A727" t="s">
        <v>817</v>
      </c>
      <c r="B727" t="s">
        <v>818</v>
      </c>
      <c r="C727">
        <v>6341</v>
      </c>
      <c r="D727" t="s">
        <v>66</v>
      </c>
      <c r="E727" t="s">
        <v>49</v>
      </c>
      <c r="F727">
        <v>43866</v>
      </c>
      <c r="G7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7">
        <v>4.2690999999999999</v>
      </c>
      <c r="J727" t="str">
        <f>IF(ISBLANK(Table13[[#This Row],[Rating]]), "No", "Yes")</f>
        <v>Yes</v>
      </c>
      <c r="K727" t="str">
        <f>IF(ISBLANK(Table13[[#This Row],[Rating]]), "Not Rated", IF(Table13[[#This Row],[Rating]] &lt; 3, "Low", IF(Table13[[#This Row],[Rating]] &lt; 4, "Medium", "High")))</f>
        <v>High</v>
      </c>
      <c r="L727">
        <v>405</v>
      </c>
      <c r="M727">
        <v>37</v>
      </c>
      <c r="N727" t="str">
        <f>IF(Table13[[#This Row],[Price USD]]&lt;20,"Budget",IF(Table13[[#This Row],[Price USD]]&lt;=50,"Mid-range","Premium"))</f>
        <v>Mid-range</v>
      </c>
      <c r="O727">
        <v>0</v>
      </c>
      <c r="P727">
        <v>0</v>
      </c>
    </row>
    <row r="728" spans="1:16" x14ac:dyDescent="0.25">
      <c r="A728" t="s">
        <v>2306</v>
      </c>
      <c r="B728" t="s">
        <v>2307</v>
      </c>
      <c r="C728">
        <v>6373</v>
      </c>
      <c r="D728" t="s">
        <v>1652</v>
      </c>
      <c r="E728" t="s">
        <v>13</v>
      </c>
      <c r="F728">
        <v>11798</v>
      </c>
      <c r="G7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8">
        <v>3.9064000000000001</v>
      </c>
      <c r="J728" t="str">
        <f>IF(ISBLANK(Table13[[#This Row],[Rating]]), "No", "Yes")</f>
        <v>Yes</v>
      </c>
      <c r="K728" t="str">
        <f>IF(ISBLANK(Table13[[#This Row],[Rating]]), "Not Rated", IF(Table13[[#This Row],[Rating]] &lt; 3, "Low", IF(Table13[[#This Row],[Rating]] &lt; 4, "Medium", "High")))</f>
        <v>Medium</v>
      </c>
      <c r="L728">
        <v>406</v>
      </c>
      <c r="M728">
        <v>34</v>
      </c>
      <c r="N728" t="str">
        <f>IF(Table13[[#This Row],[Price USD]]&lt;20,"Budget",IF(Table13[[#This Row],[Price USD]]&lt;=50,"Mid-range","Premium"))</f>
        <v>Mid-range</v>
      </c>
      <c r="O728">
        <v>0</v>
      </c>
      <c r="P728">
        <v>0</v>
      </c>
    </row>
    <row r="729" spans="1:16" x14ac:dyDescent="0.25">
      <c r="A729" t="s">
        <v>1420</v>
      </c>
      <c r="B729" t="s">
        <v>1421</v>
      </c>
      <c r="C729">
        <v>6307</v>
      </c>
      <c r="D729" t="s">
        <v>1132</v>
      </c>
      <c r="E729" t="s">
        <v>144</v>
      </c>
      <c r="F729">
        <v>23559</v>
      </c>
      <c r="G7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29">
        <v>4.4531999999999998</v>
      </c>
      <c r="J729" t="str">
        <f>IF(ISBLANK(Table13[[#This Row],[Rating]]), "No", "Yes")</f>
        <v>Yes</v>
      </c>
      <c r="K729" t="str">
        <f>IF(ISBLANK(Table13[[#This Row],[Rating]]), "Not Rated", IF(Table13[[#This Row],[Rating]] &lt; 3, "Low", IF(Table13[[#This Row],[Rating]] &lt; 4, "Medium", "High")))</f>
        <v>High</v>
      </c>
      <c r="L729">
        <v>406</v>
      </c>
      <c r="M729">
        <v>13</v>
      </c>
      <c r="N729" t="str">
        <f>IF(Table13[[#This Row],[Price USD]]&lt;20,"Budget",IF(Table13[[#This Row],[Price USD]]&lt;=50,"Mid-range","Premium"))</f>
        <v>Budget</v>
      </c>
      <c r="O729">
        <v>0</v>
      </c>
      <c r="P729">
        <v>0</v>
      </c>
    </row>
    <row r="730" spans="1:16" x14ac:dyDescent="0.25">
      <c r="A730" t="s">
        <v>1130</v>
      </c>
      <c r="B730" t="s">
        <v>1131</v>
      </c>
      <c r="C730">
        <v>6307</v>
      </c>
      <c r="D730" t="s">
        <v>1132</v>
      </c>
      <c r="E730" t="s">
        <v>13</v>
      </c>
      <c r="F730">
        <v>31523</v>
      </c>
      <c r="G7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0">
        <v>4.4531999999999998</v>
      </c>
      <c r="J730" t="str">
        <f>IF(ISBLANK(Table13[[#This Row],[Rating]]), "No", "Yes")</f>
        <v>Yes</v>
      </c>
      <c r="K730" t="str">
        <f>IF(ISBLANK(Table13[[#This Row],[Rating]]), "Not Rated", IF(Table13[[#This Row],[Rating]] &lt; 3, "Low", IF(Table13[[#This Row],[Rating]] &lt; 4, "Medium", "High")))</f>
        <v>High</v>
      </c>
      <c r="L730">
        <v>406</v>
      </c>
      <c r="M730">
        <v>40</v>
      </c>
      <c r="N730" t="str">
        <f>IF(Table13[[#This Row],[Price USD]]&lt;20,"Budget",IF(Table13[[#This Row],[Price USD]]&lt;=50,"Mid-range","Premium"))</f>
        <v>Mid-range</v>
      </c>
      <c r="O730">
        <v>0</v>
      </c>
      <c r="P730">
        <v>0</v>
      </c>
    </row>
    <row r="731" spans="1:16" x14ac:dyDescent="0.25">
      <c r="A731" t="s">
        <v>1875</v>
      </c>
      <c r="B731" t="s">
        <v>1876</v>
      </c>
      <c r="C731">
        <v>6207</v>
      </c>
      <c r="D731" t="s">
        <v>914</v>
      </c>
      <c r="E731" t="s">
        <v>149</v>
      </c>
      <c r="F731">
        <v>16219</v>
      </c>
      <c r="G7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1">
        <v>4.6224999999999996</v>
      </c>
      <c r="J731" t="str">
        <f>IF(ISBLANK(Table13[[#This Row],[Rating]]), "No", "Yes")</f>
        <v>Yes</v>
      </c>
      <c r="K731" t="str">
        <f>IF(ISBLANK(Table13[[#This Row],[Rating]]), "Not Rated", IF(Table13[[#This Row],[Rating]] &lt; 3, "Low", IF(Table13[[#This Row],[Rating]] &lt; 4, "Medium", "High")))</f>
        <v>High</v>
      </c>
      <c r="L731">
        <v>408</v>
      </c>
      <c r="M731">
        <v>58</v>
      </c>
      <c r="N731" t="str">
        <f>IF(Table13[[#This Row],[Price USD]]&lt;20,"Budget",IF(Table13[[#This Row],[Price USD]]&lt;=50,"Mid-range","Premium"))</f>
        <v>Premium</v>
      </c>
      <c r="O731">
        <v>0</v>
      </c>
      <c r="P731">
        <v>0</v>
      </c>
    </row>
    <row r="732" spans="1:16" x14ac:dyDescent="0.25">
      <c r="A732" t="s">
        <v>2099</v>
      </c>
      <c r="B732" t="s">
        <v>2100</v>
      </c>
      <c r="C732">
        <v>6295</v>
      </c>
      <c r="D732" t="s">
        <v>184</v>
      </c>
      <c r="E732" t="s">
        <v>21</v>
      </c>
      <c r="F732">
        <v>13619</v>
      </c>
      <c r="G7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2">
        <v>4.7298999999999998</v>
      </c>
      <c r="J732" t="str">
        <f>IF(ISBLANK(Table13[[#This Row],[Rating]]), "No", "Yes")</f>
        <v>Yes</v>
      </c>
      <c r="K732" t="str">
        <f>IF(ISBLANK(Table13[[#This Row],[Rating]]), "Not Rated", IF(Table13[[#This Row],[Rating]] &lt; 3, "Low", IF(Table13[[#This Row],[Rating]] &lt; 4, "Medium", "High")))</f>
        <v>High</v>
      </c>
      <c r="L732">
        <v>411</v>
      </c>
      <c r="M732">
        <v>29</v>
      </c>
      <c r="N732" t="str">
        <f>IF(Table13[[#This Row],[Price USD]]&lt;20,"Budget",IF(Table13[[#This Row],[Price USD]]&lt;=50,"Mid-range","Premium"))</f>
        <v>Mid-range</v>
      </c>
      <c r="O732">
        <v>0</v>
      </c>
      <c r="P732">
        <v>0</v>
      </c>
    </row>
    <row r="733" spans="1:16" x14ac:dyDescent="0.25">
      <c r="A733" t="s">
        <v>1918</v>
      </c>
      <c r="B733" t="s">
        <v>1919</v>
      </c>
      <c r="C733">
        <v>6175</v>
      </c>
      <c r="D733" t="s">
        <v>338</v>
      </c>
      <c r="E733" t="s">
        <v>21</v>
      </c>
      <c r="F733">
        <v>15582</v>
      </c>
      <c r="G7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3">
        <v>4.4599000000000002</v>
      </c>
      <c r="J733" t="str">
        <f>IF(ISBLANK(Table13[[#This Row],[Rating]]), "No", "Yes")</f>
        <v>Yes</v>
      </c>
      <c r="K733" t="str">
        <f>IF(ISBLANK(Table13[[#This Row],[Rating]]), "Not Rated", IF(Table13[[#This Row],[Rating]] &lt; 3, "Low", IF(Table13[[#This Row],[Rating]] &lt; 4, "Medium", "High")))</f>
        <v>High</v>
      </c>
      <c r="L733">
        <v>411</v>
      </c>
      <c r="M733">
        <v>58</v>
      </c>
      <c r="N733" t="str">
        <f>IF(Table13[[#This Row],[Price USD]]&lt;20,"Budget",IF(Table13[[#This Row],[Price USD]]&lt;=50,"Mid-range","Premium"))</f>
        <v>Premium</v>
      </c>
      <c r="O733">
        <v>0</v>
      </c>
      <c r="P733">
        <v>0</v>
      </c>
    </row>
    <row r="734" spans="1:16" x14ac:dyDescent="0.25">
      <c r="A734" t="s">
        <v>1370</v>
      </c>
      <c r="B734" t="s">
        <v>1371</v>
      </c>
      <c r="C734">
        <v>6175</v>
      </c>
      <c r="D734" t="s">
        <v>338</v>
      </c>
      <c r="E734" t="s">
        <v>13</v>
      </c>
      <c r="F734">
        <v>24647</v>
      </c>
      <c r="G7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4">
        <v>4.4757999999999996</v>
      </c>
      <c r="J734" t="str">
        <f>IF(ISBLANK(Table13[[#This Row],[Rating]]), "No", "Yes")</f>
        <v>Yes</v>
      </c>
      <c r="K734" t="str">
        <f>IF(ISBLANK(Table13[[#This Row],[Rating]]), "Not Rated", IF(Table13[[#This Row],[Rating]] &lt; 3, "Low", IF(Table13[[#This Row],[Rating]] &lt; 4, "Medium", "High")))</f>
        <v>High</v>
      </c>
      <c r="L734">
        <v>414</v>
      </c>
      <c r="M734">
        <v>29</v>
      </c>
      <c r="N734" t="str">
        <f>IF(Table13[[#This Row],[Price USD]]&lt;20,"Budget",IF(Table13[[#This Row],[Price USD]]&lt;=50,"Mid-range","Premium"))</f>
        <v>Mid-range</v>
      </c>
      <c r="O734">
        <v>0</v>
      </c>
      <c r="P734">
        <v>0</v>
      </c>
    </row>
    <row r="735" spans="1:16" x14ac:dyDescent="0.25">
      <c r="A735" t="s">
        <v>1200</v>
      </c>
      <c r="B735" t="s">
        <v>1201</v>
      </c>
      <c r="C735">
        <v>5946</v>
      </c>
      <c r="D735" t="s">
        <v>341</v>
      </c>
      <c r="E735" t="s">
        <v>8</v>
      </c>
      <c r="F735">
        <v>29199</v>
      </c>
      <c r="G7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5">
        <v>4.0530999999999997</v>
      </c>
      <c r="J735" t="str">
        <f>IF(ISBLANK(Table13[[#This Row],[Rating]]), "No", "Yes")</f>
        <v>Yes</v>
      </c>
      <c r="K735" t="str">
        <f>IF(ISBLANK(Table13[[#This Row],[Rating]]), "Not Rated", IF(Table13[[#This Row],[Rating]] &lt; 3, "Low", IF(Table13[[#This Row],[Rating]] &lt; 4, "Medium", "High")))</f>
        <v>High</v>
      </c>
      <c r="L735">
        <v>414</v>
      </c>
      <c r="M735">
        <v>56</v>
      </c>
      <c r="N735" t="str">
        <f>IF(Table13[[#This Row],[Price USD]]&lt;20,"Budget",IF(Table13[[#This Row],[Price USD]]&lt;=50,"Mid-range","Premium"))</f>
        <v>Premium</v>
      </c>
      <c r="O735">
        <v>0</v>
      </c>
      <c r="P735">
        <v>0</v>
      </c>
    </row>
    <row r="736" spans="1:16" x14ac:dyDescent="0.25">
      <c r="A736" t="s">
        <v>1546</v>
      </c>
      <c r="B736" t="s">
        <v>1547</v>
      </c>
      <c r="C736">
        <v>6219</v>
      </c>
      <c r="D736" t="s">
        <v>277</v>
      </c>
      <c r="E736" t="s">
        <v>220</v>
      </c>
      <c r="F736">
        <v>21230</v>
      </c>
      <c r="G7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6">
        <v>4.6265000000000001</v>
      </c>
      <c r="J736" t="str">
        <f>IF(ISBLANK(Table13[[#This Row],[Rating]]), "No", "Yes")</f>
        <v>Yes</v>
      </c>
      <c r="K736" t="str">
        <f>IF(ISBLANK(Table13[[#This Row],[Rating]]), "Not Rated", IF(Table13[[#This Row],[Rating]] &lt; 3, "Low", IF(Table13[[#This Row],[Rating]] &lt; 4, "Medium", "High")))</f>
        <v>High</v>
      </c>
      <c r="L736">
        <v>415</v>
      </c>
      <c r="M736">
        <v>39.5</v>
      </c>
      <c r="N736" t="str">
        <f>IF(Table13[[#This Row],[Price USD]]&lt;20,"Budget",IF(Table13[[#This Row],[Price USD]]&lt;=50,"Mid-range","Premium"))</f>
        <v>Mid-range</v>
      </c>
      <c r="O736">
        <v>0</v>
      </c>
      <c r="P736">
        <v>0</v>
      </c>
    </row>
    <row r="737" spans="1:16" x14ac:dyDescent="0.25">
      <c r="A737" t="s">
        <v>2131</v>
      </c>
      <c r="B737" t="s">
        <v>2132</v>
      </c>
      <c r="C737">
        <v>5857</v>
      </c>
      <c r="D737" t="s">
        <v>433</v>
      </c>
      <c r="E737" t="s">
        <v>49</v>
      </c>
      <c r="F737">
        <v>13299</v>
      </c>
      <c r="G7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7">
        <v>3.3557999999999999</v>
      </c>
      <c r="J737" t="str">
        <f>IF(ISBLANK(Table13[[#This Row],[Rating]]), "No", "Yes")</f>
        <v>Yes</v>
      </c>
      <c r="K737" t="str">
        <f>IF(ISBLANK(Table13[[#This Row],[Rating]]), "Not Rated", IF(Table13[[#This Row],[Rating]] &lt; 3, "Low", IF(Table13[[#This Row],[Rating]] &lt; 4, "Medium", "High")))</f>
        <v>Medium</v>
      </c>
      <c r="L737">
        <v>416</v>
      </c>
      <c r="M737">
        <v>40</v>
      </c>
      <c r="N737" t="str">
        <f>IF(Table13[[#This Row],[Price USD]]&lt;20,"Budget",IF(Table13[[#This Row],[Price USD]]&lt;=50,"Mid-range","Premium"))</f>
        <v>Mid-range</v>
      </c>
      <c r="O737">
        <v>0</v>
      </c>
      <c r="P737">
        <v>0</v>
      </c>
    </row>
    <row r="738" spans="1:16" x14ac:dyDescent="0.25">
      <c r="A738" t="s">
        <v>1859</v>
      </c>
      <c r="B738" t="s">
        <v>1860</v>
      </c>
      <c r="C738">
        <v>6014</v>
      </c>
      <c r="D738" t="s">
        <v>102</v>
      </c>
      <c r="E738" t="s">
        <v>21</v>
      </c>
      <c r="F738">
        <v>16300</v>
      </c>
      <c r="G7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8">
        <v>4.6090999999999998</v>
      </c>
      <c r="J738" t="str">
        <f>IF(ISBLANK(Table13[[#This Row],[Rating]]), "No", "Yes")</f>
        <v>Yes</v>
      </c>
      <c r="K738" t="str">
        <f>IF(ISBLANK(Table13[[#This Row],[Rating]]), "Not Rated", IF(Table13[[#This Row],[Rating]] &lt; 3, "Low", IF(Table13[[#This Row],[Rating]] &lt; 4, "Medium", "High")))</f>
        <v>High</v>
      </c>
      <c r="L738">
        <v>417</v>
      </c>
      <c r="M738">
        <v>48</v>
      </c>
      <c r="N738" t="str">
        <f>IF(Table13[[#This Row],[Price USD]]&lt;20,"Budget",IF(Table13[[#This Row],[Price USD]]&lt;=50,"Mid-range","Premium"))</f>
        <v>Mid-range</v>
      </c>
      <c r="O738">
        <v>1</v>
      </c>
      <c r="P738">
        <v>0</v>
      </c>
    </row>
    <row r="739" spans="1:16" x14ac:dyDescent="0.25">
      <c r="A739" t="s">
        <v>1008</v>
      </c>
      <c r="B739" t="s">
        <v>1009</v>
      </c>
      <c r="C739">
        <v>4348</v>
      </c>
      <c r="D739" t="s">
        <v>61</v>
      </c>
      <c r="E739" t="s">
        <v>21</v>
      </c>
      <c r="F739">
        <v>36763</v>
      </c>
      <c r="G7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39">
        <v>4.2411000000000003</v>
      </c>
      <c r="J739" t="str">
        <f>IF(ISBLANK(Table13[[#This Row],[Rating]]), "No", "Yes")</f>
        <v>Yes</v>
      </c>
      <c r="K739" t="str">
        <f>IF(ISBLANK(Table13[[#This Row],[Rating]]), "Not Rated", IF(Table13[[#This Row],[Rating]] &lt; 3, "Low", IF(Table13[[#This Row],[Rating]] &lt; 4, "Medium", "High")))</f>
        <v>High</v>
      </c>
      <c r="L739">
        <v>419</v>
      </c>
      <c r="M739">
        <v>48</v>
      </c>
      <c r="N739" t="str">
        <f>IF(Table13[[#This Row],[Price USD]]&lt;20,"Budget",IF(Table13[[#This Row],[Price USD]]&lt;=50,"Mid-range","Premium"))</f>
        <v>Mid-range</v>
      </c>
      <c r="O739">
        <v>0</v>
      </c>
      <c r="P739">
        <v>0</v>
      </c>
    </row>
    <row r="740" spans="1:16" x14ac:dyDescent="0.25">
      <c r="A740" t="s">
        <v>1376</v>
      </c>
      <c r="B740" t="s">
        <v>1377</v>
      </c>
      <c r="C740">
        <v>6289</v>
      </c>
      <c r="D740" t="s">
        <v>111</v>
      </c>
      <c r="E740" t="s">
        <v>8</v>
      </c>
      <c r="F740">
        <v>24567</v>
      </c>
      <c r="G7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0">
        <v>4.6380999999999997</v>
      </c>
      <c r="J740" t="str">
        <f>IF(ISBLANK(Table13[[#This Row],[Rating]]), "No", "Yes")</f>
        <v>Yes</v>
      </c>
      <c r="K740" t="str">
        <f>IF(ISBLANK(Table13[[#This Row],[Rating]]), "Not Rated", IF(Table13[[#This Row],[Rating]] &lt; 3, "Low", IF(Table13[[#This Row],[Rating]] &lt; 4, "Medium", "High")))</f>
        <v>High</v>
      </c>
      <c r="L740">
        <v>420</v>
      </c>
      <c r="M740">
        <v>50</v>
      </c>
      <c r="N740" t="str">
        <f>IF(Table13[[#This Row],[Price USD]]&lt;20,"Budget",IF(Table13[[#This Row],[Price USD]]&lt;=50,"Mid-range","Premium"))</f>
        <v>Mid-range</v>
      </c>
      <c r="O740">
        <v>0</v>
      </c>
      <c r="P740">
        <v>0</v>
      </c>
    </row>
    <row r="741" spans="1:16" x14ac:dyDescent="0.25">
      <c r="A741" t="s">
        <v>821</v>
      </c>
      <c r="B741" t="s">
        <v>822</v>
      </c>
      <c r="C741">
        <v>3902</v>
      </c>
      <c r="D741" t="s">
        <v>72</v>
      </c>
      <c r="E741" t="s">
        <v>13</v>
      </c>
      <c r="F741">
        <v>43752</v>
      </c>
      <c r="G7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1">
        <v>4.6285999999999996</v>
      </c>
      <c r="J741" t="str">
        <f>IF(ISBLANK(Table13[[#This Row],[Rating]]), "No", "Yes")</f>
        <v>Yes</v>
      </c>
      <c r="K741" t="str">
        <f>IF(ISBLANK(Table13[[#This Row],[Rating]]), "Not Rated", IF(Table13[[#This Row],[Rating]] &lt; 3, "Low", IF(Table13[[#This Row],[Rating]] &lt; 4, "Medium", "High")))</f>
        <v>High</v>
      </c>
      <c r="L741">
        <v>420</v>
      </c>
      <c r="M741">
        <v>12</v>
      </c>
      <c r="N741" t="str">
        <f>IF(Table13[[#This Row],[Price USD]]&lt;20,"Budget",IF(Table13[[#This Row],[Price USD]]&lt;=50,"Mid-range","Premium"))</f>
        <v>Budget</v>
      </c>
      <c r="O741">
        <v>0</v>
      </c>
      <c r="P741">
        <v>0</v>
      </c>
    </row>
    <row r="742" spans="1:16" x14ac:dyDescent="0.25">
      <c r="A742" t="s">
        <v>2390</v>
      </c>
      <c r="B742" t="s">
        <v>2391</v>
      </c>
      <c r="C742">
        <v>7075</v>
      </c>
      <c r="D742" t="s">
        <v>75</v>
      </c>
      <c r="E742" t="s">
        <v>49</v>
      </c>
      <c r="F742">
        <v>11146</v>
      </c>
      <c r="G7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2">
        <v>4.5247999999999999</v>
      </c>
      <c r="J742" t="str">
        <f>IF(ISBLANK(Table13[[#This Row],[Rating]]), "No", "Yes")</f>
        <v>Yes</v>
      </c>
      <c r="K742" t="str">
        <f>IF(ISBLANK(Table13[[#This Row],[Rating]]), "Not Rated", IF(Table13[[#This Row],[Rating]] &lt; 3, "Low", IF(Table13[[#This Row],[Rating]] &lt; 4, "Medium", "High")))</f>
        <v>High</v>
      </c>
      <c r="L742">
        <v>423</v>
      </c>
      <c r="M742">
        <v>38</v>
      </c>
      <c r="N742" t="str">
        <f>IF(Table13[[#This Row],[Price USD]]&lt;20,"Budget",IF(Table13[[#This Row],[Price USD]]&lt;=50,"Mid-range","Premium"))</f>
        <v>Mid-range</v>
      </c>
      <c r="O742">
        <v>0</v>
      </c>
      <c r="P742">
        <v>0</v>
      </c>
    </row>
    <row r="743" spans="1:16" x14ac:dyDescent="0.25">
      <c r="A743" t="s">
        <v>1309</v>
      </c>
      <c r="B743" t="s">
        <v>1310</v>
      </c>
      <c r="C743">
        <v>6289</v>
      </c>
      <c r="D743" t="s">
        <v>111</v>
      </c>
      <c r="E743" t="s">
        <v>8</v>
      </c>
      <c r="F743">
        <v>26189</v>
      </c>
      <c r="G7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3">
        <v>4.6306000000000003</v>
      </c>
      <c r="J743" t="str">
        <f>IF(ISBLANK(Table13[[#This Row],[Rating]]), "No", "Yes")</f>
        <v>Yes</v>
      </c>
      <c r="K743" t="str">
        <f>IF(ISBLANK(Table13[[#This Row],[Rating]]), "Not Rated", IF(Table13[[#This Row],[Rating]] &lt; 3, "Low", IF(Table13[[#This Row],[Rating]] &lt; 4, "Medium", "High")))</f>
        <v>High</v>
      </c>
      <c r="L743">
        <v>425</v>
      </c>
      <c r="M743">
        <v>30</v>
      </c>
      <c r="N743" t="str">
        <f>IF(Table13[[#This Row],[Price USD]]&lt;20,"Budget",IF(Table13[[#This Row],[Price USD]]&lt;=50,"Mid-range","Premium"))</f>
        <v>Mid-range</v>
      </c>
      <c r="O743">
        <v>0</v>
      </c>
      <c r="P743">
        <v>0</v>
      </c>
    </row>
    <row r="744" spans="1:16" x14ac:dyDescent="0.25">
      <c r="A744" t="s">
        <v>1275</v>
      </c>
      <c r="B744" t="s">
        <v>1276</v>
      </c>
      <c r="C744">
        <v>7083</v>
      </c>
      <c r="D744" t="s">
        <v>20</v>
      </c>
      <c r="E744" t="s">
        <v>8</v>
      </c>
      <c r="F744">
        <v>27212</v>
      </c>
      <c r="G7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4">
        <v>4.4859</v>
      </c>
      <c r="J744" t="str">
        <f>IF(ISBLANK(Table13[[#This Row],[Rating]]), "No", "Yes")</f>
        <v>Yes</v>
      </c>
      <c r="K744" t="str">
        <f>IF(ISBLANK(Table13[[#This Row],[Rating]]), "Not Rated", IF(Table13[[#This Row],[Rating]] &lt; 3, "Low", IF(Table13[[#This Row],[Rating]] &lt; 4, "Medium", "High")))</f>
        <v>High</v>
      </c>
      <c r="L744">
        <v>426</v>
      </c>
      <c r="M744">
        <v>68</v>
      </c>
      <c r="N744" t="str">
        <f>IF(Table13[[#This Row],[Price USD]]&lt;20,"Budget",IF(Table13[[#This Row],[Price USD]]&lt;=50,"Mid-range","Premium"))</f>
        <v>Premium</v>
      </c>
      <c r="O744">
        <v>0</v>
      </c>
      <c r="P744">
        <v>0</v>
      </c>
    </row>
    <row r="745" spans="1:16" x14ac:dyDescent="0.25">
      <c r="A745" t="s">
        <v>2113</v>
      </c>
      <c r="B745" t="s">
        <v>2114</v>
      </c>
      <c r="C745">
        <v>5715</v>
      </c>
      <c r="D745" t="s">
        <v>979</v>
      </c>
      <c r="E745" t="s">
        <v>21</v>
      </c>
      <c r="F745">
        <v>13454</v>
      </c>
      <c r="G7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5">
        <v>4.5877999999999997</v>
      </c>
      <c r="J745" t="str">
        <f>IF(ISBLANK(Table13[[#This Row],[Rating]]), "No", "Yes")</f>
        <v>Yes</v>
      </c>
      <c r="K745" t="str">
        <f>IF(ISBLANK(Table13[[#This Row],[Rating]]), "Not Rated", IF(Table13[[#This Row],[Rating]] &lt; 3, "Low", IF(Table13[[#This Row],[Rating]] &lt; 4, "Medium", "High")))</f>
        <v>High</v>
      </c>
      <c r="L745">
        <v>427</v>
      </c>
      <c r="M745">
        <v>50</v>
      </c>
      <c r="N745" t="str">
        <f>IF(Table13[[#This Row],[Price USD]]&lt;20,"Budget",IF(Table13[[#This Row],[Price USD]]&lt;=50,"Mid-range","Premium"))</f>
        <v>Mid-range</v>
      </c>
      <c r="O745">
        <v>0</v>
      </c>
      <c r="P745">
        <v>0</v>
      </c>
    </row>
    <row r="746" spans="1:16" x14ac:dyDescent="0.25">
      <c r="A746" t="s">
        <v>848</v>
      </c>
      <c r="B746" t="s">
        <v>849</v>
      </c>
      <c r="C746">
        <v>6352</v>
      </c>
      <c r="D746" t="s">
        <v>251</v>
      </c>
      <c r="E746" t="s">
        <v>13</v>
      </c>
      <c r="F746">
        <v>42777</v>
      </c>
      <c r="G7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6">
        <v>4.1029999999999998</v>
      </c>
      <c r="J746" t="str">
        <f>IF(ISBLANK(Table13[[#This Row],[Rating]]), "No", "Yes")</f>
        <v>Yes</v>
      </c>
      <c r="K746" t="str">
        <f>IF(ISBLANK(Table13[[#This Row],[Rating]]), "Not Rated", IF(Table13[[#This Row],[Rating]] &lt; 3, "Low", IF(Table13[[#This Row],[Rating]] &lt; 4, "Medium", "High")))</f>
        <v>High</v>
      </c>
      <c r="L746">
        <v>427</v>
      </c>
      <c r="M746">
        <v>28</v>
      </c>
      <c r="N746" t="str">
        <f>IF(Table13[[#This Row],[Price USD]]&lt;20,"Budget",IF(Table13[[#This Row],[Price USD]]&lt;=50,"Mid-range","Premium"))</f>
        <v>Mid-range</v>
      </c>
      <c r="O746">
        <v>0</v>
      </c>
      <c r="P746">
        <v>0</v>
      </c>
    </row>
    <row r="747" spans="1:16" x14ac:dyDescent="0.25">
      <c r="A747" t="s">
        <v>2017</v>
      </c>
      <c r="B747" t="s">
        <v>2018</v>
      </c>
      <c r="C747">
        <v>6219</v>
      </c>
      <c r="D747" t="s">
        <v>277</v>
      </c>
      <c r="E747" t="s">
        <v>21</v>
      </c>
      <c r="F747">
        <v>14546</v>
      </c>
      <c r="G7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7">
        <v>4.6028000000000002</v>
      </c>
      <c r="J747" t="str">
        <f>IF(ISBLANK(Table13[[#This Row],[Rating]]), "No", "Yes")</f>
        <v>Yes</v>
      </c>
      <c r="K747" t="str">
        <f>IF(ISBLANK(Table13[[#This Row],[Rating]]), "Not Rated", IF(Table13[[#This Row],[Rating]] &lt; 3, "Low", IF(Table13[[#This Row],[Rating]] &lt; 4, "Medium", "High")))</f>
        <v>High</v>
      </c>
      <c r="L747">
        <v>428</v>
      </c>
      <c r="M747">
        <v>74</v>
      </c>
      <c r="N747" t="str">
        <f>IF(Table13[[#This Row],[Price USD]]&lt;20,"Budget",IF(Table13[[#This Row],[Price USD]]&lt;=50,"Mid-range","Premium"))</f>
        <v>Premium</v>
      </c>
      <c r="O747">
        <v>0</v>
      </c>
      <c r="P747">
        <v>0</v>
      </c>
    </row>
    <row r="748" spans="1:16" x14ac:dyDescent="0.25">
      <c r="A748" t="s">
        <v>1626</v>
      </c>
      <c r="B748" t="s">
        <v>1627</v>
      </c>
      <c r="C748">
        <v>7083</v>
      </c>
      <c r="D748" t="s">
        <v>20</v>
      </c>
      <c r="E748" t="s">
        <v>149</v>
      </c>
      <c r="F748">
        <v>19664</v>
      </c>
      <c r="G7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8">
        <v>4.3971999999999998</v>
      </c>
      <c r="J748" t="str">
        <f>IF(ISBLANK(Table13[[#This Row],[Rating]]), "No", "Yes")</f>
        <v>Yes</v>
      </c>
      <c r="K748" t="str">
        <f>IF(ISBLANK(Table13[[#This Row],[Rating]]), "Not Rated", IF(Table13[[#This Row],[Rating]] &lt; 3, "Low", IF(Table13[[#This Row],[Rating]] &lt; 4, "Medium", "High")))</f>
        <v>High</v>
      </c>
      <c r="L748">
        <v>428</v>
      </c>
      <c r="M748">
        <v>60</v>
      </c>
      <c r="N748" t="str">
        <f>IF(Table13[[#This Row],[Price USD]]&lt;20,"Budget",IF(Table13[[#This Row],[Price USD]]&lt;=50,"Mid-range","Premium"))</f>
        <v>Premium</v>
      </c>
      <c r="O748">
        <v>0</v>
      </c>
      <c r="P748">
        <v>1</v>
      </c>
    </row>
    <row r="749" spans="1:16" x14ac:dyDescent="0.25">
      <c r="A749" t="s">
        <v>2350</v>
      </c>
      <c r="B749" t="s">
        <v>2351</v>
      </c>
      <c r="C749">
        <v>6356</v>
      </c>
      <c r="D749" t="s">
        <v>1885</v>
      </c>
      <c r="E749" t="s">
        <v>21</v>
      </c>
      <c r="F749">
        <v>11428</v>
      </c>
      <c r="G7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49">
        <v>4.3605</v>
      </c>
      <c r="J749" t="str">
        <f>IF(ISBLANK(Table13[[#This Row],[Rating]]), "No", "Yes")</f>
        <v>Yes</v>
      </c>
      <c r="K749" t="str">
        <f>IF(ISBLANK(Table13[[#This Row],[Rating]]), "Not Rated", IF(Table13[[#This Row],[Rating]] &lt; 3, "Low", IF(Table13[[#This Row],[Rating]] &lt; 4, "Medium", "High")))</f>
        <v>High</v>
      </c>
      <c r="L749">
        <v>430</v>
      </c>
      <c r="M749">
        <v>180</v>
      </c>
      <c r="N749" t="str">
        <f>IF(Table13[[#This Row],[Price USD]]&lt;20,"Budget",IF(Table13[[#This Row],[Price USD]]&lt;=50,"Mid-range","Premium"))</f>
        <v>Premium</v>
      </c>
      <c r="O749">
        <v>0</v>
      </c>
      <c r="P749">
        <v>0</v>
      </c>
    </row>
    <row r="750" spans="1:16" x14ac:dyDescent="0.25">
      <c r="A750" t="s">
        <v>1719</v>
      </c>
      <c r="B750" t="s">
        <v>1720</v>
      </c>
      <c r="C750">
        <v>6014</v>
      </c>
      <c r="D750" t="s">
        <v>102</v>
      </c>
      <c r="E750" t="s">
        <v>8</v>
      </c>
      <c r="F750">
        <v>17936</v>
      </c>
      <c r="G7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0">
        <v>4.1694000000000004</v>
      </c>
      <c r="J750" t="str">
        <f>IF(ISBLANK(Table13[[#This Row],[Rating]]), "No", "Yes")</f>
        <v>Yes</v>
      </c>
      <c r="K750" t="str">
        <f>IF(ISBLANK(Table13[[#This Row],[Rating]]), "Not Rated", IF(Table13[[#This Row],[Rating]] &lt; 3, "Low", IF(Table13[[#This Row],[Rating]] &lt; 4, "Medium", "High")))</f>
        <v>High</v>
      </c>
      <c r="L750">
        <v>431</v>
      </c>
      <c r="M750">
        <v>45</v>
      </c>
      <c r="N750" t="str">
        <f>IF(Table13[[#This Row],[Price USD]]&lt;20,"Budget",IF(Table13[[#This Row],[Price USD]]&lt;=50,"Mid-range","Premium"))</f>
        <v>Mid-range</v>
      </c>
      <c r="O750">
        <v>0</v>
      </c>
      <c r="P750">
        <v>0</v>
      </c>
    </row>
    <row r="751" spans="1:16" x14ac:dyDescent="0.25">
      <c r="A751" t="s">
        <v>1016</v>
      </c>
      <c r="B751" t="s">
        <v>1017</v>
      </c>
      <c r="C751">
        <v>6289</v>
      </c>
      <c r="D751" t="s">
        <v>111</v>
      </c>
      <c r="E751" t="s">
        <v>13</v>
      </c>
      <c r="F751">
        <v>36209</v>
      </c>
      <c r="G7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1">
        <v>4.5648</v>
      </c>
      <c r="J751" t="str">
        <f>IF(ISBLANK(Table13[[#This Row],[Rating]]), "No", "Yes")</f>
        <v>Yes</v>
      </c>
      <c r="K751" t="str">
        <f>IF(ISBLANK(Table13[[#This Row],[Rating]]), "Not Rated", IF(Table13[[#This Row],[Rating]] &lt; 3, "Low", IF(Table13[[#This Row],[Rating]] &lt; 4, "Medium", "High")))</f>
        <v>High</v>
      </c>
      <c r="L751">
        <v>432</v>
      </c>
      <c r="M751">
        <v>35</v>
      </c>
      <c r="N751" t="str">
        <f>IF(Table13[[#This Row],[Price USD]]&lt;20,"Budget",IF(Table13[[#This Row],[Price USD]]&lt;=50,"Mid-range","Premium"))</f>
        <v>Mid-range</v>
      </c>
      <c r="O751">
        <v>0</v>
      </c>
      <c r="P751">
        <v>0</v>
      </c>
    </row>
    <row r="752" spans="1:16" x14ac:dyDescent="0.25">
      <c r="A752" t="s">
        <v>1564</v>
      </c>
      <c r="B752" t="s">
        <v>1565</v>
      </c>
      <c r="C752">
        <v>6014</v>
      </c>
      <c r="D752" t="s">
        <v>102</v>
      </c>
      <c r="E752" t="s">
        <v>149</v>
      </c>
      <c r="F752">
        <v>20885</v>
      </c>
      <c r="G7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2">
        <v>4.5472999999999999</v>
      </c>
      <c r="J752" t="str">
        <f>IF(ISBLANK(Table13[[#This Row],[Rating]]), "No", "Yes")</f>
        <v>Yes</v>
      </c>
      <c r="K752" t="str">
        <f>IF(ISBLANK(Table13[[#This Row],[Rating]]), "Not Rated", IF(Table13[[#This Row],[Rating]] &lt; 3, "Low", IF(Table13[[#This Row],[Rating]] &lt; 4, "Medium", "High")))</f>
        <v>High</v>
      </c>
      <c r="L752">
        <v>433</v>
      </c>
      <c r="M752">
        <v>40</v>
      </c>
      <c r="N752" t="str">
        <f>IF(Table13[[#This Row],[Price USD]]&lt;20,"Budget",IF(Table13[[#This Row],[Price USD]]&lt;=50,"Mid-range","Premium"))</f>
        <v>Mid-range</v>
      </c>
      <c r="O752">
        <v>0</v>
      </c>
      <c r="P752">
        <v>0</v>
      </c>
    </row>
    <row r="753" spans="1:16" x14ac:dyDescent="0.25">
      <c r="A753" t="s">
        <v>1624</v>
      </c>
      <c r="B753" t="s">
        <v>1625</v>
      </c>
      <c r="C753">
        <v>6316</v>
      </c>
      <c r="D753" t="s">
        <v>563</v>
      </c>
      <c r="E753" t="s">
        <v>8</v>
      </c>
      <c r="F753">
        <v>19684</v>
      </c>
      <c r="G7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3">
        <v>4.6105999999999998</v>
      </c>
      <c r="J753" t="str">
        <f>IF(ISBLANK(Table13[[#This Row],[Rating]]), "No", "Yes")</f>
        <v>Yes</v>
      </c>
      <c r="K753" t="str">
        <f>IF(ISBLANK(Table13[[#This Row],[Rating]]), "Not Rated", IF(Table13[[#This Row],[Rating]] &lt; 3, "Low", IF(Table13[[#This Row],[Rating]] &lt; 4, "Medium", "High")))</f>
        <v>High</v>
      </c>
      <c r="L753">
        <v>434</v>
      </c>
      <c r="M753">
        <v>47</v>
      </c>
      <c r="N753" t="str">
        <f>IF(Table13[[#This Row],[Price USD]]&lt;20,"Budget",IF(Table13[[#This Row],[Price USD]]&lt;=50,"Mid-range","Premium"))</f>
        <v>Mid-range</v>
      </c>
      <c r="O753">
        <v>0</v>
      </c>
      <c r="P753">
        <v>0</v>
      </c>
    </row>
    <row r="754" spans="1:16" x14ac:dyDescent="0.25">
      <c r="A754" t="s">
        <v>1196</v>
      </c>
      <c r="B754" t="s">
        <v>1197</v>
      </c>
      <c r="C754">
        <v>6218</v>
      </c>
      <c r="D754" t="s">
        <v>116</v>
      </c>
      <c r="E754" t="s">
        <v>69</v>
      </c>
      <c r="F754">
        <v>29217</v>
      </c>
      <c r="G7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4">
        <v>4.5461</v>
      </c>
      <c r="J754" t="str">
        <f>IF(ISBLANK(Table13[[#This Row],[Rating]]), "No", "Yes")</f>
        <v>Yes</v>
      </c>
      <c r="K754" t="str">
        <f>IF(ISBLANK(Table13[[#This Row],[Rating]]), "Not Rated", IF(Table13[[#This Row],[Rating]] &lt; 3, "Low", IF(Table13[[#This Row],[Rating]] &lt; 4, "Medium", "High")))</f>
        <v>High</v>
      </c>
      <c r="L754">
        <v>434</v>
      </c>
      <c r="M754">
        <v>45</v>
      </c>
      <c r="N754" t="str">
        <f>IF(Table13[[#This Row],[Price USD]]&lt;20,"Budget",IF(Table13[[#This Row],[Price USD]]&lt;=50,"Mid-range","Premium"))</f>
        <v>Mid-range</v>
      </c>
      <c r="O754">
        <v>0</v>
      </c>
      <c r="P754">
        <v>0</v>
      </c>
    </row>
    <row r="755" spans="1:16" x14ac:dyDescent="0.25">
      <c r="A755" t="s">
        <v>2491</v>
      </c>
      <c r="B755" t="s">
        <v>2492</v>
      </c>
      <c r="C755">
        <v>5668</v>
      </c>
      <c r="D755" t="s">
        <v>93</v>
      </c>
      <c r="E755" t="s">
        <v>13</v>
      </c>
      <c r="F755">
        <v>10330</v>
      </c>
      <c r="G7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5">
        <v>4.3166000000000002</v>
      </c>
      <c r="J755" t="str">
        <f>IF(ISBLANK(Table13[[#This Row],[Rating]]), "No", "Yes")</f>
        <v>Yes</v>
      </c>
      <c r="K755" t="str">
        <f>IF(ISBLANK(Table13[[#This Row],[Rating]]), "Not Rated", IF(Table13[[#This Row],[Rating]] &lt; 3, "Low", IF(Table13[[#This Row],[Rating]] &lt; 4, "Medium", "High")))</f>
        <v>High</v>
      </c>
      <c r="L755">
        <v>439</v>
      </c>
      <c r="M755">
        <v>39</v>
      </c>
      <c r="N755" t="str">
        <f>IF(Table13[[#This Row],[Price USD]]&lt;20,"Budget",IF(Table13[[#This Row],[Price USD]]&lt;=50,"Mid-range","Premium"))</f>
        <v>Mid-range</v>
      </c>
      <c r="O755">
        <v>0</v>
      </c>
      <c r="P755">
        <v>0</v>
      </c>
    </row>
    <row r="756" spans="1:16" x14ac:dyDescent="0.25">
      <c r="A756" t="s">
        <v>1912</v>
      </c>
      <c r="B756" t="s">
        <v>1913</v>
      </c>
      <c r="C756">
        <v>4171</v>
      </c>
      <c r="D756" t="s">
        <v>133</v>
      </c>
      <c r="E756" t="s">
        <v>13</v>
      </c>
      <c r="F756">
        <v>15643</v>
      </c>
      <c r="G7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6">
        <v>4.3098000000000001</v>
      </c>
      <c r="J756" t="str">
        <f>IF(ISBLANK(Table13[[#This Row],[Rating]]), "No", "Yes")</f>
        <v>Yes</v>
      </c>
      <c r="K756" t="str">
        <f>IF(ISBLANK(Table13[[#This Row],[Rating]]), "Not Rated", IF(Table13[[#This Row],[Rating]] &lt; 3, "Low", IF(Table13[[#This Row],[Rating]] &lt; 4, "Medium", "High")))</f>
        <v>High</v>
      </c>
      <c r="L756">
        <v>439</v>
      </c>
      <c r="M756">
        <v>30</v>
      </c>
      <c r="N756" t="str">
        <f>IF(Table13[[#This Row],[Price USD]]&lt;20,"Budget",IF(Table13[[#This Row],[Price USD]]&lt;=50,"Mid-range","Premium"))</f>
        <v>Mid-range</v>
      </c>
      <c r="O756">
        <v>0</v>
      </c>
      <c r="P756">
        <v>0</v>
      </c>
    </row>
    <row r="757" spans="1:16" x14ac:dyDescent="0.25">
      <c r="A757" t="s">
        <v>1222</v>
      </c>
      <c r="B757" t="s">
        <v>1223</v>
      </c>
      <c r="C757">
        <v>5972</v>
      </c>
      <c r="D757" t="s">
        <v>54</v>
      </c>
      <c r="E757" t="s">
        <v>21</v>
      </c>
      <c r="F757">
        <v>28615</v>
      </c>
      <c r="G7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7">
        <v>4.3544999999999998</v>
      </c>
      <c r="J757" t="str">
        <f>IF(ISBLANK(Table13[[#This Row],[Rating]]), "No", "Yes")</f>
        <v>Yes</v>
      </c>
      <c r="K757" t="str">
        <f>IF(ISBLANK(Table13[[#This Row],[Rating]]), "Not Rated", IF(Table13[[#This Row],[Rating]] &lt; 3, "Low", IF(Table13[[#This Row],[Rating]] &lt; 4, "Medium", "High")))</f>
        <v>High</v>
      </c>
      <c r="L757">
        <v>440</v>
      </c>
      <c r="M757">
        <v>36</v>
      </c>
      <c r="N757" t="str">
        <f>IF(Table13[[#This Row],[Price USD]]&lt;20,"Budget",IF(Table13[[#This Row],[Price USD]]&lt;=50,"Mid-range","Premium"))</f>
        <v>Mid-range</v>
      </c>
      <c r="O757">
        <v>0</v>
      </c>
      <c r="P757">
        <v>0</v>
      </c>
    </row>
    <row r="758" spans="1:16" x14ac:dyDescent="0.25">
      <c r="A758" t="s">
        <v>1938</v>
      </c>
      <c r="B758" t="s">
        <v>1939</v>
      </c>
      <c r="C758">
        <v>6742</v>
      </c>
      <c r="D758" t="s">
        <v>1445</v>
      </c>
      <c r="E758" t="s">
        <v>49</v>
      </c>
      <c r="F758">
        <v>15371</v>
      </c>
      <c r="G7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8">
        <v>4.2896000000000001</v>
      </c>
      <c r="J758" t="str">
        <f>IF(ISBLANK(Table13[[#This Row],[Rating]]), "No", "Yes")</f>
        <v>Yes</v>
      </c>
      <c r="K758" t="str">
        <f>IF(ISBLANK(Table13[[#This Row],[Rating]]), "Not Rated", IF(Table13[[#This Row],[Rating]] &lt; 3, "Low", IF(Table13[[#This Row],[Rating]] &lt; 4, "Medium", "High")))</f>
        <v>High</v>
      </c>
      <c r="L758">
        <v>442</v>
      </c>
      <c r="M758">
        <v>34</v>
      </c>
      <c r="N758" t="str">
        <f>IF(Table13[[#This Row],[Price USD]]&lt;20,"Budget",IF(Table13[[#This Row],[Price USD]]&lt;=50,"Mid-range","Premium"))</f>
        <v>Mid-range</v>
      </c>
      <c r="O758">
        <v>1</v>
      </c>
      <c r="P758">
        <v>0</v>
      </c>
    </row>
    <row r="759" spans="1:16" x14ac:dyDescent="0.25">
      <c r="A759" t="s">
        <v>1277</v>
      </c>
      <c r="B759" t="s">
        <v>1278</v>
      </c>
      <c r="C759">
        <v>5626</v>
      </c>
      <c r="D759" t="s">
        <v>1069</v>
      </c>
      <c r="E759" t="s">
        <v>106</v>
      </c>
      <c r="F759">
        <v>27207</v>
      </c>
      <c r="G7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59">
        <v>4.1109</v>
      </c>
      <c r="J759" t="str">
        <f>IF(ISBLANK(Table13[[#This Row],[Rating]]), "No", "Yes")</f>
        <v>Yes</v>
      </c>
      <c r="K759" t="str">
        <f>IF(ISBLANK(Table13[[#This Row],[Rating]]), "Not Rated", IF(Table13[[#This Row],[Rating]] &lt; 3, "Low", IF(Table13[[#This Row],[Rating]] &lt; 4, "Medium", "High")))</f>
        <v>High</v>
      </c>
      <c r="L759">
        <v>442</v>
      </c>
      <c r="M759">
        <v>46</v>
      </c>
      <c r="N759" t="str">
        <f>IF(Table13[[#This Row],[Price USD]]&lt;20,"Budget",IF(Table13[[#This Row],[Price USD]]&lt;=50,"Mid-range","Premium"))</f>
        <v>Mid-range</v>
      </c>
      <c r="O759">
        <v>0</v>
      </c>
      <c r="P759">
        <v>0</v>
      </c>
    </row>
    <row r="760" spans="1:16" x14ac:dyDescent="0.25">
      <c r="A760" t="s">
        <v>1822</v>
      </c>
      <c r="B760" t="s">
        <v>1823</v>
      </c>
      <c r="C760">
        <v>3728</v>
      </c>
      <c r="D760" t="s">
        <v>458</v>
      </c>
      <c r="E760" t="s">
        <v>8</v>
      </c>
      <c r="F760">
        <v>16862</v>
      </c>
      <c r="G7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0">
        <v>4.5778999999999996</v>
      </c>
      <c r="J760" t="str">
        <f>IF(ISBLANK(Table13[[#This Row],[Rating]]), "No", "Yes")</f>
        <v>Yes</v>
      </c>
      <c r="K760" t="str">
        <f>IF(ISBLANK(Table13[[#This Row],[Rating]]), "Not Rated", IF(Table13[[#This Row],[Rating]] &lt; 3, "Low", IF(Table13[[#This Row],[Rating]] &lt; 4, "Medium", "High")))</f>
        <v>High</v>
      </c>
      <c r="L760">
        <v>443</v>
      </c>
      <c r="M760">
        <v>88</v>
      </c>
      <c r="N760" t="str">
        <f>IF(Table13[[#This Row],[Price USD]]&lt;20,"Budget",IF(Table13[[#This Row],[Price USD]]&lt;=50,"Mid-range","Premium"))</f>
        <v>Premium</v>
      </c>
      <c r="O760">
        <v>0</v>
      </c>
      <c r="P760">
        <v>0</v>
      </c>
    </row>
    <row r="761" spans="1:16" x14ac:dyDescent="0.25">
      <c r="A761" t="s">
        <v>833</v>
      </c>
      <c r="B761" t="s">
        <v>834</v>
      </c>
      <c r="C761">
        <v>6285</v>
      </c>
      <c r="D761" t="s">
        <v>119</v>
      </c>
      <c r="E761" t="s">
        <v>13</v>
      </c>
      <c r="F761">
        <v>43383</v>
      </c>
      <c r="G7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1">
        <v>4.2618999999999998</v>
      </c>
      <c r="J761" t="str">
        <f>IF(ISBLANK(Table13[[#This Row],[Rating]]), "No", "Yes")</f>
        <v>Yes</v>
      </c>
      <c r="K761" t="str">
        <f>IF(ISBLANK(Table13[[#This Row],[Rating]]), "Not Rated", IF(Table13[[#This Row],[Rating]] &lt; 3, "Low", IF(Table13[[#This Row],[Rating]] &lt; 4, "Medium", "High")))</f>
        <v>High</v>
      </c>
      <c r="L761">
        <v>443</v>
      </c>
      <c r="M761">
        <v>12.99</v>
      </c>
      <c r="N761" t="str">
        <f>IF(Table13[[#This Row],[Price USD]]&lt;20,"Budget",IF(Table13[[#This Row],[Price USD]]&lt;=50,"Mid-range","Premium"))</f>
        <v>Budget</v>
      </c>
      <c r="O761">
        <v>0</v>
      </c>
      <c r="P761">
        <v>0</v>
      </c>
    </row>
    <row r="762" spans="1:16" x14ac:dyDescent="0.25">
      <c r="A762" t="s">
        <v>1299</v>
      </c>
      <c r="B762" t="s">
        <v>1300</v>
      </c>
      <c r="C762">
        <v>5987</v>
      </c>
      <c r="D762" t="s">
        <v>48</v>
      </c>
      <c r="E762" t="s">
        <v>149</v>
      </c>
      <c r="F762">
        <v>26354</v>
      </c>
      <c r="G7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2">
        <v>3.6044999999999998</v>
      </c>
      <c r="J762" t="str">
        <f>IF(ISBLANK(Table13[[#This Row],[Rating]]), "No", "Yes")</f>
        <v>Yes</v>
      </c>
      <c r="K762" t="str">
        <f>IF(ISBLANK(Table13[[#This Row],[Rating]]), "Not Rated", IF(Table13[[#This Row],[Rating]] &lt; 3, "Low", IF(Table13[[#This Row],[Rating]] &lt; 4, "Medium", "High")))</f>
        <v>Medium</v>
      </c>
      <c r="L762">
        <v>445</v>
      </c>
      <c r="M762">
        <v>40</v>
      </c>
      <c r="N762" t="str">
        <f>IF(Table13[[#This Row],[Price USD]]&lt;20,"Budget",IF(Table13[[#This Row],[Price USD]]&lt;=50,"Mid-range","Premium"))</f>
        <v>Mid-range</v>
      </c>
      <c r="O762">
        <v>0</v>
      </c>
      <c r="P762">
        <v>1</v>
      </c>
    </row>
    <row r="763" spans="1:16" x14ac:dyDescent="0.25">
      <c r="A763" t="s">
        <v>1757</v>
      </c>
      <c r="B763" t="s">
        <v>1758</v>
      </c>
      <c r="C763">
        <v>4164</v>
      </c>
      <c r="D763" t="s">
        <v>623</v>
      </c>
      <c r="E763" t="s">
        <v>21</v>
      </c>
      <c r="F763">
        <v>17680</v>
      </c>
      <c r="G7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3">
        <v>4.3564999999999996</v>
      </c>
      <c r="J763" t="str">
        <f>IF(ISBLANK(Table13[[#This Row],[Rating]]), "No", "Yes")</f>
        <v>Yes</v>
      </c>
      <c r="K763" t="str">
        <f>IF(ISBLANK(Table13[[#This Row],[Rating]]), "Not Rated", IF(Table13[[#This Row],[Rating]] &lt; 3, "Low", IF(Table13[[#This Row],[Rating]] &lt; 4, "Medium", "High")))</f>
        <v>High</v>
      </c>
      <c r="L763">
        <v>446</v>
      </c>
      <c r="M763">
        <v>83</v>
      </c>
      <c r="N763" t="str">
        <f>IF(Table13[[#This Row],[Price USD]]&lt;20,"Budget",IF(Table13[[#This Row],[Price USD]]&lt;=50,"Mid-range","Premium"))</f>
        <v>Premium</v>
      </c>
      <c r="O763">
        <v>0</v>
      </c>
      <c r="P763">
        <v>0</v>
      </c>
    </row>
    <row r="764" spans="1:16" x14ac:dyDescent="0.25">
      <c r="A764" t="s">
        <v>2036</v>
      </c>
      <c r="B764" t="s">
        <v>2037</v>
      </c>
      <c r="C764">
        <v>6175</v>
      </c>
      <c r="D764" t="s">
        <v>338</v>
      </c>
      <c r="E764" t="s">
        <v>21</v>
      </c>
      <c r="F764">
        <v>14365</v>
      </c>
      <c r="G7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4">
        <v>4.5826000000000002</v>
      </c>
      <c r="J764" t="str">
        <f>IF(ISBLANK(Table13[[#This Row],[Rating]]), "No", "Yes")</f>
        <v>Yes</v>
      </c>
      <c r="K764" t="str">
        <f>IF(ISBLANK(Table13[[#This Row],[Rating]]), "Not Rated", IF(Table13[[#This Row],[Rating]] &lt; 3, "Low", IF(Table13[[#This Row],[Rating]] &lt; 4, "Medium", "High")))</f>
        <v>High</v>
      </c>
      <c r="L764">
        <v>448</v>
      </c>
      <c r="M764">
        <v>45</v>
      </c>
      <c r="N764" t="str">
        <f>IF(Table13[[#This Row],[Price USD]]&lt;20,"Budget",IF(Table13[[#This Row],[Price USD]]&lt;=50,"Mid-range","Premium"))</f>
        <v>Mid-range</v>
      </c>
      <c r="O764">
        <v>0</v>
      </c>
      <c r="P764">
        <v>0</v>
      </c>
    </row>
    <row r="765" spans="1:16" x14ac:dyDescent="0.25">
      <c r="A765" t="s">
        <v>1586</v>
      </c>
      <c r="B765" t="s">
        <v>1587</v>
      </c>
      <c r="C765">
        <v>7083</v>
      </c>
      <c r="D765" t="s">
        <v>20</v>
      </c>
      <c r="E765" t="s">
        <v>13</v>
      </c>
      <c r="F765">
        <v>20586</v>
      </c>
      <c r="G7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5">
        <v>4.4633000000000003</v>
      </c>
      <c r="J765" t="str">
        <f>IF(ISBLANK(Table13[[#This Row],[Rating]]), "No", "Yes")</f>
        <v>Yes</v>
      </c>
      <c r="K765" t="str">
        <f>IF(ISBLANK(Table13[[#This Row],[Rating]]), "Not Rated", IF(Table13[[#This Row],[Rating]] &lt; 3, "Low", IF(Table13[[#This Row],[Rating]] &lt; 4, "Medium", "High")))</f>
        <v>High</v>
      </c>
      <c r="L765">
        <v>449</v>
      </c>
      <c r="M765">
        <v>28</v>
      </c>
      <c r="N765" t="str">
        <f>IF(Table13[[#This Row],[Price USD]]&lt;20,"Budget",IF(Table13[[#This Row],[Price USD]]&lt;=50,"Mid-range","Premium"))</f>
        <v>Mid-range</v>
      </c>
      <c r="O765">
        <v>0</v>
      </c>
      <c r="P765">
        <v>0</v>
      </c>
    </row>
    <row r="766" spans="1:16" x14ac:dyDescent="0.25">
      <c r="A766" t="s">
        <v>2289</v>
      </c>
      <c r="B766" t="s">
        <v>2290</v>
      </c>
      <c r="C766">
        <v>6323</v>
      </c>
      <c r="D766" t="s">
        <v>1527</v>
      </c>
      <c r="E766" t="s">
        <v>49</v>
      </c>
      <c r="F766">
        <v>11896</v>
      </c>
      <c r="G7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6">
        <v>4.5321999999999996</v>
      </c>
      <c r="J766" t="str">
        <f>IF(ISBLANK(Table13[[#This Row],[Rating]]), "No", "Yes")</f>
        <v>Yes</v>
      </c>
      <c r="K766" t="str">
        <f>IF(ISBLANK(Table13[[#This Row],[Rating]]), "Not Rated", IF(Table13[[#This Row],[Rating]] &lt; 3, "Low", IF(Table13[[#This Row],[Rating]] &lt; 4, "Medium", "High")))</f>
        <v>High</v>
      </c>
      <c r="L766">
        <v>451</v>
      </c>
      <c r="M766">
        <v>25</v>
      </c>
      <c r="N766" t="str">
        <f>IF(Table13[[#This Row],[Price USD]]&lt;20,"Budget",IF(Table13[[#This Row],[Price USD]]&lt;=50,"Mid-range","Premium"))</f>
        <v>Mid-range</v>
      </c>
      <c r="O766">
        <v>0</v>
      </c>
      <c r="P766">
        <v>0</v>
      </c>
    </row>
    <row r="767" spans="1:16" x14ac:dyDescent="0.25">
      <c r="A767" t="s">
        <v>800</v>
      </c>
      <c r="B767" t="s">
        <v>801</v>
      </c>
      <c r="C767">
        <v>3902</v>
      </c>
      <c r="D767" t="s">
        <v>72</v>
      </c>
      <c r="E767" t="s">
        <v>8</v>
      </c>
      <c r="F767">
        <v>45067</v>
      </c>
      <c r="G7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7">
        <v>3.9956</v>
      </c>
      <c r="J767" t="str">
        <f>IF(ISBLANK(Table13[[#This Row],[Rating]]), "No", "Yes")</f>
        <v>Yes</v>
      </c>
      <c r="K767" t="str">
        <f>IF(ISBLANK(Table13[[#This Row],[Rating]]), "Not Rated", IF(Table13[[#This Row],[Rating]] &lt; 3, "Low", IF(Table13[[#This Row],[Rating]] &lt; 4, "Medium", "High")))</f>
        <v>Medium</v>
      </c>
      <c r="L767">
        <v>452</v>
      </c>
      <c r="M767">
        <v>15</v>
      </c>
      <c r="N767" t="str">
        <f>IF(Table13[[#This Row],[Price USD]]&lt;20,"Budget",IF(Table13[[#This Row],[Price USD]]&lt;=50,"Mid-range","Premium"))</f>
        <v>Budget</v>
      </c>
      <c r="O767">
        <v>0</v>
      </c>
      <c r="P767">
        <v>1</v>
      </c>
    </row>
    <row r="768" spans="1:16" x14ac:dyDescent="0.25">
      <c r="A768" t="s">
        <v>1366</v>
      </c>
      <c r="B768" t="s">
        <v>1367</v>
      </c>
      <c r="C768">
        <v>8001</v>
      </c>
      <c r="D768" t="s">
        <v>27</v>
      </c>
      <c r="E768" t="s">
        <v>8</v>
      </c>
      <c r="F768">
        <v>24674</v>
      </c>
      <c r="G7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8">
        <v>4.766</v>
      </c>
      <c r="J768" t="str">
        <f>IF(ISBLANK(Table13[[#This Row],[Rating]]), "No", "Yes")</f>
        <v>Yes</v>
      </c>
      <c r="K768" t="str">
        <f>IF(ISBLANK(Table13[[#This Row],[Rating]]), "Not Rated", IF(Table13[[#This Row],[Rating]] &lt; 3, "Low", IF(Table13[[#This Row],[Rating]] &lt; 4, "Medium", "High")))</f>
        <v>High</v>
      </c>
      <c r="L768">
        <v>453</v>
      </c>
      <c r="M768">
        <v>60</v>
      </c>
      <c r="N768" t="str">
        <f>IF(Table13[[#This Row],[Price USD]]&lt;20,"Budget",IF(Table13[[#This Row],[Price USD]]&lt;=50,"Mid-range","Premium"))</f>
        <v>Premium</v>
      </c>
      <c r="O768">
        <v>0</v>
      </c>
      <c r="P768">
        <v>0</v>
      </c>
    </row>
    <row r="769" spans="1:16" x14ac:dyDescent="0.25">
      <c r="A769" t="s">
        <v>1576</v>
      </c>
      <c r="B769" t="s">
        <v>1577</v>
      </c>
      <c r="C769">
        <v>6289</v>
      </c>
      <c r="D769" t="s">
        <v>111</v>
      </c>
      <c r="E769" t="s">
        <v>8</v>
      </c>
      <c r="F769">
        <v>20730</v>
      </c>
      <c r="G7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69">
        <v>4.8242000000000003</v>
      </c>
      <c r="J769" t="str">
        <f>IF(ISBLANK(Table13[[#This Row],[Rating]]), "No", "Yes")</f>
        <v>Yes</v>
      </c>
      <c r="K769" t="str">
        <f>IF(ISBLANK(Table13[[#This Row],[Rating]]), "Not Rated", IF(Table13[[#This Row],[Rating]] &lt; 3, "Low", IF(Table13[[#This Row],[Rating]] &lt; 4, "Medium", "High")))</f>
        <v>High</v>
      </c>
      <c r="L769">
        <v>455</v>
      </c>
      <c r="M769">
        <v>69</v>
      </c>
      <c r="N769" t="str">
        <f>IF(Table13[[#This Row],[Price USD]]&lt;20,"Budget",IF(Table13[[#This Row],[Price USD]]&lt;=50,"Mid-range","Premium"))</f>
        <v>Premium</v>
      </c>
      <c r="O769">
        <v>0</v>
      </c>
      <c r="P769">
        <v>0</v>
      </c>
    </row>
    <row r="770" spans="1:16" x14ac:dyDescent="0.25">
      <c r="A770" t="s">
        <v>1516</v>
      </c>
      <c r="B770" t="s">
        <v>1517</v>
      </c>
      <c r="C770">
        <v>5987</v>
      </c>
      <c r="D770" t="s">
        <v>48</v>
      </c>
      <c r="E770" t="s">
        <v>49</v>
      </c>
      <c r="F770">
        <v>21689</v>
      </c>
      <c r="G7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0">
        <v>3.9472999999999998</v>
      </c>
      <c r="J770" t="str">
        <f>IF(ISBLANK(Table13[[#This Row],[Rating]]), "No", "Yes")</f>
        <v>Yes</v>
      </c>
      <c r="K770" t="str">
        <f>IF(ISBLANK(Table13[[#This Row],[Rating]]), "Not Rated", IF(Table13[[#This Row],[Rating]] &lt; 3, "Low", IF(Table13[[#This Row],[Rating]] &lt; 4, "Medium", "High")))</f>
        <v>Medium</v>
      </c>
      <c r="L770">
        <v>455</v>
      </c>
      <c r="M770">
        <v>38</v>
      </c>
      <c r="N770" t="str">
        <f>IF(Table13[[#This Row],[Price USD]]&lt;20,"Budget",IF(Table13[[#This Row],[Price USD]]&lt;=50,"Mid-range","Premium"))</f>
        <v>Mid-range</v>
      </c>
      <c r="O770">
        <v>0</v>
      </c>
      <c r="P770">
        <v>0</v>
      </c>
    </row>
    <row r="771" spans="1:16" x14ac:dyDescent="0.25">
      <c r="A771" t="s">
        <v>1030</v>
      </c>
      <c r="B771" t="s">
        <v>1031</v>
      </c>
      <c r="C771">
        <v>6156</v>
      </c>
      <c r="D771" t="s">
        <v>1032</v>
      </c>
      <c r="E771" t="s">
        <v>149</v>
      </c>
      <c r="F771">
        <v>35799</v>
      </c>
      <c r="G7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1">
        <v>4.4004000000000003</v>
      </c>
      <c r="J771" t="str">
        <f>IF(ISBLANK(Table13[[#This Row],[Rating]]), "No", "Yes")</f>
        <v>Yes</v>
      </c>
      <c r="K771" t="str">
        <f>IF(ISBLANK(Table13[[#This Row],[Rating]]), "Not Rated", IF(Table13[[#This Row],[Rating]] &lt; 3, "Low", IF(Table13[[#This Row],[Rating]] &lt; 4, "Medium", "High")))</f>
        <v>High</v>
      </c>
      <c r="L771">
        <v>457</v>
      </c>
      <c r="M771">
        <v>46</v>
      </c>
      <c r="N771" t="str">
        <f>IF(Table13[[#This Row],[Price USD]]&lt;20,"Budget",IF(Table13[[#This Row],[Price USD]]&lt;=50,"Mid-range","Premium"))</f>
        <v>Mid-range</v>
      </c>
      <c r="O771">
        <v>0</v>
      </c>
      <c r="P771">
        <v>0</v>
      </c>
    </row>
    <row r="772" spans="1:16" x14ac:dyDescent="0.25">
      <c r="A772" t="s">
        <v>1729</v>
      </c>
      <c r="B772" t="s">
        <v>1730</v>
      </c>
      <c r="C772">
        <v>1254</v>
      </c>
      <c r="D772" t="s">
        <v>136</v>
      </c>
      <c r="E772" t="s">
        <v>13</v>
      </c>
      <c r="F772">
        <v>17889</v>
      </c>
      <c r="G7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2">
        <v>4.3638000000000003</v>
      </c>
      <c r="J772" t="str">
        <f>IF(ISBLANK(Table13[[#This Row],[Rating]]), "No", "Yes")</f>
        <v>Yes</v>
      </c>
      <c r="K772" t="str">
        <f>IF(ISBLANK(Table13[[#This Row],[Rating]]), "Not Rated", IF(Table13[[#This Row],[Rating]] &lt; 3, "Low", IF(Table13[[#This Row],[Rating]] &lt; 4, "Medium", "High")))</f>
        <v>High</v>
      </c>
      <c r="L772">
        <v>459</v>
      </c>
      <c r="M772">
        <v>19.5</v>
      </c>
      <c r="N772" t="str">
        <f>IF(Table13[[#This Row],[Price USD]]&lt;20,"Budget",IF(Table13[[#This Row],[Price USD]]&lt;=50,"Mid-range","Premium"))</f>
        <v>Budget</v>
      </c>
      <c r="O772">
        <v>0</v>
      </c>
      <c r="P772">
        <v>0</v>
      </c>
    </row>
    <row r="773" spans="1:16" x14ac:dyDescent="0.25">
      <c r="A773" t="s">
        <v>1507</v>
      </c>
      <c r="B773" t="s">
        <v>1508</v>
      </c>
      <c r="C773">
        <v>4171</v>
      </c>
      <c r="D773" t="s">
        <v>133</v>
      </c>
      <c r="E773" t="s">
        <v>13</v>
      </c>
      <c r="F773">
        <v>21937</v>
      </c>
      <c r="G7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3">
        <v>4.0414000000000003</v>
      </c>
      <c r="J773" t="str">
        <f>IF(ISBLANK(Table13[[#This Row],[Rating]]), "No", "Yes")</f>
        <v>Yes</v>
      </c>
      <c r="K773" t="str">
        <f>IF(ISBLANK(Table13[[#This Row],[Rating]]), "Not Rated", IF(Table13[[#This Row],[Rating]] &lt; 3, "Low", IF(Table13[[#This Row],[Rating]] &lt; 4, "Medium", "High")))</f>
        <v>High</v>
      </c>
      <c r="L773">
        <v>459</v>
      </c>
      <c r="M773">
        <v>30</v>
      </c>
      <c r="N773" t="str">
        <f>IF(Table13[[#This Row],[Price USD]]&lt;20,"Budget",IF(Table13[[#This Row],[Price USD]]&lt;=50,"Mid-range","Premium"))</f>
        <v>Mid-range</v>
      </c>
      <c r="O773">
        <v>0</v>
      </c>
      <c r="P773">
        <v>0</v>
      </c>
    </row>
    <row r="774" spans="1:16" x14ac:dyDescent="0.25">
      <c r="A774" t="s">
        <v>1812</v>
      </c>
      <c r="B774" t="s">
        <v>1813</v>
      </c>
      <c r="C774">
        <v>6289</v>
      </c>
      <c r="D774" t="s">
        <v>111</v>
      </c>
      <c r="E774" t="s">
        <v>21</v>
      </c>
      <c r="F774">
        <v>16974</v>
      </c>
      <c r="G7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4">
        <v>4.2108999999999996</v>
      </c>
      <c r="J774" t="str">
        <f>IF(ISBLANK(Table13[[#This Row],[Rating]]), "No", "Yes")</f>
        <v>Yes</v>
      </c>
      <c r="K774" t="str">
        <f>IF(ISBLANK(Table13[[#This Row],[Rating]]), "Not Rated", IF(Table13[[#This Row],[Rating]] &lt; 3, "Low", IF(Table13[[#This Row],[Rating]] &lt; 4, "Medium", "High")))</f>
        <v>High</v>
      </c>
      <c r="L774">
        <v>460</v>
      </c>
      <c r="M774">
        <v>29</v>
      </c>
      <c r="N774" t="str">
        <f>IF(Table13[[#This Row],[Price USD]]&lt;20,"Budget",IF(Table13[[#This Row],[Price USD]]&lt;=50,"Mid-range","Premium"))</f>
        <v>Mid-range</v>
      </c>
      <c r="O774">
        <v>0</v>
      </c>
      <c r="P774">
        <v>0</v>
      </c>
    </row>
    <row r="775" spans="1:16" x14ac:dyDescent="0.25">
      <c r="A775" t="s">
        <v>1084</v>
      </c>
      <c r="B775" t="s">
        <v>1085</v>
      </c>
      <c r="C775">
        <v>1254</v>
      </c>
      <c r="D775" t="s">
        <v>136</v>
      </c>
      <c r="E775" t="s">
        <v>69</v>
      </c>
      <c r="F775">
        <v>33104</v>
      </c>
      <c r="G7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5">
        <v>4.4771999999999998</v>
      </c>
      <c r="J775" t="str">
        <f>IF(ISBLANK(Table13[[#This Row],[Rating]]), "No", "Yes")</f>
        <v>Yes</v>
      </c>
      <c r="K775" t="str">
        <f>IF(ISBLANK(Table13[[#This Row],[Rating]]), "Not Rated", IF(Table13[[#This Row],[Rating]] &lt; 3, "Low", IF(Table13[[#This Row],[Rating]] &lt; 4, "Medium", "High")))</f>
        <v>High</v>
      </c>
      <c r="L775">
        <v>461</v>
      </c>
      <c r="M775">
        <v>40</v>
      </c>
      <c r="N775" t="str">
        <f>IF(Table13[[#This Row],[Price USD]]&lt;20,"Budget",IF(Table13[[#This Row],[Price USD]]&lt;=50,"Mid-range","Premium"))</f>
        <v>Mid-range</v>
      </c>
      <c r="O775">
        <v>0</v>
      </c>
      <c r="P775">
        <v>0</v>
      </c>
    </row>
    <row r="776" spans="1:16" x14ac:dyDescent="0.25">
      <c r="A776" t="s">
        <v>1770</v>
      </c>
      <c r="B776" t="s">
        <v>1771</v>
      </c>
      <c r="C776">
        <v>6312</v>
      </c>
      <c r="D776" t="s">
        <v>1242</v>
      </c>
      <c r="E776" t="s">
        <v>21</v>
      </c>
      <c r="F776">
        <v>17458</v>
      </c>
      <c r="G7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6">
        <v>4.5140000000000002</v>
      </c>
      <c r="J776" t="str">
        <f>IF(ISBLANK(Table13[[#This Row],[Rating]]), "No", "Yes")</f>
        <v>Yes</v>
      </c>
      <c r="K776" t="str">
        <f>IF(ISBLANK(Table13[[#This Row],[Rating]]), "Not Rated", IF(Table13[[#This Row],[Rating]] &lt; 3, "Low", IF(Table13[[#This Row],[Rating]] &lt; 4, "Medium", "High")))</f>
        <v>High</v>
      </c>
      <c r="L776">
        <v>465</v>
      </c>
      <c r="M776">
        <v>60</v>
      </c>
      <c r="N776" t="str">
        <f>IF(Table13[[#This Row],[Price USD]]&lt;20,"Budget",IF(Table13[[#This Row],[Price USD]]&lt;=50,"Mid-range","Premium"))</f>
        <v>Premium</v>
      </c>
      <c r="O776">
        <v>0</v>
      </c>
      <c r="P776">
        <v>0</v>
      </c>
    </row>
    <row r="777" spans="1:16" x14ac:dyDescent="0.25">
      <c r="A777" t="s">
        <v>2302</v>
      </c>
      <c r="B777" t="s">
        <v>2303</v>
      </c>
      <c r="C777">
        <v>3728</v>
      </c>
      <c r="D777" t="s">
        <v>458</v>
      </c>
      <c r="E777" t="s">
        <v>13</v>
      </c>
      <c r="F777">
        <v>11835</v>
      </c>
      <c r="G7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7">
        <v>4.4935999999999998</v>
      </c>
      <c r="J777" t="str">
        <f>IF(ISBLANK(Table13[[#This Row],[Rating]]), "No", "Yes")</f>
        <v>Yes</v>
      </c>
      <c r="K777" t="str">
        <f>IF(ISBLANK(Table13[[#This Row],[Rating]]), "Not Rated", IF(Table13[[#This Row],[Rating]] &lt; 3, "Low", IF(Table13[[#This Row],[Rating]] &lt; 4, "Medium", "High")))</f>
        <v>High</v>
      </c>
      <c r="L777">
        <v>466</v>
      </c>
      <c r="M777">
        <v>68</v>
      </c>
      <c r="N777" t="str">
        <f>IF(Table13[[#This Row],[Price USD]]&lt;20,"Budget",IF(Table13[[#This Row],[Price USD]]&lt;=50,"Mid-range","Premium"))</f>
        <v>Premium</v>
      </c>
      <c r="O777">
        <v>0</v>
      </c>
      <c r="P777">
        <v>0</v>
      </c>
    </row>
    <row r="778" spans="1:16" x14ac:dyDescent="0.25">
      <c r="A778" t="s">
        <v>1350</v>
      </c>
      <c r="B778" t="s">
        <v>451</v>
      </c>
      <c r="C778">
        <v>3902</v>
      </c>
      <c r="D778" t="s">
        <v>72</v>
      </c>
      <c r="E778" t="s">
        <v>4</v>
      </c>
      <c r="F778">
        <v>24932</v>
      </c>
      <c r="G7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8">
        <v>4.5128000000000004</v>
      </c>
      <c r="J778" t="str">
        <f>IF(ISBLANK(Table13[[#This Row],[Rating]]), "No", "Yes")</f>
        <v>Yes</v>
      </c>
      <c r="K778" t="str">
        <f>IF(ISBLANK(Table13[[#This Row],[Rating]]), "Not Rated", IF(Table13[[#This Row],[Rating]] &lt; 3, "Low", IF(Table13[[#This Row],[Rating]] &lt; 4, "Medium", "High")))</f>
        <v>High</v>
      </c>
      <c r="L778">
        <v>470</v>
      </c>
      <c r="M778">
        <v>7</v>
      </c>
      <c r="N778" t="str">
        <f>IF(Table13[[#This Row],[Price USD]]&lt;20,"Budget",IF(Table13[[#This Row],[Price USD]]&lt;=50,"Mid-range","Premium"))</f>
        <v>Budget</v>
      </c>
      <c r="O778">
        <v>0</v>
      </c>
      <c r="P778">
        <v>0</v>
      </c>
    </row>
    <row r="779" spans="1:16" x14ac:dyDescent="0.25">
      <c r="A779" t="s">
        <v>2240</v>
      </c>
      <c r="B779" t="s">
        <v>2241</v>
      </c>
      <c r="C779">
        <v>6219</v>
      </c>
      <c r="D779" t="s">
        <v>277</v>
      </c>
      <c r="E779" t="s">
        <v>21</v>
      </c>
      <c r="F779">
        <v>12290</v>
      </c>
      <c r="G7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79">
        <v>4.6055000000000001</v>
      </c>
      <c r="J779" t="str">
        <f>IF(ISBLANK(Table13[[#This Row],[Rating]]), "No", "Yes")</f>
        <v>Yes</v>
      </c>
      <c r="K779" t="str">
        <f>IF(ISBLANK(Table13[[#This Row],[Rating]]), "Not Rated", IF(Table13[[#This Row],[Rating]] &lt; 3, "Low", IF(Table13[[#This Row],[Rating]] &lt; 4, "Medium", "High")))</f>
        <v>High</v>
      </c>
      <c r="L779">
        <v>474</v>
      </c>
      <c r="M779">
        <v>74</v>
      </c>
      <c r="N779" t="str">
        <f>IF(Table13[[#This Row],[Price USD]]&lt;20,"Budget",IF(Table13[[#This Row],[Price USD]]&lt;=50,"Mid-range","Premium"))</f>
        <v>Premium</v>
      </c>
      <c r="O779">
        <v>0</v>
      </c>
      <c r="P779">
        <v>0</v>
      </c>
    </row>
    <row r="780" spans="1:16" x14ac:dyDescent="0.25">
      <c r="A780" t="s">
        <v>1628</v>
      </c>
      <c r="B780" t="s">
        <v>1629</v>
      </c>
      <c r="C780">
        <v>3728</v>
      </c>
      <c r="D780" t="s">
        <v>458</v>
      </c>
      <c r="E780" t="s">
        <v>8</v>
      </c>
      <c r="F780">
        <v>19631</v>
      </c>
      <c r="G7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0">
        <v>3.5567000000000002</v>
      </c>
      <c r="J780" t="str">
        <f>IF(ISBLANK(Table13[[#This Row],[Rating]]), "No", "Yes")</f>
        <v>Yes</v>
      </c>
      <c r="K780" t="str">
        <f>IF(ISBLANK(Table13[[#This Row],[Rating]]), "Not Rated", IF(Table13[[#This Row],[Rating]] &lt; 3, "Low", IF(Table13[[#This Row],[Rating]] &lt; 4, "Medium", "High")))</f>
        <v>Medium</v>
      </c>
      <c r="L780">
        <v>476</v>
      </c>
      <c r="M780">
        <v>49</v>
      </c>
      <c r="N780" t="str">
        <f>IF(Table13[[#This Row],[Price USD]]&lt;20,"Budget",IF(Table13[[#This Row],[Price USD]]&lt;=50,"Mid-range","Premium"))</f>
        <v>Mid-range</v>
      </c>
      <c r="O780">
        <v>0</v>
      </c>
      <c r="P780">
        <v>0</v>
      </c>
    </row>
    <row r="781" spans="1:16" x14ac:dyDescent="0.25">
      <c r="A781" t="s">
        <v>1572</v>
      </c>
      <c r="B781" t="s">
        <v>1573</v>
      </c>
      <c r="C781">
        <v>5857</v>
      </c>
      <c r="D781" t="s">
        <v>433</v>
      </c>
      <c r="E781" t="s">
        <v>21</v>
      </c>
      <c r="F781">
        <v>20807</v>
      </c>
      <c r="G7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1">
        <v>4.1407999999999996</v>
      </c>
      <c r="J781" t="str">
        <f>IF(ISBLANK(Table13[[#This Row],[Rating]]), "No", "Yes")</f>
        <v>Yes</v>
      </c>
      <c r="K781" t="str">
        <f>IF(ISBLANK(Table13[[#This Row],[Rating]]), "Not Rated", IF(Table13[[#This Row],[Rating]] &lt; 3, "Low", IF(Table13[[#This Row],[Rating]] &lt; 4, "Medium", "High")))</f>
        <v>High</v>
      </c>
      <c r="L781">
        <v>476</v>
      </c>
      <c r="M781">
        <v>55</v>
      </c>
      <c r="N781" t="str">
        <f>IF(Table13[[#This Row],[Price USD]]&lt;20,"Budget",IF(Table13[[#This Row],[Price USD]]&lt;=50,"Mid-range","Premium"))</f>
        <v>Premium</v>
      </c>
      <c r="O781">
        <v>0</v>
      </c>
      <c r="P781">
        <v>0</v>
      </c>
    </row>
    <row r="782" spans="1:16" x14ac:dyDescent="0.25">
      <c r="A782" t="s">
        <v>858</v>
      </c>
      <c r="B782" t="s">
        <v>859</v>
      </c>
      <c r="C782">
        <v>6117</v>
      </c>
      <c r="D782" t="s">
        <v>229</v>
      </c>
      <c r="E782" t="s">
        <v>21</v>
      </c>
      <c r="F782">
        <v>42381</v>
      </c>
      <c r="G7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2">
        <v>4.3291000000000004</v>
      </c>
      <c r="J782" t="str">
        <f>IF(ISBLANK(Table13[[#This Row],[Rating]]), "No", "Yes")</f>
        <v>Yes</v>
      </c>
      <c r="K782" t="str">
        <f>IF(ISBLANK(Table13[[#This Row],[Rating]]), "Not Rated", IF(Table13[[#This Row],[Rating]] &lt; 3, "Low", IF(Table13[[#This Row],[Rating]] &lt; 4, "Medium", "High")))</f>
        <v>High</v>
      </c>
      <c r="L782">
        <v>477</v>
      </c>
      <c r="M782">
        <v>50</v>
      </c>
      <c r="N782" t="str">
        <f>IF(Table13[[#This Row],[Price USD]]&lt;20,"Budget",IF(Table13[[#This Row],[Price USD]]&lt;=50,"Mid-range","Premium"))</f>
        <v>Mid-range</v>
      </c>
      <c r="O782">
        <v>0</v>
      </c>
      <c r="P782">
        <v>0</v>
      </c>
    </row>
    <row r="783" spans="1:16" x14ac:dyDescent="0.25">
      <c r="A783" t="s">
        <v>802</v>
      </c>
      <c r="B783" t="s">
        <v>803</v>
      </c>
      <c r="C783">
        <v>6338</v>
      </c>
      <c r="D783" t="s">
        <v>804</v>
      </c>
      <c r="E783" t="s">
        <v>8</v>
      </c>
      <c r="F783">
        <v>45008</v>
      </c>
      <c r="G7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3">
        <v>4.6486000000000001</v>
      </c>
      <c r="J783" t="str">
        <f>IF(ISBLANK(Table13[[#This Row],[Rating]]), "No", "Yes")</f>
        <v>Yes</v>
      </c>
      <c r="K783" t="str">
        <f>IF(ISBLANK(Table13[[#This Row],[Rating]]), "Not Rated", IF(Table13[[#This Row],[Rating]] &lt; 3, "Low", IF(Table13[[#This Row],[Rating]] &lt; 4, "Medium", "High")))</f>
        <v>High</v>
      </c>
      <c r="L783">
        <v>481</v>
      </c>
      <c r="M783">
        <v>38</v>
      </c>
      <c r="N783" t="str">
        <f>IF(Table13[[#This Row],[Price USD]]&lt;20,"Budget",IF(Table13[[#This Row],[Price USD]]&lt;=50,"Mid-range","Premium"))</f>
        <v>Mid-range</v>
      </c>
      <c r="O783">
        <v>0</v>
      </c>
      <c r="P783">
        <v>0</v>
      </c>
    </row>
    <row r="784" spans="1:16" x14ac:dyDescent="0.25">
      <c r="A784" t="s">
        <v>1179</v>
      </c>
      <c r="B784" t="s">
        <v>1180</v>
      </c>
      <c r="C784">
        <v>6014</v>
      </c>
      <c r="D784" t="s">
        <v>102</v>
      </c>
      <c r="E784" t="s">
        <v>49</v>
      </c>
      <c r="F784">
        <v>29897</v>
      </c>
      <c r="G7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4">
        <v>4.4336000000000002</v>
      </c>
      <c r="J784" t="str">
        <f>IF(ISBLANK(Table13[[#This Row],[Rating]]), "No", "Yes")</f>
        <v>Yes</v>
      </c>
      <c r="K784" t="str">
        <f>IF(ISBLANK(Table13[[#This Row],[Rating]]), "Not Rated", IF(Table13[[#This Row],[Rating]] &lt; 3, "Low", IF(Table13[[#This Row],[Rating]] &lt; 4, "Medium", "High")))</f>
        <v>High</v>
      </c>
      <c r="L784">
        <v>482</v>
      </c>
      <c r="M784">
        <v>40</v>
      </c>
      <c r="N784" t="str">
        <f>IF(Table13[[#This Row],[Price USD]]&lt;20,"Budget",IF(Table13[[#This Row],[Price USD]]&lt;=50,"Mid-range","Premium"))</f>
        <v>Mid-range</v>
      </c>
      <c r="O784">
        <v>0</v>
      </c>
      <c r="P784">
        <v>0</v>
      </c>
    </row>
    <row r="785" spans="1:16" x14ac:dyDescent="0.25">
      <c r="A785" t="s">
        <v>894</v>
      </c>
      <c r="B785" t="s">
        <v>895</v>
      </c>
      <c r="C785">
        <v>8001</v>
      </c>
      <c r="D785" t="s">
        <v>27</v>
      </c>
      <c r="E785" t="s">
        <v>13</v>
      </c>
      <c r="F785">
        <v>40927</v>
      </c>
      <c r="G7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5">
        <v>4.5747</v>
      </c>
      <c r="J785" t="str">
        <f>IF(ISBLANK(Table13[[#This Row],[Rating]]), "No", "Yes")</f>
        <v>Yes</v>
      </c>
      <c r="K785" t="str">
        <f>IF(ISBLANK(Table13[[#This Row],[Rating]]), "Not Rated", IF(Table13[[#This Row],[Rating]] &lt; 3, "Low", IF(Table13[[#This Row],[Rating]] &lt; 4, "Medium", "High")))</f>
        <v>High</v>
      </c>
      <c r="L785">
        <v>482</v>
      </c>
      <c r="M785">
        <v>28</v>
      </c>
      <c r="N785" t="str">
        <f>IF(Table13[[#This Row],[Price USD]]&lt;20,"Budget",IF(Table13[[#This Row],[Price USD]]&lt;=50,"Mid-range","Premium"))</f>
        <v>Mid-range</v>
      </c>
      <c r="O785">
        <v>0</v>
      </c>
      <c r="P785">
        <v>0</v>
      </c>
    </row>
    <row r="786" spans="1:16" x14ac:dyDescent="0.25">
      <c r="A786" t="s">
        <v>1004</v>
      </c>
      <c r="B786" t="s">
        <v>1005</v>
      </c>
      <c r="C786">
        <v>6041</v>
      </c>
      <c r="D786" t="s">
        <v>33</v>
      </c>
      <c r="E786" t="s">
        <v>49</v>
      </c>
      <c r="F786">
        <v>37047</v>
      </c>
      <c r="G7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6">
        <v>3.3975</v>
      </c>
      <c r="J786" t="str">
        <f>IF(ISBLANK(Table13[[#This Row],[Rating]]), "No", "Yes")</f>
        <v>Yes</v>
      </c>
      <c r="K786" t="str">
        <f>IF(ISBLANK(Table13[[#This Row],[Rating]]), "Not Rated", IF(Table13[[#This Row],[Rating]] &lt; 3, "Low", IF(Table13[[#This Row],[Rating]] &lt; 4, "Medium", "High")))</f>
        <v>Medium</v>
      </c>
      <c r="L786">
        <v>483</v>
      </c>
      <c r="M786">
        <v>62</v>
      </c>
      <c r="N786" t="str">
        <f>IF(Table13[[#This Row],[Price USD]]&lt;20,"Budget",IF(Table13[[#This Row],[Price USD]]&lt;=50,"Mid-range","Premium"))</f>
        <v>Premium</v>
      </c>
      <c r="O786">
        <v>0</v>
      </c>
      <c r="P786">
        <v>0</v>
      </c>
    </row>
    <row r="787" spans="1:16" x14ac:dyDescent="0.25">
      <c r="A787" t="s">
        <v>2414</v>
      </c>
      <c r="B787" t="s">
        <v>2415</v>
      </c>
      <c r="C787">
        <v>4164</v>
      </c>
      <c r="D787" t="s">
        <v>623</v>
      </c>
      <c r="E787" t="s">
        <v>8</v>
      </c>
      <c r="F787">
        <v>10901</v>
      </c>
      <c r="G7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7">
        <v>4.7252000000000001</v>
      </c>
      <c r="J787" t="str">
        <f>IF(ISBLANK(Table13[[#This Row],[Rating]]), "No", "Yes")</f>
        <v>Yes</v>
      </c>
      <c r="K787" t="str">
        <f>IF(ISBLANK(Table13[[#This Row],[Rating]]), "Not Rated", IF(Table13[[#This Row],[Rating]] &lt; 3, "Low", IF(Table13[[#This Row],[Rating]] &lt; 4, "Medium", "High")))</f>
        <v>High</v>
      </c>
      <c r="L787">
        <v>484</v>
      </c>
      <c r="M787">
        <v>79</v>
      </c>
      <c r="N787" t="str">
        <f>IF(Table13[[#This Row],[Price USD]]&lt;20,"Budget",IF(Table13[[#This Row],[Price USD]]&lt;=50,"Mid-range","Premium"))</f>
        <v>Premium</v>
      </c>
      <c r="O787">
        <v>0</v>
      </c>
      <c r="P787">
        <v>1</v>
      </c>
    </row>
    <row r="788" spans="1:16" x14ac:dyDescent="0.25">
      <c r="A788" t="s">
        <v>886</v>
      </c>
      <c r="B788" t="s">
        <v>887</v>
      </c>
      <c r="C788">
        <v>6247</v>
      </c>
      <c r="D788" t="s">
        <v>38</v>
      </c>
      <c r="E788" t="s">
        <v>8</v>
      </c>
      <c r="F788">
        <v>41405</v>
      </c>
      <c r="G7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8">
        <v>4.7361000000000004</v>
      </c>
      <c r="J788" t="str">
        <f>IF(ISBLANK(Table13[[#This Row],[Rating]]), "No", "Yes")</f>
        <v>Yes</v>
      </c>
      <c r="K788" t="str">
        <f>IF(ISBLANK(Table13[[#This Row],[Rating]]), "Not Rated", IF(Table13[[#This Row],[Rating]] &lt; 3, "Low", IF(Table13[[#This Row],[Rating]] &lt; 4, "Medium", "High")))</f>
        <v>High</v>
      </c>
      <c r="L788">
        <v>485</v>
      </c>
      <c r="M788">
        <v>44</v>
      </c>
      <c r="N788" t="str">
        <f>IF(Table13[[#This Row],[Price USD]]&lt;20,"Budget",IF(Table13[[#This Row],[Price USD]]&lt;=50,"Mid-range","Premium"))</f>
        <v>Mid-range</v>
      </c>
      <c r="O788">
        <v>0</v>
      </c>
      <c r="P788">
        <v>0</v>
      </c>
    </row>
    <row r="789" spans="1:16" x14ac:dyDescent="0.25">
      <c r="A789" t="s">
        <v>1566</v>
      </c>
      <c r="B789" t="s">
        <v>1567</v>
      </c>
      <c r="C789">
        <v>5922</v>
      </c>
      <c r="D789" t="s">
        <v>204</v>
      </c>
      <c r="E789" t="s">
        <v>49</v>
      </c>
      <c r="F789">
        <v>20882</v>
      </c>
      <c r="G7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89">
        <v>4.0122999999999998</v>
      </c>
      <c r="J789" t="str">
        <f>IF(ISBLANK(Table13[[#This Row],[Rating]]), "No", "Yes")</f>
        <v>Yes</v>
      </c>
      <c r="K789" t="str">
        <f>IF(ISBLANK(Table13[[#This Row],[Rating]]), "Not Rated", IF(Table13[[#This Row],[Rating]] &lt; 3, "Low", IF(Table13[[#This Row],[Rating]] &lt; 4, "Medium", "High")))</f>
        <v>High</v>
      </c>
      <c r="L789">
        <v>487</v>
      </c>
      <c r="M789">
        <v>38</v>
      </c>
      <c r="N789" t="str">
        <f>IF(Table13[[#This Row],[Price USD]]&lt;20,"Budget",IF(Table13[[#This Row],[Price USD]]&lt;=50,"Mid-range","Premium"))</f>
        <v>Mid-range</v>
      </c>
      <c r="O789">
        <v>0</v>
      </c>
      <c r="P789">
        <v>0</v>
      </c>
    </row>
    <row r="790" spans="1:16" x14ac:dyDescent="0.25">
      <c r="A790" t="s">
        <v>1360</v>
      </c>
      <c r="B790" t="s">
        <v>1361</v>
      </c>
      <c r="C790">
        <v>7083</v>
      </c>
      <c r="D790" t="s">
        <v>20</v>
      </c>
      <c r="E790" t="s">
        <v>21</v>
      </c>
      <c r="F790">
        <v>24791</v>
      </c>
      <c r="G7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0">
        <v>4.5500999999999996</v>
      </c>
      <c r="J790" t="str">
        <f>IF(ISBLANK(Table13[[#This Row],[Rating]]), "No", "Yes")</f>
        <v>Yes</v>
      </c>
      <c r="K790" t="str">
        <f>IF(ISBLANK(Table13[[#This Row],[Rating]]), "Not Rated", IF(Table13[[#This Row],[Rating]] &lt; 3, "Low", IF(Table13[[#This Row],[Rating]] &lt; 4, "Medium", "High")))</f>
        <v>High</v>
      </c>
      <c r="L790">
        <v>489</v>
      </c>
      <c r="M790">
        <v>72</v>
      </c>
      <c r="N790" t="str">
        <f>IF(Table13[[#This Row],[Price USD]]&lt;20,"Budget",IF(Table13[[#This Row],[Price USD]]&lt;=50,"Mid-range","Premium"))</f>
        <v>Premium</v>
      </c>
      <c r="O790">
        <v>0</v>
      </c>
      <c r="P790">
        <v>0</v>
      </c>
    </row>
    <row r="791" spans="1:16" x14ac:dyDescent="0.25">
      <c r="A791" t="s">
        <v>1070</v>
      </c>
      <c r="B791" t="s">
        <v>1071</v>
      </c>
      <c r="C791">
        <v>4348</v>
      </c>
      <c r="D791" t="s">
        <v>61</v>
      </c>
      <c r="E791" t="s">
        <v>69</v>
      </c>
      <c r="F791">
        <v>33687</v>
      </c>
      <c r="G7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1">
        <v>4.351</v>
      </c>
      <c r="J791" t="str">
        <f>IF(ISBLANK(Table13[[#This Row],[Rating]]), "No", "Yes")</f>
        <v>Yes</v>
      </c>
      <c r="K791" t="str">
        <f>IF(ISBLANK(Table13[[#This Row],[Rating]]), "Not Rated", IF(Table13[[#This Row],[Rating]] &lt; 3, "Low", IF(Table13[[#This Row],[Rating]] &lt; 4, "Medium", "High")))</f>
        <v>High</v>
      </c>
      <c r="L791">
        <v>490</v>
      </c>
      <c r="M791">
        <v>69</v>
      </c>
      <c r="N791" t="str">
        <f>IF(Table13[[#This Row],[Price USD]]&lt;20,"Budget",IF(Table13[[#This Row],[Price USD]]&lt;=50,"Mid-range","Premium"))</f>
        <v>Premium</v>
      </c>
      <c r="O791">
        <v>0</v>
      </c>
      <c r="P791">
        <v>0</v>
      </c>
    </row>
    <row r="792" spans="1:16" x14ac:dyDescent="0.25">
      <c r="A792" t="s">
        <v>750</v>
      </c>
      <c r="B792" t="s">
        <v>751</v>
      </c>
      <c r="C792">
        <v>6149</v>
      </c>
      <c r="D792" t="s">
        <v>752</v>
      </c>
      <c r="E792" t="s">
        <v>149</v>
      </c>
      <c r="F792">
        <v>47687</v>
      </c>
      <c r="G7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2">
        <v>4.0796000000000001</v>
      </c>
      <c r="J792" t="str">
        <f>IF(ISBLANK(Table13[[#This Row],[Rating]]), "No", "Yes")</f>
        <v>Yes</v>
      </c>
      <c r="K792" t="str">
        <f>IF(ISBLANK(Table13[[#This Row],[Rating]]), "Not Rated", IF(Table13[[#This Row],[Rating]] &lt; 3, "Low", IF(Table13[[#This Row],[Rating]] &lt; 4, "Medium", "High")))</f>
        <v>High</v>
      </c>
      <c r="L792">
        <v>490</v>
      </c>
      <c r="M792">
        <v>26</v>
      </c>
      <c r="N792" t="str">
        <f>IF(Table13[[#This Row],[Price USD]]&lt;20,"Budget",IF(Table13[[#This Row],[Price USD]]&lt;=50,"Mid-range","Premium"))</f>
        <v>Mid-range</v>
      </c>
      <c r="O792">
        <v>0</v>
      </c>
      <c r="P792">
        <v>0</v>
      </c>
    </row>
    <row r="793" spans="1:16" x14ac:dyDescent="0.25">
      <c r="A793" t="s">
        <v>2185</v>
      </c>
      <c r="B793" t="s">
        <v>2186</v>
      </c>
      <c r="C793">
        <v>6207</v>
      </c>
      <c r="D793" t="s">
        <v>914</v>
      </c>
      <c r="E793" t="s">
        <v>144</v>
      </c>
      <c r="F793">
        <v>12716</v>
      </c>
      <c r="G7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3">
        <v>4.1626000000000003</v>
      </c>
      <c r="J793" t="str">
        <f>IF(ISBLANK(Table13[[#This Row],[Rating]]), "No", "Yes")</f>
        <v>Yes</v>
      </c>
      <c r="K793" t="str">
        <f>IF(ISBLANK(Table13[[#This Row],[Rating]]), "Not Rated", IF(Table13[[#This Row],[Rating]] &lt; 3, "Low", IF(Table13[[#This Row],[Rating]] &lt; 4, "Medium", "High")))</f>
        <v>High</v>
      </c>
      <c r="L793">
        <v>492</v>
      </c>
      <c r="M793">
        <v>18</v>
      </c>
      <c r="N793" t="str">
        <f>IF(Table13[[#This Row],[Price USD]]&lt;20,"Budget",IF(Table13[[#This Row],[Price USD]]&lt;=50,"Mid-range","Premium"))</f>
        <v>Budget</v>
      </c>
      <c r="O793">
        <v>0</v>
      </c>
      <c r="P793">
        <v>0</v>
      </c>
    </row>
    <row r="794" spans="1:16" x14ac:dyDescent="0.25">
      <c r="A794" t="s">
        <v>912</v>
      </c>
      <c r="B794" t="s">
        <v>913</v>
      </c>
      <c r="C794">
        <v>6207</v>
      </c>
      <c r="D794" t="s">
        <v>914</v>
      </c>
      <c r="E794" t="s">
        <v>69</v>
      </c>
      <c r="F794">
        <v>40323</v>
      </c>
      <c r="G7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4">
        <v>4.1626000000000003</v>
      </c>
      <c r="J794" t="str">
        <f>IF(ISBLANK(Table13[[#This Row],[Rating]]), "No", "Yes")</f>
        <v>Yes</v>
      </c>
      <c r="K794" t="str">
        <f>IF(ISBLANK(Table13[[#This Row],[Rating]]), "Not Rated", IF(Table13[[#This Row],[Rating]] &lt; 3, "Low", IF(Table13[[#This Row],[Rating]] &lt; 4, "Medium", "High")))</f>
        <v>High</v>
      </c>
      <c r="L794">
        <v>492</v>
      </c>
      <c r="M794">
        <v>52</v>
      </c>
      <c r="N794" t="str">
        <f>IF(Table13[[#This Row],[Price USD]]&lt;20,"Budget",IF(Table13[[#This Row],[Price USD]]&lt;=50,"Mid-range","Premium"))</f>
        <v>Premium</v>
      </c>
      <c r="O794">
        <v>0</v>
      </c>
      <c r="P794">
        <v>0</v>
      </c>
    </row>
    <row r="795" spans="1:16" x14ac:dyDescent="0.25">
      <c r="A795" t="s">
        <v>1883</v>
      </c>
      <c r="B795" t="s">
        <v>1884</v>
      </c>
      <c r="C795">
        <v>6356</v>
      </c>
      <c r="D795" t="s">
        <v>1885</v>
      </c>
      <c r="E795" t="s">
        <v>21</v>
      </c>
      <c r="F795">
        <v>16116</v>
      </c>
      <c r="G7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5">
        <v>4.2312000000000003</v>
      </c>
      <c r="J795" t="str">
        <f>IF(ISBLANK(Table13[[#This Row],[Rating]]), "No", "Yes")</f>
        <v>Yes</v>
      </c>
      <c r="K795" t="str">
        <f>IF(ISBLANK(Table13[[#This Row],[Rating]]), "Not Rated", IF(Table13[[#This Row],[Rating]] &lt; 3, "Low", IF(Table13[[#This Row],[Rating]] &lt; 4, "Medium", "High")))</f>
        <v>High</v>
      </c>
      <c r="L795">
        <v>493</v>
      </c>
      <c r="M795">
        <v>290</v>
      </c>
      <c r="N795" t="str">
        <f>IF(Table13[[#This Row],[Price USD]]&lt;20,"Budget",IF(Table13[[#This Row],[Price USD]]&lt;=50,"Mid-range","Premium"))</f>
        <v>Premium</v>
      </c>
      <c r="O795">
        <v>0</v>
      </c>
      <c r="P795">
        <v>0</v>
      </c>
    </row>
    <row r="796" spans="1:16" x14ac:dyDescent="0.25">
      <c r="A796" t="s">
        <v>759</v>
      </c>
      <c r="B796" t="s">
        <v>760</v>
      </c>
      <c r="C796">
        <v>6247</v>
      </c>
      <c r="D796" t="s">
        <v>38</v>
      </c>
      <c r="E796" t="s">
        <v>69</v>
      </c>
      <c r="F796">
        <v>47304</v>
      </c>
      <c r="G7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6">
        <v>3.7972000000000001</v>
      </c>
      <c r="J796" t="str">
        <f>IF(ISBLANK(Table13[[#This Row],[Rating]]), "No", "Yes")</f>
        <v>Yes</v>
      </c>
      <c r="K796" t="str">
        <f>IF(ISBLANK(Table13[[#This Row],[Rating]]), "Not Rated", IF(Table13[[#This Row],[Rating]] &lt; 3, "Low", IF(Table13[[#This Row],[Rating]] &lt; 4, "Medium", "High")))</f>
        <v>Medium</v>
      </c>
      <c r="L796">
        <v>493</v>
      </c>
      <c r="M796">
        <v>54</v>
      </c>
      <c r="N796" t="str">
        <f>IF(Table13[[#This Row],[Price USD]]&lt;20,"Budget",IF(Table13[[#This Row],[Price USD]]&lt;=50,"Mid-range","Premium"))</f>
        <v>Premium</v>
      </c>
      <c r="O796">
        <v>0</v>
      </c>
      <c r="P796">
        <v>1</v>
      </c>
    </row>
    <row r="797" spans="1:16" x14ac:dyDescent="0.25">
      <c r="A797" t="s">
        <v>1263</v>
      </c>
      <c r="B797" t="s">
        <v>1264</v>
      </c>
      <c r="C797">
        <v>3733</v>
      </c>
      <c r="D797" t="s">
        <v>124</v>
      </c>
      <c r="E797" t="s">
        <v>149</v>
      </c>
      <c r="F797">
        <v>27439</v>
      </c>
      <c r="G7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7">
        <v>4.0518999999999998</v>
      </c>
      <c r="J797" t="str">
        <f>IF(ISBLANK(Table13[[#This Row],[Rating]]), "No", "Yes")</f>
        <v>Yes</v>
      </c>
      <c r="K797" t="str">
        <f>IF(ISBLANK(Table13[[#This Row],[Rating]]), "Not Rated", IF(Table13[[#This Row],[Rating]] &lt; 3, "Low", IF(Table13[[#This Row],[Rating]] &lt; 4, "Medium", "High")))</f>
        <v>High</v>
      </c>
      <c r="L797">
        <v>501</v>
      </c>
      <c r="M797">
        <v>49</v>
      </c>
      <c r="N797" t="str">
        <f>IF(Table13[[#This Row],[Price USD]]&lt;20,"Budget",IF(Table13[[#This Row],[Price USD]]&lt;=50,"Mid-range","Premium"))</f>
        <v>Mid-range</v>
      </c>
      <c r="O797">
        <v>0</v>
      </c>
      <c r="P797">
        <v>0</v>
      </c>
    </row>
    <row r="798" spans="1:16" x14ac:dyDescent="0.25">
      <c r="A798" t="s">
        <v>1259</v>
      </c>
      <c r="B798" t="s">
        <v>1260</v>
      </c>
      <c r="C798">
        <v>6289</v>
      </c>
      <c r="D798" t="s">
        <v>111</v>
      </c>
      <c r="E798" t="s">
        <v>8</v>
      </c>
      <c r="F798">
        <v>27625</v>
      </c>
      <c r="G7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8">
        <v>4.3712999999999997</v>
      </c>
      <c r="J798" t="str">
        <f>IF(ISBLANK(Table13[[#This Row],[Rating]]), "No", "Yes")</f>
        <v>Yes</v>
      </c>
      <c r="K798" t="str">
        <f>IF(ISBLANK(Table13[[#This Row],[Rating]]), "Not Rated", IF(Table13[[#This Row],[Rating]] &lt; 3, "Low", IF(Table13[[#This Row],[Rating]] &lt; 4, "Medium", "High")))</f>
        <v>High</v>
      </c>
      <c r="L798">
        <v>501</v>
      </c>
      <c r="M798">
        <v>50</v>
      </c>
      <c r="N798" t="str">
        <f>IF(Table13[[#This Row],[Price USD]]&lt;20,"Budget",IF(Table13[[#This Row],[Price USD]]&lt;=50,"Mid-range","Premium"))</f>
        <v>Mid-range</v>
      </c>
      <c r="O798">
        <v>0</v>
      </c>
      <c r="P798">
        <v>0</v>
      </c>
    </row>
    <row r="799" spans="1:16" x14ac:dyDescent="0.25">
      <c r="A799" t="s">
        <v>2352</v>
      </c>
      <c r="B799" t="s">
        <v>2353</v>
      </c>
      <c r="C799">
        <v>4171</v>
      </c>
      <c r="D799" t="s">
        <v>133</v>
      </c>
      <c r="E799" t="s">
        <v>21</v>
      </c>
      <c r="F799">
        <v>11425</v>
      </c>
      <c r="G7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7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799">
        <v>4.0697000000000001</v>
      </c>
      <c r="J799" t="str">
        <f>IF(ISBLANK(Table13[[#This Row],[Rating]]), "No", "Yes")</f>
        <v>Yes</v>
      </c>
      <c r="K799" t="str">
        <f>IF(ISBLANK(Table13[[#This Row],[Rating]]), "Not Rated", IF(Table13[[#This Row],[Rating]] &lt; 3, "Low", IF(Table13[[#This Row],[Rating]] &lt; 4, "Medium", "High")))</f>
        <v>High</v>
      </c>
      <c r="L799">
        <v>502</v>
      </c>
      <c r="M799">
        <v>45</v>
      </c>
      <c r="N799" t="str">
        <f>IF(Table13[[#This Row],[Price USD]]&lt;20,"Budget",IF(Table13[[#This Row],[Price USD]]&lt;=50,"Mid-range","Premium"))</f>
        <v>Mid-range</v>
      </c>
      <c r="O799">
        <v>0</v>
      </c>
      <c r="P799">
        <v>0</v>
      </c>
    </row>
    <row r="800" spans="1:16" x14ac:dyDescent="0.25">
      <c r="A800" t="s">
        <v>1618</v>
      </c>
      <c r="B800" t="s">
        <v>1619</v>
      </c>
      <c r="C800">
        <v>6018</v>
      </c>
      <c r="D800" t="s">
        <v>517</v>
      </c>
      <c r="E800" t="s">
        <v>21</v>
      </c>
      <c r="F800">
        <v>19733</v>
      </c>
      <c r="G8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0">
        <v>4.2525000000000004</v>
      </c>
      <c r="J800" t="str">
        <f>IF(ISBLANK(Table13[[#This Row],[Rating]]), "No", "Yes")</f>
        <v>Yes</v>
      </c>
      <c r="K800" t="str">
        <f>IF(ISBLANK(Table13[[#This Row],[Rating]]), "Not Rated", IF(Table13[[#This Row],[Rating]] &lt; 3, "Low", IF(Table13[[#This Row],[Rating]] &lt; 4, "Medium", "High")))</f>
        <v>High</v>
      </c>
      <c r="L800">
        <v>503</v>
      </c>
      <c r="M800">
        <v>112</v>
      </c>
      <c r="N800" t="str">
        <f>IF(Table13[[#This Row],[Price USD]]&lt;20,"Budget",IF(Table13[[#This Row],[Price USD]]&lt;=50,"Mid-range","Premium"))</f>
        <v>Premium</v>
      </c>
      <c r="O800">
        <v>0</v>
      </c>
      <c r="P800">
        <v>0</v>
      </c>
    </row>
    <row r="801" spans="1:16" x14ac:dyDescent="0.25">
      <c r="A801" t="s">
        <v>1721</v>
      </c>
      <c r="B801" t="s">
        <v>1722</v>
      </c>
      <c r="C801">
        <v>6226</v>
      </c>
      <c r="D801" t="s">
        <v>843</v>
      </c>
      <c r="E801" t="s">
        <v>201</v>
      </c>
      <c r="F801">
        <v>17924</v>
      </c>
      <c r="G8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1">
        <v>4.5583999999999998</v>
      </c>
      <c r="J801" t="str">
        <f>IF(ISBLANK(Table13[[#This Row],[Rating]]), "No", "Yes")</f>
        <v>Yes</v>
      </c>
      <c r="K801" t="str">
        <f>IF(ISBLANK(Table13[[#This Row],[Rating]]), "Not Rated", IF(Table13[[#This Row],[Rating]] &lt; 3, "Low", IF(Table13[[#This Row],[Rating]] &lt; 4, "Medium", "High")))</f>
        <v>High</v>
      </c>
      <c r="L801">
        <v>505</v>
      </c>
      <c r="M801">
        <v>49</v>
      </c>
      <c r="N801" t="str">
        <f>IF(Table13[[#This Row],[Price USD]]&lt;20,"Budget",IF(Table13[[#This Row],[Price USD]]&lt;=50,"Mid-range","Premium"))</f>
        <v>Mid-range</v>
      </c>
      <c r="O801">
        <v>0</v>
      </c>
      <c r="P801">
        <v>0</v>
      </c>
    </row>
    <row r="802" spans="1:16" x14ac:dyDescent="0.25">
      <c r="A802" t="s">
        <v>1143</v>
      </c>
      <c r="B802" t="s">
        <v>1144</v>
      </c>
      <c r="C802">
        <v>5857</v>
      </c>
      <c r="D802" t="s">
        <v>433</v>
      </c>
      <c r="E802" t="s">
        <v>69</v>
      </c>
      <c r="F802">
        <v>31464</v>
      </c>
      <c r="G8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2">
        <v>4.5167999999999999</v>
      </c>
      <c r="J802" t="str">
        <f>IF(ISBLANK(Table13[[#This Row],[Rating]]), "No", "Yes")</f>
        <v>Yes</v>
      </c>
      <c r="K802" t="str">
        <f>IF(ISBLANK(Table13[[#This Row],[Rating]]), "Not Rated", IF(Table13[[#This Row],[Rating]] &lt; 3, "Low", IF(Table13[[#This Row],[Rating]] &lt; 4, "Medium", "High")))</f>
        <v>High</v>
      </c>
      <c r="L802">
        <v>505</v>
      </c>
      <c r="M802">
        <v>52</v>
      </c>
      <c r="N802" t="str">
        <f>IF(Table13[[#This Row],[Price USD]]&lt;20,"Budget",IF(Table13[[#This Row],[Price USD]]&lt;=50,"Mid-range","Premium"))</f>
        <v>Premium</v>
      </c>
      <c r="O802">
        <v>0</v>
      </c>
      <c r="P802">
        <v>0</v>
      </c>
    </row>
    <row r="803" spans="1:16" x14ac:dyDescent="0.25">
      <c r="A803" t="s">
        <v>1930</v>
      </c>
      <c r="B803" t="s">
        <v>1931</v>
      </c>
      <c r="C803">
        <v>4372</v>
      </c>
      <c r="D803" t="s">
        <v>1513</v>
      </c>
      <c r="E803" t="s">
        <v>8</v>
      </c>
      <c r="F803">
        <v>15453</v>
      </c>
      <c r="G8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3">
        <v>3.5158</v>
      </c>
      <c r="J803" t="str">
        <f>IF(ISBLANK(Table13[[#This Row],[Rating]]), "No", "Yes")</f>
        <v>Yes</v>
      </c>
      <c r="K803" t="str">
        <f>IF(ISBLANK(Table13[[#This Row],[Rating]]), "Not Rated", IF(Table13[[#This Row],[Rating]] &lt; 3, "Low", IF(Table13[[#This Row],[Rating]] &lt; 4, "Medium", "High")))</f>
        <v>Medium</v>
      </c>
      <c r="L803">
        <v>506</v>
      </c>
      <c r="M803">
        <v>89</v>
      </c>
      <c r="N803" t="str">
        <f>IF(Table13[[#This Row],[Price USD]]&lt;20,"Budget",IF(Table13[[#This Row],[Price USD]]&lt;=50,"Mid-range","Premium"))</f>
        <v>Premium</v>
      </c>
      <c r="O803">
        <v>0</v>
      </c>
      <c r="P803">
        <v>0</v>
      </c>
    </row>
    <row r="804" spans="1:16" x14ac:dyDescent="0.25">
      <c r="A804" t="s">
        <v>1273</v>
      </c>
      <c r="B804" t="s">
        <v>1274</v>
      </c>
      <c r="C804">
        <v>6018</v>
      </c>
      <c r="D804" t="s">
        <v>517</v>
      </c>
      <c r="E804" t="s">
        <v>49</v>
      </c>
      <c r="F804">
        <v>27278</v>
      </c>
      <c r="G8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4">
        <v>4.4134000000000002</v>
      </c>
      <c r="J804" t="str">
        <f>IF(ISBLANK(Table13[[#This Row],[Rating]]), "No", "Yes")</f>
        <v>Yes</v>
      </c>
      <c r="K804" t="str">
        <f>IF(ISBLANK(Table13[[#This Row],[Rating]]), "Not Rated", IF(Table13[[#This Row],[Rating]] &lt; 3, "Low", IF(Table13[[#This Row],[Rating]] &lt; 4, "Medium", "High")))</f>
        <v>High</v>
      </c>
      <c r="L804">
        <v>508</v>
      </c>
      <c r="M804">
        <v>28</v>
      </c>
      <c r="N804" t="str">
        <f>IF(Table13[[#This Row],[Price USD]]&lt;20,"Budget",IF(Table13[[#This Row],[Price USD]]&lt;=50,"Mid-range","Premium"))</f>
        <v>Mid-range</v>
      </c>
      <c r="O804">
        <v>0</v>
      </c>
      <c r="P804">
        <v>0</v>
      </c>
    </row>
    <row r="805" spans="1:16" x14ac:dyDescent="0.25">
      <c r="A805" t="s">
        <v>2246</v>
      </c>
      <c r="B805" t="s">
        <v>2247</v>
      </c>
      <c r="C805">
        <v>5715</v>
      </c>
      <c r="D805" t="s">
        <v>979</v>
      </c>
      <c r="E805" t="s">
        <v>69</v>
      </c>
      <c r="F805">
        <v>12229</v>
      </c>
      <c r="G8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5">
        <v>4.5049000000000001</v>
      </c>
      <c r="J805" t="str">
        <f>IF(ISBLANK(Table13[[#This Row],[Rating]]), "No", "Yes")</f>
        <v>Yes</v>
      </c>
      <c r="K805" t="str">
        <f>IF(ISBLANK(Table13[[#This Row],[Rating]]), "Not Rated", IF(Table13[[#This Row],[Rating]] &lt; 3, "Low", IF(Table13[[#This Row],[Rating]] &lt; 4, "Medium", "High")))</f>
        <v>High</v>
      </c>
      <c r="L805">
        <v>509</v>
      </c>
      <c r="M805">
        <v>52</v>
      </c>
      <c r="N805" t="str">
        <f>IF(Table13[[#This Row],[Price USD]]&lt;20,"Budget",IF(Table13[[#This Row],[Price USD]]&lt;=50,"Mid-range","Premium"))</f>
        <v>Premium</v>
      </c>
      <c r="O805">
        <v>0</v>
      </c>
      <c r="P805">
        <v>0</v>
      </c>
    </row>
    <row r="806" spans="1:16" x14ac:dyDescent="0.25">
      <c r="A806" t="s">
        <v>1974</v>
      </c>
      <c r="B806" t="s">
        <v>1975</v>
      </c>
      <c r="C806">
        <v>6236</v>
      </c>
      <c r="D806" t="s">
        <v>272</v>
      </c>
      <c r="E806" t="s">
        <v>149</v>
      </c>
      <c r="F806">
        <v>15008</v>
      </c>
      <c r="G8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6">
        <v>4.3216000000000001</v>
      </c>
      <c r="J806" t="str">
        <f>IF(ISBLANK(Table13[[#This Row],[Rating]]), "No", "Yes")</f>
        <v>Yes</v>
      </c>
      <c r="K806" t="str">
        <f>IF(ISBLANK(Table13[[#This Row],[Rating]]), "Not Rated", IF(Table13[[#This Row],[Rating]] &lt; 3, "Low", IF(Table13[[#This Row],[Rating]] &lt; 4, "Medium", "High")))</f>
        <v>High</v>
      </c>
      <c r="L806">
        <v>510</v>
      </c>
      <c r="M806">
        <v>70</v>
      </c>
      <c r="N806" t="str">
        <f>IF(Table13[[#This Row],[Price USD]]&lt;20,"Budget",IF(Table13[[#This Row],[Price USD]]&lt;=50,"Mid-range","Premium"))</f>
        <v>Premium</v>
      </c>
      <c r="O806">
        <v>0</v>
      </c>
      <c r="P806">
        <v>0</v>
      </c>
    </row>
    <row r="807" spans="1:16" x14ac:dyDescent="0.25">
      <c r="A807" t="s">
        <v>2220</v>
      </c>
      <c r="B807" t="s">
        <v>2221</v>
      </c>
      <c r="C807">
        <v>4164</v>
      </c>
      <c r="D807" t="s">
        <v>623</v>
      </c>
      <c r="E807" t="s">
        <v>201</v>
      </c>
      <c r="F807">
        <v>12516</v>
      </c>
      <c r="G8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7">
        <v>4.0723000000000003</v>
      </c>
      <c r="J807" t="str">
        <f>IF(ISBLANK(Table13[[#This Row],[Rating]]), "No", "Yes")</f>
        <v>Yes</v>
      </c>
      <c r="K807" t="str">
        <f>IF(ISBLANK(Table13[[#This Row],[Rating]]), "Not Rated", IF(Table13[[#This Row],[Rating]] &lt; 3, "Low", IF(Table13[[#This Row],[Rating]] &lt; 4, "Medium", "High")))</f>
        <v>High</v>
      </c>
      <c r="L807">
        <v>512</v>
      </c>
      <c r="M807">
        <v>50</v>
      </c>
      <c r="N807" t="str">
        <f>IF(Table13[[#This Row],[Price USD]]&lt;20,"Budget",IF(Table13[[#This Row],[Price USD]]&lt;=50,"Mid-range","Premium"))</f>
        <v>Mid-range</v>
      </c>
      <c r="O807">
        <v>0</v>
      </c>
      <c r="P807">
        <v>1</v>
      </c>
    </row>
    <row r="808" spans="1:16" x14ac:dyDescent="0.25">
      <c r="A808" t="s">
        <v>2038</v>
      </c>
      <c r="B808" t="s">
        <v>2039</v>
      </c>
      <c r="C808">
        <v>6318</v>
      </c>
      <c r="D808" t="s">
        <v>2040</v>
      </c>
      <c r="E808" t="s">
        <v>4</v>
      </c>
      <c r="F808">
        <v>14302</v>
      </c>
      <c r="G8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8">
        <v>4.5731000000000002</v>
      </c>
      <c r="J808" t="str">
        <f>IF(ISBLANK(Table13[[#This Row],[Rating]]), "No", "Yes")</f>
        <v>Yes</v>
      </c>
      <c r="K808" t="str">
        <f>IF(ISBLANK(Table13[[#This Row],[Rating]]), "Not Rated", IF(Table13[[#This Row],[Rating]] &lt; 3, "Low", IF(Table13[[#This Row],[Rating]] &lt; 4, "Medium", "High")))</f>
        <v>High</v>
      </c>
      <c r="L808">
        <v>513</v>
      </c>
      <c r="M808">
        <v>50</v>
      </c>
      <c r="N808" t="str">
        <f>IF(Table13[[#This Row],[Price USD]]&lt;20,"Budget",IF(Table13[[#This Row],[Price USD]]&lt;=50,"Mid-range","Premium"))</f>
        <v>Mid-range</v>
      </c>
      <c r="O808">
        <v>0</v>
      </c>
      <c r="P808">
        <v>0</v>
      </c>
    </row>
    <row r="809" spans="1:16" x14ac:dyDescent="0.25">
      <c r="A809" t="s">
        <v>1464</v>
      </c>
      <c r="B809" t="s">
        <v>1465</v>
      </c>
      <c r="C809">
        <v>6218</v>
      </c>
      <c r="D809" t="s">
        <v>116</v>
      </c>
      <c r="E809" t="s">
        <v>21</v>
      </c>
      <c r="F809">
        <v>22873</v>
      </c>
      <c r="G8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09">
        <v>4.5602999999999998</v>
      </c>
      <c r="J809" t="str">
        <f>IF(ISBLANK(Table13[[#This Row],[Rating]]), "No", "Yes")</f>
        <v>Yes</v>
      </c>
      <c r="K809" t="str">
        <f>IF(ISBLANK(Table13[[#This Row],[Rating]]), "Not Rated", IF(Table13[[#This Row],[Rating]] &lt; 3, "Low", IF(Table13[[#This Row],[Rating]] &lt; 4, "Medium", "High")))</f>
        <v>High</v>
      </c>
      <c r="L809">
        <v>514</v>
      </c>
      <c r="M809">
        <v>60</v>
      </c>
      <c r="N809" t="str">
        <f>IF(Table13[[#This Row],[Price USD]]&lt;20,"Budget",IF(Table13[[#This Row],[Price USD]]&lt;=50,"Mid-range","Premium"))</f>
        <v>Premium</v>
      </c>
      <c r="O809">
        <v>0</v>
      </c>
      <c r="P809">
        <v>0</v>
      </c>
    </row>
    <row r="810" spans="1:16" x14ac:dyDescent="0.25">
      <c r="A810" t="s">
        <v>1220</v>
      </c>
      <c r="B810" t="s">
        <v>1221</v>
      </c>
      <c r="C810">
        <v>5626</v>
      </c>
      <c r="D810" t="s">
        <v>1069</v>
      </c>
      <c r="E810" t="s">
        <v>106</v>
      </c>
      <c r="F810">
        <v>28627</v>
      </c>
      <c r="G8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0">
        <v>4.2602000000000002</v>
      </c>
      <c r="J810" t="str">
        <f>IF(ISBLANK(Table13[[#This Row],[Rating]]), "No", "Yes")</f>
        <v>Yes</v>
      </c>
      <c r="K810" t="str">
        <f>IF(ISBLANK(Table13[[#This Row],[Rating]]), "Not Rated", IF(Table13[[#This Row],[Rating]] &lt; 3, "Low", IF(Table13[[#This Row],[Rating]] &lt; 4, "Medium", "High")))</f>
        <v>High</v>
      </c>
      <c r="L810">
        <v>515</v>
      </c>
      <c r="M810">
        <v>34</v>
      </c>
      <c r="N810" t="str">
        <f>IF(Table13[[#This Row],[Price USD]]&lt;20,"Budget",IF(Table13[[#This Row],[Price USD]]&lt;=50,"Mid-range","Premium"))</f>
        <v>Mid-range</v>
      </c>
      <c r="O810">
        <v>0</v>
      </c>
      <c r="P810">
        <v>0</v>
      </c>
    </row>
    <row r="811" spans="1:16" x14ac:dyDescent="0.25">
      <c r="A811" t="s">
        <v>1956</v>
      </c>
      <c r="B811" t="s">
        <v>1957</v>
      </c>
      <c r="C811">
        <v>4164</v>
      </c>
      <c r="D811" t="s">
        <v>623</v>
      </c>
      <c r="E811" t="s">
        <v>8</v>
      </c>
      <c r="F811">
        <v>15103</v>
      </c>
      <c r="G8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1">
        <v>4.7073999999999998</v>
      </c>
      <c r="J811" t="str">
        <f>IF(ISBLANK(Table13[[#This Row],[Rating]]), "No", "Yes")</f>
        <v>Yes</v>
      </c>
      <c r="K811" t="str">
        <f>IF(ISBLANK(Table13[[#This Row],[Rating]]), "Not Rated", IF(Table13[[#This Row],[Rating]] &lt; 3, "Low", IF(Table13[[#This Row],[Rating]] &lt; 4, "Medium", "High")))</f>
        <v>High</v>
      </c>
      <c r="L811">
        <v>516</v>
      </c>
      <c r="M811">
        <v>45</v>
      </c>
      <c r="N811" t="str">
        <f>IF(Table13[[#This Row],[Price USD]]&lt;20,"Budget",IF(Table13[[#This Row],[Price USD]]&lt;=50,"Mid-range","Premium"))</f>
        <v>Mid-range</v>
      </c>
      <c r="O811">
        <v>0</v>
      </c>
      <c r="P811">
        <v>0</v>
      </c>
    </row>
    <row r="812" spans="1:16" x14ac:dyDescent="0.25">
      <c r="A812" t="s">
        <v>1126</v>
      </c>
      <c r="B812" t="s">
        <v>1127</v>
      </c>
      <c r="C812">
        <v>6285</v>
      </c>
      <c r="D812" t="s">
        <v>119</v>
      </c>
      <c r="E812" t="s">
        <v>8</v>
      </c>
      <c r="F812">
        <v>31769</v>
      </c>
      <c r="G8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2">
        <v>3.0270999999999999</v>
      </c>
      <c r="J812" t="str">
        <f>IF(ISBLANK(Table13[[#This Row],[Rating]]), "No", "Yes")</f>
        <v>Yes</v>
      </c>
      <c r="K812" t="str">
        <f>IF(ISBLANK(Table13[[#This Row],[Rating]]), "Not Rated", IF(Table13[[#This Row],[Rating]] &lt; 3, "Low", IF(Table13[[#This Row],[Rating]] &lt; 4, "Medium", "High")))</f>
        <v>Medium</v>
      </c>
      <c r="L812">
        <v>517</v>
      </c>
      <c r="M812">
        <v>10.99</v>
      </c>
      <c r="N812" t="str">
        <f>IF(Table13[[#This Row],[Price USD]]&lt;20,"Budget",IF(Table13[[#This Row],[Price USD]]&lt;=50,"Mid-range","Premium"))</f>
        <v>Budget</v>
      </c>
      <c r="O812">
        <v>0</v>
      </c>
      <c r="P812">
        <v>0</v>
      </c>
    </row>
    <row r="813" spans="1:16" x14ac:dyDescent="0.25">
      <c r="A813" t="s">
        <v>757</v>
      </c>
      <c r="B813" t="s">
        <v>758</v>
      </c>
      <c r="C813">
        <v>6195</v>
      </c>
      <c r="D813" t="s">
        <v>163</v>
      </c>
      <c r="E813" t="s">
        <v>8</v>
      </c>
      <c r="F813">
        <v>47526</v>
      </c>
      <c r="G8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3">
        <v>4.4721000000000002</v>
      </c>
      <c r="J813" t="str">
        <f>IF(ISBLANK(Table13[[#This Row],[Rating]]), "No", "Yes")</f>
        <v>Yes</v>
      </c>
      <c r="K813" t="str">
        <f>IF(ISBLANK(Table13[[#This Row],[Rating]]), "Not Rated", IF(Table13[[#This Row],[Rating]] &lt; 3, "Low", IF(Table13[[#This Row],[Rating]] &lt; 4, "Medium", "High")))</f>
        <v>High</v>
      </c>
      <c r="L813">
        <v>519</v>
      </c>
      <c r="M813">
        <v>68</v>
      </c>
      <c r="N813" t="str">
        <f>IF(Table13[[#This Row],[Price USD]]&lt;20,"Budget",IF(Table13[[#This Row],[Price USD]]&lt;=50,"Mid-range","Premium"))</f>
        <v>Premium</v>
      </c>
      <c r="O813">
        <v>0</v>
      </c>
      <c r="P813">
        <v>0</v>
      </c>
    </row>
    <row r="814" spans="1:16" x14ac:dyDescent="0.25">
      <c r="A814" t="s">
        <v>1346</v>
      </c>
      <c r="B814" t="s">
        <v>1347</v>
      </c>
      <c r="C814">
        <v>2082</v>
      </c>
      <c r="D814" t="s">
        <v>594</v>
      </c>
      <c r="E814" t="s">
        <v>13</v>
      </c>
      <c r="F814">
        <v>25054</v>
      </c>
      <c r="G8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4">
        <v>4.6138000000000003</v>
      </c>
      <c r="J814" t="str">
        <f>IF(ISBLANK(Table13[[#This Row],[Rating]]), "No", "Yes")</f>
        <v>Yes</v>
      </c>
      <c r="K814" t="str">
        <f>IF(ISBLANK(Table13[[#This Row],[Rating]]), "Not Rated", IF(Table13[[#This Row],[Rating]] &lt; 3, "Low", IF(Table13[[#This Row],[Rating]] &lt; 4, "Medium", "High")))</f>
        <v>High</v>
      </c>
      <c r="L814">
        <v>523</v>
      </c>
      <c r="M814">
        <v>39</v>
      </c>
      <c r="N814" t="str">
        <f>IF(Table13[[#This Row],[Price USD]]&lt;20,"Budget",IF(Table13[[#This Row],[Price USD]]&lt;=50,"Mid-range","Premium"))</f>
        <v>Mid-range</v>
      </c>
      <c r="O814">
        <v>0</v>
      </c>
      <c r="P814">
        <v>0</v>
      </c>
    </row>
    <row r="815" spans="1:16" x14ac:dyDescent="0.25">
      <c r="A815" t="s">
        <v>1305</v>
      </c>
      <c r="B815" t="s">
        <v>1306</v>
      </c>
      <c r="C815">
        <v>3902</v>
      </c>
      <c r="D815" t="s">
        <v>72</v>
      </c>
      <c r="E815" t="s">
        <v>13</v>
      </c>
      <c r="F815">
        <v>26264</v>
      </c>
      <c r="G8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5">
        <v>2.5640999999999998</v>
      </c>
      <c r="J815" t="str">
        <f>IF(ISBLANK(Table13[[#This Row],[Rating]]), "No", "Yes")</f>
        <v>Yes</v>
      </c>
      <c r="K815" t="str">
        <f>IF(ISBLANK(Table13[[#This Row],[Rating]]), "Not Rated", IF(Table13[[#This Row],[Rating]] &lt; 3, "Low", IF(Table13[[#This Row],[Rating]] &lt; 4, "Medium", "High")))</f>
        <v>Low</v>
      </c>
      <c r="L815">
        <v>523</v>
      </c>
      <c r="M815">
        <v>6</v>
      </c>
      <c r="N815" t="str">
        <f>IF(Table13[[#This Row],[Price USD]]&lt;20,"Budget",IF(Table13[[#This Row],[Price USD]]&lt;=50,"Mid-range","Premium"))</f>
        <v>Budget</v>
      </c>
      <c r="O815">
        <v>0</v>
      </c>
      <c r="P815">
        <v>0</v>
      </c>
    </row>
    <row r="816" spans="1:16" x14ac:dyDescent="0.25">
      <c r="A816" t="s">
        <v>1644</v>
      </c>
      <c r="B816" t="s">
        <v>1645</v>
      </c>
      <c r="C816">
        <v>6218</v>
      </c>
      <c r="D816" t="s">
        <v>116</v>
      </c>
      <c r="E816" t="s">
        <v>144</v>
      </c>
      <c r="F816">
        <v>19428</v>
      </c>
      <c r="G8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6">
        <v>4.5419999999999998</v>
      </c>
      <c r="J816" t="str">
        <f>IF(ISBLANK(Table13[[#This Row],[Rating]]), "No", "Yes")</f>
        <v>Yes</v>
      </c>
      <c r="K816" t="str">
        <f>IF(ISBLANK(Table13[[#This Row],[Rating]]), "Not Rated", IF(Table13[[#This Row],[Rating]] &lt; 3, "Low", IF(Table13[[#This Row],[Rating]] &lt; 4, "Medium", "High")))</f>
        <v>High</v>
      </c>
      <c r="L816">
        <v>524</v>
      </c>
      <c r="M816">
        <v>25</v>
      </c>
      <c r="N816" t="str">
        <f>IF(Table13[[#This Row],[Price USD]]&lt;20,"Budget",IF(Table13[[#This Row],[Price USD]]&lt;=50,"Mid-range","Premium"))</f>
        <v>Mid-range</v>
      </c>
      <c r="O816">
        <v>0</v>
      </c>
      <c r="P816">
        <v>0</v>
      </c>
    </row>
    <row r="817" spans="1:16" x14ac:dyDescent="0.25">
      <c r="A817" t="s">
        <v>1847</v>
      </c>
      <c r="B817" t="s">
        <v>1848</v>
      </c>
      <c r="C817">
        <v>6073</v>
      </c>
      <c r="D817" t="s">
        <v>78</v>
      </c>
      <c r="E817" t="s">
        <v>21</v>
      </c>
      <c r="F817">
        <v>16576</v>
      </c>
      <c r="G8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7">
        <v>4.6660000000000004</v>
      </c>
      <c r="J817" t="str">
        <f>IF(ISBLANK(Table13[[#This Row],[Rating]]), "No", "Yes")</f>
        <v>Yes</v>
      </c>
      <c r="K817" t="str">
        <f>IF(ISBLANK(Table13[[#This Row],[Rating]]), "Not Rated", IF(Table13[[#This Row],[Rating]] &lt; 3, "Low", IF(Table13[[#This Row],[Rating]] &lt; 4, "Medium", "High")))</f>
        <v>High</v>
      </c>
      <c r="L817">
        <v>527</v>
      </c>
      <c r="M817">
        <v>65</v>
      </c>
      <c r="N817" t="str">
        <f>IF(Table13[[#This Row],[Price USD]]&lt;20,"Budget",IF(Table13[[#This Row],[Price USD]]&lt;=50,"Mid-range","Premium"))</f>
        <v>Premium</v>
      </c>
      <c r="O817">
        <v>0</v>
      </c>
      <c r="P817">
        <v>0</v>
      </c>
    </row>
    <row r="818" spans="1:16" x14ac:dyDescent="0.25">
      <c r="A818" t="s">
        <v>990</v>
      </c>
      <c r="B818" t="s">
        <v>991</v>
      </c>
      <c r="C818">
        <v>5987</v>
      </c>
      <c r="D818" t="s">
        <v>48</v>
      </c>
      <c r="E818" t="s">
        <v>21</v>
      </c>
      <c r="F818">
        <v>37695</v>
      </c>
      <c r="G8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8">
        <v>3.4003999999999999</v>
      </c>
      <c r="J818" t="str">
        <f>IF(ISBLANK(Table13[[#This Row],[Rating]]), "No", "Yes")</f>
        <v>Yes</v>
      </c>
      <c r="K818" t="str">
        <f>IF(ISBLANK(Table13[[#This Row],[Rating]]), "Not Rated", IF(Table13[[#This Row],[Rating]] &lt; 3, "Low", IF(Table13[[#This Row],[Rating]] &lt; 4, "Medium", "High")))</f>
        <v>Medium</v>
      </c>
      <c r="L818">
        <v>527</v>
      </c>
      <c r="M818">
        <v>44</v>
      </c>
      <c r="N818" t="str">
        <f>IF(Table13[[#This Row],[Price USD]]&lt;20,"Budget",IF(Table13[[#This Row],[Price USD]]&lt;=50,"Mid-range","Premium"))</f>
        <v>Mid-range</v>
      </c>
      <c r="O818">
        <v>0</v>
      </c>
      <c r="P818">
        <v>0</v>
      </c>
    </row>
    <row r="819" spans="1:16" x14ac:dyDescent="0.25">
      <c r="A819" t="s">
        <v>744</v>
      </c>
      <c r="B819" t="s">
        <v>745</v>
      </c>
      <c r="C819">
        <v>5674</v>
      </c>
      <c r="D819" t="s">
        <v>141</v>
      </c>
      <c r="E819" t="s">
        <v>13</v>
      </c>
      <c r="F819">
        <v>48054</v>
      </c>
      <c r="G8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19">
        <v>4.2371999999999996</v>
      </c>
      <c r="J819" t="str">
        <f>IF(ISBLANK(Table13[[#This Row],[Rating]]), "No", "Yes")</f>
        <v>Yes</v>
      </c>
      <c r="K819" t="str">
        <f>IF(ISBLANK(Table13[[#This Row],[Rating]]), "Not Rated", IF(Table13[[#This Row],[Rating]] &lt; 3, "Low", IF(Table13[[#This Row],[Rating]] &lt; 4, "Medium", "High")))</f>
        <v>High</v>
      </c>
      <c r="L819">
        <v>527</v>
      </c>
      <c r="M819">
        <v>33</v>
      </c>
      <c r="N819" t="str">
        <f>IF(Table13[[#This Row],[Price USD]]&lt;20,"Budget",IF(Table13[[#This Row],[Price USD]]&lt;=50,"Mid-range","Premium"))</f>
        <v>Mid-range</v>
      </c>
      <c r="O819">
        <v>0</v>
      </c>
      <c r="P819">
        <v>0</v>
      </c>
    </row>
    <row r="820" spans="1:16" x14ac:dyDescent="0.25">
      <c r="A820" t="s">
        <v>1320</v>
      </c>
      <c r="B820" t="s">
        <v>1321</v>
      </c>
      <c r="C820">
        <v>4348</v>
      </c>
      <c r="D820" t="s">
        <v>61</v>
      </c>
      <c r="E820" t="s">
        <v>4</v>
      </c>
      <c r="F820">
        <v>26121</v>
      </c>
      <c r="G8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0">
        <v>4.0833000000000004</v>
      </c>
      <c r="J820" t="str">
        <f>IF(ISBLANK(Table13[[#This Row],[Rating]]), "No", "Yes")</f>
        <v>Yes</v>
      </c>
      <c r="K820" t="str">
        <f>IF(ISBLANK(Table13[[#This Row],[Rating]]), "Not Rated", IF(Table13[[#This Row],[Rating]] &lt; 3, "Low", IF(Table13[[#This Row],[Rating]] &lt; 4, "Medium", "High")))</f>
        <v>High</v>
      </c>
      <c r="L820">
        <v>528</v>
      </c>
      <c r="M820">
        <v>25</v>
      </c>
      <c r="N820" t="str">
        <f>IF(Table13[[#This Row],[Price USD]]&lt;20,"Budget",IF(Table13[[#This Row],[Price USD]]&lt;=50,"Mid-range","Premium"))</f>
        <v>Mid-range</v>
      </c>
      <c r="O820">
        <v>0</v>
      </c>
      <c r="P820">
        <v>0</v>
      </c>
    </row>
    <row r="821" spans="1:16" x14ac:dyDescent="0.25">
      <c r="A821" t="s">
        <v>943</v>
      </c>
      <c r="B821" t="s">
        <v>944</v>
      </c>
      <c r="C821">
        <v>6195</v>
      </c>
      <c r="D821" t="s">
        <v>163</v>
      </c>
      <c r="E821" t="s">
        <v>13</v>
      </c>
      <c r="F821">
        <v>39366</v>
      </c>
      <c r="G8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1">
        <v>4.4071999999999996</v>
      </c>
      <c r="J821" t="str">
        <f>IF(ISBLANK(Table13[[#This Row],[Rating]]), "No", "Yes")</f>
        <v>Yes</v>
      </c>
      <c r="K821" t="str">
        <f>IF(ISBLANK(Table13[[#This Row],[Rating]]), "Not Rated", IF(Table13[[#This Row],[Rating]] &lt; 3, "Low", IF(Table13[[#This Row],[Rating]] &lt; 4, "Medium", "High")))</f>
        <v>High</v>
      </c>
      <c r="L821">
        <v>528</v>
      </c>
      <c r="M821">
        <v>28</v>
      </c>
      <c r="N821" t="str">
        <f>IF(Table13[[#This Row],[Price USD]]&lt;20,"Budget",IF(Table13[[#This Row],[Price USD]]&lt;=50,"Mid-range","Premium"))</f>
        <v>Mid-range</v>
      </c>
      <c r="O821">
        <v>0</v>
      </c>
      <c r="P821">
        <v>0</v>
      </c>
    </row>
    <row r="822" spans="1:16" x14ac:dyDescent="0.25">
      <c r="A822" t="s">
        <v>1047</v>
      </c>
      <c r="B822" t="s">
        <v>1048</v>
      </c>
      <c r="C822">
        <v>8001</v>
      </c>
      <c r="D822" t="s">
        <v>27</v>
      </c>
      <c r="E822" t="s">
        <v>21</v>
      </c>
      <c r="F822">
        <v>34646</v>
      </c>
      <c r="G8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2">
        <v>4.4348000000000001</v>
      </c>
      <c r="J822" t="str">
        <f>IF(ISBLANK(Table13[[#This Row],[Rating]]), "No", "Yes")</f>
        <v>Yes</v>
      </c>
      <c r="K822" t="str">
        <f>IF(ISBLANK(Table13[[#This Row],[Rating]]), "Not Rated", IF(Table13[[#This Row],[Rating]] &lt; 3, "Low", IF(Table13[[#This Row],[Rating]] &lt; 4, "Medium", "High")))</f>
        <v>High</v>
      </c>
      <c r="L822">
        <v>529</v>
      </c>
      <c r="M822">
        <v>34</v>
      </c>
      <c r="N822" t="str">
        <f>IF(Table13[[#This Row],[Price USD]]&lt;20,"Budget",IF(Table13[[#This Row],[Price USD]]&lt;=50,"Mid-range","Premium"))</f>
        <v>Mid-range</v>
      </c>
      <c r="O822">
        <v>0</v>
      </c>
      <c r="P822">
        <v>0</v>
      </c>
    </row>
    <row r="823" spans="1:16" x14ac:dyDescent="0.25">
      <c r="A823" t="s">
        <v>2236</v>
      </c>
      <c r="B823" t="s">
        <v>2237</v>
      </c>
      <c r="C823">
        <v>5922</v>
      </c>
      <c r="D823" t="s">
        <v>204</v>
      </c>
      <c r="E823" t="s">
        <v>8</v>
      </c>
      <c r="F823">
        <v>12342</v>
      </c>
      <c r="G8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3">
        <v>4.3955000000000002</v>
      </c>
      <c r="J823" t="str">
        <f>IF(ISBLANK(Table13[[#This Row],[Rating]]), "No", "Yes")</f>
        <v>Yes</v>
      </c>
      <c r="K823" t="str">
        <f>IF(ISBLANK(Table13[[#This Row],[Rating]]), "Not Rated", IF(Table13[[#This Row],[Rating]] &lt; 3, "Low", IF(Table13[[#This Row],[Rating]] &lt; 4, "Medium", "High")))</f>
        <v>High</v>
      </c>
      <c r="L823">
        <v>531</v>
      </c>
      <c r="M823">
        <v>66</v>
      </c>
      <c r="N823" t="str">
        <f>IF(Table13[[#This Row],[Price USD]]&lt;20,"Budget",IF(Table13[[#This Row],[Price USD]]&lt;=50,"Mid-range","Premium"))</f>
        <v>Premium</v>
      </c>
      <c r="O823">
        <v>0</v>
      </c>
      <c r="P823">
        <v>0</v>
      </c>
    </row>
    <row r="824" spans="1:16" x14ac:dyDescent="0.25">
      <c r="A824" t="s">
        <v>1148</v>
      </c>
      <c r="B824" t="s">
        <v>1149</v>
      </c>
      <c r="C824">
        <v>3728</v>
      </c>
      <c r="D824" t="s">
        <v>458</v>
      </c>
      <c r="E824" t="s">
        <v>69</v>
      </c>
      <c r="F824">
        <v>31288</v>
      </c>
      <c r="G8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4">
        <v>4.1989000000000001</v>
      </c>
      <c r="J824" t="str">
        <f>IF(ISBLANK(Table13[[#This Row],[Rating]]), "No", "Yes")</f>
        <v>Yes</v>
      </c>
      <c r="K824" t="str">
        <f>IF(ISBLANK(Table13[[#This Row],[Rating]]), "Not Rated", IF(Table13[[#This Row],[Rating]] &lt; 3, "Low", IF(Table13[[#This Row],[Rating]] &lt; 4, "Medium", "High")))</f>
        <v>High</v>
      </c>
      <c r="L824">
        <v>533</v>
      </c>
      <c r="M824">
        <v>55</v>
      </c>
      <c r="N824" t="str">
        <f>IF(Table13[[#This Row],[Price USD]]&lt;20,"Budget",IF(Table13[[#This Row],[Price USD]]&lt;=50,"Mid-range","Premium"))</f>
        <v>Premium</v>
      </c>
      <c r="O824">
        <v>0</v>
      </c>
      <c r="P824">
        <v>0</v>
      </c>
    </row>
    <row r="825" spans="1:16" x14ac:dyDescent="0.25">
      <c r="A825" t="s">
        <v>1120</v>
      </c>
      <c r="B825" t="s">
        <v>1121</v>
      </c>
      <c r="C825">
        <v>6189</v>
      </c>
      <c r="D825" t="s">
        <v>30</v>
      </c>
      <c r="E825" t="s">
        <v>8</v>
      </c>
      <c r="F825">
        <v>31946</v>
      </c>
      <c r="G8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5">
        <v>4.6859999999999999</v>
      </c>
      <c r="J825" t="str">
        <f>IF(ISBLANK(Table13[[#This Row],[Rating]]), "No", "Yes")</f>
        <v>Yes</v>
      </c>
      <c r="K825" t="str">
        <f>IF(ISBLANK(Table13[[#This Row],[Rating]]), "Not Rated", IF(Table13[[#This Row],[Rating]] &lt; 3, "Low", IF(Table13[[#This Row],[Rating]] &lt; 4, "Medium", "High")))</f>
        <v>High</v>
      </c>
      <c r="L825">
        <v>535</v>
      </c>
      <c r="M825">
        <v>32</v>
      </c>
      <c r="N825" t="str">
        <f>IF(Table13[[#This Row],[Price USD]]&lt;20,"Budget",IF(Table13[[#This Row],[Price USD]]&lt;=50,"Mid-range","Premium"))</f>
        <v>Mid-range</v>
      </c>
      <c r="O825">
        <v>1</v>
      </c>
      <c r="P825">
        <v>0</v>
      </c>
    </row>
    <row r="826" spans="1:16" x14ac:dyDescent="0.25">
      <c r="A826" t="s">
        <v>1408</v>
      </c>
      <c r="B826" t="s">
        <v>1409</v>
      </c>
      <c r="C826">
        <v>3728</v>
      </c>
      <c r="D826" t="s">
        <v>458</v>
      </c>
      <c r="E826" t="s">
        <v>69</v>
      </c>
      <c r="F826">
        <v>23860</v>
      </c>
      <c r="G8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6">
        <v>4.3723999999999998</v>
      </c>
      <c r="J826" t="str">
        <f>IF(ISBLANK(Table13[[#This Row],[Rating]]), "No", "Yes")</f>
        <v>Yes</v>
      </c>
      <c r="K826" t="str">
        <f>IF(ISBLANK(Table13[[#This Row],[Rating]]), "Not Rated", IF(Table13[[#This Row],[Rating]] &lt; 3, "Low", IF(Table13[[#This Row],[Rating]] &lt; 4, "Medium", "High")))</f>
        <v>High</v>
      </c>
      <c r="L826">
        <v>537</v>
      </c>
      <c r="M826">
        <v>60</v>
      </c>
      <c r="N826" t="str">
        <f>IF(Table13[[#This Row],[Price USD]]&lt;20,"Budget",IF(Table13[[#This Row],[Price USD]]&lt;=50,"Mid-range","Premium"))</f>
        <v>Premium</v>
      </c>
      <c r="O826">
        <v>0</v>
      </c>
      <c r="P826">
        <v>0</v>
      </c>
    </row>
    <row r="827" spans="1:16" x14ac:dyDescent="0.25">
      <c r="A827" t="s">
        <v>1926</v>
      </c>
      <c r="B827" t="s">
        <v>1927</v>
      </c>
      <c r="C827">
        <v>6219</v>
      </c>
      <c r="D827" t="s">
        <v>277</v>
      </c>
      <c r="E827" t="s">
        <v>13</v>
      </c>
      <c r="F827">
        <v>15540</v>
      </c>
      <c r="G8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7">
        <v>4.6303000000000001</v>
      </c>
      <c r="J827" t="str">
        <f>IF(ISBLANK(Table13[[#This Row],[Rating]]), "No", "Yes")</f>
        <v>Yes</v>
      </c>
      <c r="K827" t="str">
        <f>IF(ISBLANK(Table13[[#This Row],[Rating]]), "Not Rated", IF(Table13[[#This Row],[Rating]] &lt; 3, "Low", IF(Table13[[#This Row],[Rating]] &lt; 4, "Medium", "High")))</f>
        <v>High</v>
      </c>
      <c r="L827">
        <v>541</v>
      </c>
      <c r="M827">
        <v>42</v>
      </c>
      <c r="N827" t="str">
        <f>IF(Table13[[#This Row],[Price USD]]&lt;20,"Budget",IF(Table13[[#This Row],[Price USD]]&lt;=50,"Mid-range","Premium"))</f>
        <v>Mid-range</v>
      </c>
      <c r="O827">
        <v>0</v>
      </c>
      <c r="P827">
        <v>0</v>
      </c>
    </row>
    <row r="828" spans="1:16" x14ac:dyDescent="0.25">
      <c r="A828" t="s">
        <v>1745</v>
      </c>
      <c r="B828" t="s">
        <v>1746</v>
      </c>
      <c r="C828">
        <v>4164</v>
      </c>
      <c r="D828" t="s">
        <v>623</v>
      </c>
      <c r="E828" t="s">
        <v>21</v>
      </c>
      <c r="F828">
        <v>17782</v>
      </c>
      <c r="G8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8">
        <v>3.9357000000000002</v>
      </c>
      <c r="J828" t="str">
        <f>IF(ISBLANK(Table13[[#This Row],[Rating]]), "No", "Yes")</f>
        <v>Yes</v>
      </c>
      <c r="K828" t="str">
        <f>IF(ISBLANK(Table13[[#This Row],[Rating]]), "Not Rated", IF(Table13[[#This Row],[Rating]] &lt; 3, "Low", IF(Table13[[#This Row],[Rating]] &lt; 4, "Medium", "High")))</f>
        <v>Medium</v>
      </c>
      <c r="L828">
        <v>544</v>
      </c>
      <c r="M828">
        <v>49</v>
      </c>
      <c r="N828" t="str">
        <f>IF(Table13[[#This Row],[Price USD]]&lt;20,"Budget",IF(Table13[[#This Row],[Price USD]]&lt;=50,"Mid-range","Premium"))</f>
        <v>Mid-range</v>
      </c>
      <c r="O828">
        <v>0</v>
      </c>
      <c r="P828">
        <v>0</v>
      </c>
    </row>
    <row r="829" spans="1:16" x14ac:dyDescent="0.25">
      <c r="A829" t="s">
        <v>1867</v>
      </c>
      <c r="B829" t="s">
        <v>1868</v>
      </c>
      <c r="C829">
        <v>3728</v>
      </c>
      <c r="D829" t="s">
        <v>458</v>
      </c>
      <c r="E829" t="s">
        <v>8</v>
      </c>
      <c r="F829">
        <v>16263</v>
      </c>
      <c r="G8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29">
        <v>4.6452999999999998</v>
      </c>
      <c r="J829" t="str">
        <f>IF(ISBLANK(Table13[[#This Row],[Rating]]), "No", "Yes")</f>
        <v>Yes</v>
      </c>
      <c r="K829" t="str">
        <f>IF(ISBLANK(Table13[[#This Row],[Rating]]), "Not Rated", IF(Table13[[#This Row],[Rating]] &lt; 3, "Low", IF(Table13[[#This Row],[Rating]] &lt; 4, "Medium", "High")))</f>
        <v>High</v>
      </c>
      <c r="L829">
        <v>547</v>
      </c>
      <c r="M829">
        <v>55</v>
      </c>
      <c r="N829" t="str">
        <f>IF(Table13[[#This Row],[Price USD]]&lt;20,"Budget",IF(Table13[[#This Row],[Price USD]]&lt;=50,"Mid-range","Premium"))</f>
        <v>Premium</v>
      </c>
      <c r="O829">
        <v>0</v>
      </c>
      <c r="P829">
        <v>0</v>
      </c>
    </row>
    <row r="830" spans="1:16" x14ac:dyDescent="0.25">
      <c r="A830" t="s">
        <v>1190</v>
      </c>
      <c r="B830" t="s">
        <v>1191</v>
      </c>
      <c r="C830">
        <v>1254</v>
      </c>
      <c r="D830" t="s">
        <v>136</v>
      </c>
      <c r="E830" t="s">
        <v>21</v>
      </c>
      <c r="F830">
        <v>29640</v>
      </c>
      <c r="G8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0">
        <v>4.3308999999999997</v>
      </c>
      <c r="J830" t="str">
        <f>IF(ISBLANK(Table13[[#This Row],[Rating]]), "No", "Yes")</f>
        <v>Yes</v>
      </c>
      <c r="K830" t="str">
        <f>IF(ISBLANK(Table13[[#This Row],[Rating]]), "Not Rated", IF(Table13[[#This Row],[Rating]] &lt; 3, "Low", IF(Table13[[#This Row],[Rating]] &lt; 4, "Medium", "High")))</f>
        <v>High</v>
      </c>
      <c r="L830">
        <v>550</v>
      </c>
      <c r="M830">
        <v>34.5</v>
      </c>
      <c r="N830" t="str">
        <f>IF(Table13[[#This Row],[Price USD]]&lt;20,"Budget",IF(Table13[[#This Row],[Price USD]]&lt;=50,"Mid-range","Premium"))</f>
        <v>Mid-range</v>
      </c>
      <c r="O830">
        <v>0</v>
      </c>
      <c r="P830">
        <v>0</v>
      </c>
    </row>
    <row r="831" spans="1:16" x14ac:dyDescent="0.25">
      <c r="A831" t="s">
        <v>1438</v>
      </c>
      <c r="B831" t="s">
        <v>1439</v>
      </c>
      <c r="C831">
        <v>6014</v>
      </c>
      <c r="D831" t="s">
        <v>102</v>
      </c>
      <c r="E831" t="s">
        <v>21</v>
      </c>
      <c r="F831">
        <v>23218</v>
      </c>
      <c r="G8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1">
        <v>4.4314</v>
      </c>
      <c r="J831" t="str">
        <f>IF(ISBLANK(Table13[[#This Row],[Rating]]), "No", "Yes")</f>
        <v>Yes</v>
      </c>
      <c r="K831" t="str">
        <f>IF(ISBLANK(Table13[[#This Row],[Rating]]), "Not Rated", IF(Table13[[#This Row],[Rating]] &lt; 3, "Low", IF(Table13[[#This Row],[Rating]] &lt; 4, "Medium", "High")))</f>
        <v>High</v>
      </c>
      <c r="L831">
        <v>554</v>
      </c>
      <c r="M831">
        <v>25</v>
      </c>
      <c r="N831" t="str">
        <f>IF(Table13[[#This Row],[Price USD]]&lt;20,"Budget",IF(Table13[[#This Row],[Price USD]]&lt;=50,"Mid-range","Premium"))</f>
        <v>Mid-range</v>
      </c>
      <c r="O831">
        <v>0</v>
      </c>
      <c r="P831">
        <v>1</v>
      </c>
    </row>
    <row r="832" spans="1:16" x14ac:dyDescent="0.25">
      <c r="A832" t="s">
        <v>1396</v>
      </c>
      <c r="B832" t="s">
        <v>1397</v>
      </c>
      <c r="C832">
        <v>3728</v>
      </c>
      <c r="D832" t="s">
        <v>458</v>
      </c>
      <c r="E832" t="s">
        <v>8</v>
      </c>
      <c r="F832">
        <v>24178</v>
      </c>
      <c r="G8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2">
        <v>3.4314</v>
      </c>
      <c r="J832" t="str">
        <f>IF(ISBLANK(Table13[[#This Row],[Rating]]), "No", "Yes")</f>
        <v>Yes</v>
      </c>
      <c r="K832" t="str">
        <f>IF(ISBLANK(Table13[[#This Row],[Rating]]), "Not Rated", IF(Table13[[#This Row],[Rating]] &lt; 3, "Low", IF(Table13[[#This Row],[Rating]] &lt; 4, "Medium", "High")))</f>
        <v>Medium</v>
      </c>
      <c r="L832">
        <v>554</v>
      </c>
      <c r="M832">
        <v>32</v>
      </c>
      <c r="N832" t="str">
        <f>IF(Table13[[#This Row],[Price USD]]&lt;20,"Budget",IF(Table13[[#This Row],[Price USD]]&lt;=50,"Mid-range","Premium"))</f>
        <v>Mid-range</v>
      </c>
      <c r="O832">
        <v>0</v>
      </c>
      <c r="P832">
        <v>1</v>
      </c>
    </row>
    <row r="833" spans="1:16" x14ac:dyDescent="0.25">
      <c r="A833" t="s">
        <v>1059</v>
      </c>
      <c r="B833" t="s">
        <v>1060</v>
      </c>
      <c r="C833">
        <v>8008</v>
      </c>
      <c r="D833" t="s">
        <v>105</v>
      </c>
      <c r="E833" t="s">
        <v>106</v>
      </c>
      <c r="F833">
        <v>34228</v>
      </c>
      <c r="G8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3">
        <v>3.7378999999999998</v>
      </c>
      <c r="J833" t="str">
        <f>IF(ISBLANK(Table13[[#This Row],[Rating]]), "No", "Yes")</f>
        <v>Yes</v>
      </c>
      <c r="K833" t="str">
        <f>IF(ISBLANK(Table13[[#This Row],[Rating]]), "Not Rated", IF(Table13[[#This Row],[Rating]] &lt; 3, "Low", IF(Table13[[#This Row],[Rating]] &lt; 4, "Medium", "High")))</f>
        <v>Medium</v>
      </c>
      <c r="L833">
        <v>557</v>
      </c>
      <c r="M833">
        <v>28</v>
      </c>
      <c r="N833" t="str">
        <f>IF(Table13[[#This Row],[Price USD]]&lt;20,"Budget",IF(Table13[[#This Row],[Price USD]]&lt;=50,"Mid-range","Premium"))</f>
        <v>Mid-range</v>
      </c>
      <c r="O833">
        <v>0</v>
      </c>
      <c r="P833">
        <v>0</v>
      </c>
    </row>
    <row r="834" spans="1:16" x14ac:dyDescent="0.25">
      <c r="A834" t="s">
        <v>888</v>
      </c>
      <c r="B834" t="s">
        <v>889</v>
      </c>
      <c r="C834">
        <v>6117</v>
      </c>
      <c r="D834" t="s">
        <v>229</v>
      </c>
      <c r="E834" t="s">
        <v>21</v>
      </c>
      <c r="F834">
        <v>41254</v>
      </c>
      <c r="G8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4">
        <v>4.3644999999999996</v>
      </c>
      <c r="J834" t="str">
        <f>IF(ISBLANK(Table13[[#This Row],[Rating]]), "No", "Yes")</f>
        <v>Yes</v>
      </c>
      <c r="K834" t="str">
        <f>IF(ISBLANK(Table13[[#This Row],[Rating]]), "Not Rated", IF(Table13[[#This Row],[Rating]] &lt; 3, "Low", IF(Table13[[#This Row],[Rating]] &lt; 4, "Medium", "High")))</f>
        <v>High</v>
      </c>
      <c r="L834">
        <v>557</v>
      </c>
      <c r="M834">
        <v>60</v>
      </c>
      <c r="N834" t="str">
        <f>IF(Table13[[#This Row],[Price USD]]&lt;20,"Budget",IF(Table13[[#This Row],[Price USD]]&lt;=50,"Mid-range","Premium"))</f>
        <v>Premium</v>
      </c>
      <c r="O834">
        <v>0</v>
      </c>
      <c r="P834">
        <v>0</v>
      </c>
    </row>
    <row r="835" spans="1:16" x14ac:dyDescent="0.25">
      <c r="A835" t="s">
        <v>846</v>
      </c>
      <c r="B835" t="s">
        <v>847</v>
      </c>
      <c r="C835">
        <v>6285</v>
      </c>
      <c r="D835" t="s">
        <v>119</v>
      </c>
      <c r="E835" t="s">
        <v>21</v>
      </c>
      <c r="F835">
        <v>42831</v>
      </c>
      <c r="G8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5">
        <v>4.0730000000000004</v>
      </c>
      <c r="J835" t="str">
        <f>IF(ISBLANK(Table13[[#This Row],[Rating]]), "No", "Yes")</f>
        <v>Yes</v>
      </c>
      <c r="K835" t="str">
        <f>IF(ISBLANK(Table13[[#This Row],[Rating]]), "Not Rated", IF(Table13[[#This Row],[Rating]] &lt; 3, "Low", IF(Table13[[#This Row],[Rating]] &lt; 4, "Medium", "High")))</f>
        <v>High</v>
      </c>
      <c r="L835">
        <v>562</v>
      </c>
      <c r="M835">
        <v>10.99</v>
      </c>
      <c r="N835" t="str">
        <f>IF(Table13[[#This Row],[Price USD]]&lt;20,"Budget",IF(Table13[[#This Row],[Price USD]]&lt;=50,"Mid-range","Premium"))</f>
        <v>Budget</v>
      </c>
      <c r="O835">
        <v>0</v>
      </c>
      <c r="P835">
        <v>0</v>
      </c>
    </row>
    <row r="836" spans="1:16" x14ac:dyDescent="0.25">
      <c r="A836" t="s">
        <v>1232</v>
      </c>
      <c r="B836" t="s">
        <v>1233</v>
      </c>
      <c r="C836">
        <v>3728</v>
      </c>
      <c r="D836" t="s">
        <v>458</v>
      </c>
      <c r="E836" t="s">
        <v>8</v>
      </c>
      <c r="F836">
        <v>28361</v>
      </c>
      <c r="G8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6">
        <v>4.3262</v>
      </c>
      <c r="J836" t="str">
        <f>IF(ISBLANK(Table13[[#This Row],[Rating]]), "No", "Yes")</f>
        <v>Yes</v>
      </c>
      <c r="K836" t="str">
        <f>IF(ISBLANK(Table13[[#This Row],[Rating]]), "Not Rated", IF(Table13[[#This Row],[Rating]] &lt; 3, "Low", IF(Table13[[#This Row],[Rating]] &lt; 4, "Medium", "High")))</f>
        <v>High</v>
      </c>
      <c r="L836">
        <v>564</v>
      </c>
      <c r="M836">
        <v>65</v>
      </c>
      <c r="N836" t="str">
        <f>IF(Table13[[#This Row],[Price USD]]&lt;20,"Budget",IF(Table13[[#This Row],[Price USD]]&lt;=50,"Mid-range","Premium"))</f>
        <v>Premium</v>
      </c>
      <c r="O836">
        <v>0</v>
      </c>
      <c r="P836">
        <v>0</v>
      </c>
    </row>
    <row r="837" spans="1:16" x14ac:dyDescent="0.25">
      <c r="A837" t="s">
        <v>1384</v>
      </c>
      <c r="B837" t="s">
        <v>1385</v>
      </c>
      <c r="C837">
        <v>1254</v>
      </c>
      <c r="D837" t="s">
        <v>136</v>
      </c>
      <c r="E837" t="s">
        <v>13</v>
      </c>
      <c r="F837">
        <v>24438</v>
      </c>
      <c r="G8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7">
        <v>4.1124999999999998</v>
      </c>
      <c r="J837" t="str">
        <f>IF(ISBLANK(Table13[[#This Row],[Rating]]), "No", "Yes")</f>
        <v>Yes</v>
      </c>
      <c r="K837" t="str">
        <f>IF(ISBLANK(Table13[[#This Row],[Rating]]), "Not Rated", IF(Table13[[#This Row],[Rating]] &lt; 3, "Low", IF(Table13[[#This Row],[Rating]] &lt; 4, "Medium", "High")))</f>
        <v>High</v>
      </c>
      <c r="L837">
        <v>569</v>
      </c>
      <c r="M837">
        <v>26.5</v>
      </c>
      <c r="N837" t="str">
        <f>IF(Table13[[#This Row],[Price USD]]&lt;20,"Budget",IF(Table13[[#This Row],[Price USD]]&lt;=50,"Mid-range","Premium"))</f>
        <v>Mid-range</v>
      </c>
      <c r="O837">
        <v>0</v>
      </c>
      <c r="P837">
        <v>0</v>
      </c>
    </row>
    <row r="838" spans="1:16" x14ac:dyDescent="0.25">
      <c r="A838" t="s">
        <v>1330</v>
      </c>
      <c r="B838" t="s">
        <v>1331</v>
      </c>
      <c r="C838">
        <v>6289</v>
      </c>
      <c r="D838" t="s">
        <v>111</v>
      </c>
      <c r="E838" t="s">
        <v>21</v>
      </c>
      <c r="F838">
        <v>25515</v>
      </c>
      <c r="G8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8">
        <v>4.6502999999999997</v>
      </c>
      <c r="J838" t="str">
        <f>IF(ISBLANK(Table13[[#This Row],[Rating]]), "No", "Yes")</f>
        <v>Yes</v>
      </c>
      <c r="K838" t="str">
        <f>IF(ISBLANK(Table13[[#This Row],[Rating]]), "Not Rated", IF(Table13[[#This Row],[Rating]] &lt; 3, "Low", IF(Table13[[#This Row],[Rating]] &lt; 4, "Medium", "High")))</f>
        <v>High</v>
      </c>
      <c r="L838">
        <v>569</v>
      </c>
      <c r="M838">
        <v>42</v>
      </c>
      <c r="N838" t="str">
        <f>IF(Table13[[#This Row],[Price USD]]&lt;20,"Budget",IF(Table13[[#This Row],[Price USD]]&lt;=50,"Mid-range","Premium"))</f>
        <v>Mid-range</v>
      </c>
      <c r="O838">
        <v>0</v>
      </c>
      <c r="P838">
        <v>0</v>
      </c>
    </row>
    <row r="839" spans="1:16" x14ac:dyDescent="0.25">
      <c r="A839" t="s">
        <v>1228</v>
      </c>
      <c r="B839" t="s">
        <v>1229</v>
      </c>
      <c r="C839">
        <v>8001</v>
      </c>
      <c r="D839" t="s">
        <v>27</v>
      </c>
      <c r="E839" t="s">
        <v>149</v>
      </c>
      <c r="F839">
        <v>28506</v>
      </c>
      <c r="G8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39">
        <v>4.7118000000000002</v>
      </c>
      <c r="J839" t="str">
        <f>IF(ISBLANK(Table13[[#This Row],[Rating]]), "No", "Yes")</f>
        <v>Yes</v>
      </c>
      <c r="K839" t="str">
        <f>IF(ISBLANK(Table13[[#This Row],[Rating]]), "Not Rated", IF(Table13[[#This Row],[Rating]] &lt; 3, "Low", IF(Table13[[#This Row],[Rating]] &lt; 4, "Medium", "High")))</f>
        <v>High</v>
      </c>
      <c r="L839">
        <v>569</v>
      </c>
      <c r="M839">
        <v>45</v>
      </c>
      <c r="N839" t="str">
        <f>IF(Table13[[#This Row],[Price USD]]&lt;20,"Budget",IF(Table13[[#This Row],[Price USD]]&lt;=50,"Mid-range","Premium"))</f>
        <v>Mid-range</v>
      </c>
      <c r="O839">
        <v>0</v>
      </c>
      <c r="P839">
        <v>0</v>
      </c>
    </row>
    <row r="840" spans="1:16" x14ac:dyDescent="0.25">
      <c r="A840" t="s">
        <v>870</v>
      </c>
      <c r="B840" t="s">
        <v>871</v>
      </c>
      <c r="C840">
        <v>5987</v>
      </c>
      <c r="D840" t="s">
        <v>48</v>
      </c>
      <c r="E840" t="s">
        <v>49</v>
      </c>
      <c r="F840">
        <v>41804</v>
      </c>
      <c r="G8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0">
        <v>3.6736</v>
      </c>
      <c r="J840" t="str">
        <f>IF(ISBLANK(Table13[[#This Row],[Rating]]), "No", "Yes")</f>
        <v>Yes</v>
      </c>
      <c r="K840" t="str">
        <f>IF(ISBLANK(Table13[[#This Row],[Rating]]), "Not Rated", IF(Table13[[#This Row],[Rating]] &lt; 3, "Low", IF(Table13[[#This Row],[Rating]] &lt; 4, "Medium", "High")))</f>
        <v>Medium</v>
      </c>
      <c r="L840">
        <v>573</v>
      </c>
      <c r="M840">
        <v>46</v>
      </c>
      <c r="N840" t="str">
        <f>IF(Table13[[#This Row],[Price USD]]&lt;20,"Budget",IF(Table13[[#This Row],[Price USD]]&lt;=50,"Mid-range","Premium"))</f>
        <v>Mid-range</v>
      </c>
      <c r="O840">
        <v>0</v>
      </c>
      <c r="P840">
        <v>0</v>
      </c>
    </row>
    <row r="841" spans="1:16" x14ac:dyDescent="0.25">
      <c r="A841" t="s">
        <v>794</v>
      </c>
      <c r="B841" t="s">
        <v>795</v>
      </c>
      <c r="C841">
        <v>5674</v>
      </c>
      <c r="D841" t="s">
        <v>141</v>
      </c>
      <c r="E841" t="s">
        <v>149</v>
      </c>
      <c r="F841">
        <v>45414</v>
      </c>
      <c r="G8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1">
        <v>4.2016999999999998</v>
      </c>
      <c r="J841" t="str">
        <f>IF(ISBLANK(Table13[[#This Row],[Rating]]), "No", "Yes")</f>
        <v>Yes</v>
      </c>
      <c r="K841" t="str">
        <f>IF(ISBLANK(Table13[[#This Row],[Rating]]), "Not Rated", IF(Table13[[#This Row],[Rating]] &lt; 3, "Low", IF(Table13[[#This Row],[Rating]] &lt; 4, "Medium", "High")))</f>
        <v>High</v>
      </c>
      <c r="L841">
        <v>575</v>
      </c>
      <c r="M841">
        <v>42</v>
      </c>
      <c r="N841" t="str">
        <f>IF(Table13[[#This Row],[Price USD]]&lt;20,"Budget",IF(Table13[[#This Row],[Price USD]]&lt;=50,"Mid-range","Premium"))</f>
        <v>Mid-range</v>
      </c>
      <c r="O841">
        <v>0</v>
      </c>
      <c r="P841">
        <v>0</v>
      </c>
    </row>
    <row r="842" spans="1:16" x14ac:dyDescent="0.25">
      <c r="A842" t="s">
        <v>1477</v>
      </c>
      <c r="B842" t="s">
        <v>1478</v>
      </c>
      <c r="C842">
        <v>6218</v>
      </c>
      <c r="D842" t="s">
        <v>116</v>
      </c>
      <c r="E842" t="s">
        <v>149</v>
      </c>
      <c r="F842">
        <v>22539</v>
      </c>
      <c r="G8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2">
        <v>4.5713999999999997</v>
      </c>
      <c r="J842" t="str">
        <f>IF(ISBLANK(Table13[[#This Row],[Rating]]), "No", "Yes")</f>
        <v>Yes</v>
      </c>
      <c r="K842" t="str">
        <f>IF(ISBLANK(Table13[[#This Row],[Rating]]), "Not Rated", IF(Table13[[#This Row],[Rating]] &lt; 3, "Low", IF(Table13[[#This Row],[Rating]] &lt; 4, "Medium", "High")))</f>
        <v>High</v>
      </c>
      <c r="L842">
        <v>581</v>
      </c>
      <c r="M842">
        <v>60</v>
      </c>
      <c r="N842" t="str">
        <f>IF(Table13[[#This Row],[Price USD]]&lt;20,"Budget",IF(Table13[[#This Row],[Price USD]]&lt;=50,"Mid-range","Premium"))</f>
        <v>Premium</v>
      </c>
      <c r="O842">
        <v>0</v>
      </c>
      <c r="P842">
        <v>0</v>
      </c>
    </row>
    <row r="843" spans="1:16" x14ac:dyDescent="0.25">
      <c r="A843" t="s">
        <v>1642</v>
      </c>
      <c r="B843" t="s">
        <v>1643</v>
      </c>
      <c r="C843">
        <v>1254</v>
      </c>
      <c r="D843" t="s">
        <v>136</v>
      </c>
      <c r="E843" t="s">
        <v>21</v>
      </c>
      <c r="F843">
        <v>19437</v>
      </c>
      <c r="G8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3">
        <v>4.0050999999999997</v>
      </c>
      <c r="J843" t="str">
        <f>IF(ISBLANK(Table13[[#This Row],[Rating]]), "No", "Yes")</f>
        <v>Yes</v>
      </c>
      <c r="K843" t="str">
        <f>IF(ISBLANK(Table13[[#This Row],[Rating]]), "Not Rated", IF(Table13[[#This Row],[Rating]] &lt; 3, "Low", IF(Table13[[#This Row],[Rating]] &lt; 4, "Medium", "High")))</f>
        <v>High</v>
      </c>
      <c r="L843">
        <v>583</v>
      </c>
      <c r="M843">
        <v>56</v>
      </c>
      <c r="N843" t="str">
        <f>IF(Table13[[#This Row],[Price USD]]&lt;20,"Budget",IF(Table13[[#This Row],[Price USD]]&lt;=50,"Mid-range","Premium"))</f>
        <v>Premium</v>
      </c>
      <c r="O843">
        <v>0</v>
      </c>
      <c r="P843">
        <v>0</v>
      </c>
    </row>
    <row r="844" spans="1:16" x14ac:dyDescent="0.25">
      <c r="A844" t="s">
        <v>1010</v>
      </c>
      <c r="B844" t="s">
        <v>1011</v>
      </c>
      <c r="C844">
        <v>6169</v>
      </c>
      <c r="D844" t="s">
        <v>24</v>
      </c>
      <c r="E844" t="s">
        <v>13</v>
      </c>
      <c r="F844">
        <v>36699</v>
      </c>
      <c r="G8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4">
        <v>4.6746999999999996</v>
      </c>
      <c r="J844" t="str">
        <f>IF(ISBLANK(Table13[[#This Row],[Rating]]), "No", "Yes")</f>
        <v>Yes</v>
      </c>
      <c r="K844" t="str">
        <f>IF(ISBLANK(Table13[[#This Row],[Rating]]), "Not Rated", IF(Table13[[#This Row],[Rating]] &lt; 3, "Low", IF(Table13[[#This Row],[Rating]] &lt; 4, "Medium", "High")))</f>
        <v>High</v>
      </c>
      <c r="L844">
        <v>584</v>
      </c>
      <c r="M844">
        <v>16</v>
      </c>
      <c r="N844" t="str">
        <f>IF(Table13[[#This Row],[Price USD]]&lt;20,"Budget",IF(Table13[[#This Row],[Price USD]]&lt;=50,"Mid-range","Premium"))</f>
        <v>Budget</v>
      </c>
      <c r="O844">
        <v>0</v>
      </c>
      <c r="P844">
        <v>0</v>
      </c>
    </row>
    <row r="845" spans="1:16" x14ac:dyDescent="0.25">
      <c r="A845" t="s">
        <v>880</v>
      </c>
      <c r="B845" t="s">
        <v>881</v>
      </c>
      <c r="C845">
        <v>4164</v>
      </c>
      <c r="D845" t="s">
        <v>623</v>
      </c>
      <c r="E845" t="s">
        <v>8</v>
      </c>
      <c r="F845">
        <v>41475</v>
      </c>
      <c r="G8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5">
        <v>3.9253</v>
      </c>
      <c r="J845" t="str">
        <f>IF(ISBLANK(Table13[[#This Row],[Rating]]), "No", "Yes")</f>
        <v>Yes</v>
      </c>
      <c r="K845" t="str">
        <f>IF(ISBLANK(Table13[[#This Row],[Rating]]), "Not Rated", IF(Table13[[#This Row],[Rating]] &lt; 3, "Low", IF(Table13[[#This Row],[Rating]] &lt; 4, "Medium", "High")))</f>
        <v>Medium</v>
      </c>
      <c r="L845">
        <v>589</v>
      </c>
      <c r="M845">
        <v>26</v>
      </c>
      <c r="N845" t="str">
        <f>IF(Table13[[#This Row],[Price USD]]&lt;20,"Budget",IF(Table13[[#This Row],[Price USD]]&lt;=50,"Mid-range","Premium"))</f>
        <v>Mid-range</v>
      </c>
      <c r="O845">
        <v>0</v>
      </c>
      <c r="P845">
        <v>0</v>
      </c>
    </row>
    <row r="846" spans="1:16" x14ac:dyDescent="0.25">
      <c r="A846" t="s">
        <v>2497</v>
      </c>
      <c r="B846" t="s">
        <v>2498</v>
      </c>
      <c r="C846">
        <v>6218</v>
      </c>
      <c r="D846" t="s">
        <v>116</v>
      </c>
      <c r="E846" t="s">
        <v>8</v>
      </c>
      <c r="F846">
        <v>10302</v>
      </c>
      <c r="G8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6">
        <v>4.2194000000000003</v>
      </c>
      <c r="J846" t="str">
        <f>IF(ISBLANK(Table13[[#This Row],[Rating]]), "No", "Yes")</f>
        <v>Yes</v>
      </c>
      <c r="K846" t="str">
        <f>IF(ISBLANK(Table13[[#This Row],[Rating]]), "Not Rated", IF(Table13[[#This Row],[Rating]] &lt; 3, "Low", IF(Table13[[#This Row],[Rating]] &lt; 4, "Medium", "High")))</f>
        <v>High</v>
      </c>
      <c r="L846">
        <v>597</v>
      </c>
      <c r="M846">
        <v>60</v>
      </c>
      <c r="N846" t="str">
        <f>IF(Table13[[#This Row],[Price USD]]&lt;20,"Budget",IF(Table13[[#This Row],[Price USD]]&lt;=50,"Mid-range","Premium"))</f>
        <v>Premium</v>
      </c>
      <c r="O846">
        <v>0</v>
      </c>
      <c r="P846">
        <v>1</v>
      </c>
    </row>
    <row r="847" spans="1:16" x14ac:dyDescent="0.25">
      <c r="A847" t="s">
        <v>1538</v>
      </c>
      <c r="B847" t="s">
        <v>1539</v>
      </c>
      <c r="C847">
        <v>4348</v>
      </c>
      <c r="D847" t="s">
        <v>61</v>
      </c>
      <c r="E847" t="s">
        <v>4</v>
      </c>
      <c r="F847">
        <v>21441</v>
      </c>
      <c r="G8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7">
        <v>4.6973000000000003</v>
      </c>
      <c r="J847" t="str">
        <f>IF(ISBLANK(Table13[[#This Row],[Rating]]), "No", "Yes")</f>
        <v>Yes</v>
      </c>
      <c r="K847" t="str">
        <f>IF(ISBLANK(Table13[[#This Row],[Rating]]), "Not Rated", IF(Table13[[#This Row],[Rating]] &lt; 3, "Low", IF(Table13[[#This Row],[Rating]] &lt; 4, "Medium", "High")))</f>
        <v>High</v>
      </c>
      <c r="L847">
        <v>598</v>
      </c>
      <c r="M847">
        <v>28</v>
      </c>
      <c r="N847" t="str">
        <f>IF(Table13[[#This Row],[Price USD]]&lt;20,"Budget",IF(Table13[[#This Row],[Price USD]]&lt;=50,"Mid-range","Premium"))</f>
        <v>Mid-range</v>
      </c>
      <c r="O847">
        <v>0</v>
      </c>
      <c r="P847">
        <v>0</v>
      </c>
    </row>
    <row r="848" spans="1:16" x14ac:dyDescent="0.25">
      <c r="A848" t="s">
        <v>850</v>
      </c>
      <c r="B848" t="s">
        <v>851</v>
      </c>
      <c r="C848">
        <v>6218</v>
      </c>
      <c r="D848" t="s">
        <v>116</v>
      </c>
      <c r="E848" t="s">
        <v>8</v>
      </c>
      <c r="F848">
        <v>42766</v>
      </c>
      <c r="G8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8">
        <v>4.4916</v>
      </c>
      <c r="J848" t="str">
        <f>IF(ISBLANK(Table13[[#This Row],[Rating]]), "No", "Yes")</f>
        <v>Yes</v>
      </c>
      <c r="K848" t="str">
        <f>IF(ISBLANK(Table13[[#This Row],[Rating]]), "Not Rated", IF(Table13[[#This Row],[Rating]] &lt; 3, "Low", IF(Table13[[#This Row],[Rating]] &lt; 4, "Medium", "High")))</f>
        <v>High</v>
      </c>
      <c r="L848">
        <v>598</v>
      </c>
      <c r="M848">
        <v>65</v>
      </c>
      <c r="N848" t="str">
        <f>IF(Table13[[#This Row],[Price USD]]&lt;20,"Budget",IF(Table13[[#This Row],[Price USD]]&lt;=50,"Mid-range","Premium"))</f>
        <v>Premium</v>
      </c>
      <c r="O848">
        <v>0</v>
      </c>
      <c r="P848">
        <v>0</v>
      </c>
    </row>
    <row r="849" spans="1:16" x14ac:dyDescent="0.25">
      <c r="A849" t="s">
        <v>1968</v>
      </c>
      <c r="B849" t="s">
        <v>1969</v>
      </c>
      <c r="C849">
        <v>3728</v>
      </c>
      <c r="D849" t="s">
        <v>458</v>
      </c>
      <c r="E849" t="s">
        <v>149</v>
      </c>
      <c r="F849">
        <v>15022</v>
      </c>
      <c r="G8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49">
        <v>4.3254999999999999</v>
      </c>
      <c r="J849" t="str">
        <f>IF(ISBLANK(Table13[[#This Row],[Rating]]), "No", "Yes")</f>
        <v>Yes</v>
      </c>
      <c r="K849" t="str">
        <f>IF(ISBLANK(Table13[[#This Row],[Rating]]), "Not Rated", IF(Table13[[#This Row],[Rating]] &lt; 3, "Low", IF(Table13[[#This Row],[Rating]] &lt; 4, "Medium", "High")))</f>
        <v>High</v>
      </c>
      <c r="L849">
        <v>599</v>
      </c>
      <c r="M849">
        <v>55</v>
      </c>
      <c r="N849" t="str">
        <f>IF(Table13[[#This Row],[Price USD]]&lt;20,"Budget",IF(Table13[[#This Row],[Price USD]]&lt;=50,"Mid-range","Premium"))</f>
        <v>Premium</v>
      </c>
      <c r="O849">
        <v>0</v>
      </c>
      <c r="P849">
        <v>0</v>
      </c>
    </row>
    <row r="850" spans="1:16" x14ac:dyDescent="0.25">
      <c r="A850" t="s">
        <v>2126</v>
      </c>
      <c r="B850" t="s">
        <v>2127</v>
      </c>
      <c r="C850">
        <v>6335</v>
      </c>
      <c r="D850" t="s">
        <v>2128</v>
      </c>
      <c r="E850" t="s">
        <v>8</v>
      </c>
      <c r="F850">
        <v>13307</v>
      </c>
      <c r="G8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0">
        <v>3.9451999999999998</v>
      </c>
      <c r="J850" t="str">
        <f>IF(ISBLANK(Table13[[#This Row],[Rating]]), "No", "Yes")</f>
        <v>Yes</v>
      </c>
      <c r="K850" t="str">
        <f>IF(ISBLANK(Table13[[#This Row],[Rating]]), "Not Rated", IF(Table13[[#This Row],[Rating]] &lt; 3, "Low", IF(Table13[[#This Row],[Rating]] &lt; 4, "Medium", "High")))</f>
        <v>Medium</v>
      </c>
      <c r="L850">
        <v>602</v>
      </c>
      <c r="M850">
        <v>79</v>
      </c>
      <c r="N850" t="str">
        <f>IF(Table13[[#This Row],[Price USD]]&lt;20,"Budget",IF(Table13[[#This Row],[Price USD]]&lt;=50,"Mid-range","Premium"))</f>
        <v>Premium</v>
      </c>
      <c r="O850">
        <v>0</v>
      </c>
      <c r="P850">
        <v>0</v>
      </c>
    </row>
    <row r="851" spans="1:16" x14ac:dyDescent="0.25">
      <c r="A851" t="s">
        <v>1392</v>
      </c>
      <c r="B851" t="s">
        <v>1393</v>
      </c>
      <c r="C851">
        <v>5674</v>
      </c>
      <c r="D851" t="s">
        <v>141</v>
      </c>
      <c r="E851" t="s">
        <v>21</v>
      </c>
      <c r="F851">
        <v>24293</v>
      </c>
      <c r="G8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1">
        <v>4.8140000000000001</v>
      </c>
      <c r="J851" t="str">
        <f>IF(ISBLANK(Table13[[#This Row],[Rating]]), "No", "Yes")</f>
        <v>Yes</v>
      </c>
      <c r="K851" t="str">
        <f>IF(ISBLANK(Table13[[#This Row],[Rating]]), "Not Rated", IF(Table13[[#This Row],[Rating]] &lt; 3, "Low", IF(Table13[[#This Row],[Rating]] &lt; 4, "Medium", "High")))</f>
        <v>High</v>
      </c>
      <c r="L851">
        <v>602</v>
      </c>
      <c r="M851">
        <v>48</v>
      </c>
      <c r="N851" t="str">
        <f>IF(Table13[[#This Row],[Price USD]]&lt;20,"Budget",IF(Table13[[#This Row],[Price USD]]&lt;=50,"Mid-range","Premium"))</f>
        <v>Mid-range</v>
      </c>
      <c r="O851">
        <v>0</v>
      </c>
      <c r="P851">
        <v>0</v>
      </c>
    </row>
    <row r="852" spans="1:16" x14ac:dyDescent="0.25">
      <c r="A852" t="s">
        <v>1074</v>
      </c>
      <c r="B852" t="s">
        <v>1075</v>
      </c>
      <c r="C852">
        <v>6014</v>
      </c>
      <c r="D852" t="s">
        <v>102</v>
      </c>
      <c r="E852" t="s">
        <v>21</v>
      </c>
      <c r="F852">
        <v>33513</v>
      </c>
      <c r="G8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2">
        <v>4.3228999999999997</v>
      </c>
      <c r="J852" t="str">
        <f>IF(ISBLANK(Table13[[#This Row],[Rating]]), "No", "Yes")</f>
        <v>Yes</v>
      </c>
      <c r="K852" t="str">
        <f>IF(ISBLANK(Table13[[#This Row],[Rating]]), "Not Rated", IF(Table13[[#This Row],[Rating]] &lt; 3, "Low", IF(Table13[[#This Row],[Rating]] &lt; 4, "Medium", "High")))</f>
        <v>High</v>
      </c>
      <c r="L852">
        <v>607</v>
      </c>
      <c r="M852">
        <v>44</v>
      </c>
      <c r="N852" t="str">
        <f>IF(Table13[[#This Row],[Price USD]]&lt;20,"Budget",IF(Table13[[#This Row],[Price USD]]&lt;=50,"Mid-range","Premium"))</f>
        <v>Mid-range</v>
      </c>
      <c r="O852">
        <v>0</v>
      </c>
      <c r="P852">
        <v>0</v>
      </c>
    </row>
    <row r="853" spans="1:16" x14ac:dyDescent="0.25">
      <c r="A853" t="s">
        <v>1243</v>
      </c>
      <c r="B853" t="s">
        <v>1244</v>
      </c>
      <c r="C853">
        <v>5946</v>
      </c>
      <c r="D853" t="s">
        <v>341</v>
      </c>
      <c r="E853" t="s">
        <v>8</v>
      </c>
      <c r="F853">
        <v>28025</v>
      </c>
      <c r="G8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3">
        <v>4.4599000000000002</v>
      </c>
      <c r="J853" t="str">
        <f>IF(ISBLANK(Table13[[#This Row],[Rating]]), "No", "Yes")</f>
        <v>Yes</v>
      </c>
      <c r="K853" t="str">
        <f>IF(ISBLANK(Table13[[#This Row],[Rating]]), "Not Rated", IF(Table13[[#This Row],[Rating]] &lt; 3, "Low", IF(Table13[[#This Row],[Rating]] &lt; 4, "Medium", "High")))</f>
        <v>High</v>
      </c>
      <c r="L853">
        <v>611</v>
      </c>
      <c r="M853">
        <v>56</v>
      </c>
      <c r="N853" t="str">
        <f>IF(Table13[[#This Row],[Price USD]]&lt;20,"Budget",IF(Table13[[#This Row],[Price USD]]&lt;=50,"Mid-range","Premium"))</f>
        <v>Premium</v>
      </c>
      <c r="O853">
        <v>0</v>
      </c>
      <c r="P853">
        <v>0</v>
      </c>
    </row>
    <row r="854" spans="1:16" x14ac:dyDescent="0.25">
      <c r="A854" t="s">
        <v>825</v>
      </c>
      <c r="B854" t="s">
        <v>826</v>
      </c>
      <c r="C854">
        <v>6285</v>
      </c>
      <c r="D854" t="s">
        <v>119</v>
      </c>
      <c r="E854" t="s">
        <v>8</v>
      </c>
      <c r="F854">
        <v>43585</v>
      </c>
      <c r="G8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4">
        <v>4.3087999999999997</v>
      </c>
      <c r="J854" t="str">
        <f>IF(ISBLANK(Table13[[#This Row],[Rating]]), "No", "Yes")</f>
        <v>Yes</v>
      </c>
      <c r="K854" t="str">
        <f>IF(ISBLANK(Table13[[#This Row],[Rating]]), "Not Rated", IF(Table13[[#This Row],[Rating]] &lt; 3, "Low", IF(Table13[[#This Row],[Rating]] &lt; 4, "Medium", "High")))</f>
        <v>High</v>
      </c>
      <c r="L854">
        <v>612</v>
      </c>
      <c r="M854">
        <v>9.99</v>
      </c>
      <c r="N854" t="str">
        <f>IF(Table13[[#This Row],[Price USD]]&lt;20,"Budget",IF(Table13[[#This Row],[Price USD]]&lt;=50,"Mid-range","Premium"))</f>
        <v>Budget</v>
      </c>
      <c r="O854">
        <v>0</v>
      </c>
      <c r="P854">
        <v>0</v>
      </c>
    </row>
    <row r="855" spans="1:16" x14ac:dyDescent="0.25">
      <c r="A855" t="s">
        <v>1521</v>
      </c>
      <c r="B855" t="s">
        <v>1522</v>
      </c>
      <c r="C855">
        <v>6219</v>
      </c>
      <c r="D855" t="s">
        <v>277</v>
      </c>
      <c r="E855" t="s">
        <v>8</v>
      </c>
      <c r="F855">
        <v>21673</v>
      </c>
      <c r="G8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5">
        <v>4.5713999999999997</v>
      </c>
      <c r="J855" t="str">
        <f>IF(ISBLANK(Table13[[#This Row],[Rating]]), "No", "Yes")</f>
        <v>Yes</v>
      </c>
      <c r="K855" t="str">
        <f>IF(ISBLANK(Table13[[#This Row],[Rating]]), "Not Rated", IF(Table13[[#This Row],[Rating]] &lt; 3, "Low", IF(Table13[[#This Row],[Rating]] &lt; 4, "Medium", "High")))</f>
        <v>High</v>
      </c>
      <c r="L855">
        <v>616</v>
      </c>
      <c r="M855">
        <v>95</v>
      </c>
      <c r="N855" t="str">
        <f>IF(Table13[[#This Row],[Price USD]]&lt;20,"Budget",IF(Table13[[#This Row],[Price USD]]&lt;=50,"Mid-range","Premium"))</f>
        <v>Premium</v>
      </c>
      <c r="O855">
        <v>0</v>
      </c>
      <c r="P855">
        <v>0</v>
      </c>
    </row>
    <row r="856" spans="1:16" x14ac:dyDescent="0.25">
      <c r="A856" t="s">
        <v>719</v>
      </c>
      <c r="B856" t="s">
        <v>720</v>
      </c>
      <c r="C856">
        <v>7050</v>
      </c>
      <c r="D856" t="s">
        <v>721</v>
      </c>
      <c r="E856" t="s">
        <v>201</v>
      </c>
      <c r="F856">
        <v>49678</v>
      </c>
      <c r="G8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6">
        <v>4.0534999999999997</v>
      </c>
      <c r="J856" t="str">
        <f>IF(ISBLANK(Table13[[#This Row],[Rating]]), "No", "Yes")</f>
        <v>Yes</v>
      </c>
      <c r="K856" t="str">
        <f>IF(ISBLANK(Table13[[#This Row],[Rating]]), "Not Rated", IF(Table13[[#This Row],[Rating]] &lt; 3, "Low", IF(Table13[[#This Row],[Rating]] &lt; 4, "Medium", "High")))</f>
        <v>High</v>
      </c>
      <c r="L856">
        <v>617</v>
      </c>
      <c r="M856">
        <v>26</v>
      </c>
      <c r="N856" t="str">
        <f>IF(Table13[[#This Row],[Price USD]]&lt;20,"Budget",IF(Table13[[#This Row],[Price USD]]&lt;=50,"Mid-range","Premium"))</f>
        <v>Mid-range</v>
      </c>
      <c r="O856">
        <v>0</v>
      </c>
      <c r="P856">
        <v>0</v>
      </c>
    </row>
    <row r="857" spans="1:16" x14ac:dyDescent="0.25">
      <c r="A857" t="s">
        <v>1497</v>
      </c>
      <c r="B857" t="s">
        <v>1498</v>
      </c>
      <c r="C857">
        <v>8001</v>
      </c>
      <c r="D857" t="s">
        <v>27</v>
      </c>
      <c r="E857" t="s">
        <v>13</v>
      </c>
      <c r="F857">
        <v>22126</v>
      </c>
      <c r="G8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7">
        <v>4.6494</v>
      </c>
      <c r="J857" t="str">
        <f>IF(ISBLANK(Table13[[#This Row],[Rating]]), "No", "Yes")</f>
        <v>Yes</v>
      </c>
      <c r="K857" t="str">
        <f>IF(ISBLANK(Table13[[#This Row],[Rating]]), "Not Rated", IF(Table13[[#This Row],[Rating]] &lt; 3, "Low", IF(Table13[[#This Row],[Rating]] &lt; 4, "Medium", "High")))</f>
        <v>High</v>
      </c>
      <c r="L857">
        <v>619</v>
      </c>
      <c r="M857">
        <v>36</v>
      </c>
      <c r="N857" t="str">
        <f>IF(Table13[[#This Row],[Price USD]]&lt;20,"Budget",IF(Table13[[#This Row],[Price USD]]&lt;=50,"Mid-range","Premium"))</f>
        <v>Mid-range</v>
      </c>
      <c r="O857">
        <v>0</v>
      </c>
      <c r="P857">
        <v>0</v>
      </c>
    </row>
    <row r="858" spans="1:16" x14ac:dyDescent="0.25">
      <c r="A858" t="s">
        <v>2081</v>
      </c>
      <c r="B858" t="s">
        <v>2082</v>
      </c>
      <c r="C858">
        <v>6014</v>
      </c>
      <c r="D858" t="s">
        <v>102</v>
      </c>
      <c r="E858" t="s">
        <v>21</v>
      </c>
      <c r="F858">
        <v>13761</v>
      </c>
      <c r="G8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8">
        <v>4.2435</v>
      </c>
      <c r="J858" t="str">
        <f>IF(ISBLANK(Table13[[#This Row],[Rating]]), "No", "Yes")</f>
        <v>Yes</v>
      </c>
      <c r="K858" t="str">
        <f>IF(ISBLANK(Table13[[#This Row],[Rating]]), "Not Rated", IF(Table13[[#This Row],[Rating]] &lt; 3, "Low", IF(Table13[[#This Row],[Rating]] &lt; 4, "Medium", "High")))</f>
        <v>High</v>
      </c>
      <c r="L858">
        <v>620</v>
      </c>
      <c r="M858">
        <v>35</v>
      </c>
      <c r="N858" t="str">
        <f>IF(Table13[[#This Row],[Price USD]]&lt;20,"Budget",IF(Table13[[#This Row],[Price USD]]&lt;=50,"Mid-range","Premium"))</f>
        <v>Mid-range</v>
      </c>
      <c r="O858">
        <v>0</v>
      </c>
      <c r="P858">
        <v>0</v>
      </c>
    </row>
    <row r="859" spans="1:16" x14ac:dyDescent="0.25">
      <c r="A859" t="s">
        <v>1154</v>
      </c>
      <c r="B859" t="s">
        <v>1155</v>
      </c>
      <c r="C859">
        <v>6189</v>
      </c>
      <c r="D859" t="s">
        <v>30</v>
      </c>
      <c r="E859" t="s">
        <v>13</v>
      </c>
      <c r="F859">
        <v>30873</v>
      </c>
      <c r="G8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59">
        <v>4.4386999999999999</v>
      </c>
      <c r="J859" t="str">
        <f>IF(ISBLANK(Table13[[#This Row],[Rating]]), "No", "Yes")</f>
        <v>Yes</v>
      </c>
      <c r="K859" t="str">
        <f>IF(ISBLANK(Table13[[#This Row],[Rating]]), "Not Rated", IF(Table13[[#This Row],[Rating]] &lt; 3, "Low", IF(Table13[[#This Row],[Rating]] &lt; 4, "Medium", "High")))</f>
        <v>High</v>
      </c>
      <c r="L859">
        <v>620</v>
      </c>
      <c r="M859">
        <v>28</v>
      </c>
      <c r="N859" t="str">
        <f>IF(Table13[[#This Row],[Price USD]]&lt;20,"Budget",IF(Table13[[#This Row],[Price USD]]&lt;=50,"Mid-range","Premium"))</f>
        <v>Mid-range</v>
      </c>
      <c r="O859">
        <v>1</v>
      </c>
      <c r="P859">
        <v>0</v>
      </c>
    </row>
    <row r="860" spans="1:16" x14ac:dyDescent="0.25">
      <c r="A860" t="s">
        <v>1630</v>
      </c>
      <c r="B860" t="s">
        <v>1631</v>
      </c>
      <c r="C860">
        <v>5946</v>
      </c>
      <c r="D860" t="s">
        <v>341</v>
      </c>
      <c r="E860" t="s">
        <v>21</v>
      </c>
      <c r="F860">
        <v>19623</v>
      </c>
      <c r="G8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0">
        <v>4.0449000000000002</v>
      </c>
      <c r="J860" t="str">
        <f>IF(ISBLANK(Table13[[#This Row],[Rating]]), "No", "Yes")</f>
        <v>Yes</v>
      </c>
      <c r="K860" t="str">
        <f>IF(ISBLANK(Table13[[#This Row],[Rating]]), "Not Rated", IF(Table13[[#This Row],[Rating]] &lt; 3, "Low", IF(Table13[[#This Row],[Rating]] &lt; 4, "Medium", "High")))</f>
        <v>High</v>
      </c>
      <c r="L860">
        <v>623</v>
      </c>
      <c r="M860">
        <v>76</v>
      </c>
      <c r="N860" t="str">
        <f>IF(Table13[[#This Row],[Price USD]]&lt;20,"Budget",IF(Table13[[#This Row],[Price USD]]&lt;=50,"Mid-range","Premium"))</f>
        <v>Premium</v>
      </c>
      <c r="O860">
        <v>0</v>
      </c>
      <c r="P860">
        <v>0</v>
      </c>
    </row>
    <row r="861" spans="1:16" x14ac:dyDescent="0.25">
      <c r="A861" t="s">
        <v>1061</v>
      </c>
      <c r="B861" t="s">
        <v>1062</v>
      </c>
      <c r="C861">
        <v>7091</v>
      </c>
      <c r="D861" t="s">
        <v>879</v>
      </c>
      <c r="E861" t="s">
        <v>49</v>
      </c>
      <c r="F861">
        <v>34125</v>
      </c>
      <c r="G8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1">
        <v>3.3066</v>
      </c>
      <c r="J861" t="str">
        <f>IF(ISBLANK(Table13[[#This Row],[Rating]]), "No", "Yes")</f>
        <v>Yes</v>
      </c>
      <c r="K861" t="str">
        <f>IF(ISBLANK(Table13[[#This Row],[Rating]]), "Not Rated", IF(Table13[[#This Row],[Rating]] &lt; 3, "Low", IF(Table13[[#This Row],[Rating]] &lt; 4, "Medium", "High")))</f>
        <v>Medium</v>
      </c>
      <c r="L861">
        <v>623</v>
      </c>
      <c r="M861">
        <v>36</v>
      </c>
      <c r="N861" t="str">
        <f>IF(Table13[[#This Row],[Price USD]]&lt;20,"Budget",IF(Table13[[#This Row],[Price USD]]&lt;=50,"Mid-range","Premium"))</f>
        <v>Mid-range</v>
      </c>
      <c r="O861">
        <v>0</v>
      </c>
      <c r="P861">
        <v>0</v>
      </c>
    </row>
    <row r="862" spans="1:16" x14ac:dyDescent="0.25">
      <c r="A862" t="s">
        <v>1012</v>
      </c>
      <c r="B862" t="s">
        <v>1013</v>
      </c>
      <c r="C862">
        <v>5946</v>
      </c>
      <c r="D862" t="s">
        <v>341</v>
      </c>
      <c r="E862" t="s">
        <v>8</v>
      </c>
      <c r="F862">
        <v>36518</v>
      </c>
      <c r="G8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2">
        <v>4.2392000000000003</v>
      </c>
      <c r="J862" t="str">
        <f>IF(ISBLANK(Table13[[#This Row],[Rating]]), "No", "Yes")</f>
        <v>Yes</v>
      </c>
      <c r="K862" t="str">
        <f>IF(ISBLANK(Table13[[#This Row],[Rating]]), "Not Rated", IF(Table13[[#This Row],[Rating]] &lt; 3, "Low", IF(Table13[[#This Row],[Rating]] &lt; 4, "Medium", "High")))</f>
        <v>High</v>
      </c>
      <c r="L862">
        <v>623</v>
      </c>
      <c r="M862">
        <v>44</v>
      </c>
      <c r="N862" t="str">
        <f>IF(Table13[[#This Row],[Price USD]]&lt;20,"Budget",IF(Table13[[#This Row],[Price USD]]&lt;=50,"Mid-range","Premium"))</f>
        <v>Mid-range</v>
      </c>
      <c r="O862">
        <v>0</v>
      </c>
      <c r="P862">
        <v>0</v>
      </c>
    </row>
    <row r="863" spans="1:16" x14ac:dyDescent="0.25">
      <c r="A863" t="s">
        <v>963</v>
      </c>
      <c r="B863" t="s">
        <v>964</v>
      </c>
      <c r="C863">
        <v>5857</v>
      </c>
      <c r="D863" t="s">
        <v>433</v>
      </c>
      <c r="E863" t="s">
        <v>21</v>
      </c>
      <c r="F863">
        <v>38294</v>
      </c>
      <c r="G8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3">
        <v>4.4863999999999997</v>
      </c>
      <c r="J863" t="str">
        <f>IF(ISBLANK(Table13[[#This Row],[Rating]]), "No", "Yes")</f>
        <v>Yes</v>
      </c>
      <c r="K863" t="str">
        <f>IF(ISBLANK(Table13[[#This Row],[Rating]]), "Not Rated", IF(Table13[[#This Row],[Rating]] &lt; 3, "Low", IF(Table13[[#This Row],[Rating]] &lt; 4, "Medium", "High")))</f>
        <v>High</v>
      </c>
      <c r="L863">
        <v>623</v>
      </c>
      <c r="M863">
        <v>55</v>
      </c>
      <c r="N863" t="str">
        <f>IF(Table13[[#This Row],[Price USD]]&lt;20,"Budget",IF(Table13[[#This Row],[Price USD]]&lt;=50,"Mid-range","Premium"))</f>
        <v>Premium</v>
      </c>
      <c r="O863">
        <v>0</v>
      </c>
      <c r="P863">
        <v>0</v>
      </c>
    </row>
    <row r="864" spans="1:16" x14ac:dyDescent="0.25">
      <c r="A864" t="s">
        <v>1430</v>
      </c>
      <c r="B864" t="s">
        <v>1431</v>
      </c>
      <c r="C864">
        <v>3728</v>
      </c>
      <c r="D864" t="s">
        <v>458</v>
      </c>
      <c r="E864" t="s">
        <v>8</v>
      </c>
      <c r="F864">
        <v>23319</v>
      </c>
      <c r="G8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4">
        <v>4.2767999999999997</v>
      </c>
      <c r="J864" t="str">
        <f>IF(ISBLANK(Table13[[#This Row],[Rating]]), "No", "Yes")</f>
        <v>Yes</v>
      </c>
      <c r="K864" t="str">
        <f>IF(ISBLANK(Table13[[#This Row],[Rating]]), "Not Rated", IF(Table13[[#This Row],[Rating]] &lt; 3, "Low", IF(Table13[[#This Row],[Rating]] &lt; 4, "Medium", "High")))</f>
        <v>High</v>
      </c>
      <c r="L864">
        <v>625</v>
      </c>
      <c r="M864">
        <v>48</v>
      </c>
      <c r="N864" t="str">
        <f>IF(Table13[[#This Row],[Price USD]]&lt;20,"Budget",IF(Table13[[#This Row],[Price USD]]&lt;=50,"Mid-range","Premium"))</f>
        <v>Mid-range</v>
      </c>
      <c r="O864">
        <v>0</v>
      </c>
      <c r="P864">
        <v>0</v>
      </c>
    </row>
    <row r="865" spans="1:16" x14ac:dyDescent="0.25">
      <c r="A865" t="s">
        <v>755</v>
      </c>
      <c r="B865" t="s">
        <v>756</v>
      </c>
      <c r="C865">
        <v>3728</v>
      </c>
      <c r="D865" t="s">
        <v>458</v>
      </c>
      <c r="E865" t="s">
        <v>149</v>
      </c>
      <c r="F865">
        <v>47539</v>
      </c>
      <c r="G8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5">
        <v>3.3254000000000001</v>
      </c>
      <c r="J865" t="str">
        <f>IF(ISBLANK(Table13[[#This Row],[Rating]]), "No", "Yes")</f>
        <v>Yes</v>
      </c>
      <c r="K865" t="str">
        <f>IF(ISBLANK(Table13[[#This Row],[Rating]]), "Not Rated", IF(Table13[[#This Row],[Rating]] &lt; 3, "Low", IF(Table13[[#This Row],[Rating]] &lt; 4, "Medium", "High")))</f>
        <v>Medium</v>
      </c>
      <c r="L865">
        <v>627</v>
      </c>
      <c r="M865">
        <v>38</v>
      </c>
      <c r="N865" t="str">
        <f>IF(Table13[[#This Row],[Price USD]]&lt;20,"Budget",IF(Table13[[#This Row],[Price USD]]&lt;=50,"Mid-range","Premium"))</f>
        <v>Mid-range</v>
      </c>
      <c r="O865">
        <v>0</v>
      </c>
      <c r="P865">
        <v>0</v>
      </c>
    </row>
    <row r="866" spans="1:16" x14ac:dyDescent="0.25">
      <c r="A866" t="s">
        <v>1173</v>
      </c>
      <c r="B866" t="s">
        <v>1174</v>
      </c>
      <c r="C866">
        <v>6169</v>
      </c>
      <c r="D866" t="s">
        <v>24</v>
      </c>
      <c r="E866" t="s">
        <v>13</v>
      </c>
      <c r="F866">
        <v>30088</v>
      </c>
      <c r="G8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6">
        <v>4.3868999999999998</v>
      </c>
      <c r="J866" t="str">
        <f>IF(ISBLANK(Table13[[#This Row],[Rating]]), "No", "Yes")</f>
        <v>Yes</v>
      </c>
      <c r="K866" t="str">
        <f>IF(ISBLANK(Table13[[#This Row],[Rating]]), "Not Rated", IF(Table13[[#This Row],[Rating]] &lt; 3, "Low", IF(Table13[[#This Row],[Rating]] &lt; 4, "Medium", "High")))</f>
        <v>High</v>
      </c>
      <c r="L866">
        <v>628</v>
      </c>
      <c r="M866">
        <v>39</v>
      </c>
      <c r="N866" t="str">
        <f>IF(Table13[[#This Row],[Price USD]]&lt;20,"Budget",IF(Table13[[#This Row],[Price USD]]&lt;=50,"Mid-range","Premium"))</f>
        <v>Mid-range</v>
      </c>
      <c r="O866">
        <v>0</v>
      </c>
      <c r="P866">
        <v>0</v>
      </c>
    </row>
    <row r="867" spans="1:16" x14ac:dyDescent="0.25">
      <c r="A867" t="s">
        <v>892</v>
      </c>
      <c r="B867" t="s">
        <v>893</v>
      </c>
      <c r="C867">
        <v>6117</v>
      </c>
      <c r="D867" t="s">
        <v>229</v>
      </c>
      <c r="E867" t="s">
        <v>13</v>
      </c>
      <c r="F867">
        <v>41051</v>
      </c>
      <c r="G8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7">
        <v>4.3577000000000004</v>
      </c>
      <c r="J867" t="str">
        <f>IF(ISBLANK(Table13[[#This Row],[Rating]]), "No", "Yes")</f>
        <v>Yes</v>
      </c>
      <c r="K867" t="str">
        <f>IF(ISBLANK(Table13[[#This Row],[Rating]]), "Not Rated", IF(Table13[[#This Row],[Rating]] &lt; 3, "Low", IF(Table13[[#This Row],[Rating]] &lt; 4, "Medium", "High")))</f>
        <v>High</v>
      </c>
      <c r="L867">
        <v>629</v>
      </c>
      <c r="M867">
        <v>26</v>
      </c>
      <c r="N867" t="str">
        <f>IF(Table13[[#This Row],[Price USD]]&lt;20,"Budget",IF(Table13[[#This Row],[Price USD]]&lt;=50,"Mid-range","Premium"))</f>
        <v>Mid-range</v>
      </c>
      <c r="O867">
        <v>0</v>
      </c>
      <c r="P867">
        <v>0</v>
      </c>
    </row>
    <row r="868" spans="1:16" x14ac:dyDescent="0.25">
      <c r="A868" t="s">
        <v>784</v>
      </c>
      <c r="B868" t="s">
        <v>785</v>
      </c>
      <c r="C868">
        <v>6125</v>
      </c>
      <c r="D868" t="s">
        <v>3</v>
      </c>
      <c r="E868" t="s">
        <v>21</v>
      </c>
      <c r="F868">
        <v>45923</v>
      </c>
      <c r="G8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8">
        <v>4.4912999999999998</v>
      </c>
      <c r="J868" t="str">
        <f>IF(ISBLANK(Table13[[#This Row],[Rating]]), "No", "Yes")</f>
        <v>Yes</v>
      </c>
      <c r="K868" t="str">
        <f>IF(ISBLANK(Table13[[#This Row],[Rating]]), "Not Rated", IF(Table13[[#This Row],[Rating]] &lt; 3, "Low", IF(Table13[[#This Row],[Rating]] &lt; 4, "Medium", "High")))</f>
        <v>High</v>
      </c>
      <c r="L868">
        <v>631</v>
      </c>
      <c r="M868">
        <v>35</v>
      </c>
      <c r="N868" t="str">
        <f>IF(Table13[[#This Row],[Price USD]]&lt;20,"Budget",IF(Table13[[#This Row],[Price USD]]&lt;=50,"Mid-range","Premium"))</f>
        <v>Mid-range</v>
      </c>
      <c r="O868">
        <v>0</v>
      </c>
      <c r="P868">
        <v>0</v>
      </c>
    </row>
    <row r="869" spans="1:16" x14ac:dyDescent="0.25">
      <c r="A869" t="s">
        <v>1550</v>
      </c>
      <c r="B869" t="s">
        <v>1551</v>
      </c>
      <c r="C869">
        <v>4164</v>
      </c>
      <c r="D869" t="s">
        <v>623</v>
      </c>
      <c r="E869" t="s">
        <v>21</v>
      </c>
      <c r="F869">
        <v>21135</v>
      </c>
      <c r="G8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69">
        <v>4.4755000000000003</v>
      </c>
      <c r="J869" t="str">
        <f>IF(ISBLANK(Table13[[#This Row],[Rating]]), "No", "Yes")</f>
        <v>Yes</v>
      </c>
      <c r="K869" t="str">
        <f>IF(ISBLANK(Table13[[#This Row],[Rating]]), "Not Rated", IF(Table13[[#This Row],[Rating]] &lt; 3, "Low", IF(Table13[[#This Row],[Rating]] &lt; 4, "Medium", "High")))</f>
        <v>High</v>
      </c>
      <c r="L869">
        <v>633</v>
      </c>
      <c r="M869">
        <v>71</v>
      </c>
      <c r="N869" t="str">
        <f>IF(Table13[[#This Row],[Price USD]]&lt;20,"Budget",IF(Table13[[#This Row],[Price USD]]&lt;=50,"Mid-range","Premium"))</f>
        <v>Premium</v>
      </c>
      <c r="O869">
        <v>0</v>
      </c>
      <c r="P869">
        <v>0</v>
      </c>
    </row>
    <row r="870" spans="1:16" x14ac:dyDescent="0.25">
      <c r="A870" t="s">
        <v>1364</v>
      </c>
      <c r="B870" t="s">
        <v>1365</v>
      </c>
      <c r="C870">
        <v>6156</v>
      </c>
      <c r="D870" t="s">
        <v>1032</v>
      </c>
      <c r="E870" t="s">
        <v>49</v>
      </c>
      <c r="F870">
        <v>24716</v>
      </c>
      <c r="G8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0">
        <v>3.6608999999999998</v>
      </c>
      <c r="J870" t="str">
        <f>IF(ISBLANK(Table13[[#This Row],[Rating]]), "No", "Yes")</f>
        <v>Yes</v>
      </c>
      <c r="K870" t="str">
        <f>IF(ISBLANK(Table13[[#This Row],[Rating]]), "Not Rated", IF(Table13[[#This Row],[Rating]] &lt; 3, "Low", IF(Table13[[#This Row],[Rating]] &lt; 4, "Medium", "High")))</f>
        <v>Medium</v>
      </c>
      <c r="L870">
        <v>634</v>
      </c>
      <c r="M870">
        <v>64</v>
      </c>
      <c r="N870" t="str">
        <f>IF(Table13[[#This Row],[Price USD]]&lt;20,"Budget",IF(Table13[[#This Row],[Price USD]]&lt;=50,"Mid-range","Premium"))</f>
        <v>Premium</v>
      </c>
      <c r="O870">
        <v>0</v>
      </c>
      <c r="P870">
        <v>0</v>
      </c>
    </row>
    <row r="871" spans="1:16" x14ac:dyDescent="0.25">
      <c r="A871" t="s">
        <v>1830</v>
      </c>
      <c r="B871" t="s">
        <v>1831</v>
      </c>
      <c r="C871">
        <v>4164</v>
      </c>
      <c r="D871" t="s">
        <v>623</v>
      </c>
      <c r="E871" t="s">
        <v>8</v>
      </c>
      <c r="F871">
        <v>16688</v>
      </c>
      <c r="G8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1">
        <v>4.2897999999999996</v>
      </c>
      <c r="J871" t="str">
        <f>IF(ISBLANK(Table13[[#This Row],[Rating]]), "No", "Yes")</f>
        <v>Yes</v>
      </c>
      <c r="K871" t="str">
        <f>IF(ISBLANK(Table13[[#This Row],[Rating]]), "Not Rated", IF(Table13[[#This Row],[Rating]] &lt; 3, "Low", IF(Table13[[#This Row],[Rating]] &lt; 4, "Medium", "High")))</f>
        <v>High</v>
      </c>
      <c r="L871">
        <v>635</v>
      </c>
      <c r="M871">
        <v>48</v>
      </c>
      <c r="N871" t="str">
        <f>IF(Table13[[#This Row],[Price USD]]&lt;20,"Budget",IF(Table13[[#This Row],[Price USD]]&lt;=50,"Mid-range","Premium"))</f>
        <v>Mid-range</v>
      </c>
      <c r="O871">
        <v>0</v>
      </c>
      <c r="P871">
        <v>0</v>
      </c>
    </row>
    <row r="872" spans="1:16" x14ac:dyDescent="0.25">
      <c r="A872" t="s">
        <v>807</v>
      </c>
      <c r="B872" t="s">
        <v>808</v>
      </c>
      <c r="C872">
        <v>6195</v>
      </c>
      <c r="D872" t="s">
        <v>163</v>
      </c>
      <c r="E872" t="s">
        <v>8</v>
      </c>
      <c r="F872">
        <v>44580</v>
      </c>
      <c r="G8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2">
        <v>4.3464999999999998</v>
      </c>
      <c r="J872" t="str">
        <f>IF(ISBLANK(Table13[[#This Row],[Rating]]), "No", "Yes")</f>
        <v>Yes</v>
      </c>
      <c r="K872" t="str">
        <f>IF(ISBLANK(Table13[[#This Row],[Rating]]), "Not Rated", IF(Table13[[#This Row],[Rating]] &lt; 3, "Low", IF(Table13[[#This Row],[Rating]] &lt; 4, "Medium", "High")))</f>
        <v>High</v>
      </c>
      <c r="L872">
        <v>635</v>
      </c>
      <c r="M872">
        <v>65</v>
      </c>
      <c r="N872" t="str">
        <f>IF(Table13[[#This Row],[Price USD]]&lt;20,"Budget",IF(Table13[[#This Row],[Price USD]]&lt;=50,"Mid-range","Premium"))</f>
        <v>Premium</v>
      </c>
      <c r="O872">
        <v>0</v>
      </c>
      <c r="P872">
        <v>0</v>
      </c>
    </row>
    <row r="873" spans="1:16" x14ac:dyDescent="0.25">
      <c r="A873" t="s">
        <v>1261</v>
      </c>
      <c r="B873" t="s">
        <v>1262</v>
      </c>
      <c r="C873">
        <v>5922</v>
      </c>
      <c r="D873" t="s">
        <v>204</v>
      </c>
      <c r="E873" t="s">
        <v>149</v>
      </c>
      <c r="F873">
        <v>27604</v>
      </c>
      <c r="G8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3">
        <v>4.4774000000000003</v>
      </c>
      <c r="J873" t="str">
        <f>IF(ISBLANK(Table13[[#This Row],[Rating]]), "No", "Yes")</f>
        <v>Yes</v>
      </c>
      <c r="K873" t="str">
        <f>IF(ISBLANK(Table13[[#This Row],[Rating]]), "Not Rated", IF(Table13[[#This Row],[Rating]] &lt; 3, "Low", IF(Table13[[#This Row],[Rating]] &lt; 4, "Medium", "High")))</f>
        <v>High</v>
      </c>
      <c r="L873">
        <v>641</v>
      </c>
      <c r="M873">
        <v>42</v>
      </c>
      <c r="N873" t="str">
        <f>IF(Table13[[#This Row],[Price USD]]&lt;20,"Budget",IF(Table13[[#This Row],[Price USD]]&lt;=50,"Mid-range","Premium"))</f>
        <v>Mid-range</v>
      </c>
      <c r="O873">
        <v>0</v>
      </c>
      <c r="P873">
        <v>0</v>
      </c>
    </row>
    <row r="874" spans="1:16" x14ac:dyDescent="0.25">
      <c r="A874" t="s">
        <v>1057</v>
      </c>
      <c r="B874" t="s">
        <v>1058</v>
      </c>
      <c r="C874">
        <v>6014</v>
      </c>
      <c r="D874" t="s">
        <v>102</v>
      </c>
      <c r="E874" t="s">
        <v>21</v>
      </c>
      <c r="F874">
        <v>34356</v>
      </c>
      <c r="G8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4">
        <v>4.4977</v>
      </c>
      <c r="J874" t="str">
        <f>IF(ISBLANK(Table13[[#This Row],[Rating]]), "No", "Yes")</f>
        <v>Yes</v>
      </c>
      <c r="K874" t="str">
        <f>IF(ISBLANK(Table13[[#This Row],[Rating]]), "Not Rated", IF(Table13[[#This Row],[Rating]] &lt; 3, "Low", IF(Table13[[#This Row],[Rating]] &lt; 4, "Medium", "High")))</f>
        <v>High</v>
      </c>
      <c r="L874">
        <v>645</v>
      </c>
      <c r="M874">
        <v>49</v>
      </c>
      <c r="N874" t="str">
        <f>IF(Table13[[#This Row],[Price USD]]&lt;20,"Budget",IF(Table13[[#This Row],[Price USD]]&lt;=50,"Mid-range","Premium"))</f>
        <v>Mid-range</v>
      </c>
      <c r="O874">
        <v>0</v>
      </c>
      <c r="P874">
        <v>0</v>
      </c>
    </row>
    <row r="875" spans="1:16" x14ac:dyDescent="0.25">
      <c r="A875" t="s">
        <v>2268</v>
      </c>
      <c r="B875" t="s">
        <v>2269</v>
      </c>
      <c r="C875">
        <v>6247</v>
      </c>
      <c r="D875" t="s">
        <v>38</v>
      </c>
      <c r="E875" t="s">
        <v>21</v>
      </c>
      <c r="F875">
        <v>12092</v>
      </c>
      <c r="G8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5">
        <v>4.4612999999999996</v>
      </c>
      <c r="J875" t="str">
        <f>IF(ISBLANK(Table13[[#This Row],[Rating]]), "No", "Yes")</f>
        <v>Yes</v>
      </c>
      <c r="K875" t="str">
        <f>IF(ISBLANK(Table13[[#This Row],[Rating]]), "Not Rated", IF(Table13[[#This Row],[Rating]] &lt; 3, "Low", IF(Table13[[#This Row],[Rating]] &lt; 4, "Medium", "High")))</f>
        <v>High</v>
      </c>
      <c r="L875">
        <v>646</v>
      </c>
      <c r="M875">
        <v>17</v>
      </c>
      <c r="N875" t="str">
        <f>IF(Table13[[#This Row],[Price USD]]&lt;20,"Budget",IF(Table13[[#This Row],[Price USD]]&lt;=50,"Mid-range","Premium"))</f>
        <v>Budget</v>
      </c>
      <c r="O875">
        <v>0</v>
      </c>
      <c r="P875">
        <v>0</v>
      </c>
    </row>
    <row r="876" spans="1:16" x14ac:dyDescent="0.25">
      <c r="A876" t="s">
        <v>854</v>
      </c>
      <c r="B876" t="s">
        <v>855</v>
      </c>
      <c r="C876">
        <v>5987</v>
      </c>
      <c r="D876" t="s">
        <v>48</v>
      </c>
      <c r="E876" t="s">
        <v>21</v>
      </c>
      <c r="F876">
        <v>42616</v>
      </c>
      <c r="G8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6">
        <v>3.6997</v>
      </c>
      <c r="J876" t="str">
        <f>IF(ISBLANK(Table13[[#This Row],[Rating]]), "No", "Yes")</f>
        <v>Yes</v>
      </c>
      <c r="K876" t="str">
        <f>IF(ISBLANK(Table13[[#This Row],[Rating]]), "Not Rated", IF(Table13[[#This Row],[Rating]] &lt; 3, "Low", IF(Table13[[#This Row],[Rating]] &lt; 4, "Medium", "High")))</f>
        <v>Medium</v>
      </c>
      <c r="L876">
        <v>646</v>
      </c>
      <c r="M876">
        <v>44</v>
      </c>
      <c r="N876" t="str">
        <f>IF(Table13[[#This Row],[Price USD]]&lt;20,"Budget",IF(Table13[[#This Row],[Price USD]]&lt;=50,"Mid-range","Premium"))</f>
        <v>Mid-range</v>
      </c>
      <c r="O876">
        <v>0</v>
      </c>
      <c r="P876">
        <v>0</v>
      </c>
    </row>
    <row r="877" spans="1:16" x14ac:dyDescent="0.25">
      <c r="A877" t="s">
        <v>809</v>
      </c>
      <c r="B877" t="s">
        <v>810</v>
      </c>
      <c r="C877">
        <v>6018</v>
      </c>
      <c r="D877" t="s">
        <v>517</v>
      </c>
      <c r="E877" t="s">
        <v>4</v>
      </c>
      <c r="F877">
        <v>44448</v>
      </c>
      <c r="G8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7">
        <v>3.8721000000000001</v>
      </c>
      <c r="J877" t="str">
        <f>IF(ISBLANK(Table13[[#This Row],[Rating]]), "No", "Yes")</f>
        <v>Yes</v>
      </c>
      <c r="K877" t="str">
        <f>IF(ISBLANK(Table13[[#This Row],[Rating]]), "Not Rated", IF(Table13[[#This Row],[Rating]] &lt; 3, "Low", IF(Table13[[#This Row],[Rating]] &lt; 4, "Medium", "High")))</f>
        <v>Medium</v>
      </c>
      <c r="L877">
        <v>649</v>
      </c>
      <c r="M877">
        <v>29</v>
      </c>
      <c r="N877" t="str">
        <f>IF(Table13[[#This Row],[Price USD]]&lt;20,"Budget",IF(Table13[[#This Row],[Price USD]]&lt;=50,"Mid-range","Premium"))</f>
        <v>Mid-range</v>
      </c>
      <c r="O877">
        <v>0</v>
      </c>
      <c r="P877">
        <v>0</v>
      </c>
    </row>
    <row r="878" spans="1:16" x14ac:dyDescent="0.25">
      <c r="A878" t="s">
        <v>1326</v>
      </c>
      <c r="B878" t="s">
        <v>1327</v>
      </c>
      <c r="C878">
        <v>6316</v>
      </c>
      <c r="D878" t="s">
        <v>563</v>
      </c>
      <c r="E878" t="s">
        <v>21</v>
      </c>
      <c r="F878">
        <v>25888</v>
      </c>
      <c r="G8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8">
        <v>4.1886999999999999</v>
      </c>
      <c r="J878" t="str">
        <f>IF(ISBLANK(Table13[[#This Row],[Rating]]), "No", "Yes")</f>
        <v>Yes</v>
      </c>
      <c r="K878" t="str">
        <f>IF(ISBLANK(Table13[[#This Row],[Rating]]), "Not Rated", IF(Table13[[#This Row],[Rating]] &lt; 3, "Low", IF(Table13[[#This Row],[Rating]] &lt; 4, "Medium", "High")))</f>
        <v>High</v>
      </c>
      <c r="L878">
        <v>657</v>
      </c>
      <c r="M878">
        <v>43</v>
      </c>
      <c r="N878" t="str">
        <f>IF(Table13[[#This Row],[Price USD]]&lt;20,"Budget",IF(Table13[[#This Row],[Price USD]]&lt;=50,"Mid-range","Premium"))</f>
        <v>Mid-range</v>
      </c>
      <c r="O878">
        <v>0</v>
      </c>
      <c r="P878">
        <v>0</v>
      </c>
    </row>
    <row r="879" spans="1:16" x14ac:dyDescent="0.25">
      <c r="A879" t="s">
        <v>1936</v>
      </c>
      <c r="B879" t="s">
        <v>1937</v>
      </c>
      <c r="C879">
        <v>7050</v>
      </c>
      <c r="D879" t="s">
        <v>721</v>
      </c>
      <c r="E879" t="s">
        <v>201</v>
      </c>
      <c r="F879">
        <v>15373</v>
      </c>
      <c r="G8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79">
        <v>4.1151999999999997</v>
      </c>
      <c r="J879" t="str">
        <f>IF(ISBLANK(Table13[[#This Row],[Rating]]), "No", "Yes")</f>
        <v>Yes</v>
      </c>
      <c r="K879" t="str">
        <f>IF(ISBLANK(Table13[[#This Row],[Rating]]), "Not Rated", IF(Table13[[#This Row],[Rating]] &lt; 3, "Low", IF(Table13[[#This Row],[Rating]] &lt; 4, "Medium", "High")))</f>
        <v>High</v>
      </c>
      <c r="L879">
        <v>660</v>
      </c>
      <c r="M879">
        <v>40</v>
      </c>
      <c r="N879" t="str">
        <f>IF(Table13[[#This Row],[Price USD]]&lt;20,"Budget",IF(Table13[[#This Row],[Price USD]]&lt;=50,"Mid-range","Premium"))</f>
        <v>Mid-range</v>
      </c>
      <c r="O879">
        <v>0</v>
      </c>
      <c r="P879">
        <v>0</v>
      </c>
    </row>
    <row r="880" spans="1:16" x14ac:dyDescent="0.25">
      <c r="A880" t="s">
        <v>1653</v>
      </c>
      <c r="B880" t="s">
        <v>1654</v>
      </c>
      <c r="C880">
        <v>4164</v>
      </c>
      <c r="D880" t="s">
        <v>623</v>
      </c>
      <c r="E880" t="s">
        <v>8</v>
      </c>
      <c r="F880">
        <v>19264</v>
      </c>
      <c r="G8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0">
        <v>4.3875999999999999</v>
      </c>
      <c r="J880" t="str">
        <f>IF(ISBLANK(Table13[[#This Row],[Rating]]), "No", "Yes")</f>
        <v>Yes</v>
      </c>
      <c r="K880" t="str">
        <f>IF(ISBLANK(Table13[[#This Row],[Rating]]), "Not Rated", IF(Table13[[#This Row],[Rating]] &lt; 3, "Low", IF(Table13[[#This Row],[Rating]] &lt; 4, "Medium", "High")))</f>
        <v>High</v>
      </c>
      <c r="L880">
        <v>663</v>
      </c>
      <c r="M880">
        <v>83</v>
      </c>
      <c r="N880" t="str">
        <f>IF(Table13[[#This Row],[Price USD]]&lt;20,"Budget",IF(Table13[[#This Row],[Price USD]]&lt;=50,"Mid-range","Premium"))</f>
        <v>Premium</v>
      </c>
      <c r="O880">
        <v>0</v>
      </c>
      <c r="P880">
        <v>0</v>
      </c>
    </row>
    <row r="881" spans="1:16" x14ac:dyDescent="0.25">
      <c r="A881" t="s">
        <v>882</v>
      </c>
      <c r="B881" t="s">
        <v>883</v>
      </c>
      <c r="C881">
        <v>4171</v>
      </c>
      <c r="D881" t="s">
        <v>133</v>
      </c>
      <c r="E881" t="s">
        <v>13</v>
      </c>
      <c r="F881">
        <v>41456</v>
      </c>
      <c r="G8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1">
        <v>4.0090000000000003</v>
      </c>
      <c r="J881" t="str">
        <f>IF(ISBLANK(Table13[[#This Row],[Rating]]), "No", "Yes")</f>
        <v>Yes</v>
      </c>
      <c r="K881" t="str">
        <f>IF(ISBLANK(Table13[[#This Row],[Rating]]), "Not Rated", IF(Table13[[#This Row],[Rating]] &lt; 3, "Low", IF(Table13[[#This Row],[Rating]] &lt; 4, "Medium", "High")))</f>
        <v>High</v>
      </c>
      <c r="L881">
        <v>664</v>
      </c>
      <c r="M881">
        <v>30</v>
      </c>
      <c r="N881" t="str">
        <f>IF(Table13[[#This Row],[Price USD]]&lt;20,"Budget",IF(Table13[[#This Row],[Price USD]]&lt;=50,"Mid-range","Premium"))</f>
        <v>Mid-range</v>
      </c>
      <c r="O881">
        <v>0</v>
      </c>
      <c r="P881">
        <v>0</v>
      </c>
    </row>
    <row r="882" spans="1:16" x14ac:dyDescent="0.25">
      <c r="A882" t="s">
        <v>776</v>
      </c>
      <c r="B882" t="s">
        <v>777</v>
      </c>
      <c r="C882">
        <v>6041</v>
      </c>
      <c r="D882" t="s">
        <v>33</v>
      </c>
      <c r="E882" t="s">
        <v>4</v>
      </c>
      <c r="F882">
        <v>46733</v>
      </c>
      <c r="G8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2">
        <v>4.2805999999999997</v>
      </c>
      <c r="J882" t="str">
        <f>IF(ISBLANK(Table13[[#This Row],[Rating]]), "No", "Yes")</f>
        <v>Yes</v>
      </c>
      <c r="K882" t="str">
        <f>IF(ISBLANK(Table13[[#This Row],[Rating]]), "Not Rated", IF(Table13[[#This Row],[Rating]] &lt; 3, "Low", IF(Table13[[#This Row],[Rating]] &lt; 4, "Medium", "High")))</f>
        <v>High</v>
      </c>
      <c r="L882">
        <v>670</v>
      </c>
      <c r="M882">
        <v>30</v>
      </c>
      <c r="N882" t="str">
        <f>IF(Table13[[#This Row],[Price USD]]&lt;20,"Budget",IF(Table13[[#This Row],[Price USD]]&lt;=50,"Mid-range","Premium"))</f>
        <v>Mid-range</v>
      </c>
      <c r="O882">
        <v>0</v>
      </c>
      <c r="P882">
        <v>0</v>
      </c>
    </row>
    <row r="883" spans="1:16" x14ac:dyDescent="0.25">
      <c r="A883" t="s">
        <v>1924</v>
      </c>
      <c r="B883" t="s">
        <v>1925</v>
      </c>
      <c r="C883">
        <v>7083</v>
      </c>
      <c r="D883" t="s">
        <v>20</v>
      </c>
      <c r="E883" t="s">
        <v>21</v>
      </c>
      <c r="F883">
        <v>15545</v>
      </c>
      <c r="G8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3">
        <v>3.8833000000000002</v>
      </c>
      <c r="J883" t="str">
        <f>IF(ISBLANK(Table13[[#This Row],[Rating]]), "No", "Yes")</f>
        <v>Yes</v>
      </c>
      <c r="K883" t="str">
        <f>IF(ISBLANK(Table13[[#This Row],[Rating]]), "Not Rated", IF(Table13[[#This Row],[Rating]] &lt; 3, "Low", IF(Table13[[#This Row],[Rating]] &lt; 4, "Medium", "High")))</f>
        <v>Medium</v>
      </c>
      <c r="L883">
        <v>677</v>
      </c>
      <c r="M883">
        <v>42</v>
      </c>
      <c r="N883" t="str">
        <f>IF(Table13[[#This Row],[Price USD]]&lt;20,"Budget",IF(Table13[[#This Row],[Price USD]]&lt;=50,"Mid-range","Premium"))</f>
        <v>Mid-range</v>
      </c>
      <c r="O883">
        <v>0</v>
      </c>
      <c r="P883">
        <v>0</v>
      </c>
    </row>
    <row r="884" spans="1:16" x14ac:dyDescent="0.25">
      <c r="A884" t="s">
        <v>1892</v>
      </c>
      <c r="B884" t="s">
        <v>1893</v>
      </c>
      <c r="C884">
        <v>5922</v>
      </c>
      <c r="D884" t="s">
        <v>204</v>
      </c>
      <c r="E884" t="s">
        <v>13</v>
      </c>
      <c r="F884">
        <v>16013</v>
      </c>
      <c r="G8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4">
        <v>4.2436999999999996</v>
      </c>
      <c r="J884" t="str">
        <f>IF(ISBLANK(Table13[[#This Row],[Rating]]), "No", "Yes")</f>
        <v>Yes</v>
      </c>
      <c r="K884" t="str">
        <f>IF(ISBLANK(Table13[[#This Row],[Rating]]), "Not Rated", IF(Table13[[#This Row],[Rating]] &lt; 3, "Low", IF(Table13[[#This Row],[Rating]] &lt; 4, "Medium", "High")))</f>
        <v>High</v>
      </c>
      <c r="L884">
        <v>677</v>
      </c>
      <c r="M884">
        <v>29</v>
      </c>
      <c r="N884" t="str">
        <f>IF(Table13[[#This Row],[Price USD]]&lt;20,"Budget",IF(Table13[[#This Row],[Price USD]]&lt;=50,"Mid-range","Premium"))</f>
        <v>Mid-range</v>
      </c>
      <c r="O884">
        <v>0</v>
      </c>
      <c r="P884">
        <v>0</v>
      </c>
    </row>
    <row r="885" spans="1:16" x14ac:dyDescent="0.25">
      <c r="A885" t="s">
        <v>1800</v>
      </c>
      <c r="B885" t="s">
        <v>1801</v>
      </c>
      <c r="C885">
        <v>7075</v>
      </c>
      <c r="D885" t="s">
        <v>75</v>
      </c>
      <c r="E885" t="s">
        <v>13</v>
      </c>
      <c r="F885">
        <v>17087</v>
      </c>
      <c r="G8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5">
        <v>4.2942999999999998</v>
      </c>
      <c r="J885" t="str">
        <f>IF(ISBLANK(Table13[[#This Row],[Rating]]), "No", "Yes")</f>
        <v>Yes</v>
      </c>
      <c r="K885" t="str">
        <f>IF(ISBLANK(Table13[[#This Row],[Rating]]), "Not Rated", IF(Table13[[#This Row],[Rating]] &lt; 3, "Low", IF(Table13[[#This Row],[Rating]] &lt; 4, "Medium", "High")))</f>
        <v>High</v>
      </c>
      <c r="L885">
        <v>683</v>
      </c>
      <c r="M885">
        <v>30</v>
      </c>
      <c r="N885" t="str">
        <f>IF(Table13[[#This Row],[Price USD]]&lt;20,"Budget",IF(Table13[[#This Row],[Price USD]]&lt;=50,"Mid-range","Premium"))</f>
        <v>Mid-range</v>
      </c>
      <c r="O885">
        <v>0</v>
      </c>
      <c r="P885">
        <v>0</v>
      </c>
    </row>
    <row r="886" spans="1:16" x14ac:dyDescent="0.25">
      <c r="A886" t="s">
        <v>1234</v>
      </c>
      <c r="B886" t="s">
        <v>1235</v>
      </c>
      <c r="C886">
        <v>4348</v>
      </c>
      <c r="D886" t="s">
        <v>61</v>
      </c>
      <c r="E886" t="s">
        <v>4</v>
      </c>
      <c r="F886">
        <v>28208</v>
      </c>
      <c r="G8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6">
        <v>4.3891</v>
      </c>
      <c r="J886" t="str">
        <f>IF(ISBLANK(Table13[[#This Row],[Rating]]), "No", "Yes")</f>
        <v>Yes</v>
      </c>
      <c r="K886" t="str">
        <f>IF(ISBLANK(Table13[[#This Row],[Rating]]), "Not Rated", IF(Table13[[#This Row],[Rating]] &lt; 3, "Low", IF(Table13[[#This Row],[Rating]] &lt; 4, "Medium", "High")))</f>
        <v>High</v>
      </c>
      <c r="L886">
        <v>699</v>
      </c>
      <c r="M886">
        <v>25</v>
      </c>
      <c r="N886" t="str">
        <f>IF(Table13[[#This Row],[Price USD]]&lt;20,"Budget",IF(Table13[[#This Row],[Price USD]]&lt;=50,"Mid-range","Premium"))</f>
        <v>Mid-range</v>
      </c>
      <c r="O886">
        <v>0</v>
      </c>
      <c r="P886">
        <v>0</v>
      </c>
    </row>
    <row r="887" spans="1:16" x14ac:dyDescent="0.25">
      <c r="A887" t="s">
        <v>921</v>
      </c>
      <c r="B887" t="s">
        <v>922</v>
      </c>
      <c r="C887">
        <v>7020</v>
      </c>
      <c r="D887" t="s">
        <v>657</v>
      </c>
      <c r="E887" t="s">
        <v>13</v>
      </c>
      <c r="F887">
        <v>40150</v>
      </c>
      <c r="G8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7">
        <v>4.4649000000000001</v>
      </c>
      <c r="J887" t="str">
        <f>IF(ISBLANK(Table13[[#This Row],[Rating]]), "No", "Yes")</f>
        <v>Yes</v>
      </c>
      <c r="K887" t="str">
        <f>IF(ISBLANK(Table13[[#This Row],[Rating]]), "Not Rated", IF(Table13[[#This Row],[Rating]] &lt; 3, "Low", IF(Table13[[#This Row],[Rating]] &lt; 4, "Medium", "High")))</f>
        <v>High</v>
      </c>
      <c r="L887">
        <v>699</v>
      </c>
      <c r="M887">
        <v>88</v>
      </c>
      <c r="N887" t="str">
        <f>IF(Table13[[#This Row],[Price USD]]&lt;20,"Budget",IF(Table13[[#This Row],[Price USD]]&lt;=50,"Mid-range","Premium"))</f>
        <v>Premium</v>
      </c>
      <c r="O887">
        <v>0</v>
      </c>
      <c r="P887">
        <v>0</v>
      </c>
    </row>
    <row r="888" spans="1:16" x14ac:dyDescent="0.25">
      <c r="A888" t="s">
        <v>736</v>
      </c>
      <c r="B888" t="s">
        <v>737</v>
      </c>
      <c r="C888">
        <v>6125</v>
      </c>
      <c r="D888" t="s">
        <v>3</v>
      </c>
      <c r="E888" t="s">
        <v>21</v>
      </c>
      <c r="F888">
        <v>48729</v>
      </c>
      <c r="G8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8">
        <v>3.9927999999999999</v>
      </c>
      <c r="J888" t="str">
        <f>IF(ISBLANK(Table13[[#This Row],[Rating]]), "No", "Yes")</f>
        <v>Yes</v>
      </c>
      <c r="K888" t="str">
        <f>IF(ISBLANK(Table13[[#This Row],[Rating]]), "Not Rated", IF(Table13[[#This Row],[Rating]] &lt; 3, "Low", IF(Table13[[#This Row],[Rating]] &lt; 4, "Medium", "High")))</f>
        <v>Medium</v>
      </c>
      <c r="L888">
        <v>699</v>
      </c>
      <c r="M888">
        <v>40</v>
      </c>
      <c r="N888" t="str">
        <f>IF(Table13[[#This Row],[Price USD]]&lt;20,"Budget",IF(Table13[[#This Row],[Price USD]]&lt;=50,"Mid-range","Premium"))</f>
        <v>Mid-range</v>
      </c>
      <c r="O888">
        <v>0</v>
      </c>
      <c r="P888">
        <v>0</v>
      </c>
    </row>
    <row r="889" spans="1:16" x14ac:dyDescent="0.25">
      <c r="A889" t="s">
        <v>1659</v>
      </c>
      <c r="B889" t="s">
        <v>1660</v>
      </c>
      <c r="C889">
        <v>4171</v>
      </c>
      <c r="D889" t="s">
        <v>133</v>
      </c>
      <c r="E889" t="s">
        <v>21</v>
      </c>
      <c r="F889">
        <v>19036</v>
      </c>
      <c r="G8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89">
        <v>4.3968999999999996</v>
      </c>
      <c r="J889" t="str">
        <f>IF(ISBLANK(Table13[[#This Row],[Rating]]), "No", "Yes")</f>
        <v>Yes</v>
      </c>
      <c r="K889" t="str">
        <f>IF(ISBLANK(Table13[[#This Row],[Rating]]), "Not Rated", IF(Table13[[#This Row],[Rating]] &lt; 3, "Low", IF(Table13[[#This Row],[Rating]] &lt; 4, "Medium", "High")))</f>
        <v>High</v>
      </c>
      <c r="L889">
        <v>703</v>
      </c>
      <c r="M889">
        <v>65</v>
      </c>
      <c r="N889" t="str">
        <f>IF(Table13[[#This Row],[Price USD]]&lt;20,"Budget",IF(Table13[[#This Row],[Price USD]]&lt;=50,"Mid-range","Premium"))</f>
        <v>Premium</v>
      </c>
      <c r="O889">
        <v>0</v>
      </c>
      <c r="P889">
        <v>0</v>
      </c>
    </row>
    <row r="890" spans="1:16" x14ac:dyDescent="0.25">
      <c r="A890" t="s">
        <v>1761</v>
      </c>
      <c r="B890" t="s">
        <v>1762</v>
      </c>
      <c r="C890">
        <v>5946</v>
      </c>
      <c r="D890" t="s">
        <v>341</v>
      </c>
      <c r="E890" t="s">
        <v>21</v>
      </c>
      <c r="F890">
        <v>17558</v>
      </c>
      <c r="G8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0">
        <v>4.1489000000000003</v>
      </c>
      <c r="J890" t="str">
        <f>IF(ISBLANK(Table13[[#This Row],[Rating]]), "No", "Yes")</f>
        <v>Yes</v>
      </c>
      <c r="K890" t="str">
        <f>IF(ISBLANK(Table13[[#This Row],[Rating]]), "Not Rated", IF(Table13[[#This Row],[Rating]] &lt; 3, "Low", IF(Table13[[#This Row],[Rating]] &lt; 4, "Medium", "High")))</f>
        <v>High</v>
      </c>
      <c r="L890">
        <v>705</v>
      </c>
      <c r="M890">
        <v>76</v>
      </c>
      <c r="N890" t="str">
        <f>IF(Table13[[#This Row],[Price USD]]&lt;20,"Budget",IF(Table13[[#This Row],[Price USD]]&lt;=50,"Mid-range","Premium"))</f>
        <v>Premium</v>
      </c>
      <c r="O890">
        <v>0</v>
      </c>
      <c r="P890">
        <v>0</v>
      </c>
    </row>
    <row r="891" spans="1:16" x14ac:dyDescent="0.25">
      <c r="A891" t="s">
        <v>1487</v>
      </c>
      <c r="B891" t="s">
        <v>1488</v>
      </c>
      <c r="C891">
        <v>1741</v>
      </c>
      <c r="D891" t="s">
        <v>388</v>
      </c>
      <c r="E891" t="s">
        <v>149</v>
      </c>
      <c r="F891">
        <v>22310</v>
      </c>
      <c r="G8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1">
        <v>4.6132999999999997</v>
      </c>
      <c r="J891" t="str">
        <f>IF(ISBLANK(Table13[[#This Row],[Rating]]), "No", "Yes")</f>
        <v>Yes</v>
      </c>
      <c r="K891" t="str">
        <f>IF(ISBLANK(Table13[[#This Row],[Rating]]), "Not Rated", IF(Table13[[#This Row],[Rating]] &lt; 3, "Low", IF(Table13[[#This Row],[Rating]] &lt; 4, "Medium", "High")))</f>
        <v>High</v>
      </c>
      <c r="L891">
        <v>706</v>
      </c>
      <c r="M891">
        <v>79</v>
      </c>
      <c r="N891" t="str">
        <f>IF(Table13[[#This Row],[Price USD]]&lt;20,"Budget",IF(Table13[[#This Row],[Price USD]]&lt;=50,"Mid-range","Premium"))</f>
        <v>Premium</v>
      </c>
      <c r="O891">
        <v>0</v>
      </c>
      <c r="P891">
        <v>0</v>
      </c>
    </row>
    <row r="892" spans="1:16" x14ac:dyDescent="0.25">
      <c r="A892" t="s">
        <v>827</v>
      </c>
      <c r="B892" t="s">
        <v>828</v>
      </c>
      <c r="C892">
        <v>4164</v>
      </c>
      <c r="D892" t="s">
        <v>623</v>
      </c>
      <c r="E892" t="s">
        <v>8</v>
      </c>
      <c r="F892">
        <v>43504</v>
      </c>
      <c r="G8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2">
        <v>4.1166999999999998</v>
      </c>
      <c r="J892" t="str">
        <f>IF(ISBLANK(Table13[[#This Row],[Rating]]), "No", "Yes")</f>
        <v>Yes</v>
      </c>
      <c r="K892" t="str">
        <f>IF(ISBLANK(Table13[[#This Row],[Rating]]), "Not Rated", IF(Table13[[#This Row],[Rating]] &lt; 3, "Low", IF(Table13[[#This Row],[Rating]] &lt; 4, "Medium", "High")))</f>
        <v>High</v>
      </c>
      <c r="L892">
        <v>711</v>
      </c>
      <c r="M892">
        <v>38</v>
      </c>
      <c r="N892" t="str">
        <f>IF(Table13[[#This Row],[Price USD]]&lt;20,"Budget",IF(Table13[[#This Row],[Price USD]]&lt;=50,"Mid-range","Premium"))</f>
        <v>Mid-range</v>
      </c>
      <c r="O892">
        <v>0</v>
      </c>
      <c r="P892">
        <v>0</v>
      </c>
    </row>
    <row r="893" spans="1:16" x14ac:dyDescent="0.25">
      <c r="A893" t="s">
        <v>1786</v>
      </c>
      <c r="B893" t="s">
        <v>1787</v>
      </c>
      <c r="C893">
        <v>1254</v>
      </c>
      <c r="D893" t="s">
        <v>136</v>
      </c>
      <c r="E893" t="s">
        <v>8</v>
      </c>
      <c r="F893">
        <v>17157</v>
      </c>
      <c r="G8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3">
        <v>4.0182000000000002</v>
      </c>
      <c r="J893" t="str">
        <f>IF(ISBLANK(Table13[[#This Row],[Rating]]), "No", "Yes")</f>
        <v>Yes</v>
      </c>
      <c r="K893" t="str">
        <f>IF(ISBLANK(Table13[[#This Row],[Rating]]), "Not Rated", IF(Table13[[#This Row],[Rating]] &lt; 3, "Low", IF(Table13[[#This Row],[Rating]] &lt; 4, "Medium", "High")))</f>
        <v>High</v>
      </c>
      <c r="L893">
        <v>713</v>
      </c>
      <c r="M893">
        <v>26</v>
      </c>
      <c r="N893" t="str">
        <f>IF(Table13[[#This Row],[Price USD]]&lt;20,"Budget",IF(Table13[[#This Row],[Price USD]]&lt;=50,"Mid-range","Premium"))</f>
        <v>Mid-range</v>
      </c>
      <c r="O893">
        <v>0</v>
      </c>
      <c r="P893">
        <v>0</v>
      </c>
    </row>
    <row r="894" spans="1:16" x14ac:dyDescent="0.25">
      <c r="A894" t="s">
        <v>1853</v>
      </c>
      <c r="B894" t="s">
        <v>1854</v>
      </c>
      <c r="C894">
        <v>6219</v>
      </c>
      <c r="D894" t="s">
        <v>277</v>
      </c>
      <c r="E894" t="s">
        <v>144</v>
      </c>
      <c r="F894">
        <v>16436</v>
      </c>
      <c r="G8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4">
        <v>4.5195999999999996</v>
      </c>
      <c r="J894" t="str">
        <f>IF(ISBLANK(Table13[[#This Row],[Rating]]), "No", "Yes")</f>
        <v>Yes</v>
      </c>
      <c r="K894" t="str">
        <f>IF(ISBLANK(Table13[[#This Row],[Rating]]), "Not Rated", IF(Table13[[#This Row],[Rating]] &lt; 3, "Low", IF(Table13[[#This Row],[Rating]] &lt; 4, "Medium", "High")))</f>
        <v>High</v>
      </c>
      <c r="L894">
        <v>716</v>
      </c>
      <c r="M894">
        <v>13</v>
      </c>
      <c r="N894" t="str">
        <f>IF(Table13[[#This Row],[Price USD]]&lt;20,"Budget",IF(Table13[[#This Row],[Price USD]]&lt;=50,"Mid-range","Premium"))</f>
        <v>Budget</v>
      </c>
      <c r="O894">
        <v>0</v>
      </c>
      <c r="P894">
        <v>0</v>
      </c>
    </row>
    <row r="895" spans="1:16" x14ac:dyDescent="0.25">
      <c r="A895" t="s">
        <v>1110</v>
      </c>
      <c r="B895" t="s">
        <v>1111</v>
      </c>
      <c r="C895">
        <v>1254</v>
      </c>
      <c r="D895" t="s">
        <v>136</v>
      </c>
      <c r="E895" t="s">
        <v>21</v>
      </c>
      <c r="F895">
        <v>32096</v>
      </c>
      <c r="G8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5">
        <v>3.8742999999999999</v>
      </c>
      <c r="J895" t="str">
        <f>IF(ISBLANK(Table13[[#This Row],[Rating]]), "No", "Yes")</f>
        <v>Yes</v>
      </c>
      <c r="K895" t="str">
        <f>IF(ISBLANK(Table13[[#This Row],[Rating]]), "Not Rated", IF(Table13[[#This Row],[Rating]] &lt; 3, "Low", IF(Table13[[#This Row],[Rating]] &lt; 4, "Medium", "High")))</f>
        <v>Medium</v>
      </c>
      <c r="L895">
        <v>716</v>
      </c>
      <c r="M895">
        <v>45</v>
      </c>
      <c r="N895" t="str">
        <f>IF(Table13[[#This Row],[Price USD]]&lt;20,"Budget",IF(Table13[[#This Row],[Price USD]]&lt;=50,"Mid-range","Premium"))</f>
        <v>Mid-range</v>
      </c>
      <c r="O895">
        <v>0</v>
      </c>
      <c r="P895">
        <v>0</v>
      </c>
    </row>
    <row r="896" spans="1:16" x14ac:dyDescent="0.25">
      <c r="A896" t="s">
        <v>1053</v>
      </c>
      <c r="B896" t="s">
        <v>1054</v>
      </c>
      <c r="C896">
        <v>6219</v>
      </c>
      <c r="D896" t="s">
        <v>277</v>
      </c>
      <c r="E896" t="s">
        <v>13</v>
      </c>
      <c r="F896">
        <v>34428</v>
      </c>
      <c r="G8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6">
        <v>4.5195999999999996</v>
      </c>
      <c r="J896" t="str">
        <f>IF(ISBLANK(Table13[[#This Row],[Rating]]), "No", "Yes")</f>
        <v>Yes</v>
      </c>
      <c r="K896" t="str">
        <f>IF(ISBLANK(Table13[[#This Row],[Rating]]), "Not Rated", IF(Table13[[#This Row],[Rating]] &lt; 3, "Low", IF(Table13[[#This Row],[Rating]] &lt; 4, "Medium", "High")))</f>
        <v>High</v>
      </c>
      <c r="L896">
        <v>716</v>
      </c>
      <c r="M896">
        <v>42</v>
      </c>
      <c r="N896" t="str">
        <f>IF(Table13[[#This Row],[Price USD]]&lt;20,"Budget",IF(Table13[[#This Row],[Price USD]]&lt;=50,"Mid-range","Premium"))</f>
        <v>Mid-range</v>
      </c>
      <c r="O896">
        <v>0</v>
      </c>
      <c r="P896">
        <v>0</v>
      </c>
    </row>
    <row r="897" spans="1:16" x14ac:dyDescent="0.25">
      <c r="A897" t="s">
        <v>780</v>
      </c>
      <c r="B897" t="s">
        <v>781</v>
      </c>
      <c r="C897">
        <v>6189</v>
      </c>
      <c r="D897" t="s">
        <v>30</v>
      </c>
      <c r="E897" t="s">
        <v>8</v>
      </c>
      <c r="F897">
        <v>46292</v>
      </c>
      <c r="G8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7">
        <v>4.6795</v>
      </c>
      <c r="J897" t="str">
        <f>IF(ISBLANK(Table13[[#This Row],[Rating]]), "No", "Yes")</f>
        <v>Yes</v>
      </c>
      <c r="K897" t="str">
        <f>IF(ISBLANK(Table13[[#This Row],[Rating]]), "Not Rated", IF(Table13[[#This Row],[Rating]] &lt; 3, "Low", IF(Table13[[#This Row],[Rating]] &lt; 4, "Medium", "High")))</f>
        <v>High</v>
      </c>
      <c r="L897">
        <v>730</v>
      </c>
      <c r="M897">
        <v>40</v>
      </c>
      <c r="N897" t="str">
        <f>IF(Table13[[#This Row],[Price USD]]&lt;20,"Budget",IF(Table13[[#This Row],[Price USD]]&lt;=50,"Mid-range","Premium"))</f>
        <v>Mid-range</v>
      </c>
      <c r="O897">
        <v>0</v>
      </c>
      <c r="P897">
        <v>0</v>
      </c>
    </row>
    <row r="898" spans="1:16" x14ac:dyDescent="0.25">
      <c r="A898" t="s">
        <v>2473</v>
      </c>
      <c r="B898" t="s">
        <v>2474</v>
      </c>
      <c r="C898">
        <v>4164</v>
      </c>
      <c r="D898" t="s">
        <v>623</v>
      </c>
      <c r="E898" t="s">
        <v>144</v>
      </c>
      <c r="F898">
        <v>10438</v>
      </c>
      <c r="G8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8">
        <v>4.4897999999999998</v>
      </c>
      <c r="J898" t="str">
        <f>IF(ISBLANK(Table13[[#This Row],[Rating]]), "No", "Yes")</f>
        <v>Yes</v>
      </c>
      <c r="K898" t="str">
        <f>IF(ISBLANK(Table13[[#This Row],[Rating]]), "Not Rated", IF(Table13[[#This Row],[Rating]] &lt; 3, "Low", IF(Table13[[#This Row],[Rating]] &lt; 4, "Medium", "High")))</f>
        <v>High</v>
      </c>
      <c r="L898">
        <v>733</v>
      </c>
      <c r="M898">
        <v>17</v>
      </c>
      <c r="N898" t="str">
        <f>IF(Table13[[#This Row],[Price USD]]&lt;20,"Budget",IF(Table13[[#This Row],[Price USD]]&lt;=50,"Mid-range","Premium"))</f>
        <v>Budget</v>
      </c>
      <c r="O898">
        <v>0</v>
      </c>
      <c r="P898">
        <v>0</v>
      </c>
    </row>
    <row r="899" spans="1:16" x14ac:dyDescent="0.25">
      <c r="A899" t="s">
        <v>1002</v>
      </c>
      <c r="B899" t="s">
        <v>1003</v>
      </c>
      <c r="C899">
        <v>6014</v>
      </c>
      <c r="D899" t="s">
        <v>102</v>
      </c>
      <c r="E899" t="s">
        <v>69</v>
      </c>
      <c r="F899">
        <v>37108</v>
      </c>
      <c r="G8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8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899">
        <v>4.5464000000000002</v>
      </c>
      <c r="J899" t="str">
        <f>IF(ISBLANK(Table13[[#This Row],[Rating]]), "No", "Yes")</f>
        <v>Yes</v>
      </c>
      <c r="K899" t="str">
        <f>IF(ISBLANK(Table13[[#This Row],[Rating]]), "Not Rated", IF(Table13[[#This Row],[Rating]] &lt; 3, "Low", IF(Table13[[#This Row],[Rating]] &lt; 4, "Medium", "High")))</f>
        <v>High</v>
      </c>
      <c r="L899">
        <v>743</v>
      </c>
      <c r="M899">
        <v>42</v>
      </c>
      <c r="N899" t="str">
        <f>IF(Table13[[#This Row],[Price USD]]&lt;20,"Budget",IF(Table13[[#This Row],[Price USD]]&lt;=50,"Mid-range","Premium"))</f>
        <v>Mid-range</v>
      </c>
      <c r="O899">
        <v>0</v>
      </c>
      <c r="P899">
        <v>1</v>
      </c>
    </row>
    <row r="900" spans="1:16" x14ac:dyDescent="0.25">
      <c r="A900" t="s">
        <v>1958</v>
      </c>
      <c r="B900" t="s">
        <v>1959</v>
      </c>
      <c r="C900">
        <v>5922</v>
      </c>
      <c r="D900" t="s">
        <v>204</v>
      </c>
      <c r="E900" t="s">
        <v>8</v>
      </c>
      <c r="F900">
        <v>15095</v>
      </c>
      <c r="G9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0">
        <v>4.4131999999999998</v>
      </c>
      <c r="J900" t="str">
        <f>IF(ISBLANK(Table13[[#This Row],[Rating]]), "No", "Yes")</f>
        <v>Yes</v>
      </c>
      <c r="K900" t="str">
        <f>IF(ISBLANK(Table13[[#This Row],[Rating]]), "Not Rated", IF(Table13[[#This Row],[Rating]] &lt; 3, "Low", IF(Table13[[#This Row],[Rating]] &lt; 4, "Medium", "High")))</f>
        <v>High</v>
      </c>
      <c r="L900">
        <v>760</v>
      </c>
      <c r="M900">
        <v>69</v>
      </c>
      <c r="N900" t="str">
        <f>IF(Table13[[#This Row],[Price USD]]&lt;20,"Budget",IF(Table13[[#This Row],[Price USD]]&lt;=50,"Mid-range","Premium"))</f>
        <v>Premium</v>
      </c>
      <c r="O900">
        <v>0</v>
      </c>
      <c r="P900">
        <v>0</v>
      </c>
    </row>
    <row r="901" spans="1:16" x14ac:dyDescent="0.25">
      <c r="A901" t="s">
        <v>1160</v>
      </c>
      <c r="B901" t="s">
        <v>1161</v>
      </c>
      <c r="C901">
        <v>3728</v>
      </c>
      <c r="D901" t="s">
        <v>458</v>
      </c>
      <c r="E901" t="s">
        <v>8</v>
      </c>
      <c r="F901">
        <v>30830</v>
      </c>
      <c r="G9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1">
        <v>4.0275999999999996</v>
      </c>
      <c r="J901" t="str">
        <f>IF(ISBLANK(Table13[[#This Row],[Rating]]), "No", "Yes")</f>
        <v>Yes</v>
      </c>
      <c r="K901" t="str">
        <f>IF(ISBLANK(Table13[[#This Row],[Rating]]), "Not Rated", IF(Table13[[#This Row],[Rating]] &lt; 3, "Low", IF(Table13[[#This Row],[Rating]] &lt; 4, "Medium", "High")))</f>
        <v>High</v>
      </c>
      <c r="L901">
        <v>762</v>
      </c>
      <c r="M901">
        <v>105</v>
      </c>
      <c r="N901" t="str">
        <f>IF(Table13[[#This Row],[Price USD]]&lt;20,"Budget",IF(Table13[[#This Row],[Price USD]]&lt;=50,"Mid-range","Premium"))</f>
        <v>Premium</v>
      </c>
      <c r="O901">
        <v>0</v>
      </c>
      <c r="P901">
        <v>0</v>
      </c>
    </row>
    <row r="902" spans="1:16" x14ac:dyDescent="0.25">
      <c r="A902" t="s">
        <v>1523</v>
      </c>
      <c r="B902" t="s">
        <v>1524</v>
      </c>
      <c r="C902">
        <v>4348</v>
      </c>
      <c r="D902" t="s">
        <v>61</v>
      </c>
      <c r="E902" t="s">
        <v>149</v>
      </c>
      <c r="F902">
        <v>21612</v>
      </c>
      <c r="G9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2">
        <v>4.4036999999999997</v>
      </c>
      <c r="J902" t="str">
        <f>IF(ISBLANK(Table13[[#This Row],[Rating]]), "No", "Yes")</f>
        <v>Yes</v>
      </c>
      <c r="K902" t="str">
        <f>IF(ISBLANK(Table13[[#This Row],[Rating]]), "Not Rated", IF(Table13[[#This Row],[Rating]] &lt; 3, "Low", IF(Table13[[#This Row],[Rating]] &lt; 4, "Medium", "High")))</f>
        <v>High</v>
      </c>
      <c r="L902">
        <v>763</v>
      </c>
      <c r="M902">
        <v>45</v>
      </c>
      <c r="N902" t="str">
        <f>IF(Table13[[#This Row],[Price USD]]&lt;20,"Budget",IF(Table13[[#This Row],[Price USD]]&lt;=50,"Mid-range","Premium"))</f>
        <v>Mid-range</v>
      </c>
      <c r="O902">
        <v>0</v>
      </c>
      <c r="P902">
        <v>0</v>
      </c>
    </row>
    <row r="903" spans="1:16" x14ac:dyDescent="0.25">
      <c r="A903" t="s">
        <v>844</v>
      </c>
      <c r="B903" t="s">
        <v>845</v>
      </c>
      <c r="C903">
        <v>6289</v>
      </c>
      <c r="D903" t="s">
        <v>111</v>
      </c>
      <c r="E903" t="s">
        <v>21</v>
      </c>
      <c r="F903">
        <v>43004</v>
      </c>
      <c r="G9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3">
        <v>4.5273000000000003</v>
      </c>
      <c r="J903" t="str">
        <f>IF(ISBLANK(Table13[[#This Row],[Rating]]), "No", "Yes")</f>
        <v>Yes</v>
      </c>
      <c r="K903" t="str">
        <f>IF(ISBLANK(Table13[[#This Row],[Rating]]), "Not Rated", IF(Table13[[#This Row],[Rating]] &lt; 3, "Low", IF(Table13[[#This Row],[Rating]] &lt; 4, "Medium", "High")))</f>
        <v>High</v>
      </c>
      <c r="L903">
        <v>768</v>
      </c>
      <c r="M903">
        <v>48</v>
      </c>
      <c r="N903" t="str">
        <f>IF(Table13[[#This Row],[Price USD]]&lt;20,"Budget",IF(Table13[[#This Row],[Price USD]]&lt;=50,"Mid-range","Premium"))</f>
        <v>Mid-range</v>
      </c>
      <c r="O903">
        <v>0</v>
      </c>
      <c r="P903">
        <v>0</v>
      </c>
    </row>
    <row r="904" spans="1:16" x14ac:dyDescent="0.25">
      <c r="A904" t="s">
        <v>1006</v>
      </c>
      <c r="B904" t="s">
        <v>1007</v>
      </c>
      <c r="C904">
        <v>4164</v>
      </c>
      <c r="D904" t="s">
        <v>623</v>
      </c>
      <c r="E904" t="s">
        <v>8</v>
      </c>
      <c r="F904">
        <v>36774</v>
      </c>
      <c r="G9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4">
        <v>3.9546999999999999</v>
      </c>
      <c r="J904" t="str">
        <f>IF(ISBLANK(Table13[[#This Row],[Rating]]), "No", "Yes")</f>
        <v>Yes</v>
      </c>
      <c r="K904" t="str">
        <f>IF(ISBLANK(Table13[[#This Row],[Rating]]), "Not Rated", IF(Table13[[#This Row],[Rating]] &lt; 3, "Low", IF(Table13[[#This Row],[Rating]] &lt; 4, "Medium", "High")))</f>
        <v>Medium</v>
      </c>
      <c r="L904">
        <v>773</v>
      </c>
      <c r="M904">
        <v>71</v>
      </c>
      <c r="N904" t="str">
        <f>IF(Table13[[#This Row],[Price USD]]&lt;20,"Budget",IF(Table13[[#This Row],[Price USD]]&lt;=50,"Mid-range","Premium"))</f>
        <v>Premium</v>
      </c>
      <c r="O904">
        <v>0</v>
      </c>
      <c r="P904">
        <v>0</v>
      </c>
    </row>
    <row r="905" spans="1:16" x14ac:dyDescent="0.25">
      <c r="A905" t="s">
        <v>1725</v>
      </c>
      <c r="B905" t="s">
        <v>1726</v>
      </c>
      <c r="C905">
        <v>6134</v>
      </c>
      <c r="D905" t="s">
        <v>286</v>
      </c>
      <c r="E905" t="s">
        <v>13</v>
      </c>
      <c r="F905">
        <v>17898</v>
      </c>
      <c r="G9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5">
        <v>4.4259000000000004</v>
      </c>
      <c r="J905" t="str">
        <f>IF(ISBLANK(Table13[[#This Row],[Rating]]), "No", "Yes")</f>
        <v>Yes</v>
      </c>
      <c r="K905" t="str">
        <f>IF(ISBLANK(Table13[[#This Row],[Rating]]), "Not Rated", IF(Table13[[#This Row],[Rating]] &lt; 3, "Low", IF(Table13[[#This Row],[Rating]] &lt; 4, "Medium", "High")))</f>
        <v>High</v>
      </c>
      <c r="L905">
        <v>789</v>
      </c>
      <c r="M905">
        <v>30</v>
      </c>
      <c r="N905" t="str">
        <f>IF(Table13[[#This Row],[Price USD]]&lt;20,"Budget",IF(Table13[[#This Row],[Price USD]]&lt;=50,"Mid-range","Premium"))</f>
        <v>Mid-range</v>
      </c>
      <c r="O905">
        <v>0</v>
      </c>
      <c r="P905">
        <v>0</v>
      </c>
    </row>
    <row r="906" spans="1:16" x14ac:dyDescent="0.25">
      <c r="A906" t="s">
        <v>877</v>
      </c>
      <c r="B906" t="s">
        <v>878</v>
      </c>
      <c r="C906">
        <v>7091</v>
      </c>
      <c r="D906" t="s">
        <v>879</v>
      </c>
      <c r="E906" t="s">
        <v>49</v>
      </c>
      <c r="F906">
        <v>41546</v>
      </c>
      <c r="G9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6">
        <v>4.4204999999999997</v>
      </c>
      <c r="J906" t="str">
        <f>IF(ISBLANK(Table13[[#This Row],[Rating]]), "No", "Yes")</f>
        <v>Yes</v>
      </c>
      <c r="K906" t="str">
        <f>IF(ISBLANK(Table13[[#This Row],[Rating]]), "Not Rated", IF(Table13[[#This Row],[Rating]] &lt; 3, "Low", IF(Table13[[#This Row],[Rating]] &lt; 4, "Medium", "High")))</f>
        <v>High</v>
      </c>
      <c r="L906">
        <v>799</v>
      </c>
      <c r="M906">
        <v>48</v>
      </c>
      <c r="N906" t="str">
        <f>IF(Table13[[#This Row],[Price USD]]&lt;20,"Budget",IF(Table13[[#This Row],[Price USD]]&lt;=50,"Mid-range","Premium"))</f>
        <v>Mid-range</v>
      </c>
      <c r="O906">
        <v>0</v>
      </c>
      <c r="P906">
        <v>0</v>
      </c>
    </row>
    <row r="907" spans="1:16" x14ac:dyDescent="0.25">
      <c r="A907" t="s">
        <v>1841</v>
      </c>
      <c r="B907" t="s">
        <v>1842</v>
      </c>
      <c r="C907">
        <v>1254</v>
      </c>
      <c r="D907" t="s">
        <v>136</v>
      </c>
      <c r="E907" t="s">
        <v>13</v>
      </c>
      <c r="F907">
        <v>16656</v>
      </c>
      <c r="G9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7">
        <v>4.5320999999999998</v>
      </c>
      <c r="J907" t="str">
        <f>IF(ISBLANK(Table13[[#This Row],[Rating]]), "No", "Yes")</f>
        <v>Yes</v>
      </c>
      <c r="K907" t="str">
        <f>IF(ISBLANK(Table13[[#This Row],[Rating]]), "Not Rated", IF(Table13[[#This Row],[Rating]] &lt; 3, "Low", IF(Table13[[#This Row],[Rating]] &lt; 4, "Medium", "High")))</f>
        <v>High</v>
      </c>
      <c r="L907">
        <v>810</v>
      </c>
      <c r="M907">
        <v>26</v>
      </c>
      <c r="N907" t="str">
        <f>IF(Table13[[#This Row],[Price USD]]&lt;20,"Budget",IF(Table13[[#This Row],[Price USD]]&lt;=50,"Mid-range","Premium"))</f>
        <v>Mid-range</v>
      </c>
      <c r="O907">
        <v>0</v>
      </c>
      <c r="P907">
        <v>0</v>
      </c>
    </row>
    <row r="908" spans="1:16" x14ac:dyDescent="0.25">
      <c r="A908" t="s">
        <v>1759</v>
      </c>
      <c r="B908" t="s">
        <v>1760</v>
      </c>
      <c r="C908">
        <v>8001</v>
      </c>
      <c r="D908" t="s">
        <v>27</v>
      </c>
      <c r="E908" t="s">
        <v>13</v>
      </c>
      <c r="F908">
        <v>17610</v>
      </c>
      <c r="G9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8">
        <v>4.4835000000000003</v>
      </c>
      <c r="J908" t="str">
        <f>IF(ISBLANK(Table13[[#This Row],[Rating]]), "No", "Yes")</f>
        <v>Yes</v>
      </c>
      <c r="K908" t="str">
        <f>IF(ISBLANK(Table13[[#This Row],[Rating]]), "Not Rated", IF(Table13[[#This Row],[Rating]] &lt; 3, "Low", IF(Table13[[#This Row],[Rating]] &lt; 4, "Medium", "High")))</f>
        <v>High</v>
      </c>
      <c r="L908">
        <v>819</v>
      </c>
      <c r="M908">
        <v>16</v>
      </c>
      <c r="N908" t="str">
        <f>IF(Table13[[#This Row],[Price USD]]&lt;20,"Budget",IF(Table13[[#This Row],[Price USD]]&lt;=50,"Mid-range","Premium"))</f>
        <v>Budget</v>
      </c>
      <c r="O908">
        <v>0</v>
      </c>
      <c r="P908">
        <v>0</v>
      </c>
    </row>
    <row r="909" spans="1:16" x14ac:dyDescent="0.25">
      <c r="A909" t="s">
        <v>1749</v>
      </c>
      <c r="B909" t="s">
        <v>1750</v>
      </c>
      <c r="C909">
        <v>1254</v>
      </c>
      <c r="D909" t="s">
        <v>136</v>
      </c>
      <c r="E909" t="s">
        <v>13</v>
      </c>
      <c r="F909">
        <v>17770</v>
      </c>
      <c r="G9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09">
        <v>4.4932999999999996</v>
      </c>
      <c r="J909" t="str">
        <f>IF(ISBLANK(Table13[[#This Row],[Rating]]), "No", "Yes")</f>
        <v>Yes</v>
      </c>
      <c r="K909" t="str">
        <f>IF(ISBLANK(Table13[[#This Row],[Rating]]), "Not Rated", IF(Table13[[#This Row],[Rating]] &lt; 3, "Low", IF(Table13[[#This Row],[Rating]] &lt; 4, "Medium", "High")))</f>
        <v>High</v>
      </c>
      <c r="L909">
        <v>821</v>
      </c>
      <c r="M909">
        <v>23.5</v>
      </c>
      <c r="N909" t="str">
        <f>IF(Table13[[#This Row],[Price USD]]&lt;20,"Budget",IF(Table13[[#This Row],[Price USD]]&lt;=50,"Mid-range","Premium"))</f>
        <v>Mid-range</v>
      </c>
      <c r="O909">
        <v>0</v>
      </c>
      <c r="P909">
        <v>0</v>
      </c>
    </row>
    <row r="910" spans="1:16" x14ac:dyDescent="0.25">
      <c r="A910" t="s">
        <v>1249</v>
      </c>
      <c r="B910" t="s">
        <v>1250</v>
      </c>
      <c r="C910">
        <v>8001</v>
      </c>
      <c r="D910" t="s">
        <v>27</v>
      </c>
      <c r="E910" t="s">
        <v>8</v>
      </c>
      <c r="F910">
        <v>27859</v>
      </c>
      <c r="G9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0">
        <v>4.4314999999999998</v>
      </c>
      <c r="J910" t="str">
        <f>IF(ISBLANK(Table13[[#This Row],[Rating]]), "No", "Yes")</f>
        <v>Yes</v>
      </c>
      <c r="K910" t="str">
        <f>IF(ISBLANK(Table13[[#This Row],[Rating]]), "Not Rated", IF(Table13[[#This Row],[Rating]] &lt; 3, "Low", IF(Table13[[#This Row],[Rating]] &lt; 4, "Medium", "High")))</f>
        <v>High</v>
      </c>
      <c r="L910">
        <v>825</v>
      </c>
      <c r="M910">
        <v>50</v>
      </c>
      <c r="N910" t="str">
        <f>IF(Table13[[#This Row],[Price USD]]&lt;20,"Budget",IF(Table13[[#This Row],[Price USD]]&lt;=50,"Mid-range","Premium"))</f>
        <v>Mid-range</v>
      </c>
      <c r="O910">
        <v>0</v>
      </c>
      <c r="P910">
        <v>0</v>
      </c>
    </row>
    <row r="911" spans="1:16" x14ac:dyDescent="0.25">
      <c r="A911" t="s">
        <v>1374</v>
      </c>
      <c r="B911" t="s">
        <v>1375</v>
      </c>
      <c r="C911">
        <v>4164</v>
      </c>
      <c r="D911" t="s">
        <v>623</v>
      </c>
      <c r="E911" t="s">
        <v>21</v>
      </c>
      <c r="F911">
        <v>24570</v>
      </c>
      <c r="G9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1">
        <v>4.2484999999999999</v>
      </c>
      <c r="J911" t="str">
        <f>IF(ISBLANK(Table13[[#This Row],[Rating]]), "No", "Yes")</f>
        <v>Yes</v>
      </c>
      <c r="K911" t="str">
        <f>IF(ISBLANK(Table13[[#This Row],[Rating]]), "Not Rated", IF(Table13[[#This Row],[Rating]] &lt; 3, "Low", IF(Table13[[#This Row],[Rating]] &lt; 4, "Medium", "High")))</f>
        <v>High</v>
      </c>
      <c r="L911">
        <v>829</v>
      </c>
      <c r="M911">
        <v>68</v>
      </c>
      <c r="N911" t="str">
        <f>IF(Table13[[#This Row],[Price USD]]&lt;20,"Budget",IF(Table13[[#This Row],[Price USD]]&lt;=50,"Mid-range","Premium"))</f>
        <v>Premium</v>
      </c>
      <c r="O911">
        <v>0</v>
      </c>
      <c r="P911">
        <v>0</v>
      </c>
    </row>
    <row r="912" spans="1:16" x14ac:dyDescent="0.25">
      <c r="A912" t="s">
        <v>1291</v>
      </c>
      <c r="B912" t="s">
        <v>1292</v>
      </c>
      <c r="C912">
        <v>3728</v>
      </c>
      <c r="D912" t="s">
        <v>458</v>
      </c>
      <c r="E912" t="s">
        <v>21</v>
      </c>
      <c r="F912">
        <v>26530</v>
      </c>
      <c r="G9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2">
        <v>4.2885999999999997</v>
      </c>
      <c r="J912" t="str">
        <f>IF(ISBLANK(Table13[[#This Row],[Rating]]), "No", "Yes")</f>
        <v>Yes</v>
      </c>
      <c r="K912" t="str">
        <f>IF(ISBLANK(Table13[[#This Row],[Rating]]), "Not Rated", IF(Table13[[#This Row],[Rating]] &lt; 3, "Low", IF(Table13[[#This Row],[Rating]] &lt; 4, "Medium", "High")))</f>
        <v>High</v>
      </c>
      <c r="L912">
        <v>842</v>
      </c>
      <c r="M912">
        <v>55</v>
      </c>
      <c r="N912" t="str">
        <f>IF(Table13[[#This Row],[Price USD]]&lt;20,"Budget",IF(Table13[[#This Row],[Price USD]]&lt;=50,"Mid-range","Premium"))</f>
        <v>Premium</v>
      </c>
      <c r="O912">
        <v>0</v>
      </c>
      <c r="P912">
        <v>0</v>
      </c>
    </row>
    <row r="913" spans="1:16" x14ac:dyDescent="0.25">
      <c r="A913" t="s">
        <v>1133</v>
      </c>
      <c r="B913" t="s">
        <v>1134</v>
      </c>
      <c r="C913">
        <v>6236</v>
      </c>
      <c r="D913" t="s">
        <v>272</v>
      </c>
      <c r="E913" t="s">
        <v>149</v>
      </c>
      <c r="F913">
        <v>31496</v>
      </c>
      <c r="G9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3">
        <v>4.3539000000000003</v>
      </c>
      <c r="J913" t="str">
        <f>IF(ISBLANK(Table13[[#This Row],[Rating]]), "No", "Yes")</f>
        <v>Yes</v>
      </c>
      <c r="K913" t="str">
        <f>IF(ISBLANK(Table13[[#This Row],[Rating]]), "Not Rated", IF(Table13[[#This Row],[Rating]] &lt; 3, "Low", IF(Table13[[#This Row],[Rating]] &lt; 4, "Medium", "High")))</f>
        <v>High</v>
      </c>
      <c r="L913">
        <v>842</v>
      </c>
      <c r="M913">
        <v>65</v>
      </c>
      <c r="N913" t="str">
        <f>IF(Table13[[#This Row],[Price USD]]&lt;20,"Budget",IF(Table13[[#This Row],[Price USD]]&lt;=50,"Mid-range","Premium"))</f>
        <v>Premium</v>
      </c>
      <c r="O913">
        <v>0</v>
      </c>
      <c r="P913">
        <v>0</v>
      </c>
    </row>
    <row r="914" spans="1:16" x14ac:dyDescent="0.25">
      <c r="A914" t="s">
        <v>915</v>
      </c>
      <c r="B914" t="s">
        <v>916</v>
      </c>
      <c r="C914">
        <v>7083</v>
      </c>
      <c r="D914" t="s">
        <v>20</v>
      </c>
      <c r="E914" t="s">
        <v>49</v>
      </c>
      <c r="F914">
        <v>40278</v>
      </c>
      <c r="G9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4">
        <v>3.2982</v>
      </c>
      <c r="J914" t="str">
        <f>IF(ISBLANK(Table13[[#This Row],[Rating]]), "No", "Yes")</f>
        <v>Yes</v>
      </c>
      <c r="K914" t="str">
        <f>IF(ISBLANK(Table13[[#This Row],[Rating]]), "Not Rated", IF(Table13[[#This Row],[Rating]] &lt; 3, "Low", IF(Table13[[#This Row],[Rating]] &lt; 4, "Medium", "High")))</f>
        <v>Medium</v>
      </c>
      <c r="L914">
        <v>845</v>
      </c>
      <c r="M914">
        <v>36</v>
      </c>
      <c r="N914" t="str">
        <f>IF(Table13[[#This Row],[Price USD]]&lt;20,"Budget",IF(Table13[[#This Row],[Price USD]]&lt;=50,"Mid-range","Premium"))</f>
        <v>Mid-range</v>
      </c>
      <c r="O914">
        <v>0</v>
      </c>
      <c r="P914">
        <v>0</v>
      </c>
    </row>
    <row r="915" spans="1:16" x14ac:dyDescent="0.25">
      <c r="A915" t="s">
        <v>2517</v>
      </c>
      <c r="B915" t="s">
        <v>2518</v>
      </c>
      <c r="C915">
        <v>1741</v>
      </c>
      <c r="D915" t="s">
        <v>388</v>
      </c>
      <c r="E915" t="s">
        <v>21</v>
      </c>
      <c r="F915">
        <v>10202</v>
      </c>
      <c r="G9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5">
        <v>4.6429999999999998</v>
      </c>
      <c r="J915" t="str">
        <f>IF(ISBLANK(Table13[[#This Row],[Rating]]), "No", "Yes")</f>
        <v>Yes</v>
      </c>
      <c r="K915" t="str">
        <f>IF(ISBLANK(Table13[[#This Row],[Rating]]), "Not Rated", IF(Table13[[#This Row],[Rating]] &lt; 3, "Low", IF(Table13[[#This Row],[Rating]] &lt; 4, "Medium", "High")))</f>
        <v>High</v>
      </c>
      <c r="L915">
        <v>846</v>
      </c>
      <c r="M915">
        <v>95</v>
      </c>
      <c r="N915" t="str">
        <f>IF(Table13[[#This Row],[Price USD]]&lt;20,"Budget",IF(Table13[[#This Row],[Price USD]]&lt;=50,"Mid-range","Premium"))</f>
        <v>Premium</v>
      </c>
      <c r="O915">
        <v>0</v>
      </c>
      <c r="P915">
        <v>0</v>
      </c>
    </row>
    <row r="916" spans="1:16" x14ac:dyDescent="0.25">
      <c r="A916" t="s">
        <v>746</v>
      </c>
      <c r="B916" t="s">
        <v>747</v>
      </c>
      <c r="C916">
        <v>5674</v>
      </c>
      <c r="D916" t="s">
        <v>141</v>
      </c>
      <c r="E916" t="s">
        <v>21</v>
      </c>
      <c r="F916">
        <v>47908</v>
      </c>
      <c r="G9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6">
        <v>4.5522</v>
      </c>
      <c r="J916" t="str">
        <f>IF(ISBLANK(Table13[[#This Row],[Rating]]), "No", "Yes")</f>
        <v>Yes</v>
      </c>
      <c r="K916" t="str">
        <f>IF(ISBLANK(Table13[[#This Row],[Rating]]), "Not Rated", IF(Table13[[#This Row],[Rating]] &lt; 3, "Low", IF(Table13[[#This Row],[Rating]] &lt; 4, "Medium", "High")))</f>
        <v>High</v>
      </c>
      <c r="L916">
        <v>862</v>
      </c>
      <c r="M916">
        <v>51</v>
      </c>
      <c r="N916" t="str">
        <f>IF(Table13[[#This Row],[Price USD]]&lt;20,"Budget",IF(Table13[[#This Row],[Price USD]]&lt;=50,"Mid-range","Premium"))</f>
        <v>Premium</v>
      </c>
      <c r="O916">
        <v>0</v>
      </c>
      <c r="P916">
        <v>0</v>
      </c>
    </row>
    <row r="917" spans="1:16" x14ac:dyDescent="0.25">
      <c r="A917" t="s">
        <v>1324</v>
      </c>
      <c r="B917" t="s">
        <v>1325</v>
      </c>
      <c r="C917">
        <v>5674</v>
      </c>
      <c r="D917" t="s">
        <v>141</v>
      </c>
      <c r="E917" t="s">
        <v>149</v>
      </c>
      <c r="F917">
        <v>26008</v>
      </c>
      <c r="G9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7">
        <v>4.3939000000000004</v>
      </c>
      <c r="J917" t="str">
        <f>IF(ISBLANK(Table13[[#This Row],[Rating]]), "No", "Yes")</f>
        <v>Yes</v>
      </c>
      <c r="K917" t="str">
        <f>IF(ISBLANK(Table13[[#This Row],[Rating]]), "Not Rated", IF(Table13[[#This Row],[Rating]] &lt; 3, "Low", IF(Table13[[#This Row],[Rating]] &lt; 4, "Medium", "High")))</f>
        <v>High</v>
      </c>
      <c r="L917">
        <v>886</v>
      </c>
      <c r="M917">
        <v>52</v>
      </c>
      <c r="N917" t="str">
        <f>IF(Table13[[#This Row],[Price USD]]&lt;20,"Budget",IF(Table13[[#This Row],[Price USD]]&lt;=50,"Mid-range","Premium"))</f>
        <v>Premium</v>
      </c>
      <c r="O917">
        <v>0</v>
      </c>
      <c r="P917">
        <v>0</v>
      </c>
    </row>
    <row r="918" spans="1:16" x14ac:dyDescent="0.25">
      <c r="A918" t="s">
        <v>1505</v>
      </c>
      <c r="B918" t="s">
        <v>1506</v>
      </c>
      <c r="C918">
        <v>4164</v>
      </c>
      <c r="D918" t="s">
        <v>623</v>
      </c>
      <c r="E918" t="s">
        <v>13</v>
      </c>
      <c r="F918">
        <v>21951</v>
      </c>
      <c r="G9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8">
        <v>4.3179999999999996</v>
      </c>
      <c r="J918" t="str">
        <f>IF(ISBLANK(Table13[[#This Row],[Rating]]), "No", "Yes")</f>
        <v>Yes</v>
      </c>
      <c r="K918" t="str">
        <f>IF(ISBLANK(Table13[[#This Row],[Rating]]), "Not Rated", IF(Table13[[#This Row],[Rating]] &lt; 3, "Low", IF(Table13[[#This Row],[Rating]] &lt; 4, "Medium", "High")))</f>
        <v>High</v>
      </c>
      <c r="L918">
        <v>890</v>
      </c>
      <c r="M918">
        <v>30</v>
      </c>
      <c r="N918" t="str">
        <f>IF(Table13[[#This Row],[Price USD]]&lt;20,"Budget",IF(Table13[[#This Row],[Price USD]]&lt;=50,"Mid-range","Premium"))</f>
        <v>Mid-range</v>
      </c>
      <c r="O918">
        <v>0</v>
      </c>
      <c r="P918">
        <v>0</v>
      </c>
    </row>
    <row r="919" spans="1:16" x14ac:dyDescent="0.25">
      <c r="A919" t="s">
        <v>788</v>
      </c>
      <c r="B919" t="s">
        <v>789</v>
      </c>
      <c r="C919">
        <v>5648</v>
      </c>
      <c r="D919" t="s">
        <v>408</v>
      </c>
      <c r="E919" t="s">
        <v>149</v>
      </c>
      <c r="F919">
        <v>45734</v>
      </c>
      <c r="G9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19">
        <v>4.0088999999999997</v>
      </c>
      <c r="J919" t="str">
        <f>IF(ISBLANK(Table13[[#This Row],[Rating]]), "No", "Yes")</f>
        <v>Yes</v>
      </c>
      <c r="K919" t="str">
        <f>IF(ISBLANK(Table13[[#This Row],[Rating]]), "Not Rated", IF(Table13[[#This Row],[Rating]] &lt; 3, "Low", IF(Table13[[#This Row],[Rating]] &lt; 4, "Medium", "High")))</f>
        <v>High</v>
      </c>
      <c r="L919">
        <v>901</v>
      </c>
      <c r="M919">
        <v>39</v>
      </c>
      <c r="N919" t="str">
        <f>IF(Table13[[#This Row],[Price USD]]&lt;20,"Budget",IF(Table13[[#This Row],[Price USD]]&lt;=50,"Mid-range","Premium"))</f>
        <v>Mid-range</v>
      </c>
      <c r="O919">
        <v>0</v>
      </c>
      <c r="P919">
        <v>0</v>
      </c>
    </row>
    <row r="920" spans="1:16" x14ac:dyDescent="0.25">
      <c r="A920" t="s">
        <v>1386</v>
      </c>
      <c r="B920" t="s">
        <v>1387</v>
      </c>
      <c r="C920">
        <v>1254</v>
      </c>
      <c r="D920" t="s">
        <v>136</v>
      </c>
      <c r="E920" t="s">
        <v>149</v>
      </c>
      <c r="F920">
        <v>24355</v>
      </c>
      <c r="G9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0">
        <v>3.7690999999999999</v>
      </c>
      <c r="J920" t="str">
        <f>IF(ISBLANK(Table13[[#This Row],[Rating]]), "No", "Yes")</f>
        <v>Yes</v>
      </c>
      <c r="K920" t="str">
        <f>IF(ISBLANK(Table13[[#This Row],[Rating]]), "Not Rated", IF(Table13[[#This Row],[Rating]] &lt; 3, "Low", IF(Table13[[#This Row],[Rating]] &lt; 4, "Medium", "High")))</f>
        <v>Medium</v>
      </c>
      <c r="L920">
        <v>905</v>
      </c>
      <c r="M920">
        <v>37</v>
      </c>
      <c r="N920" t="str">
        <f>IF(Table13[[#This Row],[Price USD]]&lt;20,"Budget",IF(Table13[[#This Row],[Price USD]]&lt;=50,"Mid-range","Premium"))</f>
        <v>Mid-range</v>
      </c>
      <c r="O920">
        <v>0</v>
      </c>
      <c r="P920">
        <v>0</v>
      </c>
    </row>
    <row r="921" spans="1:16" x14ac:dyDescent="0.25">
      <c r="A921" t="s">
        <v>1104</v>
      </c>
      <c r="B921" t="s">
        <v>1105</v>
      </c>
      <c r="C921">
        <v>4164</v>
      </c>
      <c r="D921" t="s">
        <v>623</v>
      </c>
      <c r="E921" t="s">
        <v>13</v>
      </c>
      <c r="F921">
        <v>32202</v>
      </c>
      <c r="G9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1">
        <v>4.3476999999999997</v>
      </c>
      <c r="J921" t="str">
        <f>IF(ISBLANK(Table13[[#This Row],[Rating]]), "No", "Yes")</f>
        <v>Yes</v>
      </c>
      <c r="K921" t="str">
        <f>IF(ISBLANK(Table13[[#This Row],[Rating]]), "Not Rated", IF(Table13[[#This Row],[Rating]] &lt; 3, "Low", IF(Table13[[#This Row],[Rating]] &lt; 4, "Medium", "High")))</f>
        <v>High</v>
      </c>
      <c r="L921">
        <v>906</v>
      </c>
      <c r="M921">
        <v>39</v>
      </c>
      <c r="N921" t="str">
        <f>IF(Table13[[#This Row],[Price USD]]&lt;20,"Budget",IF(Table13[[#This Row],[Price USD]]&lt;=50,"Mid-range","Premium"))</f>
        <v>Mid-range</v>
      </c>
      <c r="O921">
        <v>0</v>
      </c>
      <c r="P921">
        <v>0</v>
      </c>
    </row>
    <row r="922" spans="1:16" x14ac:dyDescent="0.25">
      <c r="A922" t="s">
        <v>1100</v>
      </c>
      <c r="B922" t="s">
        <v>1101</v>
      </c>
      <c r="C922">
        <v>8001</v>
      </c>
      <c r="D922" t="s">
        <v>27</v>
      </c>
      <c r="E922" t="s">
        <v>8</v>
      </c>
      <c r="F922">
        <v>32224</v>
      </c>
      <c r="G9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2">
        <v>4.3190999999999997</v>
      </c>
      <c r="J922" t="str">
        <f>IF(ISBLANK(Table13[[#This Row],[Rating]]), "No", "Yes")</f>
        <v>Yes</v>
      </c>
      <c r="K922" t="str">
        <f>IF(ISBLANK(Table13[[#This Row],[Rating]]), "Not Rated", IF(Table13[[#This Row],[Rating]] &lt; 3, "Low", IF(Table13[[#This Row],[Rating]] &lt; 4, "Medium", "High")))</f>
        <v>High</v>
      </c>
      <c r="L922">
        <v>912</v>
      </c>
      <c r="M922">
        <v>48</v>
      </c>
      <c r="N922" t="str">
        <f>IF(Table13[[#This Row],[Price USD]]&lt;20,"Budget",IF(Table13[[#This Row],[Price USD]]&lt;=50,"Mid-range","Premium"))</f>
        <v>Mid-range</v>
      </c>
      <c r="O922">
        <v>0</v>
      </c>
      <c r="P922">
        <v>0</v>
      </c>
    </row>
    <row r="923" spans="1:16" x14ac:dyDescent="0.25">
      <c r="A923" t="s">
        <v>2507</v>
      </c>
      <c r="B923" t="s">
        <v>2508</v>
      </c>
      <c r="C923">
        <v>6218</v>
      </c>
      <c r="D923" t="s">
        <v>116</v>
      </c>
      <c r="E923" t="s">
        <v>220</v>
      </c>
      <c r="F923">
        <v>10273</v>
      </c>
      <c r="G9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3">
        <v>3.8477999999999999</v>
      </c>
      <c r="J923" t="str">
        <f>IF(ISBLANK(Table13[[#This Row],[Rating]]), "No", "Yes")</f>
        <v>Yes</v>
      </c>
      <c r="K923" t="str">
        <f>IF(ISBLANK(Table13[[#This Row],[Rating]]), "Not Rated", IF(Table13[[#This Row],[Rating]] &lt; 3, "Low", IF(Table13[[#This Row],[Rating]] &lt; 4, "Medium", "High")))</f>
        <v>Medium</v>
      </c>
      <c r="L923">
        <v>913</v>
      </c>
      <c r="M923">
        <v>125</v>
      </c>
      <c r="N923" t="str">
        <f>IF(Table13[[#This Row],[Price USD]]&lt;20,"Budget",IF(Table13[[#This Row],[Price USD]]&lt;=50,"Mid-range","Premium"))</f>
        <v>Premium</v>
      </c>
      <c r="O923">
        <v>0</v>
      </c>
      <c r="P923">
        <v>1</v>
      </c>
    </row>
    <row r="924" spans="1:16" x14ac:dyDescent="0.25">
      <c r="A924" t="s">
        <v>1694</v>
      </c>
      <c r="B924" t="s">
        <v>1695</v>
      </c>
      <c r="C924">
        <v>6283</v>
      </c>
      <c r="D924" t="s">
        <v>1696</v>
      </c>
      <c r="E924" t="s">
        <v>8</v>
      </c>
      <c r="F924">
        <v>18300</v>
      </c>
      <c r="G9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4">
        <v>4.5092999999999996</v>
      </c>
      <c r="J924" t="str">
        <f>IF(ISBLANK(Table13[[#This Row],[Rating]]), "No", "Yes")</f>
        <v>Yes</v>
      </c>
      <c r="K924" t="str">
        <f>IF(ISBLANK(Table13[[#This Row],[Rating]]), "Not Rated", IF(Table13[[#This Row],[Rating]] &lt; 3, "Low", IF(Table13[[#This Row],[Rating]] &lt; 4, "Medium", "High")))</f>
        <v>High</v>
      </c>
      <c r="L924">
        <v>915</v>
      </c>
      <c r="M924">
        <v>56</v>
      </c>
      <c r="N924" t="str">
        <f>IF(Table13[[#This Row],[Price USD]]&lt;20,"Budget",IF(Table13[[#This Row],[Price USD]]&lt;=50,"Mid-range","Premium"))</f>
        <v>Premium</v>
      </c>
      <c r="O924">
        <v>0</v>
      </c>
      <c r="P924">
        <v>0</v>
      </c>
    </row>
    <row r="925" spans="1:16" x14ac:dyDescent="0.25">
      <c r="A925" t="s">
        <v>1390</v>
      </c>
      <c r="B925" t="s">
        <v>1391</v>
      </c>
      <c r="C925">
        <v>1254</v>
      </c>
      <c r="D925" t="s">
        <v>136</v>
      </c>
      <c r="E925" t="s">
        <v>13</v>
      </c>
      <c r="F925">
        <v>24326</v>
      </c>
      <c r="G9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5">
        <v>4.3181000000000003</v>
      </c>
      <c r="J925" t="str">
        <f>IF(ISBLANK(Table13[[#This Row],[Rating]]), "No", "Yes")</f>
        <v>Yes</v>
      </c>
      <c r="K925" t="str">
        <f>IF(ISBLANK(Table13[[#This Row],[Rating]]), "Not Rated", IF(Table13[[#This Row],[Rating]] &lt; 3, "Low", IF(Table13[[#This Row],[Rating]] &lt; 4, "Medium", "High")))</f>
        <v>High</v>
      </c>
      <c r="L925">
        <v>918</v>
      </c>
      <c r="M925">
        <v>20</v>
      </c>
      <c r="N925" t="str">
        <f>IF(Table13[[#This Row],[Price USD]]&lt;20,"Budget",IF(Table13[[#This Row],[Price USD]]&lt;=50,"Mid-range","Premium"))</f>
        <v>Mid-range</v>
      </c>
      <c r="O925">
        <v>0</v>
      </c>
      <c r="P925">
        <v>0</v>
      </c>
    </row>
    <row r="926" spans="1:16" x14ac:dyDescent="0.25">
      <c r="A926" t="s">
        <v>2057</v>
      </c>
      <c r="B926" t="s">
        <v>2058</v>
      </c>
      <c r="C926">
        <v>6084</v>
      </c>
      <c r="D926" t="s">
        <v>269</v>
      </c>
      <c r="E926" t="s">
        <v>13</v>
      </c>
      <c r="F926">
        <v>14027</v>
      </c>
      <c r="G9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6">
        <v>4.1306000000000003</v>
      </c>
      <c r="J926" t="str">
        <f>IF(ISBLANK(Table13[[#This Row],[Rating]]), "No", "Yes")</f>
        <v>Yes</v>
      </c>
      <c r="K926" t="str">
        <f>IF(ISBLANK(Table13[[#This Row],[Rating]]), "Not Rated", IF(Table13[[#This Row],[Rating]] &lt; 3, "Low", IF(Table13[[#This Row],[Rating]] &lt; 4, "Medium", "High")))</f>
        <v>High</v>
      </c>
      <c r="L926">
        <v>919</v>
      </c>
      <c r="M926">
        <v>75</v>
      </c>
      <c r="N926" t="str">
        <f>IF(Table13[[#This Row],[Price USD]]&lt;20,"Budget",IF(Table13[[#This Row],[Price USD]]&lt;=50,"Mid-range","Premium"))</f>
        <v>Premium</v>
      </c>
      <c r="O926">
        <v>0</v>
      </c>
      <c r="P926">
        <v>0</v>
      </c>
    </row>
    <row r="927" spans="1:16" x14ac:dyDescent="0.25">
      <c r="A927" t="s">
        <v>935</v>
      </c>
      <c r="B927" t="s">
        <v>936</v>
      </c>
      <c r="C927">
        <v>6289</v>
      </c>
      <c r="D927" t="s">
        <v>111</v>
      </c>
      <c r="E927" t="s">
        <v>149</v>
      </c>
      <c r="F927">
        <v>39524</v>
      </c>
      <c r="G9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7">
        <v>4.3169000000000004</v>
      </c>
      <c r="J927" t="str">
        <f>IF(ISBLANK(Table13[[#This Row],[Rating]]), "No", "Yes")</f>
        <v>Yes</v>
      </c>
      <c r="K927" t="str">
        <f>IF(ISBLANK(Table13[[#This Row],[Rating]]), "Not Rated", IF(Table13[[#This Row],[Rating]] &lt; 3, "Low", IF(Table13[[#This Row],[Rating]] &lt; 4, "Medium", "High")))</f>
        <v>High</v>
      </c>
      <c r="L927">
        <v>934</v>
      </c>
      <c r="M927">
        <v>44</v>
      </c>
      <c r="N927" t="str">
        <f>IF(Table13[[#This Row],[Price USD]]&lt;20,"Budget",IF(Table13[[#This Row],[Price USD]]&lt;=50,"Mid-range","Premium"))</f>
        <v>Mid-range</v>
      </c>
      <c r="O927">
        <v>0</v>
      </c>
      <c r="P927">
        <v>0</v>
      </c>
    </row>
    <row r="928" spans="1:16" x14ac:dyDescent="0.25">
      <c r="A928" t="s">
        <v>1289</v>
      </c>
      <c r="B928" t="s">
        <v>1290</v>
      </c>
      <c r="C928">
        <v>6219</v>
      </c>
      <c r="D928" t="s">
        <v>277</v>
      </c>
      <c r="E928" t="s">
        <v>149</v>
      </c>
      <c r="F928">
        <v>26613</v>
      </c>
      <c r="G9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8">
        <v>4.5228000000000002</v>
      </c>
      <c r="J928" t="str">
        <f>IF(ISBLANK(Table13[[#This Row],[Rating]]), "No", "Yes")</f>
        <v>Yes</v>
      </c>
      <c r="K928" t="str">
        <f>IF(ISBLANK(Table13[[#This Row],[Rating]]), "Not Rated", IF(Table13[[#This Row],[Rating]] &lt; 3, "Low", IF(Table13[[#This Row],[Rating]] &lt; 4, "Medium", "High")))</f>
        <v>High</v>
      </c>
      <c r="L928">
        <v>945</v>
      </c>
      <c r="M928">
        <v>74</v>
      </c>
      <c r="N928" t="str">
        <f>IF(Table13[[#This Row],[Price USD]]&lt;20,"Budget",IF(Table13[[#This Row],[Price USD]]&lt;=50,"Mid-range","Premium"))</f>
        <v>Premium</v>
      </c>
      <c r="O928">
        <v>0</v>
      </c>
      <c r="P928">
        <v>0</v>
      </c>
    </row>
    <row r="929" spans="1:16" x14ac:dyDescent="0.25">
      <c r="A929" t="s">
        <v>2272</v>
      </c>
      <c r="B929" t="s">
        <v>2273</v>
      </c>
      <c r="C929">
        <v>5337</v>
      </c>
      <c r="D929" t="s">
        <v>209</v>
      </c>
      <c r="E929" t="s">
        <v>21</v>
      </c>
      <c r="F929">
        <v>12045</v>
      </c>
      <c r="G9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29">
        <v>4.5776000000000003</v>
      </c>
      <c r="J929" t="str">
        <f>IF(ISBLANK(Table13[[#This Row],[Rating]]), "No", "Yes")</f>
        <v>Yes</v>
      </c>
      <c r="K929" t="str">
        <f>IF(ISBLANK(Table13[[#This Row],[Rating]]), "Not Rated", IF(Table13[[#This Row],[Rating]] &lt; 3, "Low", IF(Table13[[#This Row],[Rating]] &lt; 4, "Medium", "High")))</f>
        <v>High</v>
      </c>
      <c r="L929">
        <v>947</v>
      </c>
      <c r="M929">
        <v>75</v>
      </c>
      <c r="N929" t="str">
        <f>IF(Table13[[#This Row],[Price USD]]&lt;20,"Budget",IF(Table13[[#This Row],[Price USD]]&lt;=50,"Mid-range","Premium"))</f>
        <v>Premium</v>
      </c>
      <c r="O929">
        <v>0</v>
      </c>
      <c r="P929">
        <v>0</v>
      </c>
    </row>
    <row r="930" spans="1:16" x14ac:dyDescent="0.25">
      <c r="A930" t="s">
        <v>1152</v>
      </c>
      <c r="B930" t="s">
        <v>1153</v>
      </c>
      <c r="C930">
        <v>4171</v>
      </c>
      <c r="D930" t="s">
        <v>133</v>
      </c>
      <c r="E930" t="s">
        <v>13</v>
      </c>
      <c r="F930">
        <v>30905</v>
      </c>
      <c r="G9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0">
        <v>4.4615</v>
      </c>
      <c r="J930" t="str">
        <f>IF(ISBLANK(Table13[[#This Row],[Rating]]), "No", "Yes")</f>
        <v>Yes</v>
      </c>
      <c r="K930" t="str">
        <f>IF(ISBLANK(Table13[[#This Row],[Rating]]), "Not Rated", IF(Table13[[#This Row],[Rating]] &lt; 3, "Low", IF(Table13[[#This Row],[Rating]] &lt; 4, "Medium", "High")))</f>
        <v>High</v>
      </c>
      <c r="L930">
        <v>949</v>
      </c>
      <c r="M930">
        <v>30</v>
      </c>
      <c r="N930" t="str">
        <f>IF(Table13[[#This Row],[Price USD]]&lt;20,"Budget",IF(Table13[[#This Row],[Price USD]]&lt;=50,"Mid-range","Premium"))</f>
        <v>Mid-range</v>
      </c>
      <c r="O930">
        <v>0</v>
      </c>
      <c r="P930">
        <v>0</v>
      </c>
    </row>
    <row r="931" spans="1:16" x14ac:dyDescent="0.25">
      <c r="A931" t="s">
        <v>740</v>
      </c>
      <c r="B931" t="s">
        <v>741</v>
      </c>
      <c r="C931">
        <v>6285</v>
      </c>
      <c r="D931" t="s">
        <v>119</v>
      </c>
      <c r="E931" t="s">
        <v>8</v>
      </c>
      <c r="F931">
        <v>48143</v>
      </c>
      <c r="G9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1">
        <v>4.3936999999999999</v>
      </c>
      <c r="J931" t="str">
        <f>IF(ISBLANK(Table13[[#This Row],[Rating]]), "No", "Yes")</f>
        <v>Yes</v>
      </c>
      <c r="K931" t="str">
        <f>IF(ISBLANK(Table13[[#This Row],[Rating]]), "Not Rated", IF(Table13[[#This Row],[Rating]] &lt; 3, "Low", IF(Table13[[#This Row],[Rating]] &lt; 4, "Medium", "High")))</f>
        <v>High</v>
      </c>
      <c r="L931">
        <v>960</v>
      </c>
      <c r="M931">
        <v>14.99</v>
      </c>
      <c r="N931" t="str">
        <f>IF(Table13[[#This Row],[Price USD]]&lt;20,"Budget",IF(Table13[[#This Row],[Price USD]]&lt;=50,"Mid-range","Premium"))</f>
        <v>Budget</v>
      </c>
      <c r="O931">
        <v>0</v>
      </c>
      <c r="P931">
        <v>0</v>
      </c>
    </row>
    <row r="932" spans="1:16" x14ac:dyDescent="0.25">
      <c r="A932" t="s">
        <v>1026</v>
      </c>
      <c r="B932" t="s">
        <v>1027</v>
      </c>
      <c r="C932">
        <v>3733</v>
      </c>
      <c r="D932" t="s">
        <v>124</v>
      </c>
      <c r="E932" t="s">
        <v>149</v>
      </c>
      <c r="F932">
        <v>35804</v>
      </c>
      <c r="G9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2">
        <v>4.4569999999999999</v>
      </c>
      <c r="J932" t="str">
        <f>IF(ISBLANK(Table13[[#This Row],[Rating]]), "No", "Yes")</f>
        <v>Yes</v>
      </c>
      <c r="K932" t="str">
        <f>IF(ISBLANK(Table13[[#This Row],[Rating]]), "Not Rated", IF(Table13[[#This Row],[Rating]] &lt; 3, "Low", IF(Table13[[#This Row],[Rating]] &lt; 4, "Medium", "High")))</f>
        <v>High</v>
      </c>
      <c r="L932">
        <v>965</v>
      </c>
      <c r="M932">
        <v>37</v>
      </c>
      <c r="N932" t="str">
        <f>IF(Table13[[#This Row],[Price USD]]&lt;20,"Budget",IF(Table13[[#This Row],[Price USD]]&lt;=50,"Mid-range","Premium"))</f>
        <v>Mid-range</v>
      </c>
      <c r="O932">
        <v>0</v>
      </c>
      <c r="P932">
        <v>0</v>
      </c>
    </row>
    <row r="933" spans="1:16" x14ac:dyDescent="0.25">
      <c r="A933" t="s">
        <v>1481</v>
      </c>
      <c r="B933" t="s">
        <v>1482</v>
      </c>
      <c r="C933">
        <v>6134</v>
      </c>
      <c r="D933" t="s">
        <v>286</v>
      </c>
      <c r="E933" t="s">
        <v>21</v>
      </c>
      <c r="F933">
        <v>22337</v>
      </c>
      <c r="G9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3">
        <v>4.3712999999999997</v>
      </c>
      <c r="J933" t="str">
        <f>IF(ISBLANK(Table13[[#This Row],[Rating]]), "No", "Yes")</f>
        <v>Yes</v>
      </c>
      <c r="K933" t="str">
        <f>IF(ISBLANK(Table13[[#This Row],[Rating]]), "Not Rated", IF(Table13[[#This Row],[Rating]] &lt; 3, "Low", IF(Table13[[#This Row],[Rating]] &lt; 4, "Medium", "High")))</f>
        <v>High</v>
      </c>
      <c r="L933">
        <v>967</v>
      </c>
      <c r="M933">
        <v>39</v>
      </c>
      <c r="N933" t="str">
        <f>IF(Table13[[#This Row],[Price USD]]&lt;20,"Budget",IF(Table13[[#This Row],[Price USD]]&lt;=50,"Mid-range","Premium"))</f>
        <v>Mid-range</v>
      </c>
      <c r="O933">
        <v>0</v>
      </c>
      <c r="P933">
        <v>0</v>
      </c>
    </row>
    <row r="934" spans="1:16" x14ac:dyDescent="0.25">
      <c r="A934" t="s">
        <v>959</v>
      </c>
      <c r="B934" t="s">
        <v>960</v>
      </c>
      <c r="C934">
        <v>5648</v>
      </c>
      <c r="D934" t="s">
        <v>408</v>
      </c>
      <c r="E934" t="s">
        <v>13</v>
      </c>
      <c r="F934">
        <v>38635</v>
      </c>
      <c r="G9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4">
        <v>4.5315000000000003</v>
      </c>
      <c r="J934" t="str">
        <f>IF(ISBLANK(Table13[[#This Row],[Rating]]), "No", "Yes")</f>
        <v>Yes</v>
      </c>
      <c r="K934" t="str">
        <f>IF(ISBLANK(Table13[[#This Row],[Rating]]), "Not Rated", IF(Table13[[#This Row],[Rating]] &lt; 3, "Low", IF(Table13[[#This Row],[Rating]] &lt; 4, "Medium", "High")))</f>
        <v>High</v>
      </c>
      <c r="L934">
        <v>969</v>
      </c>
      <c r="M934">
        <v>22</v>
      </c>
      <c r="N934" t="str">
        <f>IF(Table13[[#This Row],[Price USD]]&lt;20,"Budget",IF(Table13[[#This Row],[Price USD]]&lt;=50,"Mid-range","Premium"))</f>
        <v>Mid-range</v>
      </c>
      <c r="O934">
        <v>0</v>
      </c>
      <c r="P934">
        <v>1</v>
      </c>
    </row>
    <row r="935" spans="1:16" x14ac:dyDescent="0.25">
      <c r="A935" t="s">
        <v>2295</v>
      </c>
      <c r="B935" t="s">
        <v>2296</v>
      </c>
      <c r="C935">
        <v>6307</v>
      </c>
      <c r="D935" t="s">
        <v>1132</v>
      </c>
      <c r="E935" t="s">
        <v>144</v>
      </c>
      <c r="F935">
        <v>11881</v>
      </c>
      <c r="G9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5">
        <v>4.5707000000000004</v>
      </c>
      <c r="J935" t="str">
        <f>IF(ISBLANK(Table13[[#This Row],[Rating]]), "No", "Yes")</f>
        <v>Yes</v>
      </c>
      <c r="K935" t="str">
        <f>IF(ISBLANK(Table13[[#This Row],[Rating]]), "Not Rated", IF(Table13[[#This Row],[Rating]] &lt; 3, "Low", IF(Table13[[#This Row],[Rating]] &lt; 4, "Medium", "High")))</f>
        <v>High</v>
      </c>
      <c r="L935">
        <v>976</v>
      </c>
      <c r="M935">
        <v>25</v>
      </c>
      <c r="N935" t="str">
        <f>IF(Table13[[#This Row],[Price USD]]&lt;20,"Budget",IF(Table13[[#This Row],[Price USD]]&lt;=50,"Mid-range","Premium"))</f>
        <v>Mid-range</v>
      </c>
      <c r="O935">
        <v>0</v>
      </c>
      <c r="P935">
        <v>0</v>
      </c>
    </row>
    <row r="936" spans="1:16" x14ac:dyDescent="0.25">
      <c r="A936" t="s">
        <v>1328</v>
      </c>
      <c r="B936" t="s">
        <v>1329</v>
      </c>
      <c r="C936">
        <v>6307</v>
      </c>
      <c r="D936" t="s">
        <v>1132</v>
      </c>
      <c r="E936" t="s">
        <v>8</v>
      </c>
      <c r="F936">
        <v>25847</v>
      </c>
      <c r="G9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6">
        <v>4.5707000000000004</v>
      </c>
      <c r="J936" t="str">
        <f>IF(ISBLANK(Table13[[#This Row],[Rating]]), "No", "Yes")</f>
        <v>Yes</v>
      </c>
      <c r="K936" t="str">
        <f>IF(ISBLANK(Table13[[#This Row],[Rating]]), "Not Rated", IF(Table13[[#This Row],[Rating]] &lt; 3, "Low", IF(Table13[[#This Row],[Rating]] &lt; 4, "Medium", "High")))</f>
        <v>High</v>
      </c>
      <c r="L936">
        <v>976</v>
      </c>
      <c r="M936">
        <v>89</v>
      </c>
      <c r="N936" t="str">
        <f>IF(Table13[[#This Row],[Price USD]]&lt;20,"Budget",IF(Table13[[#This Row],[Price USD]]&lt;=50,"Mid-range","Premium"))</f>
        <v>Premium</v>
      </c>
      <c r="O936">
        <v>0</v>
      </c>
      <c r="P936">
        <v>0</v>
      </c>
    </row>
    <row r="937" spans="1:16" x14ac:dyDescent="0.25">
      <c r="A937" t="s">
        <v>761</v>
      </c>
      <c r="B937" t="s">
        <v>762</v>
      </c>
      <c r="C937">
        <v>7075</v>
      </c>
      <c r="D937" t="s">
        <v>75</v>
      </c>
      <c r="E937" t="s">
        <v>21</v>
      </c>
      <c r="F937">
        <v>47248</v>
      </c>
      <c r="G9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7">
        <v>4.5147000000000004</v>
      </c>
      <c r="J937" t="str">
        <f>IF(ISBLANK(Table13[[#This Row],[Rating]]), "No", "Yes")</f>
        <v>Yes</v>
      </c>
      <c r="K937" t="str">
        <f>IF(ISBLANK(Table13[[#This Row],[Rating]]), "Not Rated", IF(Table13[[#This Row],[Rating]] &lt; 3, "Low", IF(Table13[[#This Row],[Rating]] &lt; 4, "Medium", "High")))</f>
        <v>High</v>
      </c>
      <c r="L937">
        <v>985</v>
      </c>
      <c r="M937">
        <v>38</v>
      </c>
      <c r="N937" t="str">
        <f>IF(Table13[[#This Row],[Price USD]]&lt;20,"Budget",IF(Table13[[#This Row],[Price USD]]&lt;=50,"Mid-range","Premium"))</f>
        <v>Mid-range</v>
      </c>
      <c r="O937">
        <v>0</v>
      </c>
      <c r="P937">
        <v>1</v>
      </c>
    </row>
    <row r="938" spans="1:16" x14ac:dyDescent="0.25">
      <c r="A938" t="s">
        <v>1837</v>
      </c>
      <c r="B938" t="s">
        <v>1838</v>
      </c>
      <c r="C938">
        <v>4164</v>
      </c>
      <c r="D938" t="s">
        <v>623</v>
      </c>
      <c r="E938" t="s">
        <v>144</v>
      </c>
      <c r="F938">
        <v>16664</v>
      </c>
      <c r="G9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8">
        <v>4.6089000000000002</v>
      </c>
      <c r="J938" t="str">
        <f>IF(ISBLANK(Table13[[#This Row],[Rating]]), "No", "Yes")</f>
        <v>Yes</v>
      </c>
      <c r="K938" t="str">
        <f>IF(ISBLANK(Table13[[#This Row],[Rating]]), "Not Rated", IF(Table13[[#This Row],[Rating]] &lt; 3, "Low", IF(Table13[[#This Row],[Rating]] &lt; 4, "Medium", "High")))</f>
        <v>High</v>
      </c>
      <c r="L938">
        <v>987</v>
      </c>
      <c r="M938">
        <v>32</v>
      </c>
      <c r="N938" t="str">
        <f>IF(Table13[[#This Row],[Price USD]]&lt;20,"Budget",IF(Table13[[#This Row],[Price USD]]&lt;=50,"Mid-range","Premium"))</f>
        <v>Mid-range</v>
      </c>
      <c r="O938">
        <v>0</v>
      </c>
      <c r="P938">
        <v>0</v>
      </c>
    </row>
    <row r="939" spans="1:16" x14ac:dyDescent="0.25">
      <c r="A939" t="s">
        <v>1402</v>
      </c>
      <c r="B939" t="s">
        <v>1403</v>
      </c>
      <c r="C939">
        <v>6084</v>
      </c>
      <c r="D939" t="s">
        <v>269</v>
      </c>
      <c r="E939" t="s">
        <v>13</v>
      </c>
      <c r="F939">
        <v>24003</v>
      </c>
      <c r="G9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39">
        <v>4.0959000000000003</v>
      </c>
      <c r="J939" t="str">
        <f>IF(ISBLANK(Table13[[#This Row],[Rating]]), "No", "Yes")</f>
        <v>Yes</v>
      </c>
      <c r="K939" t="str">
        <f>IF(ISBLANK(Table13[[#This Row],[Rating]]), "Not Rated", IF(Table13[[#This Row],[Rating]] &lt; 3, "Low", IF(Table13[[#This Row],[Rating]] &lt; 4, "Medium", "High")))</f>
        <v>High</v>
      </c>
      <c r="L939">
        <v>1001</v>
      </c>
      <c r="M939">
        <v>80</v>
      </c>
      <c r="N939" t="str">
        <f>IF(Table13[[#This Row],[Price USD]]&lt;20,"Budget",IF(Table13[[#This Row],[Price USD]]&lt;=50,"Mid-range","Premium"))</f>
        <v>Premium</v>
      </c>
      <c r="O939">
        <v>0</v>
      </c>
      <c r="P939">
        <v>0</v>
      </c>
    </row>
    <row r="940" spans="1:16" x14ac:dyDescent="0.25">
      <c r="A940" t="s">
        <v>1509</v>
      </c>
      <c r="B940" t="s">
        <v>1510</v>
      </c>
      <c r="C940">
        <v>1741</v>
      </c>
      <c r="D940" t="s">
        <v>388</v>
      </c>
      <c r="E940" t="s">
        <v>149</v>
      </c>
      <c r="F940">
        <v>21787</v>
      </c>
      <c r="G9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0">
        <v>4.0968</v>
      </c>
      <c r="J940" t="str">
        <f>IF(ISBLANK(Table13[[#This Row],[Rating]]), "No", "Yes")</f>
        <v>Yes</v>
      </c>
      <c r="K940" t="str">
        <f>IF(ISBLANK(Table13[[#This Row],[Rating]]), "Not Rated", IF(Table13[[#This Row],[Rating]] &lt; 3, "Low", IF(Table13[[#This Row],[Rating]] &lt; 4, "Medium", "High")))</f>
        <v>High</v>
      </c>
      <c r="L940">
        <v>1002</v>
      </c>
      <c r="M940">
        <v>80</v>
      </c>
      <c r="N940" t="str">
        <f>IF(Table13[[#This Row],[Price USD]]&lt;20,"Budget",IF(Table13[[#This Row],[Price USD]]&lt;=50,"Mid-range","Premium"))</f>
        <v>Premium</v>
      </c>
      <c r="O940">
        <v>0</v>
      </c>
      <c r="P940">
        <v>0</v>
      </c>
    </row>
    <row r="941" spans="1:16" x14ac:dyDescent="0.25">
      <c r="A941" t="s">
        <v>753</v>
      </c>
      <c r="B941" t="s">
        <v>754</v>
      </c>
      <c r="C941">
        <v>1254</v>
      </c>
      <c r="D941" t="s">
        <v>136</v>
      </c>
      <c r="E941" t="s">
        <v>149</v>
      </c>
      <c r="F941">
        <v>47677</v>
      </c>
      <c r="G9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1">
        <v>3.6768999999999998</v>
      </c>
      <c r="J941" t="str">
        <f>IF(ISBLANK(Table13[[#This Row],[Rating]]), "No", "Yes")</f>
        <v>Yes</v>
      </c>
      <c r="K941" t="str">
        <f>IF(ISBLANK(Table13[[#This Row],[Rating]]), "Not Rated", IF(Table13[[#This Row],[Rating]] &lt; 3, "Low", IF(Table13[[#This Row],[Rating]] &lt; 4, "Medium", "High")))</f>
        <v>Medium</v>
      </c>
      <c r="L941">
        <v>1006</v>
      </c>
      <c r="M941">
        <v>32</v>
      </c>
      <c r="N941" t="str">
        <f>IF(Table13[[#This Row],[Price USD]]&lt;20,"Budget",IF(Table13[[#This Row],[Price USD]]&lt;=50,"Mid-range","Premium"))</f>
        <v>Mid-range</v>
      </c>
      <c r="O941">
        <v>0</v>
      </c>
      <c r="P941">
        <v>0</v>
      </c>
    </row>
    <row r="942" spans="1:16" x14ac:dyDescent="0.25">
      <c r="A942" t="s">
        <v>902</v>
      </c>
      <c r="B942" t="s">
        <v>903</v>
      </c>
      <c r="C942">
        <v>1254</v>
      </c>
      <c r="D942" t="s">
        <v>136</v>
      </c>
      <c r="E942" t="s">
        <v>13</v>
      </c>
      <c r="F942">
        <v>40683</v>
      </c>
      <c r="G9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2">
        <v>4.4042000000000003</v>
      </c>
      <c r="J942" t="str">
        <f>IF(ISBLANK(Table13[[#This Row],[Rating]]), "No", "Yes")</f>
        <v>Yes</v>
      </c>
      <c r="K942" t="str">
        <f>IF(ISBLANK(Table13[[#This Row],[Rating]]), "Not Rated", IF(Table13[[#This Row],[Rating]] &lt; 3, "Low", IF(Table13[[#This Row],[Rating]] &lt; 4, "Medium", "High")))</f>
        <v>High</v>
      </c>
      <c r="L942">
        <v>1007</v>
      </c>
      <c r="M942">
        <v>20</v>
      </c>
      <c r="N942" t="str">
        <f>IF(Table13[[#This Row],[Price USD]]&lt;20,"Budget",IF(Table13[[#This Row],[Price USD]]&lt;=50,"Mid-range","Premium"))</f>
        <v>Mid-range</v>
      </c>
      <c r="O942">
        <v>0</v>
      </c>
      <c r="P942">
        <v>0</v>
      </c>
    </row>
    <row r="943" spans="1:16" x14ac:dyDescent="0.25">
      <c r="A943" t="s">
        <v>2266</v>
      </c>
      <c r="B943" t="s">
        <v>2267</v>
      </c>
      <c r="C943">
        <v>6314</v>
      </c>
      <c r="D943" t="s">
        <v>558</v>
      </c>
      <c r="E943" t="s">
        <v>144</v>
      </c>
      <c r="F943">
        <v>12100</v>
      </c>
      <c r="G9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3">
        <v>4.2568999999999999</v>
      </c>
      <c r="J943" t="str">
        <f>IF(ISBLANK(Table13[[#This Row],[Rating]]), "No", "Yes")</f>
        <v>Yes</v>
      </c>
      <c r="K943" t="str">
        <f>IF(ISBLANK(Table13[[#This Row],[Rating]]), "Not Rated", IF(Table13[[#This Row],[Rating]] &lt; 3, "Low", IF(Table13[[#This Row],[Rating]] &lt; 4, "Medium", "High")))</f>
        <v>High</v>
      </c>
      <c r="L943">
        <v>1012</v>
      </c>
      <c r="M943">
        <v>30</v>
      </c>
      <c r="N943" t="str">
        <f>IF(Table13[[#This Row],[Price USD]]&lt;20,"Budget",IF(Table13[[#This Row],[Price USD]]&lt;=50,"Mid-range","Premium"))</f>
        <v>Mid-range</v>
      </c>
      <c r="O943">
        <v>0</v>
      </c>
      <c r="P943">
        <v>0</v>
      </c>
    </row>
    <row r="944" spans="1:16" x14ac:dyDescent="0.25">
      <c r="A944" t="s">
        <v>1808</v>
      </c>
      <c r="B944" t="s">
        <v>1809</v>
      </c>
      <c r="C944">
        <v>6207</v>
      </c>
      <c r="D944" t="s">
        <v>914</v>
      </c>
      <c r="E944" t="s">
        <v>21</v>
      </c>
      <c r="F944">
        <v>17005</v>
      </c>
      <c r="G9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4">
        <v>4.4984999999999999</v>
      </c>
      <c r="J944" t="str">
        <f>IF(ISBLANK(Table13[[#This Row],[Rating]]), "No", "Yes")</f>
        <v>Yes</v>
      </c>
      <c r="K944" t="str">
        <f>IF(ISBLANK(Table13[[#This Row],[Rating]]), "Not Rated", IF(Table13[[#This Row],[Rating]] &lt; 3, "Low", IF(Table13[[#This Row],[Rating]] &lt; 4, "Medium", "High")))</f>
        <v>High</v>
      </c>
      <c r="L944">
        <v>1017</v>
      </c>
      <c r="M944">
        <v>62</v>
      </c>
      <c r="N944" t="str">
        <f>IF(Table13[[#This Row],[Price USD]]&lt;20,"Budget",IF(Table13[[#This Row],[Price USD]]&lt;=50,"Mid-range","Premium"))</f>
        <v>Premium</v>
      </c>
      <c r="O944">
        <v>0</v>
      </c>
      <c r="P944">
        <v>0</v>
      </c>
    </row>
    <row r="945" spans="1:16" x14ac:dyDescent="0.25">
      <c r="A945" t="s">
        <v>1608</v>
      </c>
      <c r="B945" t="s">
        <v>1609</v>
      </c>
      <c r="C945">
        <v>7083</v>
      </c>
      <c r="D945" t="s">
        <v>20</v>
      </c>
      <c r="E945" t="s">
        <v>144</v>
      </c>
      <c r="F945">
        <v>19854</v>
      </c>
      <c r="G9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5">
        <v>4.2812000000000001</v>
      </c>
      <c r="J945" t="str">
        <f>IF(ISBLANK(Table13[[#This Row],[Rating]]), "No", "Yes")</f>
        <v>Yes</v>
      </c>
      <c r="K945" t="str">
        <f>IF(ISBLANK(Table13[[#This Row],[Rating]]), "Not Rated", IF(Table13[[#This Row],[Rating]] &lt; 3, "Low", IF(Table13[[#This Row],[Rating]] &lt; 4, "Medium", "High")))</f>
        <v>High</v>
      </c>
      <c r="L945">
        <v>1017</v>
      </c>
      <c r="M945">
        <v>14</v>
      </c>
      <c r="N945" t="str">
        <f>IF(Table13[[#This Row],[Price USD]]&lt;20,"Budget",IF(Table13[[#This Row],[Price USD]]&lt;=50,"Mid-range","Premium"))</f>
        <v>Budget</v>
      </c>
      <c r="O945">
        <v>0</v>
      </c>
      <c r="P945">
        <v>0</v>
      </c>
    </row>
    <row r="946" spans="1:16" x14ac:dyDescent="0.25">
      <c r="A946" t="s">
        <v>1315</v>
      </c>
      <c r="B946" t="s">
        <v>1316</v>
      </c>
      <c r="C946">
        <v>7083</v>
      </c>
      <c r="D946" t="s">
        <v>20</v>
      </c>
      <c r="E946" t="s">
        <v>13</v>
      </c>
      <c r="F946">
        <v>26131</v>
      </c>
      <c r="G9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6">
        <v>4.2812000000000001</v>
      </c>
      <c r="J946" t="str">
        <f>IF(ISBLANK(Table13[[#This Row],[Rating]]), "No", "Yes")</f>
        <v>Yes</v>
      </c>
      <c r="K946" t="str">
        <f>IF(ISBLANK(Table13[[#This Row],[Rating]]), "Not Rated", IF(Table13[[#This Row],[Rating]] &lt; 3, "Low", IF(Table13[[#This Row],[Rating]] &lt; 4, "Medium", "High")))</f>
        <v>High</v>
      </c>
      <c r="L946">
        <v>1017</v>
      </c>
      <c r="M946">
        <v>14</v>
      </c>
      <c r="N946" t="str">
        <f>IF(Table13[[#This Row],[Price USD]]&lt;20,"Budget",IF(Table13[[#This Row],[Price USD]]&lt;=50,"Mid-range","Premium"))</f>
        <v>Budget</v>
      </c>
      <c r="O946">
        <v>0</v>
      </c>
      <c r="P946">
        <v>0</v>
      </c>
    </row>
    <row r="947" spans="1:16" x14ac:dyDescent="0.25">
      <c r="A947" t="s">
        <v>1251</v>
      </c>
      <c r="B947" t="s">
        <v>1252</v>
      </c>
      <c r="C947">
        <v>5857</v>
      </c>
      <c r="D947" t="s">
        <v>433</v>
      </c>
      <c r="E947" t="s">
        <v>21</v>
      </c>
      <c r="F947">
        <v>27837</v>
      </c>
      <c r="G9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7">
        <v>4.2016999999999998</v>
      </c>
      <c r="J947" t="str">
        <f>IF(ISBLANK(Table13[[#This Row],[Rating]]), "No", "Yes")</f>
        <v>Yes</v>
      </c>
      <c r="K947" t="str">
        <f>IF(ISBLANK(Table13[[#This Row],[Rating]]), "Not Rated", IF(Table13[[#This Row],[Rating]] &lt; 3, "Low", IF(Table13[[#This Row],[Rating]] &lt; 4, "Medium", "High")))</f>
        <v>High</v>
      </c>
      <c r="L947">
        <v>1031</v>
      </c>
      <c r="M947">
        <v>52</v>
      </c>
      <c r="N947" t="str">
        <f>IF(Table13[[#This Row],[Price USD]]&lt;20,"Budget",IF(Table13[[#This Row],[Price USD]]&lt;=50,"Mid-range","Premium"))</f>
        <v>Premium</v>
      </c>
      <c r="O947">
        <v>0</v>
      </c>
      <c r="P947">
        <v>0</v>
      </c>
    </row>
    <row r="948" spans="1:16" x14ac:dyDescent="0.25">
      <c r="A948" t="s">
        <v>975</v>
      </c>
      <c r="B948" t="s">
        <v>976</v>
      </c>
      <c r="C948">
        <v>4164</v>
      </c>
      <c r="D948" t="s">
        <v>623</v>
      </c>
      <c r="E948" t="s">
        <v>8</v>
      </c>
      <c r="F948">
        <v>38145</v>
      </c>
      <c r="G9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8">
        <v>4.5877999999999997</v>
      </c>
      <c r="J948" t="str">
        <f>IF(ISBLANK(Table13[[#This Row],[Rating]]), "No", "Yes")</f>
        <v>Yes</v>
      </c>
      <c r="K948" t="str">
        <f>IF(ISBLANK(Table13[[#This Row],[Rating]]), "Not Rated", IF(Table13[[#This Row],[Rating]] &lt; 3, "Low", IF(Table13[[#This Row],[Rating]] &lt; 4, "Medium", "High")))</f>
        <v>High</v>
      </c>
      <c r="L948">
        <v>1031</v>
      </c>
      <c r="M948">
        <v>92</v>
      </c>
      <c r="N948" t="str">
        <f>IF(Table13[[#This Row],[Price USD]]&lt;20,"Budget",IF(Table13[[#This Row],[Price USD]]&lt;=50,"Mid-range","Premium"))</f>
        <v>Premium</v>
      </c>
      <c r="O948">
        <v>0</v>
      </c>
      <c r="P948">
        <v>0</v>
      </c>
    </row>
    <row r="949" spans="1:16" x14ac:dyDescent="0.25">
      <c r="A949" t="s">
        <v>1450</v>
      </c>
      <c r="B949" t="s">
        <v>1451</v>
      </c>
      <c r="C949">
        <v>5674</v>
      </c>
      <c r="D949" t="s">
        <v>141</v>
      </c>
      <c r="E949" t="s">
        <v>21</v>
      </c>
      <c r="F949">
        <v>23082</v>
      </c>
      <c r="G9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49">
        <v>4.3959000000000001</v>
      </c>
      <c r="J949" t="str">
        <f>IF(ISBLANK(Table13[[#This Row],[Rating]]), "No", "Yes")</f>
        <v>Yes</v>
      </c>
      <c r="K949" t="str">
        <f>IF(ISBLANK(Table13[[#This Row],[Rating]]), "Not Rated", IF(Table13[[#This Row],[Rating]] &lt; 3, "Low", IF(Table13[[#This Row],[Rating]] &lt; 4, "Medium", "High")))</f>
        <v>High</v>
      </c>
      <c r="L949">
        <v>1033</v>
      </c>
      <c r="M949">
        <v>51</v>
      </c>
      <c r="N949" t="str">
        <f>IF(Table13[[#This Row],[Price USD]]&lt;20,"Budget",IF(Table13[[#This Row],[Price USD]]&lt;=50,"Mid-range","Premium"))</f>
        <v>Premium</v>
      </c>
      <c r="O949">
        <v>0</v>
      </c>
      <c r="P949">
        <v>0</v>
      </c>
    </row>
    <row r="950" spans="1:16" x14ac:dyDescent="0.25">
      <c r="A950" t="s">
        <v>829</v>
      </c>
      <c r="B950" t="s">
        <v>830</v>
      </c>
      <c r="C950">
        <v>1254</v>
      </c>
      <c r="D950" t="s">
        <v>136</v>
      </c>
      <c r="E950" t="s">
        <v>13</v>
      </c>
      <c r="F950">
        <v>43458</v>
      </c>
      <c r="G9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0">
        <v>4.1685999999999996</v>
      </c>
      <c r="J950" t="str">
        <f>IF(ISBLANK(Table13[[#This Row],[Rating]]), "No", "Yes")</f>
        <v>Yes</v>
      </c>
      <c r="K950" t="str">
        <f>IF(ISBLANK(Table13[[#This Row],[Rating]]), "Not Rated", IF(Table13[[#This Row],[Rating]] &lt; 3, "Low", IF(Table13[[#This Row],[Rating]] &lt; 4, "Medium", "High")))</f>
        <v>High</v>
      </c>
      <c r="L950">
        <v>1038</v>
      </c>
      <c r="M950">
        <v>23.5</v>
      </c>
      <c r="N950" t="str">
        <f>IF(Table13[[#This Row],[Price USD]]&lt;20,"Budget",IF(Table13[[#This Row],[Price USD]]&lt;=50,"Mid-range","Premium"))</f>
        <v>Mid-range</v>
      </c>
      <c r="O950">
        <v>0</v>
      </c>
      <c r="P950">
        <v>0</v>
      </c>
    </row>
    <row r="951" spans="1:16" x14ac:dyDescent="0.25">
      <c r="A951" t="s">
        <v>1894</v>
      </c>
      <c r="B951" t="s">
        <v>1895</v>
      </c>
      <c r="C951">
        <v>5946</v>
      </c>
      <c r="D951" t="s">
        <v>341</v>
      </c>
      <c r="E951" t="s">
        <v>21</v>
      </c>
      <c r="F951">
        <v>15906</v>
      </c>
      <c r="G9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1">
        <v>4.5110000000000001</v>
      </c>
      <c r="J951" t="str">
        <f>IF(ISBLANK(Table13[[#This Row],[Rating]]), "No", "Yes")</f>
        <v>Yes</v>
      </c>
      <c r="K951" t="str">
        <f>IF(ISBLANK(Table13[[#This Row],[Rating]]), "Not Rated", IF(Table13[[#This Row],[Rating]] &lt; 3, "Low", IF(Table13[[#This Row],[Rating]] &lt; 4, "Medium", "High")))</f>
        <v>High</v>
      </c>
      <c r="L951">
        <v>1041</v>
      </c>
      <c r="M951">
        <v>76</v>
      </c>
      <c r="N951" t="str">
        <f>IF(Table13[[#This Row],[Price USD]]&lt;20,"Budget",IF(Table13[[#This Row],[Price USD]]&lt;=50,"Mid-range","Premium"))</f>
        <v>Premium</v>
      </c>
      <c r="O951">
        <v>0</v>
      </c>
      <c r="P951">
        <v>0</v>
      </c>
    </row>
    <row r="952" spans="1:16" x14ac:dyDescent="0.25">
      <c r="A952" t="s">
        <v>782</v>
      </c>
      <c r="B952" t="s">
        <v>783</v>
      </c>
      <c r="C952">
        <v>6218</v>
      </c>
      <c r="D952" t="s">
        <v>116</v>
      </c>
      <c r="E952" t="s">
        <v>149</v>
      </c>
      <c r="F952">
        <v>46025</v>
      </c>
      <c r="G9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2">
        <v>3.8645999999999998</v>
      </c>
      <c r="J952" t="str">
        <f>IF(ISBLANK(Table13[[#This Row],[Rating]]), "No", "Yes")</f>
        <v>Yes</v>
      </c>
      <c r="K952" t="str">
        <f>IF(ISBLANK(Table13[[#This Row],[Rating]]), "Not Rated", IF(Table13[[#This Row],[Rating]] &lt; 3, "Low", IF(Table13[[#This Row],[Rating]] &lt; 4, "Medium", "High")))</f>
        <v>Medium</v>
      </c>
      <c r="L952">
        <v>1041</v>
      </c>
      <c r="M952">
        <v>55</v>
      </c>
      <c r="N952" t="str">
        <f>IF(Table13[[#This Row],[Price USD]]&lt;20,"Budget",IF(Table13[[#This Row],[Price USD]]&lt;=50,"Mid-range","Premium"))</f>
        <v>Premium</v>
      </c>
      <c r="O952">
        <v>0</v>
      </c>
      <c r="P952">
        <v>0</v>
      </c>
    </row>
    <row r="953" spans="1:16" x14ac:dyDescent="0.25">
      <c r="A953" t="s">
        <v>1398</v>
      </c>
      <c r="B953" t="s">
        <v>1399</v>
      </c>
      <c r="C953">
        <v>7075</v>
      </c>
      <c r="D953" t="s">
        <v>75</v>
      </c>
      <c r="E953" t="s">
        <v>13</v>
      </c>
      <c r="F953">
        <v>24132</v>
      </c>
      <c r="G9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3">
        <v>4.3609999999999998</v>
      </c>
      <c r="J953" t="str">
        <f>IF(ISBLANK(Table13[[#This Row],[Rating]]), "No", "Yes")</f>
        <v>Yes</v>
      </c>
      <c r="K953" t="str">
        <f>IF(ISBLANK(Table13[[#This Row],[Rating]]), "Not Rated", IF(Table13[[#This Row],[Rating]] &lt; 3, "Low", IF(Table13[[#This Row],[Rating]] &lt; 4, "Medium", "High")))</f>
        <v>High</v>
      </c>
      <c r="L953">
        <v>1050</v>
      </c>
      <c r="M953">
        <v>30</v>
      </c>
      <c r="N953" t="str">
        <f>IF(Table13[[#This Row],[Price USD]]&lt;20,"Budget",IF(Table13[[#This Row],[Price USD]]&lt;=50,"Mid-range","Premium"))</f>
        <v>Mid-range</v>
      </c>
      <c r="O953">
        <v>0</v>
      </c>
      <c r="P953">
        <v>0</v>
      </c>
    </row>
    <row r="954" spans="1:16" x14ac:dyDescent="0.25">
      <c r="A954" t="s">
        <v>2356</v>
      </c>
      <c r="B954" t="s">
        <v>2357</v>
      </c>
      <c r="C954">
        <v>5626</v>
      </c>
      <c r="D954" t="s">
        <v>1069</v>
      </c>
      <c r="E954" t="s">
        <v>106</v>
      </c>
      <c r="F954">
        <v>11386</v>
      </c>
      <c r="G9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4">
        <v>4.6685999999999996</v>
      </c>
      <c r="J954" t="str">
        <f>IF(ISBLANK(Table13[[#This Row],[Rating]]), "No", "Yes")</f>
        <v>Yes</v>
      </c>
      <c r="K954" t="str">
        <f>IF(ISBLANK(Table13[[#This Row],[Rating]]), "Not Rated", IF(Table13[[#This Row],[Rating]] &lt; 3, "Low", IF(Table13[[#This Row],[Rating]] &lt; 4, "Medium", "High")))</f>
        <v>High</v>
      </c>
      <c r="L954">
        <v>1053</v>
      </c>
      <c r="M954">
        <v>42</v>
      </c>
      <c r="N954" t="str">
        <f>IF(Table13[[#This Row],[Price USD]]&lt;20,"Budget",IF(Table13[[#This Row],[Price USD]]&lt;=50,"Mid-range","Premium"))</f>
        <v>Mid-range</v>
      </c>
      <c r="O954">
        <v>0</v>
      </c>
      <c r="P954">
        <v>0</v>
      </c>
    </row>
    <row r="955" spans="1:16" x14ac:dyDescent="0.25">
      <c r="A955" t="s">
        <v>2163</v>
      </c>
      <c r="B955" t="s">
        <v>2164</v>
      </c>
      <c r="C955">
        <v>5987</v>
      </c>
      <c r="D955" t="s">
        <v>48</v>
      </c>
      <c r="E955" t="s">
        <v>144</v>
      </c>
      <c r="F955">
        <v>12937</v>
      </c>
      <c r="G9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5">
        <v>4.0953999999999997</v>
      </c>
      <c r="J955" t="str">
        <f>IF(ISBLANK(Table13[[#This Row],[Rating]]), "No", "Yes")</f>
        <v>Yes</v>
      </c>
      <c r="K955" t="str">
        <f>IF(ISBLANK(Table13[[#This Row],[Rating]]), "Not Rated", IF(Table13[[#This Row],[Rating]] &lt; 3, "Low", IF(Table13[[#This Row],[Rating]] &lt; 4, "Medium", "High")))</f>
        <v>High</v>
      </c>
      <c r="L955">
        <v>1059</v>
      </c>
      <c r="M955">
        <v>22</v>
      </c>
      <c r="N955" t="str">
        <f>IF(Table13[[#This Row],[Price USD]]&lt;20,"Budget",IF(Table13[[#This Row],[Price USD]]&lt;=50,"Mid-range","Premium"))</f>
        <v>Mid-range</v>
      </c>
      <c r="O955">
        <v>0</v>
      </c>
      <c r="P955">
        <v>0</v>
      </c>
    </row>
    <row r="956" spans="1:16" x14ac:dyDescent="0.25">
      <c r="A956" t="s">
        <v>984</v>
      </c>
      <c r="B956" t="s">
        <v>985</v>
      </c>
      <c r="C956">
        <v>5972</v>
      </c>
      <c r="D956" t="s">
        <v>54</v>
      </c>
      <c r="E956" t="s">
        <v>13</v>
      </c>
      <c r="F956">
        <v>37998</v>
      </c>
      <c r="G9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6">
        <v>4.2607999999999997</v>
      </c>
      <c r="J956" t="str">
        <f>IF(ISBLANK(Table13[[#This Row],[Rating]]), "No", "Yes")</f>
        <v>Yes</v>
      </c>
      <c r="K956" t="str">
        <f>IF(ISBLANK(Table13[[#This Row],[Rating]]), "Not Rated", IF(Table13[[#This Row],[Rating]] &lt; 3, "Low", IF(Table13[[#This Row],[Rating]] &lt; 4, "Medium", "High")))</f>
        <v>High</v>
      </c>
      <c r="L956">
        <v>1062</v>
      </c>
      <c r="M956">
        <v>24</v>
      </c>
      <c r="N956" t="str">
        <f>IF(Table13[[#This Row],[Price USD]]&lt;20,"Budget",IF(Table13[[#This Row],[Price USD]]&lt;=50,"Mid-range","Premium"))</f>
        <v>Mid-range</v>
      </c>
      <c r="O956">
        <v>0</v>
      </c>
      <c r="P956">
        <v>0</v>
      </c>
    </row>
    <row r="957" spans="1:16" x14ac:dyDescent="0.25">
      <c r="A957" t="s">
        <v>1039</v>
      </c>
      <c r="B957" t="s">
        <v>1040</v>
      </c>
      <c r="C957">
        <v>3733</v>
      </c>
      <c r="D957" t="s">
        <v>124</v>
      </c>
      <c r="E957" t="s">
        <v>69</v>
      </c>
      <c r="F957">
        <v>34965</v>
      </c>
      <c r="G9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7">
        <v>4.6452999999999998</v>
      </c>
      <c r="J957" t="str">
        <f>IF(ISBLANK(Table13[[#This Row],[Rating]]), "No", "Yes")</f>
        <v>Yes</v>
      </c>
      <c r="K957" t="str">
        <f>IF(ISBLANK(Table13[[#This Row],[Rating]]), "Not Rated", IF(Table13[[#This Row],[Rating]] &lt; 3, "Low", IF(Table13[[#This Row],[Rating]] &lt; 4, "Medium", "High")))</f>
        <v>High</v>
      </c>
      <c r="L957">
        <v>1074</v>
      </c>
      <c r="M957">
        <v>37</v>
      </c>
      <c r="N957" t="str">
        <f>IF(Table13[[#This Row],[Price USD]]&lt;20,"Budget",IF(Table13[[#This Row],[Price USD]]&lt;=50,"Mid-range","Premium"))</f>
        <v>Mid-range</v>
      </c>
      <c r="O957">
        <v>0</v>
      </c>
      <c r="P957">
        <v>0</v>
      </c>
    </row>
    <row r="958" spans="1:16" x14ac:dyDescent="0.25">
      <c r="A958" t="s">
        <v>939</v>
      </c>
      <c r="B958" t="s">
        <v>940</v>
      </c>
      <c r="C958">
        <v>5922</v>
      </c>
      <c r="D958" t="s">
        <v>204</v>
      </c>
      <c r="E958" t="s">
        <v>8</v>
      </c>
      <c r="F958">
        <v>39408</v>
      </c>
      <c r="G9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8">
        <v>4.0679999999999996</v>
      </c>
      <c r="J958" t="str">
        <f>IF(ISBLANK(Table13[[#This Row],[Rating]]), "No", "Yes")</f>
        <v>Yes</v>
      </c>
      <c r="K958" t="str">
        <f>IF(ISBLANK(Table13[[#This Row],[Rating]]), "Not Rated", IF(Table13[[#This Row],[Rating]] &lt; 3, "Low", IF(Table13[[#This Row],[Rating]] &lt; 4, "Medium", "High")))</f>
        <v>High</v>
      </c>
      <c r="L958">
        <v>1088</v>
      </c>
      <c r="M958">
        <v>56</v>
      </c>
      <c r="N958" t="str">
        <f>IF(Table13[[#This Row],[Price USD]]&lt;20,"Budget",IF(Table13[[#This Row],[Price USD]]&lt;=50,"Mid-range","Premium"))</f>
        <v>Premium</v>
      </c>
      <c r="O958">
        <v>0</v>
      </c>
      <c r="P958">
        <v>0</v>
      </c>
    </row>
    <row r="959" spans="1:16" x14ac:dyDescent="0.25">
      <c r="A959" t="s">
        <v>1741</v>
      </c>
      <c r="B959" t="s">
        <v>1742</v>
      </c>
      <c r="C959">
        <v>6041</v>
      </c>
      <c r="D959" t="s">
        <v>33</v>
      </c>
      <c r="E959" t="s">
        <v>21</v>
      </c>
      <c r="F959">
        <v>17810</v>
      </c>
      <c r="G9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59">
        <v>4.5473999999999997</v>
      </c>
      <c r="J959" t="str">
        <f>IF(ISBLANK(Table13[[#This Row],[Rating]]), "No", "Yes")</f>
        <v>Yes</v>
      </c>
      <c r="K959" t="str">
        <f>IF(ISBLANK(Table13[[#This Row],[Rating]]), "Not Rated", IF(Table13[[#This Row],[Rating]] &lt; 3, "Low", IF(Table13[[#This Row],[Rating]] &lt; 4, "Medium", "High")))</f>
        <v>High</v>
      </c>
      <c r="L959">
        <v>1098</v>
      </c>
      <c r="M959">
        <v>22</v>
      </c>
      <c r="N959" t="str">
        <f>IF(Table13[[#This Row],[Price USD]]&lt;20,"Budget",IF(Table13[[#This Row],[Price USD]]&lt;=50,"Mid-range","Premium"))</f>
        <v>Mid-range</v>
      </c>
      <c r="O959">
        <v>0</v>
      </c>
      <c r="P959">
        <v>0</v>
      </c>
    </row>
    <row r="960" spans="1:16" x14ac:dyDescent="0.25">
      <c r="A960" t="s">
        <v>980</v>
      </c>
      <c r="B960" t="s">
        <v>981</v>
      </c>
      <c r="C960">
        <v>6207</v>
      </c>
      <c r="D960" t="s">
        <v>914</v>
      </c>
      <c r="E960" t="s">
        <v>21</v>
      </c>
      <c r="F960">
        <v>38003</v>
      </c>
      <c r="G9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0">
        <v>4.4112</v>
      </c>
      <c r="J960" t="str">
        <f>IF(ISBLANK(Table13[[#This Row],[Rating]]), "No", "Yes")</f>
        <v>Yes</v>
      </c>
      <c r="K960" t="str">
        <f>IF(ISBLANK(Table13[[#This Row],[Rating]]), "Not Rated", IF(Table13[[#This Row],[Rating]] &lt; 3, "Low", IF(Table13[[#This Row],[Rating]] &lt; 4, "Medium", "High")))</f>
        <v>High</v>
      </c>
      <c r="L960">
        <v>1121</v>
      </c>
      <c r="M960">
        <v>72</v>
      </c>
      <c r="N960" t="str">
        <f>IF(Table13[[#This Row],[Price USD]]&lt;20,"Budget",IF(Table13[[#This Row],[Price USD]]&lt;=50,"Mid-range","Premium"))</f>
        <v>Premium</v>
      </c>
      <c r="O960">
        <v>0</v>
      </c>
      <c r="P960">
        <v>0</v>
      </c>
    </row>
    <row r="961" spans="1:16" x14ac:dyDescent="0.25">
      <c r="A961" t="s">
        <v>1175</v>
      </c>
      <c r="B961" t="s">
        <v>1176</v>
      </c>
      <c r="C961">
        <v>4348</v>
      </c>
      <c r="D961" t="s">
        <v>61</v>
      </c>
      <c r="E961" t="s">
        <v>69</v>
      </c>
      <c r="F961">
        <v>30022</v>
      </c>
      <c r="G9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1">
        <v>4.7969999999999997</v>
      </c>
      <c r="J961" t="str">
        <f>IF(ISBLANK(Table13[[#This Row],[Rating]]), "No", "Yes")</f>
        <v>Yes</v>
      </c>
      <c r="K961" t="str">
        <f>IF(ISBLANK(Table13[[#This Row],[Rating]]), "Not Rated", IF(Table13[[#This Row],[Rating]] &lt; 3, "Low", IF(Table13[[#This Row],[Rating]] &lt; 4, "Medium", "High")))</f>
        <v>High</v>
      </c>
      <c r="L961">
        <v>1128</v>
      </c>
      <c r="M961">
        <v>69</v>
      </c>
      <c r="N961" t="str">
        <f>IF(Table13[[#This Row],[Price USD]]&lt;20,"Budget",IF(Table13[[#This Row],[Price USD]]&lt;=50,"Mid-range","Premium"))</f>
        <v>Premium</v>
      </c>
      <c r="O961">
        <v>0</v>
      </c>
      <c r="P961">
        <v>0</v>
      </c>
    </row>
    <row r="962" spans="1:16" x14ac:dyDescent="0.25">
      <c r="A962" t="s">
        <v>1727</v>
      </c>
      <c r="B962" t="s">
        <v>1728</v>
      </c>
      <c r="C962">
        <v>6018</v>
      </c>
      <c r="D962" t="s">
        <v>517</v>
      </c>
      <c r="E962" t="s">
        <v>149</v>
      </c>
      <c r="F962">
        <v>17890</v>
      </c>
      <c r="G9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2">
        <v>4.5305999999999997</v>
      </c>
      <c r="J962" t="str">
        <f>IF(ISBLANK(Table13[[#This Row],[Rating]]), "No", "Yes")</f>
        <v>Yes</v>
      </c>
      <c r="K962" t="str">
        <f>IF(ISBLANK(Table13[[#This Row],[Rating]]), "Not Rated", IF(Table13[[#This Row],[Rating]] &lt; 3, "Low", IF(Table13[[#This Row],[Rating]] &lt; 4, "Medium", "High")))</f>
        <v>High</v>
      </c>
      <c r="L962">
        <v>1142</v>
      </c>
      <c r="M962">
        <v>68</v>
      </c>
      <c r="N962" t="str">
        <f>IF(Table13[[#This Row],[Price USD]]&lt;20,"Budget",IF(Table13[[#This Row],[Price USD]]&lt;=50,"Mid-range","Premium"))</f>
        <v>Premium</v>
      </c>
      <c r="O962">
        <v>0</v>
      </c>
      <c r="P962">
        <v>0</v>
      </c>
    </row>
    <row r="963" spans="1:16" x14ac:dyDescent="0.25">
      <c r="A963" t="s">
        <v>868</v>
      </c>
      <c r="B963" t="s">
        <v>869</v>
      </c>
      <c r="C963">
        <v>4348</v>
      </c>
      <c r="D963" t="s">
        <v>61</v>
      </c>
      <c r="E963" t="s">
        <v>4</v>
      </c>
      <c r="F963">
        <v>41928</v>
      </c>
      <c r="G9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3">
        <v>4.5244</v>
      </c>
      <c r="J963" t="str">
        <f>IF(ISBLANK(Table13[[#This Row],[Rating]]), "No", "Yes")</f>
        <v>Yes</v>
      </c>
      <c r="K963" t="str">
        <f>IF(ISBLANK(Table13[[#This Row],[Rating]]), "Not Rated", IF(Table13[[#This Row],[Rating]] &lt; 3, "Low", IF(Table13[[#This Row],[Rating]] &lt; 4, "Medium", "High")))</f>
        <v>High</v>
      </c>
      <c r="L963">
        <v>1148</v>
      </c>
      <c r="M963">
        <v>25</v>
      </c>
      <c r="N963" t="str">
        <f>IF(Table13[[#This Row],[Price USD]]&lt;20,"Budget",IF(Table13[[#This Row],[Price USD]]&lt;=50,"Mid-range","Premium"))</f>
        <v>Mid-range</v>
      </c>
      <c r="O963">
        <v>0</v>
      </c>
      <c r="P963">
        <v>0</v>
      </c>
    </row>
    <row r="964" spans="1:16" x14ac:dyDescent="0.25">
      <c r="A964" t="s">
        <v>732</v>
      </c>
      <c r="B964" t="s">
        <v>733</v>
      </c>
      <c r="C964">
        <v>5648</v>
      </c>
      <c r="D964" t="s">
        <v>408</v>
      </c>
      <c r="E964" t="s">
        <v>13</v>
      </c>
      <c r="F964">
        <v>48796</v>
      </c>
      <c r="G9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4">
        <v>4.3120000000000003</v>
      </c>
      <c r="J964" t="str">
        <f>IF(ISBLANK(Table13[[#This Row],[Rating]]), "No", "Yes")</f>
        <v>Yes</v>
      </c>
      <c r="K964" t="str">
        <f>IF(ISBLANK(Table13[[#This Row],[Rating]]), "Not Rated", IF(Table13[[#This Row],[Rating]] &lt; 3, "Low", IF(Table13[[#This Row],[Rating]] &lt; 4, "Medium", "High")))</f>
        <v>High</v>
      </c>
      <c r="L964">
        <v>1157</v>
      </c>
      <c r="M964">
        <v>12</v>
      </c>
      <c r="N964" t="str">
        <f>IF(Table13[[#This Row],[Price USD]]&lt;20,"Budget",IF(Table13[[#This Row],[Price USD]]&lt;=50,"Mid-range","Premium"))</f>
        <v>Budget</v>
      </c>
      <c r="O964">
        <v>0</v>
      </c>
      <c r="P964">
        <v>1</v>
      </c>
    </row>
    <row r="965" spans="1:16" x14ac:dyDescent="0.25">
      <c r="A965" t="s">
        <v>1293</v>
      </c>
      <c r="B965" t="s">
        <v>1294</v>
      </c>
      <c r="C965">
        <v>6207</v>
      </c>
      <c r="D965" t="s">
        <v>914</v>
      </c>
      <c r="E965" t="s">
        <v>144</v>
      </c>
      <c r="F965">
        <v>26453</v>
      </c>
      <c r="G9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5">
        <v>4.3876999999999997</v>
      </c>
      <c r="J965" t="str">
        <f>IF(ISBLANK(Table13[[#This Row],[Rating]]), "No", "Yes")</f>
        <v>Yes</v>
      </c>
      <c r="K965" t="str">
        <f>IF(ISBLANK(Table13[[#This Row],[Rating]]), "Not Rated", IF(Table13[[#This Row],[Rating]] &lt; 3, "Low", IF(Table13[[#This Row],[Rating]] &lt; 4, "Medium", "High")))</f>
        <v>High</v>
      </c>
      <c r="L965">
        <v>1166</v>
      </c>
      <c r="M965">
        <v>28</v>
      </c>
      <c r="N965" t="str">
        <f>IF(Table13[[#This Row],[Price USD]]&lt;20,"Budget",IF(Table13[[#This Row],[Price USD]]&lt;=50,"Mid-range","Premium"))</f>
        <v>Mid-range</v>
      </c>
      <c r="O965">
        <v>0</v>
      </c>
      <c r="P965">
        <v>0</v>
      </c>
    </row>
    <row r="966" spans="1:16" x14ac:dyDescent="0.25">
      <c r="A966" t="s">
        <v>1187</v>
      </c>
      <c r="B966" t="s">
        <v>310</v>
      </c>
      <c r="C966">
        <v>6218</v>
      </c>
      <c r="D966" t="s">
        <v>116</v>
      </c>
      <c r="E966" t="s">
        <v>144</v>
      </c>
      <c r="F966">
        <v>29687</v>
      </c>
      <c r="G9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6">
        <v>4.2173999999999996</v>
      </c>
      <c r="J966" t="str">
        <f>IF(ISBLANK(Table13[[#This Row],[Rating]]), "No", "Yes")</f>
        <v>Yes</v>
      </c>
      <c r="K966" t="str">
        <f>IF(ISBLANK(Table13[[#This Row],[Rating]]), "Not Rated", IF(Table13[[#This Row],[Rating]] &lt; 3, "Low", IF(Table13[[#This Row],[Rating]] &lt; 4, "Medium", "High")))</f>
        <v>High</v>
      </c>
      <c r="L966">
        <v>1173</v>
      </c>
      <c r="M966">
        <v>30</v>
      </c>
      <c r="N966" t="str">
        <f>IF(Table13[[#This Row],[Price USD]]&lt;20,"Budget",IF(Table13[[#This Row],[Price USD]]&lt;=50,"Mid-range","Premium"))</f>
        <v>Mid-range</v>
      </c>
      <c r="O966">
        <v>0</v>
      </c>
      <c r="P966">
        <v>0</v>
      </c>
    </row>
    <row r="967" spans="1:16" x14ac:dyDescent="0.25">
      <c r="A967" t="s">
        <v>1655</v>
      </c>
      <c r="B967" t="s">
        <v>1656</v>
      </c>
      <c r="C967">
        <v>6073</v>
      </c>
      <c r="D967" t="s">
        <v>78</v>
      </c>
      <c r="E967" t="s">
        <v>21</v>
      </c>
      <c r="F967">
        <v>19213</v>
      </c>
      <c r="G9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7">
        <v>4.0839999999999996</v>
      </c>
      <c r="J967" t="str">
        <f>IF(ISBLANK(Table13[[#This Row],[Rating]]), "No", "Yes")</f>
        <v>Yes</v>
      </c>
      <c r="K967" t="str">
        <f>IF(ISBLANK(Table13[[#This Row],[Rating]]), "Not Rated", IF(Table13[[#This Row],[Rating]] &lt; 3, "Low", IF(Table13[[#This Row],[Rating]] &lt; 4, "Medium", "High")))</f>
        <v>High</v>
      </c>
      <c r="L967">
        <v>1178</v>
      </c>
      <c r="M967">
        <v>65</v>
      </c>
      <c r="N967" t="str">
        <f>IF(Table13[[#This Row],[Price USD]]&lt;20,"Budget",IF(Table13[[#This Row],[Price USD]]&lt;=50,"Mid-range","Premium"))</f>
        <v>Premium</v>
      </c>
      <c r="O967">
        <v>0</v>
      </c>
      <c r="P967">
        <v>0</v>
      </c>
    </row>
    <row r="968" spans="1:16" x14ac:dyDescent="0.25">
      <c r="A968" t="s">
        <v>1511</v>
      </c>
      <c r="B968" t="s">
        <v>1512</v>
      </c>
      <c r="C968">
        <v>4372</v>
      </c>
      <c r="D968" t="s">
        <v>1513</v>
      </c>
      <c r="E968" t="s">
        <v>69</v>
      </c>
      <c r="F968">
        <v>21773</v>
      </c>
      <c r="G9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8">
        <v>4.5788000000000002</v>
      </c>
      <c r="J968" t="str">
        <f>IF(ISBLANK(Table13[[#This Row],[Rating]]), "No", "Yes")</f>
        <v>Yes</v>
      </c>
      <c r="K968" t="str">
        <f>IF(ISBLANK(Table13[[#This Row],[Rating]]), "Not Rated", IF(Table13[[#This Row],[Rating]] &lt; 3, "Low", IF(Table13[[#This Row],[Rating]] &lt; 4, "Medium", "High")))</f>
        <v>High</v>
      </c>
      <c r="L968">
        <v>1187</v>
      </c>
      <c r="M968">
        <v>54</v>
      </c>
      <c r="N968" t="str">
        <f>IF(Table13[[#This Row],[Price USD]]&lt;20,"Budget",IF(Table13[[#This Row],[Price USD]]&lt;=50,"Mid-range","Premium"))</f>
        <v>Premium</v>
      </c>
      <c r="O968">
        <v>0</v>
      </c>
      <c r="P968">
        <v>0</v>
      </c>
    </row>
    <row r="969" spans="1:16" x14ac:dyDescent="0.25">
      <c r="A969" t="s">
        <v>898</v>
      </c>
      <c r="B969" t="s">
        <v>899</v>
      </c>
      <c r="C969">
        <v>1254</v>
      </c>
      <c r="D969" t="s">
        <v>136</v>
      </c>
      <c r="E969" t="s">
        <v>13</v>
      </c>
      <c r="F969">
        <v>40899</v>
      </c>
      <c r="G9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69">
        <v>4.6121999999999996</v>
      </c>
      <c r="J969" t="str">
        <f>IF(ISBLANK(Table13[[#This Row],[Rating]]), "No", "Yes")</f>
        <v>Yes</v>
      </c>
      <c r="K969" t="str">
        <f>IF(ISBLANK(Table13[[#This Row],[Rating]]), "Not Rated", IF(Table13[[#This Row],[Rating]] &lt; 3, "Low", IF(Table13[[#This Row],[Rating]] &lt; 4, "Medium", "High")))</f>
        <v>High</v>
      </c>
      <c r="L969">
        <v>1194</v>
      </c>
      <c r="M969">
        <v>26</v>
      </c>
      <c r="N969" t="str">
        <f>IF(Table13[[#This Row],[Price USD]]&lt;20,"Budget",IF(Table13[[#This Row],[Price USD]]&lt;=50,"Mid-range","Premium"))</f>
        <v>Mid-range</v>
      </c>
      <c r="O969">
        <v>0</v>
      </c>
      <c r="P969">
        <v>0</v>
      </c>
    </row>
    <row r="970" spans="1:16" x14ac:dyDescent="0.25">
      <c r="A970" t="s">
        <v>1078</v>
      </c>
      <c r="B970" t="s">
        <v>1079</v>
      </c>
      <c r="C970">
        <v>5922</v>
      </c>
      <c r="D970" t="s">
        <v>204</v>
      </c>
      <c r="E970" t="s">
        <v>21</v>
      </c>
      <c r="F970">
        <v>33244</v>
      </c>
      <c r="G9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0">
        <v>4.5163000000000002</v>
      </c>
      <c r="J970" t="str">
        <f>IF(ISBLANK(Table13[[#This Row],[Rating]]), "No", "Yes")</f>
        <v>Yes</v>
      </c>
      <c r="K970" t="str">
        <f>IF(ISBLANK(Table13[[#This Row],[Rating]]), "Not Rated", IF(Table13[[#This Row],[Rating]] &lt; 3, "Low", IF(Table13[[#This Row],[Rating]] &lt; 4, "Medium", "High")))</f>
        <v>High</v>
      </c>
      <c r="L970">
        <v>1197</v>
      </c>
      <c r="M970">
        <v>28</v>
      </c>
      <c r="N970" t="str">
        <f>IF(Table13[[#This Row],[Price USD]]&lt;20,"Budget",IF(Table13[[#This Row],[Price USD]]&lt;=50,"Mid-range","Premium"))</f>
        <v>Mid-range</v>
      </c>
      <c r="O970">
        <v>0</v>
      </c>
      <c r="P970">
        <v>0</v>
      </c>
    </row>
    <row r="971" spans="1:16" x14ac:dyDescent="0.25">
      <c r="A971" t="s">
        <v>2075</v>
      </c>
      <c r="B971" t="s">
        <v>2076</v>
      </c>
      <c r="C971">
        <v>1132</v>
      </c>
      <c r="D971" t="s">
        <v>1319</v>
      </c>
      <c r="E971" t="s">
        <v>21</v>
      </c>
      <c r="F971">
        <v>13825</v>
      </c>
      <c r="G9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1">
        <v>4.3464999999999998</v>
      </c>
      <c r="J971" t="str">
        <f>IF(ISBLANK(Table13[[#This Row],[Rating]]), "No", "Yes")</f>
        <v>Yes</v>
      </c>
      <c r="K971" t="str">
        <f>IF(ISBLANK(Table13[[#This Row],[Rating]]), "Not Rated", IF(Table13[[#This Row],[Rating]] &lt; 3, "Low", IF(Table13[[#This Row],[Rating]] &lt; 4, "Medium", "High")))</f>
        <v>High</v>
      </c>
      <c r="L971">
        <v>1215</v>
      </c>
      <c r="M971">
        <v>145</v>
      </c>
      <c r="N971" t="str">
        <f>IF(Table13[[#This Row],[Price USD]]&lt;20,"Budget",IF(Table13[[#This Row],[Price USD]]&lt;=50,"Mid-range","Premium"))</f>
        <v>Premium</v>
      </c>
      <c r="O971">
        <v>0</v>
      </c>
      <c r="P971">
        <v>0</v>
      </c>
    </row>
    <row r="972" spans="1:16" x14ac:dyDescent="0.25">
      <c r="A972" t="s">
        <v>1556</v>
      </c>
      <c r="B972" t="s">
        <v>1557</v>
      </c>
      <c r="C972">
        <v>6219</v>
      </c>
      <c r="D972" t="s">
        <v>277</v>
      </c>
      <c r="E972" t="s">
        <v>144</v>
      </c>
      <c r="F972">
        <v>20995</v>
      </c>
      <c r="G9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2">
        <v>4.5434999999999999</v>
      </c>
      <c r="J972" t="str">
        <f>IF(ISBLANK(Table13[[#This Row],[Rating]]), "No", "Yes")</f>
        <v>Yes</v>
      </c>
      <c r="K972" t="str">
        <f>IF(ISBLANK(Table13[[#This Row],[Rating]]), "Not Rated", IF(Table13[[#This Row],[Rating]] &lt; 3, "Low", IF(Table13[[#This Row],[Rating]] &lt; 4, "Medium", "High")))</f>
        <v>High</v>
      </c>
      <c r="L972">
        <v>1229</v>
      </c>
      <c r="M972">
        <v>15</v>
      </c>
      <c r="N972" t="str">
        <f>IF(Table13[[#This Row],[Price USD]]&lt;20,"Budget",IF(Table13[[#This Row],[Price USD]]&lt;=50,"Mid-range","Premium"))</f>
        <v>Budget</v>
      </c>
      <c r="O972">
        <v>0</v>
      </c>
      <c r="P972">
        <v>0</v>
      </c>
    </row>
    <row r="973" spans="1:16" x14ac:dyDescent="0.25">
      <c r="A973" t="s">
        <v>713</v>
      </c>
      <c r="B973" t="s">
        <v>714</v>
      </c>
      <c r="C973">
        <v>6219</v>
      </c>
      <c r="D973" t="s">
        <v>277</v>
      </c>
      <c r="E973" t="s">
        <v>13</v>
      </c>
      <c r="F973">
        <v>49959</v>
      </c>
      <c r="G9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3">
        <v>4.5434999999999999</v>
      </c>
      <c r="J973" t="str">
        <f>IF(ISBLANK(Table13[[#This Row],[Rating]]), "No", "Yes")</f>
        <v>Yes</v>
      </c>
      <c r="K973" t="str">
        <f>IF(ISBLANK(Table13[[#This Row],[Rating]]), "Not Rated", IF(Table13[[#This Row],[Rating]] &lt; 3, "Low", IF(Table13[[#This Row],[Rating]] &lt; 4, "Medium", "High")))</f>
        <v>High</v>
      </c>
      <c r="L973">
        <v>1229</v>
      </c>
      <c r="M973">
        <v>49</v>
      </c>
      <c r="N973" t="str">
        <f>IF(Table13[[#This Row],[Price USD]]&lt;20,"Budget",IF(Table13[[#This Row],[Price USD]]&lt;=50,"Mid-range","Premium"))</f>
        <v>Mid-range</v>
      </c>
      <c r="O973">
        <v>0</v>
      </c>
      <c r="P973">
        <v>0</v>
      </c>
    </row>
    <row r="974" spans="1:16" x14ac:dyDescent="0.25">
      <c r="A974" t="s">
        <v>811</v>
      </c>
      <c r="B974" t="s">
        <v>812</v>
      </c>
      <c r="C974">
        <v>4348</v>
      </c>
      <c r="D974" t="s">
        <v>61</v>
      </c>
      <c r="E974" t="s">
        <v>69</v>
      </c>
      <c r="F974">
        <v>44288</v>
      </c>
      <c r="G9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4">
        <v>4.4585999999999997</v>
      </c>
      <c r="J974" t="str">
        <f>IF(ISBLANK(Table13[[#This Row],[Rating]]), "No", "Yes")</f>
        <v>Yes</v>
      </c>
      <c r="K974" t="str">
        <f>IF(ISBLANK(Table13[[#This Row],[Rating]]), "Not Rated", IF(Table13[[#This Row],[Rating]] &lt; 3, "Low", IF(Table13[[#This Row],[Rating]] &lt; 4, "Medium", "High")))</f>
        <v>High</v>
      </c>
      <c r="L974">
        <v>1232</v>
      </c>
      <c r="M974">
        <v>29</v>
      </c>
      <c r="N974" t="str">
        <f>IF(Table13[[#This Row],[Price USD]]&lt;20,"Budget",IF(Table13[[#This Row],[Price USD]]&lt;=50,"Mid-range","Premium"))</f>
        <v>Mid-range</v>
      </c>
      <c r="O974">
        <v>0</v>
      </c>
      <c r="P974">
        <v>0</v>
      </c>
    </row>
    <row r="975" spans="1:16" x14ac:dyDescent="0.25">
      <c r="A975" t="s">
        <v>1568</v>
      </c>
      <c r="B975" t="s">
        <v>1569</v>
      </c>
      <c r="C975">
        <v>5857</v>
      </c>
      <c r="D975" t="s">
        <v>433</v>
      </c>
      <c r="E975" t="s">
        <v>13</v>
      </c>
      <c r="F975">
        <v>20852</v>
      </c>
      <c r="G9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5">
        <v>4.1429999999999998</v>
      </c>
      <c r="J975" t="str">
        <f>IF(ISBLANK(Table13[[#This Row],[Rating]]), "No", "Yes")</f>
        <v>Yes</v>
      </c>
      <c r="K975" t="str">
        <f>IF(ISBLANK(Table13[[#This Row],[Rating]]), "Not Rated", IF(Table13[[#This Row],[Rating]] &lt; 3, "Low", IF(Table13[[#This Row],[Rating]] &lt; 4, "Medium", "High")))</f>
        <v>High</v>
      </c>
      <c r="L975">
        <v>1238</v>
      </c>
      <c r="M975">
        <v>22</v>
      </c>
      <c r="N975" t="str">
        <f>IF(Table13[[#This Row],[Price USD]]&lt;20,"Budget",IF(Table13[[#This Row],[Price USD]]&lt;=50,"Mid-range","Premium"))</f>
        <v>Mid-range</v>
      </c>
      <c r="O975">
        <v>0</v>
      </c>
      <c r="P975">
        <v>0</v>
      </c>
    </row>
    <row r="976" spans="1:16" x14ac:dyDescent="0.25">
      <c r="A976" t="s">
        <v>835</v>
      </c>
      <c r="B976" t="s">
        <v>836</v>
      </c>
      <c r="C976">
        <v>5674</v>
      </c>
      <c r="D976" t="s">
        <v>141</v>
      </c>
      <c r="E976" t="s">
        <v>8</v>
      </c>
      <c r="F976">
        <v>43324</v>
      </c>
      <c r="G9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6">
        <v>4.2873000000000001</v>
      </c>
      <c r="J976" t="str">
        <f>IF(ISBLANK(Table13[[#This Row],[Rating]]), "No", "Yes")</f>
        <v>Yes</v>
      </c>
      <c r="K976" t="str">
        <f>IF(ISBLANK(Table13[[#This Row],[Rating]]), "Not Rated", IF(Table13[[#This Row],[Rating]] &lt; 3, "Low", IF(Table13[[#This Row],[Rating]] &lt; 4, "Medium", "High")))</f>
        <v>High</v>
      </c>
      <c r="L976">
        <v>1239</v>
      </c>
      <c r="M976">
        <v>60</v>
      </c>
      <c r="N976" t="str">
        <f>IF(Table13[[#This Row],[Price USD]]&lt;20,"Budget",IF(Table13[[#This Row],[Price USD]]&lt;=50,"Mid-range","Premium"))</f>
        <v>Premium</v>
      </c>
      <c r="O976">
        <v>0</v>
      </c>
      <c r="P976">
        <v>0</v>
      </c>
    </row>
    <row r="977" spans="1:16" x14ac:dyDescent="0.25">
      <c r="A977" t="s">
        <v>1636</v>
      </c>
      <c r="B977" t="s">
        <v>1637</v>
      </c>
      <c r="C977">
        <v>7075</v>
      </c>
      <c r="D977" t="s">
        <v>75</v>
      </c>
      <c r="E977" t="s">
        <v>21</v>
      </c>
      <c r="F977">
        <v>19491</v>
      </c>
      <c r="G9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7">
        <v>4.4992000000000001</v>
      </c>
      <c r="J977" t="str">
        <f>IF(ISBLANK(Table13[[#This Row],[Rating]]), "No", "Yes")</f>
        <v>Yes</v>
      </c>
      <c r="K977" t="str">
        <f>IF(ISBLANK(Table13[[#This Row],[Rating]]), "Not Rated", IF(Table13[[#This Row],[Rating]] &lt; 3, "Low", IF(Table13[[#This Row],[Rating]] &lt; 4, "Medium", "High")))</f>
        <v>High</v>
      </c>
      <c r="L977">
        <v>1242</v>
      </c>
      <c r="M977">
        <v>45</v>
      </c>
      <c r="N977" t="str">
        <f>IF(Table13[[#This Row],[Price USD]]&lt;20,"Budget",IF(Table13[[#This Row],[Price USD]]&lt;=50,"Mid-range","Premium"))</f>
        <v>Mid-range</v>
      </c>
      <c r="O977">
        <v>0</v>
      </c>
      <c r="P977">
        <v>0</v>
      </c>
    </row>
    <row r="978" spans="1:16" x14ac:dyDescent="0.25">
      <c r="A978" t="s">
        <v>1920</v>
      </c>
      <c r="B978" t="s">
        <v>1921</v>
      </c>
      <c r="C978">
        <v>1741</v>
      </c>
      <c r="D978" t="s">
        <v>388</v>
      </c>
      <c r="E978" t="s">
        <v>21</v>
      </c>
      <c r="F978">
        <v>15564</v>
      </c>
      <c r="G9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8">
        <v>4.5629</v>
      </c>
      <c r="J978" t="str">
        <f>IF(ISBLANK(Table13[[#This Row],[Rating]]), "No", "Yes")</f>
        <v>Yes</v>
      </c>
      <c r="K978" t="str">
        <f>IF(ISBLANK(Table13[[#This Row],[Rating]]), "Not Rated", IF(Table13[[#This Row],[Rating]] &lt; 3, "Low", IF(Table13[[#This Row],[Rating]] &lt; 4, "Medium", "High")))</f>
        <v>High</v>
      </c>
      <c r="L978">
        <v>1256</v>
      </c>
      <c r="M978">
        <v>48</v>
      </c>
      <c r="N978" t="str">
        <f>IF(Table13[[#This Row],[Price USD]]&lt;20,"Budget",IF(Table13[[#This Row],[Price USD]]&lt;=50,"Mid-range","Premium"))</f>
        <v>Mid-range</v>
      </c>
      <c r="O978">
        <v>0</v>
      </c>
      <c r="P978">
        <v>1</v>
      </c>
    </row>
    <row r="979" spans="1:16" x14ac:dyDescent="0.25">
      <c r="A979" t="s">
        <v>1768</v>
      </c>
      <c r="B979" t="s">
        <v>1769</v>
      </c>
      <c r="C979">
        <v>3733</v>
      </c>
      <c r="D979" t="s">
        <v>124</v>
      </c>
      <c r="E979" t="s">
        <v>21</v>
      </c>
      <c r="F979">
        <v>17465</v>
      </c>
      <c r="G9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79">
        <v>4.2685000000000004</v>
      </c>
      <c r="J979" t="str">
        <f>IF(ISBLANK(Table13[[#This Row],[Rating]]), "No", "Yes")</f>
        <v>Yes</v>
      </c>
      <c r="K979" t="str">
        <f>IF(ISBLANK(Table13[[#This Row],[Rating]]), "Not Rated", IF(Table13[[#This Row],[Rating]] &lt; 3, "Low", IF(Table13[[#This Row],[Rating]] &lt; 4, "Medium", "High")))</f>
        <v>High</v>
      </c>
      <c r="L979">
        <v>1270</v>
      </c>
      <c r="M979">
        <v>40</v>
      </c>
      <c r="N979" t="str">
        <f>IF(Table13[[#This Row],[Price USD]]&lt;20,"Budget",IF(Table13[[#This Row],[Price USD]]&lt;=50,"Mid-range","Premium"))</f>
        <v>Mid-range</v>
      </c>
      <c r="O979">
        <v>0</v>
      </c>
      <c r="P979">
        <v>0</v>
      </c>
    </row>
    <row r="980" spans="1:16" x14ac:dyDescent="0.25">
      <c r="A980" t="s">
        <v>852</v>
      </c>
      <c r="B980" t="s">
        <v>853</v>
      </c>
      <c r="C980">
        <v>5674</v>
      </c>
      <c r="D980" t="s">
        <v>141</v>
      </c>
      <c r="E980" t="s">
        <v>13</v>
      </c>
      <c r="F980">
        <v>42708</v>
      </c>
      <c r="G9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0">
        <v>4.5795000000000003</v>
      </c>
      <c r="J980" t="str">
        <f>IF(ISBLANK(Table13[[#This Row],[Rating]]), "No", "Yes")</f>
        <v>Yes</v>
      </c>
      <c r="K980" t="str">
        <f>IF(ISBLANK(Table13[[#This Row],[Rating]]), "Not Rated", IF(Table13[[#This Row],[Rating]] &lt; 3, "Low", IF(Table13[[#This Row],[Rating]] &lt; 4, "Medium", "High")))</f>
        <v>High</v>
      </c>
      <c r="L980">
        <v>1277</v>
      </c>
      <c r="M980">
        <v>35</v>
      </c>
      <c r="N980" t="str">
        <f>IF(Table13[[#This Row],[Price USD]]&lt;20,"Budget",IF(Table13[[#This Row],[Price USD]]&lt;=50,"Mid-range","Premium"))</f>
        <v>Mid-range</v>
      </c>
      <c r="O980">
        <v>0</v>
      </c>
      <c r="P980">
        <v>0</v>
      </c>
    </row>
    <row r="981" spans="1:16" x14ac:dyDescent="0.25">
      <c r="A981" t="s">
        <v>1065</v>
      </c>
      <c r="B981" t="s">
        <v>1066</v>
      </c>
      <c r="C981">
        <v>6018</v>
      </c>
      <c r="D981" t="s">
        <v>517</v>
      </c>
      <c r="E981" t="s">
        <v>21</v>
      </c>
      <c r="F981">
        <v>33910</v>
      </c>
      <c r="G9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1">
        <v>4.5412999999999997</v>
      </c>
      <c r="J981" t="str">
        <f>IF(ISBLANK(Table13[[#This Row],[Rating]]), "No", "Yes")</f>
        <v>Yes</v>
      </c>
      <c r="K981" t="str">
        <f>IF(ISBLANK(Table13[[#This Row],[Rating]]), "Not Rated", IF(Table13[[#This Row],[Rating]] &lt; 3, "Low", IF(Table13[[#This Row],[Rating]] &lt; 4, "Medium", "High")))</f>
        <v>High</v>
      </c>
      <c r="L981">
        <v>1321</v>
      </c>
      <c r="M981">
        <v>98</v>
      </c>
      <c r="N981" t="str">
        <f>IF(Table13[[#This Row],[Price USD]]&lt;20,"Budget",IF(Table13[[#This Row],[Price USD]]&lt;=50,"Mid-range","Premium"))</f>
        <v>Premium</v>
      </c>
      <c r="O981">
        <v>0</v>
      </c>
      <c r="P981">
        <v>0</v>
      </c>
    </row>
    <row r="982" spans="1:16" x14ac:dyDescent="0.25">
      <c r="A982" t="s">
        <v>2003</v>
      </c>
      <c r="B982" t="s">
        <v>2004</v>
      </c>
      <c r="C982">
        <v>7075</v>
      </c>
      <c r="D982" t="s">
        <v>75</v>
      </c>
      <c r="E982" t="s">
        <v>13</v>
      </c>
      <c r="F982">
        <v>14738</v>
      </c>
      <c r="G9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2">
        <v>4.4598000000000004</v>
      </c>
      <c r="J982" t="str">
        <f>IF(ISBLANK(Table13[[#This Row],[Rating]]), "No", "Yes")</f>
        <v>Yes</v>
      </c>
      <c r="K982" t="str">
        <f>IF(ISBLANK(Table13[[#This Row],[Rating]]), "Not Rated", IF(Table13[[#This Row],[Rating]] &lt; 3, "Low", IF(Table13[[#This Row],[Rating]] &lt; 4, "Medium", "High")))</f>
        <v>High</v>
      </c>
      <c r="L982">
        <v>1331</v>
      </c>
      <c r="M982">
        <v>38</v>
      </c>
      <c r="N982" t="str">
        <f>IF(Table13[[#This Row],[Price USD]]&lt;20,"Budget",IF(Table13[[#This Row],[Price USD]]&lt;=50,"Mid-range","Premium"))</f>
        <v>Mid-range</v>
      </c>
      <c r="O982">
        <v>0</v>
      </c>
      <c r="P982">
        <v>0</v>
      </c>
    </row>
    <row r="983" spans="1:16" x14ac:dyDescent="0.25">
      <c r="A983" t="s">
        <v>1707</v>
      </c>
      <c r="B983" t="s">
        <v>1708</v>
      </c>
      <c r="C983">
        <v>3733</v>
      </c>
      <c r="D983" t="s">
        <v>124</v>
      </c>
      <c r="E983" t="s">
        <v>21</v>
      </c>
      <c r="F983">
        <v>18198</v>
      </c>
      <c r="G9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3">
        <v>4.3159000000000001</v>
      </c>
      <c r="J983" t="str">
        <f>IF(ISBLANK(Table13[[#This Row],[Rating]]), "No", "Yes")</f>
        <v>Yes</v>
      </c>
      <c r="K983" t="str">
        <f>IF(ISBLANK(Table13[[#This Row],[Rating]]), "Not Rated", IF(Table13[[#This Row],[Rating]] &lt; 3, "Low", IF(Table13[[#This Row],[Rating]] &lt; 4, "Medium", "High")))</f>
        <v>High</v>
      </c>
      <c r="L983">
        <v>1336</v>
      </c>
      <c r="M983">
        <v>52</v>
      </c>
      <c r="N983" t="str">
        <f>IF(Table13[[#This Row],[Price USD]]&lt;20,"Budget",IF(Table13[[#This Row],[Price USD]]&lt;=50,"Mid-range","Premium"))</f>
        <v>Premium</v>
      </c>
      <c r="O983">
        <v>0</v>
      </c>
      <c r="P983">
        <v>0</v>
      </c>
    </row>
    <row r="984" spans="1:16" x14ac:dyDescent="0.25">
      <c r="A984" t="s">
        <v>2167</v>
      </c>
      <c r="B984" t="s">
        <v>2168</v>
      </c>
      <c r="C984">
        <v>5337</v>
      </c>
      <c r="D984" t="s">
        <v>209</v>
      </c>
      <c r="E984" t="s">
        <v>49</v>
      </c>
      <c r="F984">
        <v>12870</v>
      </c>
      <c r="G9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4">
        <v>4.4532999999999996</v>
      </c>
      <c r="J984" t="str">
        <f>IF(ISBLANK(Table13[[#This Row],[Rating]]), "No", "Yes")</f>
        <v>Yes</v>
      </c>
      <c r="K984" t="str">
        <f>IF(ISBLANK(Table13[[#This Row],[Rating]]), "Not Rated", IF(Table13[[#This Row],[Rating]] &lt; 3, "Low", IF(Table13[[#This Row],[Rating]] &lt; 4, "Medium", "High")))</f>
        <v>High</v>
      </c>
      <c r="L984">
        <v>1337</v>
      </c>
      <c r="M984">
        <v>50</v>
      </c>
      <c r="N984" t="str">
        <f>IF(Table13[[#This Row],[Price USD]]&lt;20,"Budget",IF(Table13[[#This Row],[Price USD]]&lt;=50,"Mid-range","Premium"))</f>
        <v>Mid-range</v>
      </c>
      <c r="O984">
        <v>0</v>
      </c>
      <c r="P984">
        <v>0</v>
      </c>
    </row>
    <row r="985" spans="1:16" x14ac:dyDescent="0.25">
      <c r="A985" t="s">
        <v>768</v>
      </c>
      <c r="B985" t="s">
        <v>769</v>
      </c>
      <c r="C985">
        <v>6041</v>
      </c>
      <c r="D985" t="s">
        <v>33</v>
      </c>
      <c r="E985" t="s">
        <v>8</v>
      </c>
      <c r="F985">
        <v>47060</v>
      </c>
      <c r="G9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5">
        <v>4.3761000000000001</v>
      </c>
      <c r="J985" t="str">
        <f>IF(ISBLANK(Table13[[#This Row],[Rating]]), "No", "Yes")</f>
        <v>Yes</v>
      </c>
      <c r="K985" t="str">
        <f>IF(ISBLANK(Table13[[#This Row],[Rating]]), "Not Rated", IF(Table13[[#This Row],[Rating]] &lt; 3, "Low", IF(Table13[[#This Row],[Rating]] &lt; 4, "Medium", "High")))</f>
        <v>High</v>
      </c>
      <c r="L985">
        <v>1348</v>
      </c>
      <c r="M985">
        <v>49</v>
      </c>
      <c r="N985" t="str">
        <f>IF(Table13[[#This Row],[Price USD]]&lt;20,"Budget",IF(Table13[[#This Row],[Price USD]]&lt;=50,"Mid-range","Premium"))</f>
        <v>Mid-range</v>
      </c>
      <c r="O985">
        <v>0</v>
      </c>
      <c r="P985">
        <v>0</v>
      </c>
    </row>
    <row r="986" spans="1:16" x14ac:dyDescent="0.25">
      <c r="A986" t="s">
        <v>1135</v>
      </c>
      <c r="B986" t="s">
        <v>1136</v>
      </c>
      <c r="C986">
        <v>4171</v>
      </c>
      <c r="D986" t="s">
        <v>133</v>
      </c>
      <c r="E986" t="s">
        <v>8</v>
      </c>
      <c r="F986">
        <v>31478</v>
      </c>
      <c r="G9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6">
        <v>4.3375000000000004</v>
      </c>
      <c r="J986" t="str">
        <f>IF(ISBLANK(Table13[[#This Row],[Rating]]), "No", "Yes")</f>
        <v>Yes</v>
      </c>
      <c r="K986" t="str">
        <f>IF(ISBLANK(Table13[[#This Row],[Rating]]), "Not Rated", IF(Table13[[#This Row],[Rating]] &lt; 3, "Low", IF(Table13[[#This Row],[Rating]] &lt; 4, "Medium", "High")))</f>
        <v>High</v>
      </c>
      <c r="L986">
        <v>1360</v>
      </c>
      <c r="M986">
        <v>52</v>
      </c>
      <c r="N986" t="str">
        <f>IF(Table13[[#This Row],[Price USD]]&lt;20,"Budget",IF(Table13[[#This Row],[Price USD]]&lt;=50,"Mid-range","Premium"))</f>
        <v>Premium</v>
      </c>
      <c r="O986">
        <v>0</v>
      </c>
      <c r="P986">
        <v>0</v>
      </c>
    </row>
    <row r="987" spans="1:16" x14ac:dyDescent="0.25">
      <c r="A987" t="s">
        <v>774</v>
      </c>
      <c r="B987" t="s">
        <v>775</v>
      </c>
      <c r="C987">
        <v>7083</v>
      </c>
      <c r="D987" t="s">
        <v>20</v>
      </c>
      <c r="E987" t="s">
        <v>49</v>
      </c>
      <c r="F987">
        <v>46738</v>
      </c>
      <c r="G9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7">
        <v>3.3075999999999999</v>
      </c>
      <c r="J987" t="str">
        <f>IF(ISBLANK(Table13[[#This Row],[Rating]]), "No", "Yes")</f>
        <v>Yes</v>
      </c>
      <c r="K987" t="str">
        <f>IF(ISBLANK(Table13[[#This Row],[Rating]]), "Not Rated", IF(Table13[[#This Row],[Rating]] &lt; 3, "Low", IF(Table13[[#This Row],[Rating]] &lt; 4, "Medium", "High")))</f>
        <v>Medium</v>
      </c>
      <c r="L987">
        <v>1362</v>
      </c>
      <c r="M987">
        <v>34</v>
      </c>
      <c r="N987" t="str">
        <f>IF(Table13[[#This Row],[Price USD]]&lt;20,"Budget",IF(Table13[[#This Row],[Price USD]]&lt;=50,"Mid-range","Premium"))</f>
        <v>Mid-range</v>
      </c>
      <c r="O987">
        <v>0</v>
      </c>
      <c r="P987">
        <v>0</v>
      </c>
    </row>
    <row r="988" spans="1:16" x14ac:dyDescent="0.25">
      <c r="A988" t="s">
        <v>951</v>
      </c>
      <c r="B988" t="s">
        <v>952</v>
      </c>
      <c r="C988">
        <v>1254</v>
      </c>
      <c r="D988" t="s">
        <v>136</v>
      </c>
      <c r="E988" t="s">
        <v>13</v>
      </c>
      <c r="F988">
        <v>38875</v>
      </c>
      <c r="G9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8">
        <v>4.3815</v>
      </c>
      <c r="J988" t="str">
        <f>IF(ISBLANK(Table13[[#This Row],[Rating]]), "No", "Yes")</f>
        <v>Yes</v>
      </c>
      <c r="K988" t="str">
        <f>IF(ISBLANK(Table13[[#This Row],[Rating]]), "Not Rated", IF(Table13[[#This Row],[Rating]] &lt; 3, "Low", IF(Table13[[#This Row],[Rating]] &lt; 4, "Medium", "High")))</f>
        <v>High</v>
      </c>
      <c r="L988">
        <v>1376</v>
      </c>
      <c r="M988">
        <v>20</v>
      </c>
      <c r="N988" t="str">
        <f>IF(Table13[[#This Row],[Price USD]]&lt;20,"Budget",IF(Table13[[#This Row],[Price USD]]&lt;=50,"Mid-range","Premium"))</f>
        <v>Mid-range</v>
      </c>
      <c r="O988">
        <v>0</v>
      </c>
      <c r="P988">
        <v>0</v>
      </c>
    </row>
    <row r="989" spans="1:16" x14ac:dyDescent="0.25">
      <c r="A989" t="s">
        <v>1712</v>
      </c>
      <c r="B989" t="s">
        <v>1713</v>
      </c>
      <c r="C989">
        <v>6201</v>
      </c>
      <c r="D989" t="s">
        <v>367</v>
      </c>
      <c r="E989" t="s">
        <v>144</v>
      </c>
      <c r="F989">
        <v>18102</v>
      </c>
      <c r="G9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89">
        <v>4.0566000000000004</v>
      </c>
      <c r="J989" t="str">
        <f>IF(ISBLANK(Table13[[#This Row],[Rating]]), "No", "Yes")</f>
        <v>Yes</v>
      </c>
      <c r="K989" t="str">
        <f>IF(ISBLANK(Table13[[#This Row],[Rating]]), "Not Rated", IF(Table13[[#This Row],[Rating]] &lt; 3, "Low", IF(Table13[[#This Row],[Rating]] &lt; 4, "Medium", "High")))</f>
        <v>High</v>
      </c>
      <c r="L989">
        <v>1377</v>
      </c>
      <c r="M989">
        <v>100</v>
      </c>
      <c r="N989" t="str">
        <f>IF(Table13[[#This Row],[Price USD]]&lt;20,"Budget",IF(Table13[[#This Row],[Price USD]]&lt;=50,"Mid-range","Premium"))</f>
        <v>Premium</v>
      </c>
      <c r="O989">
        <v>0</v>
      </c>
      <c r="P989">
        <v>0</v>
      </c>
    </row>
    <row r="990" spans="1:16" x14ac:dyDescent="0.25">
      <c r="A990" t="s">
        <v>910</v>
      </c>
      <c r="B990" t="s">
        <v>911</v>
      </c>
      <c r="C990">
        <v>5922</v>
      </c>
      <c r="D990" t="s">
        <v>204</v>
      </c>
      <c r="E990" t="s">
        <v>21</v>
      </c>
      <c r="F990">
        <v>40417</v>
      </c>
      <c r="G9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0">
        <v>4.1421000000000001</v>
      </c>
      <c r="J990" t="str">
        <f>IF(ISBLANK(Table13[[#This Row],[Rating]]), "No", "Yes")</f>
        <v>Yes</v>
      </c>
      <c r="K990" t="str">
        <f>IF(ISBLANK(Table13[[#This Row],[Rating]]), "Not Rated", IF(Table13[[#This Row],[Rating]] &lt; 3, "Low", IF(Table13[[#This Row],[Rating]] &lt; 4, "Medium", "High")))</f>
        <v>High</v>
      </c>
      <c r="L990">
        <v>1393</v>
      </c>
      <c r="M990">
        <v>45</v>
      </c>
      <c r="N990" t="str">
        <f>IF(Table13[[#This Row],[Price USD]]&lt;20,"Budget",IF(Table13[[#This Row],[Price USD]]&lt;=50,"Mid-range","Premium"))</f>
        <v>Mid-range</v>
      </c>
      <c r="O990">
        <v>0</v>
      </c>
      <c r="P990">
        <v>0</v>
      </c>
    </row>
    <row r="991" spans="1:16" x14ac:dyDescent="0.25">
      <c r="A991" t="s">
        <v>823</v>
      </c>
      <c r="B991" t="s">
        <v>824</v>
      </c>
      <c r="C991">
        <v>5337</v>
      </c>
      <c r="D991" t="s">
        <v>209</v>
      </c>
      <c r="E991" t="s">
        <v>149</v>
      </c>
      <c r="F991">
        <v>43729</v>
      </c>
      <c r="G9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1">
        <v>4.3297999999999996</v>
      </c>
      <c r="J991" t="str">
        <f>IF(ISBLANK(Table13[[#This Row],[Rating]]), "No", "Yes")</f>
        <v>Yes</v>
      </c>
      <c r="K991" t="str">
        <f>IF(ISBLANK(Table13[[#This Row],[Rating]]), "Not Rated", IF(Table13[[#This Row],[Rating]] &lt; 3, "Low", IF(Table13[[#This Row],[Rating]] &lt; 4, "Medium", "High")))</f>
        <v>High</v>
      </c>
      <c r="L991">
        <v>1422</v>
      </c>
      <c r="M991">
        <v>64</v>
      </c>
      <c r="N991" t="str">
        <f>IF(Table13[[#This Row],[Price USD]]&lt;20,"Budget",IF(Table13[[#This Row],[Price USD]]&lt;=50,"Mid-range","Premium"))</f>
        <v>Premium</v>
      </c>
      <c r="O991">
        <v>0</v>
      </c>
      <c r="P991">
        <v>0</v>
      </c>
    </row>
    <row r="992" spans="1:16" x14ac:dyDescent="0.25">
      <c r="A992" t="s">
        <v>2462</v>
      </c>
      <c r="B992" t="s">
        <v>2463</v>
      </c>
      <c r="C992">
        <v>5715</v>
      </c>
      <c r="D992" t="s">
        <v>979</v>
      </c>
      <c r="E992" t="s">
        <v>21</v>
      </c>
      <c r="F992">
        <v>10482</v>
      </c>
      <c r="G9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2">
        <v>4.3596000000000004</v>
      </c>
      <c r="J992" t="str">
        <f>IF(ISBLANK(Table13[[#This Row],[Rating]]), "No", "Yes")</f>
        <v>Yes</v>
      </c>
      <c r="K992" t="str">
        <f>IF(ISBLANK(Table13[[#This Row],[Rating]]), "Not Rated", IF(Table13[[#This Row],[Rating]] &lt; 3, "Low", IF(Table13[[#This Row],[Rating]] &lt; 4, "Medium", "High")))</f>
        <v>High</v>
      </c>
      <c r="L992">
        <v>1424</v>
      </c>
      <c r="M992">
        <v>50</v>
      </c>
      <c r="N992" t="str">
        <f>IF(Table13[[#This Row],[Price USD]]&lt;20,"Budget",IF(Table13[[#This Row],[Price USD]]&lt;=50,"Mid-range","Premium"))</f>
        <v>Mid-range</v>
      </c>
      <c r="O992">
        <v>0</v>
      </c>
      <c r="P992">
        <v>0</v>
      </c>
    </row>
    <row r="993" spans="1:16" x14ac:dyDescent="0.25">
      <c r="A993" t="s">
        <v>1295</v>
      </c>
      <c r="B993" t="s">
        <v>1296</v>
      </c>
      <c r="C993">
        <v>6189</v>
      </c>
      <c r="D993" t="s">
        <v>30</v>
      </c>
      <c r="E993" t="s">
        <v>144</v>
      </c>
      <c r="F993">
        <v>26404</v>
      </c>
      <c r="G9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3">
        <v>4.4623999999999997</v>
      </c>
      <c r="J993" t="str">
        <f>IF(ISBLANK(Table13[[#This Row],[Rating]]), "No", "Yes")</f>
        <v>Yes</v>
      </c>
      <c r="K993" t="str">
        <f>IF(ISBLANK(Table13[[#This Row],[Rating]]), "Not Rated", IF(Table13[[#This Row],[Rating]] &lt; 3, "Low", IF(Table13[[#This Row],[Rating]] &lt; 4, "Medium", "High")))</f>
        <v>High</v>
      </c>
      <c r="L993">
        <v>1449</v>
      </c>
      <c r="M993">
        <v>21</v>
      </c>
      <c r="N993" t="str">
        <f>IF(Table13[[#This Row],[Price USD]]&lt;20,"Budget",IF(Table13[[#This Row],[Price USD]]&lt;=50,"Mid-range","Premium"))</f>
        <v>Mid-range</v>
      </c>
      <c r="O993">
        <v>0</v>
      </c>
      <c r="P993">
        <v>0</v>
      </c>
    </row>
    <row r="994" spans="1:16" x14ac:dyDescent="0.25">
      <c r="A994" t="s">
        <v>919</v>
      </c>
      <c r="B994" t="s">
        <v>920</v>
      </c>
      <c r="C994">
        <v>1073</v>
      </c>
      <c r="D994" t="s">
        <v>767</v>
      </c>
      <c r="E994" t="s">
        <v>21</v>
      </c>
      <c r="F994">
        <v>40209</v>
      </c>
      <c r="G9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4">
        <v>4.3384</v>
      </c>
      <c r="J994" t="str">
        <f>IF(ISBLANK(Table13[[#This Row],[Rating]]), "No", "Yes")</f>
        <v>Yes</v>
      </c>
      <c r="K994" t="str">
        <f>IF(ISBLANK(Table13[[#This Row],[Rating]]), "Not Rated", IF(Table13[[#This Row],[Rating]] &lt; 3, "Low", IF(Table13[[#This Row],[Rating]] &lt; 4, "Medium", "High")))</f>
        <v>High</v>
      </c>
      <c r="L994">
        <v>1457</v>
      </c>
      <c r="M994">
        <v>130</v>
      </c>
      <c r="N994" t="str">
        <f>IF(Table13[[#This Row],[Price USD]]&lt;20,"Budget",IF(Table13[[#This Row],[Price USD]]&lt;=50,"Mid-range","Premium"))</f>
        <v>Premium</v>
      </c>
      <c r="O994">
        <v>0</v>
      </c>
      <c r="P994">
        <v>0</v>
      </c>
    </row>
    <row r="995" spans="1:16" x14ac:dyDescent="0.25">
      <c r="A995" t="s">
        <v>927</v>
      </c>
      <c r="B995" t="s">
        <v>928</v>
      </c>
      <c r="C995">
        <v>5674</v>
      </c>
      <c r="D995" t="s">
        <v>141</v>
      </c>
      <c r="E995" t="s">
        <v>8</v>
      </c>
      <c r="F995">
        <v>39989</v>
      </c>
      <c r="G9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5">
        <v>4.5613999999999999</v>
      </c>
      <c r="J995" t="str">
        <f>IF(ISBLANK(Table13[[#This Row],[Rating]]), "No", "Yes")</f>
        <v>Yes</v>
      </c>
      <c r="K995" t="str">
        <f>IF(ISBLANK(Table13[[#This Row],[Rating]]), "Not Rated", IF(Table13[[#This Row],[Rating]] &lt; 3, "Low", IF(Table13[[#This Row],[Rating]] &lt; 4, "Medium", "High")))</f>
        <v>High</v>
      </c>
      <c r="L995">
        <v>1466</v>
      </c>
      <c r="M995">
        <v>60</v>
      </c>
      <c r="N995" t="str">
        <f>IF(Table13[[#This Row],[Price USD]]&lt;20,"Budget",IF(Table13[[#This Row],[Price USD]]&lt;=50,"Mid-range","Premium"))</f>
        <v>Premium</v>
      </c>
      <c r="O995">
        <v>0</v>
      </c>
      <c r="P995">
        <v>0</v>
      </c>
    </row>
    <row r="996" spans="1:16" x14ac:dyDescent="0.25">
      <c r="A996" t="s">
        <v>1285</v>
      </c>
      <c r="B996" t="s">
        <v>1286</v>
      </c>
      <c r="C996">
        <v>5668</v>
      </c>
      <c r="D996" t="s">
        <v>93</v>
      </c>
      <c r="E996" t="s">
        <v>8</v>
      </c>
      <c r="F996">
        <v>26675</v>
      </c>
      <c r="G9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6">
        <v>4.4672000000000001</v>
      </c>
      <c r="J996" t="str">
        <f>IF(ISBLANK(Table13[[#This Row],[Rating]]), "No", "Yes")</f>
        <v>Yes</v>
      </c>
      <c r="K996" t="str">
        <f>IF(ISBLANK(Table13[[#This Row],[Rating]]), "Not Rated", IF(Table13[[#This Row],[Rating]] &lt; 3, "Low", IF(Table13[[#This Row],[Rating]] &lt; 4, "Medium", "High")))</f>
        <v>High</v>
      </c>
      <c r="L996">
        <v>1494</v>
      </c>
      <c r="M996">
        <v>68</v>
      </c>
      <c r="N996" t="str">
        <f>IF(Table13[[#This Row],[Price USD]]&lt;20,"Budget",IF(Table13[[#This Row],[Price USD]]&lt;=50,"Mid-range","Premium"))</f>
        <v>Premium</v>
      </c>
      <c r="O996">
        <v>0</v>
      </c>
      <c r="P996">
        <v>1</v>
      </c>
    </row>
    <row r="997" spans="1:16" x14ac:dyDescent="0.25">
      <c r="A997" t="s">
        <v>1245</v>
      </c>
      <c r="B997" t="s">
        <v>1246</v>
      </c>
      <c r="C997">
        <v>3526</v>
      </c>
      <c r="D997" t="s">
        <v>1147</v>
      </c>
      <c r="E997" t="s">
        <v>21</v>
      </c>
      <c r="F997">
        <v>27905</v>
      </c>
      <c r="G9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7">
        <v>4.5632000000000001</v>
      </c>
      <c r="J997" t="str">
        <f>IF(ISBLANK(Table13[[#This Row],[Rating]]), "No", "Yes")</f>
        <v>Yes</v>
      </c>
      <c r="K997" t="str">
        <f>IF(ISBLANK(Table13[[#This Row],[Rating]]), "Not Rated", IF(Table13[[#This Row],[Rating]] &lt; 3, "Low", IF(Table13[[#This Row],[Rating]] &lt; 4, "Medium", "High")))</f>
        <v>High</v>
      </c>
      <c r="L997">
        <v>1550</v>
      </c>
      <c r="M997">
        <v>17</v>
      </c>
      <c r="N997" t="str">
        <f>IF(Table13[[#This Row],[Price USD]]&lt;20,"Budget",IF(Table13[[#This Row],[Price USD]]&lt;=50,"Mid-range","Premium"))</f>
        <v>Budget</v>
      </c>
      <c r="O997">
        <v>0</v>
      </c>
      <c r="P997">
        <v>0</v>
      </c>
    </row>
    <row r="998" spans="1:16" x14ac:dyDescent="0.25">
      <c r="A998" t="s">
        <v>1106</v>
      </c>
      <c r="B998" t="s">
        <v>1107</v>
      </c>
      <c r="C998">
        <v>3728</v>
      </c>
      <c r="D998" t="s">
        <v>458</v>
      </c>
      <c r="E998" t="s">
        <v>13</v>
      </c>
      <c r="F998">
        <v>32125</v>
      </c>
      <c r="G9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8">
        <v>4.3699000000000003</v>
      </c>
      <c r="J998" t="str">
        <f>IF(ISBLANK(Table13[[#This Row],[Rating]]), "No", "Yes")</f>
        <v>Yes</v>
      </c>
      <c r="K998" t="str">
        <f>IF(ISBLANK(Table13[[#This Row],[Rating]]), "Not Rated", IF(Table13[[#This Row],[Rating]] &lt; 3, "Low", IF(Table13[[#This Row],[Rating]] &lt; 4, "Medium", "High")))</f>
        <v>High</v>
      </c>
      <c r="L998">
        <v>1603</v>
      </c>
      <c r="M998">
        <v>39</v>
      </c>
      <c r="N998" t="str">
        <f>IF(Table13[[#This Row],[Price USD]]&lt;20,"Budget",IF(Table13[[#This Row],[Price USD]]&lt;=50,"Mid-range","Premium"))</f>
        <v>Mid-range</v>
      </c>
      <c r="O998">
        <v>0</v>
      </c>
      <c r="P998">
        <v>0</v>
      </c>
    </row>
    <row r="999" spans="1:16" x14ac:dyDescent="0.25">
      <c r="A999" t="s">
        <v>728</v>
      </c>
      <c r="B999" t="s">
        <v>729</v>
      </c>
      <c r="C999">
        <v>3733</v>
      </c>
      <c r="D999" t="s">
        <v>124</v>
      </c>
      <c r="E999" t="s">
        <v>13</v>
      </c>
      <c r="F999">
        <v>49081</v>
      </c>
      <c r="G9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9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999">
        <v>4.4763000000000002</v>
      </c>
      <c r="J999" t="str">
        <f>IF(ISBLANK(Table13[[#This Row],[Rating]]), "No", "Yes")</f>
        <v>Yes</v>
      </c>
      <c r="K999" t="str">
        <f>IF(ISBLANK(Table13[[#This Row],[Rating]]), "Not Rated", IF(Table13[[#This Row],[Rating]] &lt; 3, "Low", IF(Table13[[#This Row],[Rating]] &lt; 4, "Medium", "High")))</f>
        <v>High</v>
      </c>
      <c r="L999">
        <v>1627</v>
      </c>
      <c r="M999">
        <v>27</v>
      </c>
      <c r="N999" t="str">
        <f>IF(Table13[[#This Row],[Price USD]]&lt;20,"Budget",IF(Table13[[#This Row],[Price USD]]&lt;=50,"Mid-range","Premium"))</f>
        <v>Mid-range</v>
      </c>
      <c r="O999">
        <v>0</v>
      </c>
      <c r="P999">
        <v>0</v>
      </c>
    </row>
    <row r="1000" spans="1:16" x14ac:dyDescent="0.25">
      <c r="A1000" t="s">
        <v>1098</v>
      </c>
      <c r="B1000" t="s">
        <v>1099</v>
      </c>
      <c r="C1000">
        <v>1254</v>
      </c>
      <c r="D1000" t="s">
        <v>136</v>
      </c>
      <c r="E1000" t="s">
        <v>149</v>
      </c>
      <c r="F1000">
        <v>32398</v>
      </c>
      <c r="G10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0">
        <v>4.0721999999999996</v>
      </c>
      <c r="J1000" t="str">
        <f>IF(ISBLANK(Table13[[#This Row],[Rating]]), "No", "Yes")</f>
        <v>Yes</v>
      </c>
      <c r="K1000" t="str">
        <f>IF(ISBLANK(Table13[[#This Row],[Rating]]), "Not Rated", IF(Table13[[#This Row],[Rating]] &lt; 3, "Low", IF(Table13[[#This Row],[Rating]] &lt; 4, "Medium", "High")))</f>
        <v>High</v>
      </c>
      <c r="L1000">
        <v>1635</v>
      </c>
      <c r="M1000">
        <v>37</v>
      </c>
      <c r="N1000" t="str">
        <f>IF(Table13[[#This Row],[Price USD]]&lt;20,"Budget",IF(Table13[[#This Row],[Price USD]]&lt;=50,"Mid-range","Premium"))</f>
        <v>Mid-range</v>
      </c>
      <c r="O1000">
        <v>0</v>
      </c>
      <c r="P1000">
        <v>0</v>
      </c>
    </row>
    <row r="1001" spans="1:16" x14ac:dyDescent="0.25">
      <c r="A1001" t="s">
        <v>941</v>
      </c>
      <c r="B1001" t="s">
        <v>942</v>
      </c>
      <c r="C1001">
        <v>3733</v>
      </c>
      <c r="D1001" t="s">
        <v>124</v>
      </c>
      <c r="E1001" t="s">
        <v>69</v>
      </c>
      <c r="F1001">
        <v>39378</v>
      </c>
      <c r="G10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1">
        <v>4.4954000000000001</v>
      </c>
      <c r="J1001" t="str">
        <f>IF(ISBLANK(Table13[[#This Row],[Rating]]), "No", "Yes")</f>
        <v>Yes</v>
      </c>
      <c r="K1001" t="str">
        <f>IF(ISBLANK(Table13[[#This Row],[Rating]]), "Not Rated", IF(Table13[[#This Row],[Rating]] &lt; 3, "Low", IF(Table13[[#This Row],[Rating]] &lt; 4, "Medium", "High")))</f>
        <v>High</v>
      </c>
      <c r="L1001">
        <v>1643</v>
      </c>
      <c r="M1001">
        <v>32</v>
      </c>
      <c r="N1001" t="str">
        <f>IF(Table13[[#This Row],[Price USD]]&lt;20,"Budget",IF(Table13[[#This Row],[Price USD]]&lt;=50,"Mid-range","Premium"))</f>
        <v>Mid-range</v>
      </c>
      <c r="O1001">
        <v>0</v>
      </c>
      <c r="P1001">
        <v>0</v>
      </c>
    </row>
    <row r="1002" spans="1:16" x14ac:dyDescent="0.25">
      <c r="A1002" t="s">
        <v>1037</v>
      </c>
      <c r="B1002" t="s">
        <v>1038</v>
      </c>
      <c r="C1002">
        <v>6134</v>
      </c>
      <c r="D1002" t="s">
        <v>286</v>
      </c>
      <c r="E1002" t="s">
        <v>21</v>
      </c>
      <c r="F1002">
        <v>35156</v>
      </c>
      <c r="G10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2">
        <v>4.2213000000000003</v>
      </c>
      <c r="J1002" t="str">
        <f>IF(ISBLANK(Table13[[#This Row],[Rating]]), "No", "Yes")</f>
        <v>Yes</v>
      </c>
      <c r="K1002" t="str">
        <f>IF(ISBLANK(Table13[[#This Row],[Rating]]), "Not Rated", IF(Table13[[#This Row],[Rating]] &lt; 3, "Low", IF(Table13[[#This Row],[Rating]] &lt; 4, "Medium", "High")))</f>
        <v>High</v>
      </c>
      <c r="L1002">
        <v>1672</v>
      </c>
      <c r="M1002">
        <v>38</v>
      </c>
      <c r="N1002" t="str">
        <f>IF(Table13[[#This Row],[Price USD]]&lt;20,"Budget",IF(Table13[[#This Row],[Price USD]]&lt;=50,"Mid-range","Premium"))</f>
        <v>Mid-range</v>
      </c>
      <c r="O1002">
        <v>0</v>
      </c>
      <c r="P1002">
        <v>0</v>
      </c>
    </row>
    <row r="1003" spans="1:16" x14ac:dyDescent="0.25">
      <c r="A1003" t="s">
        <v>1677</v>
      </c>
      <c r="B1003" t="s">
        <v>1678</v>
      </c>
      <c r="C1003">
        <v>3728</v>
      </c>
      <c r="D1003" t="s">
        <v>458</v>
      </c>
      <c r="E1003" t="s">
        <v>144</v>
      </c>
      <c r="F1003">
        <v>18585</v>
      </c>
      <c r="G10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3">
        <v>4.5391000000000004</v>
      </c>
      <c r="J1003" t="str">
        <f>IF(ISBLANK(Table13[[#This Row],[Rating]]), "No", "Yes")</f>
        <v>Yes</v>
      </c>
      <c r="K1003" t="str">
        <f>IF(ISBLANK(Table13[[#This Row],[Rating]]), "Not Rated", IF(Table13[[#This Row],[Rating]] &lt; 3, "Low", IF(Table13[[#This Row],[Rating]] &lt; 4, "Medium", "High")))</f>
        <v>High</v>
      </c>
      <c r="L1003">
        <v>1686</v>
      </c>
      <c r="M1003">
        <v>16</v>
      </c>
      <c r="N1003" t="str">
        <f>IF(Table13[[#This Row],[Price USD]]&lt;20,"Budget",IF(Table13[[#This Row],[Price USD]]&lt;=50,"Mid-range","Premium"))</f>
        <v>Budget</v>
      </c>
      <c r="O1003">
        <v>0</v>
      </c>
      <c r="P1003">
        <v>0</v>
      </c>
    </row>
    <row r="1004" spans="1:16" x14ac:dyDescent="0.25">
      <c r="A1004" t="s">
        <v>1022</v>
      </c>
      <c r="B1004" t="s">
        <v>1023</v>
      </c>
      <c r="C1004">
        <v>6073</v>
      </c>
      <c r="D1004" t="s">
        <v>78</v>
      </c>
      <c r="E1004" t="s">
        <v>149</v>
      </c>
      <c r="F1004">
        <v>35885</v>
      </c>
      <c r="G10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4">
        <v>4.6414</v>
      </c>
      <c r="J1004" t="str">
        <f>IF(ISBLANK(Table13[[#This Row],[Rating]]), "No", "Yes")</f>
        <v>Yes</v>
      </c>
      <c r="K1004" t="str">
        <f>IF(ISBLANK(Table13[[#This Row],[Rating]]), "Not Rated", IF(Table13[[#This Row],[Rating]] &lt; 3, "Low", IF(Table13[[#This Row],[Rating]] &lt; 4, "Medium", "High")))</f>
        <v>High</v>
      </c>
      <c r="L1004">
        <v>1718</v>
      </c>
      <c r="M1004">
        <v>65</v>
      </c>
      <c r="N1004" t="str">
        <f>IF(Table13[[#This Row],[Price USD]]&lt;20,"Budget",IF(Table13[[#This Row],[Price USD]]&lt;=50,"Mid-range","Premium"))</f>
        <v>Premium</v>
      </c>
      <c r="O1004">
        <v>0</v>
      </c>
      <c r="P1004">
        <v>0</v>
      </c>
    </row>
    <row r="1005" spans="1:16" x14ac:dyDescent="0.25">
      <c r="A1005" t="s">
        <v>969</v>
      </c>
      <c r="B1005" t="s">
        <v>970</v>
      </c>
      <c r="C1005">
        <v>1254</v>
      </c>
      <c r="D1005" t="s">
        <v>136</v>
      </c>
      <c r="E1005" t="s">
        <v>21</v>
      </c>
      <c r="F1005">
        <v>38202</v>
      </c>
      <c r="G10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5">
        <v>4.2522000000000002</v>
      </c>
      <c r="J1005" t="str">
        <f>IF(ISBLANK(Table13[[#This Row],[Rating]]), "No", "Yes")</f>
        <v>Yes</v>
      </c>
      <c r="K1005" t="str">
        <f>IF(ISBLANK(Table13[[#This Row],[Rating]]), "Not Rated", IF(Table13[[#This Row],[Rating]] &lt; 3, "Low", IF(Table13[[#This Row],[Rating]] &lt; 4, "Medium", "High")))</f>
        <v>High</v>
      </c>
      <c r="L1005">
        <v>1729</v>
      </c>
      <c r="M1005">
        <v>82</v>
      </c>
      <c r="N1005" t="str">
        <f>IF(Table13[[#This Row],[Price USD]]&lt;20,"Budget",IF(Table13[[#This Row],[Price USD]]&lt;=50,"Mid-range","Premium"))</f>
        <v>Premium</v>
      </c>
      <c r="O1005">
        <v>0</v>
      </c>
      <c r="P1005">
        <v>0</v>
      </c>
    </row>
    <row r="1006" spans="1:16" x14ac:dyDescent="0.25">
      <c r="A1006" t="s">
        <v>715</v>
      </c>
      <c r="B1006" t="s">
        <v>716</v>
      </c>
      <c r="C1006">
        <v>5674</v>
      </c>
      <c r="D1006" t="s">
        <v>141</v>
      </c>
      <c r="E1006" t="s">
        <v>69</v>
      </c>
      <c r="F1006">
        <v>49921</v>
      </c>
      <c r="G10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6">
        <v>4.3853999999999997</v>
      </c>
      <c r="J1006" t="str">
        <f>IF(ISBLANK(Table13[[#This Row],[Rating]]), "No", "Yes")</f>
        <v>Yes</v>
      </c>
      <c r="K1006" t="str">
        <f>IF(ISBLANK(Table13[[#This Row],[Rating]]), "Not Rated", IF(Table13[[#This Row],[Rating]] &lt; 3, "Low", IF(Table13[[#This Row],[Rating]] &lt; 4, "Medium", "High")))</f>
        <v>High</v>
      </c>
      <c r="L1006">
        <v>1785</v>
      </c>
      <c r="M1006">
        <v>52</v>
      </c>
      <c r="N1006" t="str">
        <f>IF(Table13[[#This Row],[Price USD]]&lt;20,"Budget",IF(Table13[[#This Row],[Price USD]]&lt;=50,"Mid-range","Premium"))</f>
        <v>Premium</v>
      </c>
      <c r="O1006">
        <v>0</v>
      </c>
      <c r="P1006">
        <v>0</v>
      </c>
    </row>
    <row r="1007" spans="1:16" x14ac:dyDescent="0.25">
      <c r="A1007" t="s">
        <v>2458</v>
      </c>
      <c r="B1007" t="s">
        <v>2459</v>
      </c>
      <c r="C1007">
        <v>6089</v>
      </c>
      <c r="D1007" t="s">
        <v>605</v>
      </c>
      <c r="E1007" t="s">
        <v>149</v>
      </c>
      <c r="F1007">
        <v>10521</v>
      </c>
      <c r="G10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7">
        <v>4.3493000000000004</v>
      </c>
      <c r="J1007" t="str">
        <f>IF(ISBLANK(Table13[[#This Row],[Rating]]), "No", "Yes")</f>
        <v>Yes</v>
      </c>
      <c r="K1007" t="str">
        <f>IF(ISBLANK(Table13[[#This Row],[Rating]]), "Not Rated", IF(Table13[[#This Row],[Rating]] &lt; 3, "Low", IF(Table13[[#This Row],[Rating]] &lt; 4, "Medium", "High")))</f>
        <v>High</v>
      </c>
      <c r="L1007">
        <v>1795</v>
      </c>
      <c r="M1007">
        <v>72</v>
      </c>
      <c r="N1007" t="str">
        <f>IF(Table13[[#This Row],[Price USD]]&lt;20,"Budget",IF(Table13[[#This Row],[Price USD]]&lt;=50,"Mid-range","Premium"))</f>
        <v>Premium</v>
      </c>
      <c r="O1007">
        <v>0</v>
      </c>
      <c r="P1007">
        <v>0</v>
      </c>
    </row>
    <row r="1008" spans="1:16" x14ac:dyDescent="0.25">
      <c r="A1008" t="s">
        <v>1530</v>
      </c>
      <c r="B1008" t="s">
        <v>1531</v>
      </c>
      <c r="C1008">
        <v>4348</v>
      </c>
      <c r="D1008" t="s">
        <v>61</v>
      </c>
      <c r="E1008" t="s">
        <v>8</v>
      </c>
      <c r="F1008">
        <v>21533</v>
      </c>
      <c r="G10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8">
        <v>4.7724000000000002</v>
      </c>
      <c r="J1008" t="str">
        <f>IF(ISBLANK(Table13[[#This Row],[Rating]]), "No", "Yes")</f>
        <v>Yes</v>
      </c>
      <c r="K1008" t="str">
        <f>IF(ISBLANK(Table13[[#This Row],[Rating]]), "Not Rated", IF(Table13[[#This Row],[Rating]] &lt; 3, "Low", IF(Table13[[#This Row],[Rating]] &lt; 4, "Medium", "High")))</f>
        <v>High</v>
      </c>
      <c r="L1008">
        <v>1872</v>
      </c>
      <c r="M1008">
        <v>80</v>
      </c>
      <c r="N1008" t="str">
        <f>IF(Table13[[#This Row],[Price USD]]&lt;20,"Budget",IF(Table13[[#This Row],[Price USD]]&lt;=50,"Mid-range","Premium"))</f>
        <v>Premium</v>
      </c>
      <c r="O1008">
        <v>0</v>
      </c>
      <c r="P1008">
        <v>0</v>
      </c>
    </row>
    <row r="1009" spans="1:16" x14ac:dyDescent="0.25">
      <c r="A1009" t="s">
        <v>2079</v>
      </c>
      <c r="B1009" t="s">
        <v>2080</v>
      </c>
      <c r="C1009">
        <v>7075</v>
      </c>
      <c r="D1009" t="s">
        <v>75</v>
      </c>
      <c r="E1009" t="s">
        <v>4</v>
      </c>
      <c r="F1009">
        <v>13764</v>
      </c>
      <c r="G10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09">
        <v>4.4067999999999996</v>
      </c>
      <c r="J1009" t="str">
        <f>IF(ISBLANK(Table13[[#This Row],[Rating]]), "No", "Yes")</f>
        <v>Yes</v>
      </c>
      <c r="K1009" t="str">
        <f>IF(ISBLANK(Table13[[#This Row],[Rating]]), "Not Rated", IF(Table13[[#This Row],[Rating]] &lt; 3, "Low", IF(Table13[[#This Row],[Rating]] &lt; 4, "Medium", "High")))</f>
        <v>High</v>
      </c>
      <c r="L1009">
        <v>1964</v>
      </c>
      <c r="M1009">
        <v>22</v>
      </c>
      <c r="N1009" t="str">
        <f>IF(Table13[[#This Row],[Price USD]]&lt;20,"Budget",IF(Table13[[#This Row],[Price USD]]&lt;=50,"Mid-range","Premium"))</f>
        <v>Mid-range</v>
      </c>
      <c r="O1009">
        <v>0</v>
      </c>
      <c r="P1009">
        <v>0</v>
      </c>
    </row>
    <row r="1010" spans="1:16" x14ac:dyDescent="0.25">
      <c r="A1010" t="s">
        <v>1043</v>
      </c>
      <c r="B1010" t="s">
        <v>1044</v>
      </c>
      <c r="C1010">
        <v>5671</v>
      </c>
      <c r="D1010" t="s">
        <v>393</v>
      </c>
      <c r="E1010" t="s">
        <v>4</v>
      </c>
      <c r="F1010">
        <v>34913</v>
      </c>
      <c r="G10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0">
        <v>4.5225</v>
      </c>
      <c r="J1010" t="str">
        <f>IF(ISBLANK(Table13[[#This Row],[Rating]]), "No", "Yes")</f>
        <v>Yes</v>
      </c>
      <c r="K1010" t="str">
        <f>IF(ISBLANK(Table13[[#This Row],[Rating]]), "Not Rated", IF(Table13[[#This Row],[Rating]] &lt; 3, "Low", IF(Table13[[#This Row],[Rating]] &lt; 4, "Medium", "High")))</f>
        <v>High</v>
      </c>
      <c r="L1010">
        <v>1981</v>
      </c>
      <c r="M1010">
        <v>8</v>
      </c>
      <c r="N1010" t="str">
        <f>IF(Table13[[#This Row],[Price USD]]&lt;20,"Budget",IF(Table13[[#This Row],[Price USD]]&lt;=50,"Mid-range","Premium"))</f>
        <v>Budget</v>
      </c>
      <c r="O1010">
        <v>0</v>
      </c>
      <c r="P1010">
        <v>0</v>
      </c>
    </row>
    <row r="1011" spans="1:16" x14ac:dyDescent="0.25">
      <c r="A1011" t="s">
        <v>1206</v>
      </c>
      <c r="B1011" t="s">
        <v>1207</v>
      </c>
      <c r="C1011">
        <v>5922</v>
      </c>
      <c r="D1011" t="s">
        <v>204</v>
      </c>
      <c r="E1011" t="s">
        <v>21</v>
      </c>
      <c r="F1011">
        <v>29027</v>
      </c>
      <c r="G10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1">
        <v>4.0523999999999996</v>
      </c>
      <c r="J1011" t="str">
        <f>IF(ISBLANK(Table13[[#This Row],[Rating]]), "No", "Yes")</f>
        <v>Yes</v>
      </c>
      <c r="K1011" t="str">
        <f>IF(ISBLANK(Table13[[#This Row],[Rating]]), "Not Rated", IF(Table13[[#This Row],[Rating]] &lt; 3, "Low", IF(Table13[[#This Row],[Rating]] &lt; 4, "Medium", "High")))</f>
        <v>High</v>
      </c>
      <c r="L1011">
        <v>2023</v>
      </c>
      <c r="M1011">
        <v>36</v>
      </c>
      <c r="N1011" t="str">
        <f>IF(Table13[[#This Row],[Price USD]]&lt;20,"Budget",IF(Table13[[#This Row],[Price USD]]&lt;=50,"Mid-range","Premium"))</f>
        <v>Mid-range</v>
      </c>
      <c r="O1011">
        <v>0</v>
      </c>
      <c r="P1011">
        <v>0</v>
      </c>
    </row>
    <row r="1012" spans="1:16" x14ac:dyDescent="0.25">
      <c r="A1012" t="s">
        <v>1210</v>
      </c>
      <c r="B1012" t="s">
        <v>1211</v>
      </c>
      <c r="C1012">
        <v>6169</v>
      </c>
      <c r="D1012" t="s">
        <v>24</v>
      </c>
      <c r="E1012" t="s">
        <v>144</v>
      </c>
      <c r="F1012">
        <v>28957</v>
      </c>
      <c r="G10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2">
        <v>4.3654999999999999</v>
      </c>
      <c r="J1012" t="str">
        <f>IF(ISBLANK(Table13[[#This Row],[Rating]]), "No", "Yes")</f>
        <v>Yes</v>
      </c>
      <c r="K1012" t="str">
        <f>IF(ISBLANK(Table13[[#This Row],[Rating]]), "Not Rated", IF(Table13[[#This Row],[Rating]] &lt; 3, "Low", IF(Table13[[#This Row],[Rating]] &lt; 4, "Medium", "High")))</f>
        <v>High</v>
      </c>
      <c r="L1012">
        <v>2071</v>
      </c>
      <c r="M1012">
        <v>18</v>
      </c>
      <c r="N1012" t="str">
        <f>IF(Table13[[#This Row],[Price USD]]&lt;20,"Budget",IF(Table13[[#This Row],[Price USD]]&lt;=50,"Mid-range","Premium"))</f>
        <v>Budget</v>
      </c>
      <c r="O1012">
        <v>0</v>
      </c>
      <c r="P1012">
        <v>0</v>
      </c>
    </row>
    <row r="1013" spans="1:16" x14ac:dyDescent="0.25">
      <c r="A1013" t="s">
        <v>2041</v>
      </c>
      <c r="B1013" t="s">
        <v>2042</v>
      </c>
      <c r="C1013">
        <v>6309</v>
      </c>
      <c r="D1013" t="s">
        <v>1735</v>
      </c>
      <c r="E1013" t="s">
        <v>144</v>
      </c>
      <c r="F1013">
        <v>14292</v>
      </c>
      <c r="G10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3">
        <v>4.4821</v>
      </c>
      <c r="J1013" t="str">
        <f>IF(ISBLANK(Table13[[#This Row],[Rating]]), "No", "Yes")</f>
        <v>Yes</v>
      </c>
      <c r="K1013" t="str">
        <f>IF(ISBLANK(Table13[[#This Row],[Rating]]), "Not Rated", IF(Table13[[#This Row],[Rating]] &lt; 3, "Low", IF(Table13[[#This Row],[Rating]] &lt; 4, "Medium", "High")))</f>
        <v>High</v>
      </c>
      <c r="L1013">
        <v>2128</v>
      </c>
      <c r="M1013">
        <v>42</v>
      </c>
      <c r="N1013" t="str">
        <f>IF(Table13[[#This Row],[Price USD]]&lt;20,"Budget",IF(Table13[[#This Row],[Price USD]]&lt;=50,"Mid-range","Premium"))</f>
        <v>Mid-range</v>
      </c>
      <c r="O1013">
        <v>0</v>
      </c>
      <c r="P1013">
        <v>0</v>
      </c>
    </row>
    <row r="1014" spans="1:16" x14ac:dyDescent="0.25">
      <c r="A1014" t="s">
        <v>1733</v>
      </c>
      <c r="B1014" t="s">
        <v>1734</v>
      </c>
      <c r="C1014">
        <v>6309</v>
      </c>
      <c r="D1014" t="s">
        <v>1735</v>
      </c>
      <c r="E1014" t="s">
        <v>13</v>
      </c>
      <c r="F1014">
        <v>17838</v>
      </c>
      <c r="G10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4">
        <v>4.4821</v>
      </c>
      <c r="J1014" t="str">
        <f>IF(ISBLANK(Table13[[#This Row],[Rating]]), "No", "Yes")</f>
        <v>Yes</v>
      </c>
      <c r="K1014" t="str">
        <f>IF(ISBLANK(Table13[[#This Row],[Rating]]), "Not Rated", IF(Table13[[#This Row],[Rating]] &lt; 3, "Low", IF(Table13[[#This Row],[Rating]] &lt; 4, "Medium", "High")))</f>
        <v>High</v>
      </c>
      <c r="L1014">
        <v>2128</v>
      </c>
      <c r="M1014">
        <v>125</v>
      </c>
      <c r="N1014" t="str">
        <f>IF(Table13[[#This Row],[Price USD]]&lt;20,"Budget",IF(Table13[[#This Row],[Price USD]]&lt;=50,"Mid-range","Premium"))</f>
        <v>Premium</v>
      </c>
      <c r="O1014">
        <v>0</v>
      </c>
      <c r="P1014">
        <v>0</v>
      </c>
    </row>
    <row r="1015" spans="1:16" x14ac:dyDescent="0.25">
      <c r="A1015" t="s">
        <v>971</v>
      </c>
      <c r="B1015" t="s">
        <v>972</v>
      </c>
      <c r="C1015">
        <v>6316</v>
      </c>
      <c r="D1015" t="s">
        <v>563</v>
      </c>
      <c r="E1015" t="s">
        <v>144</v>
      </c>
      <c r="F1015">
        <v>38190</v>
      </c>
      <c r="G10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5">
        <v>4.2460000000000004</v>
      </c>
      <c r="J1015" t="str">
        <f>IF(ISBLANK(Table13[[#This Row],[Rating]]), "No", "Yes")</f>
        <v>Yes</v>
      </c>
      <c r="K1015" t="str">
        <f>IF(ISBLANK(Table13[[#This Row],[Rating]]), "Not Rated", IF(Table13[[#This Row],[Rating]] &lt; 3, "Low", IF(Table13[[#This Row],[Rating]] &lt; 4, "Medium", "High")))</f>
        <v>High</v>
      </c>
      <c r="L1015">
        <v>2207</v>
      </c>
      <c r="M1015">
        <v>21</v>
      </c>
      <c r="N1015" t="str">
        <f>IF(Table13[[#This Row],[Price USD]]&lt;20,"Budget",IF(Table13[[#This Row],[Price USD]]&lt;=50,"Mid-range","Premium"))</f>
        <v>Mid-range</v>
      </c>
      <c r="O1015">
        <v>0</v>
      </c>
      <c r="P1015">
        <v>0</v>
      </c>
    </row>
    <row r="1016" spans="1:16" x14ac:dyDescent="0.25">
      <c r="A1016" t="s">
        <v>2376</v>
      </c>
      <c r="B1016" t="s">
        <v>2377</v>
      </c>
      <c r="C1016">
        <v>6089</v>
      </c>
      <c r="D1016" t="s">
        <v>605</v>
      </c>
      <c r="E1016" t="s">
        <v>8</v>
      </c>
      <c r="F1016">
        <v>11269</v>
      </c>
      <c r="G10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6">
        <v>4.0456000000000003</v>
      </c>
      <c r="J1016" t="str">
        <f>IF(ISBLANK(Table13[[#This Row],[Rating]]), "No", "Yes")</f>
        <v>Yes</v>
      </c>
      <c r="K1016" t="str">
        <f>IF(ISBLANK(Table13[[#This Row],[Rating]]), "Not Rated", IF(Table13[[#This Row],[Rating]] &lt; 3, "Low", IF(Table13[[#This Row],[Rating]] &lt; 4, "Medium", "High")))</f>
        <v>High</v>
      </c>
      <c r="L1016">
        <v>2410</v>
      </c>
      <c r="M1016">
        <v>195</v>
      </c>
      <c r="N1016" t="str">
        <f>IF(Table13[[#This Row],[Price USD]]&lt;20,"Budget",IF(Table13[[#This Row],[Price USD]]&lt;=50,"Mid-range","Premium"))</f>
        <v>Premium</v>
      </c>
      <c r="O1016">
        <v>0</v>
      </c>
      <c r="P1016">
        <v>0</v>
      </c>
    </row>
    <row r="1017" spans="1:16" x14ac:dyDescent="0.25">
      <c r="A1017" t="s">
        <v>1426</v>
      </c>
      <c r="B1017" t="s">
        <v>1427</v>
      </c>
      <c r="C1017">
        <v>6089</v>
      </c>
      <c r="D1017" t="s">
        <v>605</v>
      </c>
      <c r="E1017" t="s">
        <v>144</v>
      </c>
      <c r="F1017">
        <v>23348</v>
      </c>
      <c r="G10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7">
        <v>4.0456000000000003</v>
      </c>
      <c r="J1017" t="str">
        <f>IF(ISBLANK(Table13[[#This Row],[Rating]]), "No", "Yes")</f>
        <v>Yes</v>
      </c>
      <c r="K1017" t="str">
        <f>IF(ISBLANK(Table13[[#This Row],[Rating]]), "Not Rated", IF(Table13[[#This Row],[Rating]] &lt; 3, "Low", IF(Table13[[#This Row],[Rating]] &lt; 4, "Medium", "High")))</f>
        <v>High</v>
      </c>
      <c r="L1017">
        <v>2410</v>
      </c>
      <c r="M1017">
        <v>19</v>
      </c>
      <c r="N1017" t="str">
        <f>IF(Table13[[#This Row],[Price USD]]&lt;20,"Budget",IF(Table13[[#This Row],[Price USD]]&lt;=50,"Mid-range","Premium"))</f>
        <v>Budget</v>
      </c>
      <c r="O1017">
        <v>0</v>
      </c>
      <c r="P1017">
        <v>0</v>
      </c>
    </row>
    <row r="1018" spans="1:16" x14ac:dyDescent="0.25">
      <c r="A1018" t="s">
        <v>2199</v>
      </c>
      <c r="B1018" t="s">
        <v>2200</v>
      </c>
      <c r="C1018">
        <v>4164</v>
      </c>
      <c r="D1018" t="s">
        <v>623</v>
      </c>
      <c r="E1018" t="s">
        <v>144</v>
      </c>
      <c r="F1018">
        <v>12651</v>
      </c>
      <c r="G10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8">
        <v>4.2359999999999998</v>
      </c>
      <c r="J1018" t="str">
        <f>IF(ISBLANK(Table13[[#This Row],[Rating]]), "No", "Yes")</f>
        <v>Yes</v>
      </c>
      <c r="K1018" t="str">
        <f>IF(ISBLANK(Table13[[#This Row],[Rating]]), "Not Rated", IF(Table13[[#This Row],[Rating]] &lt; 3, "Low", IF(Table13[[#This Row],[Rating]] &lt; 4, "Medium", "High")))</f>
        <v>High</v>
      </c>
      <c r="L1018">
        <v>2449</v>
      </c>
      <c r="M1018">
        <v>14</v>
      </c>
      <c r="N1018" t="str">
        <f>IF(Table13[[#This Row],[Price USD]]&lt;20,"Budget",IF(Table13[[#This Row],[Price USD]]&lt;=50,"Mid-range","Premium"))</f>
        <v>Budget</v>
      </c>
      <c r="O1018">
        <v>0</v>
      </c>
      <c r="P1018">
        <v>0</v>
      </c>
    </row>
    <row r="1019" spans="1:16" x14ac:dyDescent="0.25">
      <c r="A1019" t="s">
        <v>1072</v>
      </c>
      <c r="B1019" t="s">
        <v>1073</v>
      </c>
      <c r="C1019">
        <v>6289</v>
      </c>
      <c r="D1019" t="s">
        <v>111</v>
      </c>
      <c r="E1019" t="s">
        <v>21</v>
      </c>
      <c r="F1019">
        <v>33646</v>
      </c>
      <c r="G10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19">
        <v>4.2923999999999998</v>
      </c>
      <c r="J1019" t="str">
        <f>IF(ISBLANK(Table13[[#This Row],[Rating]]), "No", "Yes")</f>
        <v>Yes</v>
      </c>
      <c r="K1019" t="str">
        <f>IF(ISBLANK(Table13[[#This Row],[Rating]]), "Not Rated", IF(Table13[[#This Row],[Rating]] &lt; 3, "Low", IF(Table13[[#This Row],[Rating]] &lt; 4, "Medium", "High")))</f>
        <v>High</v>
      </c>
      <c r="L1019">
        <v>2449</v>
      </c>
      <c r="M1019">
        <v>20</v>
      </c>
      <c r="N1019" t="str">
        <f>IF(Table13[[#This Row],[Price USD]]&lt;20,"Budget",IF(Table13[[#This Row],[Price USD]]&lt;=50,"Mid-range","Premium"))</f>
        <v>Mid-range</v>
      </c>
      <c r="O1019">
        <v>0</v>
      </c>
      <c r="P1019">
        <v>0</v>
      </c>
    </row>
    <row r="1020" spans="1:16" x14ac:dyDescent="0.25">
      <c r="A1020" t="s">
        <v>2061</v>
      </c>
      <c r="B1020" t="s">
        <v>2062</v>
      </c>
      <c r="C1020">
        <v>6041</v>
      </c>
      <c r="D1020" t="s">
        <v>33</v>
      </c>
      <c r="E1020" t="s">
        <v>21</v>
      </c>
      <c r="F1020">
        <v>13964</v>
      </c>
      <c r="G10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0">
        <v>4.4442000000000004</v>
      </c>
      <c r="J1020" t="str">
        <f>IF(ISBLANK(Table13[[#This Row],[Rating]]), "No", "Yes")</f>
        <v>Yes</v>
      </c>
      <c r="K1020" t="str">
        <f>IF(ISBLANK(Table13[[#This Row],[Rating]]), "Not Rated", IF(Table13[[#This Row],[Rating]] &lt; 3, "Low", IF(Table13[[#This Row],[Rating]] &lt; 4, "Medium", "High")))</f>
        <v>High</v>
      </c>
      <c r="L1020">
        <v>2483</v>
      </c>
      <c r="M1020">
        <v>65</v>
      </c>
      <c r="N1020" t="str">
        <f>IF(Table13[[#This Row],[Price USD]]&lt;20,"Budget",IF(Table13[[#This Row],[Price USD]]&lt;=50,"Mid-range","Premium"))</f>
        <v>Premium</v>
      </c>
      <c r="O1020">
        <v>0</v>
      </c>
      <c r="P1020">
        <v>0</v>
      </c>
    </row>
    <row r="1021" spans="1:16" x14ac:dyDescent="0.25">
      <c r="A1021" t="s">
        <v>1128</v>
      </c>
      <c r="B1021" t="s">
        <v>1129</v>
      </c>
      <c r="C1021">
        <v>6218</v>
      </c>
      <c r="D1021" t="s">
        <v>116</v>
      </c>
      <c r="E1021" t="s">
        <v>144</v>
      </c>
      <c r="F1021">
        <v>31687</v>
      </c>
      <c r="G10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1">
        <v>4.4469000000000003</v>
      </c>
      <c r="J1021" t="str">
        <f>IF(ISBLANK(Table13[[#This Row],[Rating]]), "No", "Yes")</f>
        <v>Yes</v>
      </c>
      <c r="K1021" t="str">
        <f>IF(ISBLANK(Table13[[#This Row],[Rating]]), "Not Rated", IF(Table13[[#This Row],[Rating]] &lt; 3, "Low", IF(Table13[[#This Row],[Rating]] &lt; 4, "Medium", "High")))</f>
        <v>High</v>
      </c>
      <c r="L1021">
        <v>2515</v>
      </c>
      <c r="M1021">
        <v>24</v>
      </c>
      <c r="N1021" t="str">
        <f>IF(Table13[[#This Row],[Price USD]]&lt;20,"Budget",IF(Table13[[#This Row],[Price USD]]&lt;=50,"Mid-range","Premium"))</f>
        <v>Mid-range</v>
      </c>
      <c r="O1021">
        <v>1</v>
      </c>
      <c r="P1021">
        <v>0</v>
      </c>
    </row>
    <row r="1022" spans="1:16" x14ac:dyDescent="0.25">
      <c r="A1022" t="s">
        <v>860</v>
      </c>
      <c r="B1022" t="s">
        <v>861</v>
      </c>
      <c r="C1022">
        <v>5337</v>
      </c>
      <c r="D1022" t="s">
        <v>209</v>
      </c>
      <c r="E1022" t="s">
        <v>49</v>
      </c>
      <c r="F1022">
        <v>42257</v>
      </c>
      <c r="G10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2">
        <v>4.4863999999999997</v>
      </c>
      <c r="J1022" t="str">
        <f>IF(ISBLANK(Table13[[#This Row],[Rating]]), "No", "Yes")</f>
        <v>Yes</v>
      </c>
      <c r="K1022" t="str">
        <f>IF(ISBLANK(Table13[[#This Row],[Rating]]), "Not Rated", IF(Table13[[#This Row],[Rating]] &lt; 3, "Low", IF(Table13[[#This Row],[Rating]] &lt; 4, "Medium", "High")))</f>
        <v>High</v>
      </c>
      <c r="L1022">
        <v>2936</v>
      </c>
      <c r="M1022">
        <v>50</v>
      </c>
      <c r="N1022" t="str">
        <f>IF(Table13[[#This Row],[Price USD]]&lt;20,"Budget",IF(Table13[[#This Row],[Price USD]]&lt;=50,"Mid-range","Premium"))</f>
        <v>Mid-range</v>
      </c>
      <c r="O1022">
        <v>0</v>
      </c>
      <c r="P1022">
        <v>0</v>
      </c>
    </row>
    <row r="1023" spans="1:16" x14ac:dyDescent="0.25">
      <c r="A1023" t="s">
        <v>730</v>
      </c>
      <c r="B1023" t="s">
        <v>731</v>
      </c>
      <c r="C1023">
        <v>6084</v>
      </c>
      <c r="D1023" t="s">
        <v>269</v>
      </c>
      <c r="E1023" t="s">
        <v>21</v>
      </c>
      <c r="F1023">
        <v>49032</v>
      </c>
      <c r="G10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3">
        <v>4.0807000000000002</v>
      </c>
      <c r="J1023" t="str">
        <f>IF(ISBLANK(Table13[[#This Row],[Rating]]), "No", "Yes")</f>
        <v>Yes</v>
      </c>
      <c r="K1023" t="str">
        <f>IF(ISBLANK(Table13[[#This Row],[Rating]]), "Not Rated", IF(Table13[[#This Row],[Rating]] &lt; 3, "Low", IF(Table13[[#This Row],[Rating]] &lt; 4, "Medium", "High")))</f>
        <v>High</v>
      </c>
      <c r="L1023">
        <v>2949</v>
      </c>
      <c r="M1023">
        <v>99</v>
      </c>
      <c r="N1023" t="str">
        <f>IF(Table13[[#This Row],[Price USD]]&lt;20,"Budget",IF(Table13[[#This Row],[Price USD]]&lt;=50,"Mid-range","Premium"))</f>
        <v>Premium</v>
      </c>
      <c r="O1023">
        <v>0</v>
      </c>
      <c r="P1023">
        <v>0</v>
      </c>
    </row>
    <row r="1024" spans="1:16" x14ac:dyDescent="0.25">
      <c r="A1024" t="s">
        <v>906</v>
      </c>
      <c r="B1024" t="s">
        <v>907</v>
      </c>
      <c r="C1024">
        <v>6285</v>
      </c>
      <c r="D1024" t="s">
        <v>119</v>
      </c>
      <c r="E1024" t="s">
        <v>13</v>
      </c>
      <c r="F1024">
        <v>40474</v>
      </c>
      <c r="G10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4">
        <v>3.6097999999999999</v>
      </c>
      <c r="J1024" t="str">
        <f>IF(ISBLANK(Table13[[#This Row],[Rating]]), "No", "Yes")</f>
        <v>Yes</v>
      </c>
      <c r="K1024" t="str">
        <f>IF(ISBLANK(Table13[[#This Row],[Rating]]), "Not Rated", IF(Table13[[#This Row],[Rating]] &lt; 3, "Low", IF(Table13[[#This Row],[Rating]] &lt; 4, "Medium", "High")))</f>
        <v>Medium</v>
      </c>
      <c r="L1024">
        <v>2968</v>
      </c>
      <c r="M1024">
        <v>5.99</v>
      </c>
      <c r="N1024" t="str">
        <f>IF(Table13[[#This Row],[Price USD]]&lt;20,"Budget",IF(Table13[[#This Row],[Price USD]]&lt;=50,"Mid-range","Premium"))</f>
        <v>Budget</v>
      </c>
      <c r="O1024">
        <v>0</v>
      </c>
      <c r="P1024">
        <v>0</v>
      </c>
    </row>
    <row r="1025" spans="1:16" x14ac:dyDescent="0.25">
      <c r="A1025" t="s">
        <v>933</v>
      </c>
      <c r="B1025" t="s">
        <v>934</v>
      </c>
      <c r="C1025">
        <v>4171</v>
      </c>
      <c r="D1025" t="s">
        <v>133</v>
      </c>
      <c r="E1025" t="s">
        <v>21</v>
      </c>
      <c r="F1025">
        <v>39840</v>
      </c>
      <c r="G10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5">
        <v>4.2396000000000003</v>
      </c>
      <c r="J1025" t="str">
        <f>IF(ISBLANK(Table13[[#This Row],[Rating]]), "No", "Yes")</f>
        <v>Yes</v>
      </c>
      <c r="K1025" t="str">
        <f>IF(ISBLANK(Table13[[#This Row],[Rating]]), "Not Rated", IF(Table13[[#This Row],[Rating]] &lt; 3, "Low", IF(Table13[[#This Row],[Rating]] &lt; 4, "Medium", "High")))</f>
        <v>High</v>
      </c>
      <c r="L1025">
        <v>3405</v>
      </c>
      <c r="M1025">
        <v>49</v>
      </c>
      <c r="N1025" t="str">
        <f>IF(Table13[[#This Row],[Price USD]]&lt;20,"Budget",IF(Table13[[#This Row],[Price USD]]&lt;=50,"Mid-range","Premium"))</f>
        <v>Mid-range</v>
      </c>
      <c r="O1025">
        <v>0</v>
      </c>
      <c r="P1025">
        <v>0</v>
      </c>
    </row>
    <row r="1026" spans="1:16" x14ac:dyDescent="0.25">
      <c r="A1026" t="s">
        <v>1414</v>
      </c>
      <c r="B1026" t="s">
        <v>1415</v>
      </c>
      <c r="C1026">
        <v>6041</v>
      </c>
      <c r="D1026" t="s">
        <v>33</v>
      </c>
      <c r="E1026" t="s">
        <v>144</v>
      </c>
      <c r="F1026">
        <v>23723</v>
      </c>
      <c r="G10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6">
        <v>4.0244999999999997</v>
      </c>
      <c r="J1026" t="str">
        <f>IF(ISBLANK(Table13[[#This Row],[Rating]]), "No", "Yes")</f>
        <v>Yes</v>
      </c>
      <c r="K1026" t="str">
        <f>IF(ISBLANK(Table13[[#This Row],[Rating]]), "Not Rated", IF(Table13[[#This Row],[Rating]] &lt; 3, "Low", IF(Table13[[#This Row],[Rating]] &lt; 4, "Medium", "High")))</f>
        <v>High</v>
      </c>
      <c r="L1026">
        <v>4168</v>
      </c>
      <c r="M1026">
        <v>22</v>
      </c>
      <c r="N1026" t="str">
        <f>IF(Table13[[#This Row],[Price USD]]&lt;20,"Budget",IF(Table13[[#This Row],[Price USD]]&lt;=50,"Mid-range","Premium"))</f>
        <v>Mid-range</v>
      </c>
      <c r="O1026">
        <v>0</v>
      </c>
      <c r="P1026">
        <v>0</v>
      </c>
    </row>
    <row r="1027" spans="1:16" x14ac:dyDescent="0.25">
      <c r="A1027" t="s">
        <v>977</v>
      </c>
      <c r="B1027" t="s">
        <v>978</v>
      </c>
      <c r="C1027">
        <v>5715</v>
      </c>
      <c r="D1027" t="s">
        <v>979</v>
      </c>
      <c r="E1027" t="s">
        <v>13</v>
      </c>
      <c r="F1027">
        <v>38097</v>
      </c>
      <c r="G10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7">
        <v>4.5667</v>
      </c>
      <c r="J1027" t="str">
        <f>IF(ISBLANK(Table13[[#This Row],[Rating]]), "No", "Yes")</f>
        <v>Yes</v>
      </c>
      <c r="K1027" t="str">
        <f>IF(ISBLANK(Table13[[#This Row],[Rating]]), "Not Rated", IF(Table13[[#This Row],[Rating]] &lt; 3, "Low", IF(Table13[[#This Row],[Rating]] &lt; 4, "Medium", "High")))</f>
        <v>High</v>
      </c>
      <c r="L1027">
        <v>4186</v>
      </c>
      <c r="M1027">
        <v>28</v>
      </c>
      <c r="N1027" t="str">
        <f>IF(Table13[[#This Row],[Price USD]]&lt;20,"Budget",IF(Table13[[#This Row],[Price USD]]&lt;=50,"Mid-range","Premium"))</f>
        <v>Mid-range</v>
      </c>
      <c r="O1027">
        <v>0</v>
      </c>
      <c r="P1027">
        <v>0</v>
      </c>
    </row>
    <row r="1028" spans="1:16" x14ac:dyDescent="0.25">
      <c r="A1028" t="s">
        <v>996</v>
      </c>
      <c r="B1028" t="s">
        <v>997</v>
      </c>
      <c r="C1028">
        <v>1254</v>
      </c>
      <c r="D1028" t="s">
        <v>136</v>
      </c>
      <c r="E1028" t="s">
        <v>144</v>
      </c>
      <c r="F1028">
        <v>37388</v>
      </c>
      <c r="G10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10K–50K</v>
      </c>
      <c r="H10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High</v>
      </c>
      <c r="I1028">
        <v>4.5293999999999999</v>
      </c>
      <c r="J1028" t="str">
        <f>IF(ISBLANK(Table13[[#This Row],[Rating]]), "No", "Yes")</f>
        <v>Yes</v>
      </c>
      <c r="K1028" t="str">
        <f>IF(ISBLANK(Table13[[#This Row],[Rating]]), "Not Rated", IF(Table13[[#This Row],[Rating]] &lt; 3, "Low", IF(Table13[[#This Row],[Rating]] &lt; 4, "Medium", "High")))</f>
        <v>High</v>
      </c>
      <c r="L1028">
        <v>4375</v>
      </c>
      <c r="M1028">
        <v>14</v>
      </c>
      <c r="N1028" t="str">
        <f>IF(Table13[[#This Row],[Price USD]]&lt;20,"Budget",IF(Table13[[#This Row],[Price USD]]&lt;=50,"Mid-range","Premium"))</f>
        <v>Budget</v>
      </c>
      <c r="O1028">
        <v>0</v>
      </c>
      <c r="P1028">
        <v>0</v>
      </c>
    </row>
    <row r="1029" spans="1:16" x14ac:dyDescent="0.25">
      <c r="A1029" t="s">
        <v>711</v>
      </c>
      <c r="B1029" t="s">
        <v>712</v>
      </c>
      <c r="C1029">
        <v>3902</v>
      </c>
      <c r="D1029" t="s">
        <v>72</v>
      </c>
      <c r="E1029" t="s">
        <v>69</v>
      </c>
      <c r="F1029">
        <v>50038</v>
      </c>
      <c r="G10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29">
        <v>3.5165000000000002</v>
      </c>
      <c r="J1029" t="str">
        <f>IF(ISBLANK(Table13[[#This Row],[Rating]]), "No", "Yes")</f>
        <v>Yes</v>
      </c>
      <c r="K1029" t="str">
        <f>IF(ISBLANK(Table13[[#This Row],[Rating]]), "Not Rated", IF(Table13[[#This Row],[Rating]] &lt; 3, "Low", IF(Table13[[#This Row],[Rating]] &lt; 4, "Medium", "High")))</f>
        <v>Medium</v>
      </c>
      <c r="L1029">
        <v>455</v>
      </c>
      <c r="M1029">
        <v>8</v>
      </c>
      <c r="N1029" t="str">
        <f>IF(Table13[[#This Row],[Price USD]]&lt;20,"Budget",IF(Table13[[#This Row],[Price USD]]&lt;=50,"Mid-range","Premium"))</f>
        <v>Budget</v>
      </c>
      <c r="O1029">
        <v>0</v>
      </c>
      <c r="P1029">
        <v>0</v>
      </c>
    </row>
    <row r="1030" spans="1:16" x14ac:dyDescent="0.25">
      <c r="A1030" t="s">
        <v>709</v>
      </c>
      <c r="B1030" t="s">
        <v>710</v>
      </c>
      <c r="C1030">
        <v>6073</v>
      </c>
      <c r="D1030" t="s">
        <v>78</v>
      </c>
      <c r="E1030" t="s">
        <v>13</v>
      </c>
      <c r="F1030">
        <v>50777</v>
      </c>
      <c r="G10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0">
        <v>3.8452999999999999</v>
      </c>
      <c r="J1030" t="str">
        <f>IF(ISBLANK(Table13[[#This Row],[Rating]]), "No", "Yes")</f>
        <v>Yes</v>
      </c>
      <c r="K1030" t="str">
        <f>IF(ISBLANK(Table13[[#This Row],[Rating]]), "Not Rated", IF(Table13[[#This Row],[Rating]] &lt; 3, "Low", IF(Table13[[#This Row],[Rating]] &lt; 4, "Medium", "High")))</f>
        <v>Medium</v>
      </c>
      <c r="L1030">
        <v>950</v>
      </c>
      <c r="M1030">
        <v>35</v>
      </c>
      <c r="N1030" t="str">
        <f>IF(Table13[[#This Row],[Price USD]]&lt;20,"Budget",IF(Table13[[#This Row],[Price USD]]&lt;=50,"Mid-range","Premium"))</f>
        <v>Mid-range</v>
      </c>
      <c r="O1030">
        <v>0</v>
      </c>
      <c r="P1030">
        <v>0</v>
      </c>
    </row>
    <row r="1031" spans="1:16" x14ac:dyDescent="0.25">
      <c r="A1031" t="s">
        <v>706</v>
      </c>
      <c r="B1031" t="s">
        <v>707</v>
      </c>
      <c r="C1031">
        <v>6136</v>
      </c>
      <c r="D1031" t="s">
        <v>708</v>
      </c>
      <c r="E1031" t="s">
        <v>347</v>
      </c>
      <c r="F1031">
        <v>51300</v>
      </c>
      <c r="G10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1">
        <v>3.6156999999999999</v>
      </c>
      <c r="J1031" t="str">
        <f>IF(ISBLANK(Table13[[#This Row],[Rating]]), "No", "Yes")</f>
        <v>Yes</v>
      </c>
      <c r="K1031" t="str">
        <f>IF(ISBLANK(Table13[[#This Row],[Rating]]), "Not Rated", IF(Table13[[#This Row],[Rating]] &lt; 3, "Low", IF(Table13[[#This Row],[Rating]] &lt; 4, "Medium", "High")))</f>
        <v>Medium</v>
      </c>
      <c r="L1031">
        <v>281</v>
      </c>
      <c r="M1031">
        <v>99</v>
      </c>
      <c r="N1031" t="str">
        <f>IF(Table13[[#This Row],[Price USD]]&lt;20,"Budget",IF(Table13[[#This Row],[Price USD]]&lt;=50,"Mid-range","Premium"))</f>
        <v>Premium</v>
      </c>
      <c r="O1031">
        <v>0</v>
      </c>
      <c r="P1031">
        <v>0</v>
      </c>
    </row>
    <row r="1032" spans="1:16" x14ac:dyDescent="0.25">
      <c r="A1032" t="s">
        <v>704</v>
      </c>
      <c r="B1032" t="s">
        <v>705</v>
      </c>
      <c r="C1032">
        <v>7083</v>
      </c>
      <c r="D1032" t="s">
        <v>20</v>
      </c>
      <c r="E1032" t="s">
        <v>8</v>
      </c>
      <c r="F1032">
        <v>51763</v>
      </c>
      <c r="G10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2">
        <v>4.3619000000000003</v>
      </c>
      <c r="J1032" t="str">
        <f>IF(ISBLANK(Table13[[#This Row],[Rating]]), "No", "Yes")</f>
        <v>Yes</v>
      </c>
      <c r="K1032" t="str">
        <f>IF(ISBLANK(Table13[[#This Row],[Rating]]), "Not Rated", IF(Table13[[#This Row],[Rating]] &lt; 3, "Low", IF(Table13[[#This Row],[Rating]] &lt; 4, "Medium", "High")))</f>
        <v>High</v>
      </c>
      <c r="L1032">
        <v>713</v>
      </c>
      <c r="M1032">
        <v>82</v>
      </c>
      <c r="N1032" t="str">
        <f>IF(Table13[[#This Row],[Price USD]]&lt;20,"Budget",IF(Table13[[#This Row],[Price USD]]&lt;=50,"Mid-range","Premium"))</f>
        <v>Premium</v>
      </c>
      <c r="O1032">
        <v>0</v>
      </c>
      <c r="P1032">
        <v>0</v>
      </c>
    </row>
    <row r="1033" spans="1:16" x14ac:dyDescent="0.25">
      <c r="A1033" t="s">
        <v>702</v>
      </c>
      <c r="B1033" t="s">
        <v>703</v>
      </c>
      <c r="C1033">
        <v>6195</v>
      </c>
      <c r="D1033" t="s">
        <v>163</v>
      </c>
      <c r="E1033" t="s">
        <v>13</v>
      </c>
      <c r="F1033">
        <v>51767</v>
      </c>
      <c r="G10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3">
        <v>4.0202999999999998</v>
      </c>
      <c r="J1033" t="str">
        <f>IF(ISBLANK(Table13[[#This Row],[Rating]]), "No", "Yes")</f>
        <v>Yes</v>
      </c>
      <c r="K1033" t="str">
        <f>IF(ISBLANK(Table13[[#This Row],[Rating]]), "Not Rated", IF(Table13[[#This Row],[Rating]] &lt; 3, "Low", IF(Table13[[#This Row],[Rating]] &lt; 4, "Medium", "High")))</f>
        <v>High</v>
      </c>
      <c r="L1033">
        <v>639</v>
      </c>
      <c r="M1033">
        <v>32</v>
      </c>
      <c r="N1033" t="str">
        <f>IF(Table13[[#This Row],[Price USD]]&lt;20,"Budget",IF(Table13[[#This Row],[Price USD]]&lt;=50,"Mid-range","Premium"))</f>
        <v>Mid-range</v>
      </c>
      <c r="O1033">
        <v>0</v>
      </c>
      <c r="P1033">
        <v>0</v>
      </c>
    </row>
    <row r="1034" spans="1:16" x14ac:dyDescent="0.25">
      <c r="A1034" t="s">
        <v>700</v>
      </c>
      <c r="B1034" t="s">
        <v>701</v>
      </c>
      <c r="C1034">
        <v>6247</v>
      </c>
      <c r="D1034" t="s">
        <v>38</v>
      </c>
      <c r="E1034" t="s">
        <v>21</v>
      </c>
      <c r="F1034">
        <v>51838</v>
      </c>
      <c r="G10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4">
        <v>4.4612999999999996</v>
      </c>
      <c r="J1034" t="str">
        <f>IF(ISBLANK(Table13[[#This Row],[Rating]]), "No", "Yes")</f>
        <v>Yes</v>
      </c>
      <c r="K1034" t="str">
        <f>IF(ISBLANK(Table13[[#This Row],[Rating]]), "Not Rated", IF(Table13[[#This Row],[Rating]] &lt; 3, "Low", IF(Table13[[#This Row],[Rating]] &lt; 4, "Medium", "High")))</f>
        <v>High</v>
      </c>
      <c r="L1034">
        <v>646</v>
      </c>
      <c r="M1034">
        <v>45</v>
      </c>
      <c r="N1034" t="str">
        <f>IF(Table13[[#This Row],[Price USD]]&lt;20,"Budget",IF(Table13[[#This Row],[Price USD]]&lt;=50,"Mid-range","Premium"))</f>
        <v>Mid-range</v>
      </c>
      <c r="O1034">
        <v>0</v>
      </c>
      <c r="P1034">
        <v>0</v>
      </c>
    </row>
    <row r="1035" spans="1:16" x14ac:dyDescent="0.25">
      <c r="A1035" t="s">
        <v>698</v>
      </c>
      <c r="B1035" t="s">
        <v>699</v>
      </c>
      <c r="C1035">
        <v>7083</v>
      </c>
      <c r="D1035" t="s">
        <v>20</v>
      </c>
      <c r="E1035" t="s">
        <v>144</v>
      </c>
      <c r="F1035">
        <v>52282</v>
      </c>
      <c r="G10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5">
        <v>3.8050000000000002</v>
      </c>
      <c r="J1035" t="str">
        <f>IF(ISBLANK(Table13[[#This Row],[Rating]]), "No", "Yes")</f>
        <v>Yes</v>
      </c>
      <c r="K1035" t="str">
        <f>IF(ISBLANK(Table13[[#This Row],[Rating]]), "Not Rated", IF(Table13[[#This Row],[Rating]] &lt; 3, "Low", IF(Table13[[#This Row],[Rating]] &lt; 4, "Medium", "High")))</f>
        <v>Medium</v>
      </c>
      <c r="L1035">
        <v>159</v>
      </c>
      <c r="M1035">
        <v>22</v>
      </c>
      <c r="N1035" t="str">
        <f>IF(Table13[[#This Row],[Price USD]]&lt;20,"Budget",IF(Table13[[#This Row],[Price USD]]&lt;=50,"Mid-range","Premium"))</f>
        <v>Mid-range</v>
      </c>
      <c r="O1035">
        <v>0</v>
      </c>
      <c r="P1035">
        <v>0</v>
      </c>
    </row>
    <row r="1036" spans="1:16" x14ac:dyDescent="0.25">
      <c r="A1036" t="s">
        <v>696</v>
      </c>
      <c r="B1036" t="s">
        <v>697</v>
      </c>
      <c r="C1036">
        <v>6195</v>
      </c>
      <c r="D1036" t="s">
        <v>163</v>
      </c>
      <c r="E1036" t="s">
        <v>13</v>
      </c>
      <c r="F1036">
        <v>52399</v>
      </c>
      <c r="G10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6">
        <v>4.4309000000000003</v>
      </c>
      <c r="J1036" t="str">
        <f>IF(ISBLANK(Table13[[#This Row],[Rating]]), "No", "Yes")</f>
        <v>Yes</v>
      </c>
      <c r="K1036" t="str">
        <f>IF(ISBLANK(Table13[[#This Row],[Rating]]), "Not Rated", IF(Table13[[#This Row],[Rating]] &lt; 3, "Low", IF(Table13[[#This Row],[Rating]] &lt; 4, "Medium", "High")))</f>
        <v>High</v>
      </c>
      <c r="L1036">
        <v>608</v>
      </c>
      <c r="M1036">
        <v>30</v>
      </c>
      <c r="N1036" t="str">
        <f>IF(Table13[[#This Row],[Price USD]]&lt;20,"Budget",IF(Table13[[#This Row],[Price USD]]&lt;=50,"Mid-range","Premium"))</f>
        <v>Mid-range</v>
      </c>
      <c r="O1036">
        <v>0</v>
      </c>
      <c r="P1036">
        <v>0</v>
      </c>
    </row>
    <row r="1037" spans="1:16" x14ac:dyDescent="0.25">
      <c r="A1037" t="s">
        <v>694</v>
      </c>
      <c r="B1037" t="s">
        <v>695</v>
      </c>
      <c r="C1037">
        <v>3728</v>
      </c>
      <c r="D1037" t="s">
        <v>458</v>
      </c>
      <c r="E1037" t="s">
        <v>149</v>
      </c>
      <c r="F1037">
        <v>52503</v>
      </c>
      <c r="G10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7">
        <v>3.9668000000000001</v>
      </c>
      <c r="J1037" t="str">
        <f>IF(ISBLANK(Table13[[#This Row],[Rating]]), "No", "Yes")</f>
        <v>Yes</v>
      </c>
      <c r="K1037" t="str">
        <f>IF(ISBLANK(Table13[[#This Row],[Rating]]), "Not Rated", IF(Table13[[#This Row],[Rating]] &lt; 3, "Low", IF(Table13[[#This Row],[Rating]] &lt; 4, "Medium", "High")))</f>
        <v>Medium</v>
      </c>
      <c r="L1037">
        <v>391</v>
      </c>
      <c r="M1037">
        <v>55</v>
      </c>
      <c r="N1037" t="str">
        <f>IF(Table13[[#This Row],[Price USD]]&lt;20,"Budget",IF(Table13[[#This Row],[Price USD]]&lt;=50,"Mid-range","Premium"))</f>
        <v>Premium</v>
      </c>
      <c r="O1037">
        <v>0</v>
      </c>
      <c r="P1037">
        <v>0</v>
      </c>
    </row>
    <row r="1038" spans="1:16" x14ac:dyDescent="0.25">
      <c r="A1038" t="s">
        <v>692</v>
      </c>
      <c r="B1038" t="s">
        <v>693</v>
      </c>
      <c r="C1038">
        <v>8001</v>
      </c>
      <c r="D1038" t="s">
        <v>27</v>
      </c>
      <c r="E1038" t="s">
        <v>13</v>
      </c>
      <c r="F1038">
        <v>52562</v>
      </c>
      <c r="G10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8">
        <v>4.0340999999999996</v>
      </c>
      <c r="J1038" t="str">
        <f>IF(ISBLANK(Table13[[#This Row],[Rating]]), "No", "Yes")</f>
        <v>Yes</v>
      </c>
      <c r="K1038" t="str">
        <f>IF(ISBLANK(Table13[[#This Row],[Rating]]), "Not Rated", IF(Table13[[#This Row],[Rating]] &lt; 3, "Low", IF(Table13[[#This Row],[Rating]] &lt; 4, "Medium", "High")))</f>
        <v>High</v>
      </c>
      <c r="L1038">
        <v>881</v>
      </c>
      <c r="M1038">
        <v>28</v>
      </c>
      <c r="N1038" t="str">
        <f>IF(Table13[[#This Row],[Price USD]]&lt;20,"Budget",IF(Table13[[#This Row],[Price USD]]&lt;=50,"Mid-range","Premium"))</f>
        <v>Mid-range</v>
      </c>
      <c r="O1038">
        <v>0</v>
      </c>
      <c r="P1038">
        <v>0</v>
      </c>
    </row>
    <row r="1039" spans="1:16" x14ac:dyDescent="0.25">
      <c r="A1039" t="s">
        <v>690</v>
      </c>
      <c r="B1039" t="s">
        <v>691</v>
      </c>
      <c r="C1039">
        <v>6073</v>
      </c>
      <c r="D1039" t="s">
        <v>78</v>
      </c>
      <c r="E1039" t="s">
        <v>149</v>
      </c>
      <c r="F1039">
        <v>52803</v>
      </c>
      <c r="G10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39">
        <v>4.0286</v>
      </c>
      <c r="J1039" t="str">
        <f>IF(ISBLANK(Table13[[#This Row],[Rating]]), "No", "Yes")</f>
        <v>Yes</v>
      </c>
      <c r="K1039" t="str">
        <f>IF(ISBLANK(Table13[[#This Row],[Rating]]), "Not Rated", IF(Table13[[#This Row],[Rating]] &lt; 3, "Low", IF(Table13[[#This Row],[Rating]] &lt; 4, "Medium", "High")))</f>
        <v>High</v>
      </c>
      <c r="L1039">
        <v>1679</v>
      </c>
      <c r="M1039">
        <v>65</v>
      </c>
      <c r="N1039" t="str">
        <f>IF(Table13[[#This Row],[Price USD]]&lt;20,"Budget",IF(Table13[[#This Row],[Price USD]]&lt;=50,"Mid-range","Premium"))</f>
        <v>Premium</v>
      </c>
      <c r="O1039">
        <v>0</v>
      </c>
      <c r="P1039">
        <v>0</v>
      </c>
    </row>
    <row r="1040" spans="1:16" x14ac:dyDescent="0.25">
      <c r="A1040" t="s">
        <v>688</v>
      </c>
      <c r="B1040" t="s">
        <v>689</v>
      </c>
      <c r="C1040">
        <v>4348</v>
      </c>
      <c r="D1040" t="s">
        <v>61</v>
      </c>
      <c r="E1040" t="s">
        <v>21</v>
      </c>
      <c r="F1040">
        <v>52868</v>
      </c>
      <c r="G10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0">
        <v>4.5876999999999999</v>
      </c>
      <c r="J1040" t="str">
        <f>IF(ISBLANK(Table13[[#This Row],[Rating]]), "No", "Yes")</f>
        <v>Yes</v>
      </c>
      <c r="K1040" t="str">
        <f>IF(ISBLANK(Table13[[#This Row],[Rating]]), "Not Rated", IF(Table13[[#This Row],[Rating]] &lt; 3, "Low", IF(Table13[[#This Row],[Rating]] &lt; 4, "Medium", "High")))</f>
        <v>High</v>
      </c>
      <c r="L1040">
        <v>1807</v>
      </c>
      <c r="M1040">
        <v>46</v>
      </c>
      <c r="N1040" t="str">
        <f>IF(Table13[[#This Row],[Price USD]]&lt;20,"Budget",IF(Table13[[#This Row],[Price USD]]&lt;=50,"Mid-range","Premium"))</f>
        <v>Mid-range</v>
      </c>
      <c r="O1040">
        <v>0</v>
      </c>
      <c r="P1040">
        <v>0</v>
      </c>
    </row>
    <row r="1041" spans="1:16" x14ac:dyDescent="0.25">
      <c r="A1041" t="s">
        <v>686</v>
      </c>
      <c r="B1041" t="s">
        <v>687</v>
      </c>
      <c r="C1041">
        <v>4348</v>
      </c>
      <c r="D1041" t="s">
        <v>61</v>
      </c>
      <c r="E1041" t="s">
        <v>21</v>
      </c>
      <c r="F1041">
        <v>52999</v>
      </c>
      <c r="G10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1">
        <v>4.3963000000000001</v>
      </c>
      <c r="J1041" t="str">
        <f>IF(ISBLANK(Table13[[#This Row],[Rating]]), "No", "Yes")</f>
        <v>Yes</v>
      </c>
      <c r="K1041" t="str">
        <f>IF(ISBLANK(Table13[[#This Row],[Rating]]), "Not Rated", IF(Table13[[#This Row],[Rating]] &lt; 3, "Low", IF(Table13[[#This Row],[Rating]] &lt; 4, "Medium", "High")))</f>
        <v>High</v>
      </c>
      <c r="L1041">
        <v>1070</v>
      </c>
      <c r="M1041">
        <v>54</v>
      </c>
      <c r="N1041" t="str">
        <f>IF(Table13[[#This Row],[Price USD]]&lt;20,"Budget",IF(Table13[[#This Row],[Price USD]]&lt;=50,"Mid-range","Premium"))</f>
        <v>Premium</v>
      </c>
      <c r="O1041">
        <v>0</v>
      </c>
      <c r="P1041">
        <v>0</v>
      </c>
    </row>
    <row r="1042" spans="1:16" x14ac:dyDescent="0.25">
      <c r="A1042" t="s">
        <v>684</v>
      </c>
      <c r="B1042" t="s">
        <v>685</v>
      </c>
      <c r="C1042">
        <v>6285</v>
      </c>
      <c r="D1042" t="s">
        <v>119</v>
      </c>
      <c r="E1042" t="s">
        <v>21</v>
      </c>
      <c r="F1042">
        <v>53343</v>
      </c>
      <c r="G10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2">
        <v>4.1429</v>
      </c>
      <c r="J1042" t="str">
        <f>IF(ISBLANK(Table13[[#This Row],[Rating]]), "No", "Yes")</f>
        <v>Yes</v>
      </c>
      <c r="K1042" t="str">
        <f>IF(ISBLANK(Table13[[#This Row],[Rating]]), "Not Rated", IF(Table13[[#This Row],[Rating]] &lt; 3, "Low", IF(Table13[[#This Row],[Rating]] &lt; 4, "Medium", "High")))</f>
        <v>High</v>
      </c>
      <c r="L1042">
        <v>294</v>
      </c>
      <c r="M1042">
        <v>7.99</v>
      </c>
      <c r="N1042" t="str">
        <f>IF(Table13[[#This Row],[Price USD]]&lt;20,"Budget",IF(Table13[[#This Row],[Price USD]]&lt;=50,"Mid-range","Premium"))</f>
        <v>Budget</v>
      </c>
      <c r="O1042">
        <v>0</v>
      </c>
      <c r="P1042">
        <v>0</v>
      </c>
    </row>
    <row r="1043" spans="1:16" x14ac:dyDescent="0.25">
      <c r="A1043" t="s">
        <v>682</v>
      </c>
      <c r="B1043" t="s">
        <v>683</v>
      </c>
      <c r="C1043">
        <v>6169</v>
      </c>
      <c r="D1043" t="s">
        <v>24</v>
      </c>
      <c r="E1043" t="s">
        <v>220</v>
      </c>
      <c r="F1043">
        <v>53522</v>
      </c>
      <c r="G10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3">
        <v>4.5526</v>
      </c>
      <c r="J1043" t="str">
        <f>IF(ISBLANK(Table13[[#This Row],[Rating]]), "No", "Yes")</f>
        <v>Yes</v>
      </c>
      <c r="K1043" t="str">
        <f>IF(ISBLANK(Table13[[#This Row],[Rating]]), "Not Rated", IF(Table13[[#This Row],[Rating]] &lt; 3, "Low", IF(Table13[[#This Row],[Rating]] &lt; 4, "Medium", "High")))</f>
        <v>High</v>
      </c>
      <c r="L1043">
        <v>76</v>
      </c>
      <c r="M1043">
        <v>59</v>
      </c>
      <c r="N1043" t="str">
        <f>IF(Table13[[#This Row],[Price USD]]&lt;20,"Budget",IF(Table13[[#This Row],[Price USD]]&lt;=50,"Mid-range","Premium"))</f>
        <v>Premium</v>
      </c>
      <c r="O1043">
        <v>0</v>
      </c>
      <c r="P1043">
        <v>0</v>
      </c>
    </row>
    <row r="1044" spans="1:16" x14ac:dyDescent="0.25">
      <c r="A1044" t="s">
        <v>680</v>
      </c>
      <c r="B1044" t="s">
        <v>681</v>
      </c>
      <c r="C1044">
        <v>3902</v>
      </c>
      <c r="D1044" t="s">
        <v>72</v>
      </c>
      <c r="E1044" t="s">
        <v>21</v>
      </c>
      <c r="F1044">
        <v>54075</v>
      </c>
      <c r="G10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4">
        <v>4.5647000000000002</v>
      </c>
      <c r="J1044" t="str">
        <f>IF(ISBLANK(Table13[[#This Row],[Rating]]), "No", "Yes")</f>
        <v>Yes</v>
      </c>
      <c r="K1044" t="str">
        <f>IF(ISBLANK(Table13[[#This Row],[Rating]]), "Not Rated", IF(Table13[[#This Row],[Rating]] &lt; 3, "Low", IF(Table13[[#This Row],[Rating]] &lt; 4, "Medium", "High")))</f>
        <v>High</v>
      </c>
      <c r="L1044">
        <v>425</v>
      </c>
      <c r="M1044">
        <v>18</v>
      </c>
      <c r="N1044" t="str">
        <f>IF(Table13[[#This Row],[Price USD]]&lt;20,"Budget",IF(Table13[[#This Row],[Price USD]]&lt;=50,"Mid-range","Premium"))</f>
        <v>Budget</v>
      </c>
      <c r="O1044">
        <v>0</v>
      </c>
      <c r="P1044">
        <v>0</v>
      </c>
    </row>
    <row r="1045" spans="1:16" x14ac:dyDescent="0.25">
      <c r="A1045" t="s">
        <v>678</v>
      </c>
      <c r="B1045" t="s">
        <v>679</v>
      </c>
      <c r="C1045">
        <v>5972</v>
      </c>
      <c r="D1045" t="s">
        <v>54</v>
      </c>
      <c r="E1045" t="s">
        <v>21</v>
      </c>
      <c r="F1045">
        <v>54167</v>
      </c>
      <c r="G10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5">
        <v>4.3113999999999999</v>
      </c>
      <c r="J1045" t="str">
        <f>IF(ISBLANK(Table13[[#This Row],[Rating]]), "No", "Yes")</f>
        <v>Yes</v>
      </c>
      <c r="K1045" t="str">
        <f>IF(ISBLANK(Table13[[#This Row],[Rating]]), "Not Rated", IF(Table13[[#This Row],[Rating]] &lt; 3, "Low", IF(Table13[[#This Row],[Rating]] &lt; 4, "Medium", "High")))</f>
        <v>High</v>
      </c>
      <c r="L1045">
        <v>562</v>
      </c>
      <c r="M1045">
        <v>44</v>
      </c>
      <c r="N1045" t="str">
        <f>IF(Table13[[#This Row],[Price USD]]&lt;20,"Budget",IF(Table13[[#This Row],[Price USD]]&lt;=50,"Mid-range","Premium"))</f>
        <v>Mid-range</v>
      </c>
      <c r="O1045">
        <v>0</v>
      </c>
      <c r="P1045">
        <v>0</v>
      </c>
    </row>
    <row r="1046" spans="1:16" x14ac:dyDescent="0.25">
      <c r="A1046" t="s">
        <v>676</v>
      </c>
      <c r="B1046" t="s">
        <v>677</v>
      </c>
      <c r="C1046">
        <v>6195</v>
      </c>
      <c r="D1046" t="s">
        <v>163</v>
      </c>
      <c r="E1046" t="s">
        <v>49</v>
      </c>
      <c r="F1046">
        <v>54584</v>
      </c>
      <c r="G10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6">
        <v>3.8812000000000002</v>
      </c>
      <c r="J1046" t="str">
        <f>IF(ISBLANK(Table13[[#This Row],[Rating]]), "No", "Yes")</f>
        <v>Yes</v>
      </c>
      <c r="K1046" t="str">
        <f>IF(ISBLANK(Table13[[#This Row],[Rating]]), "Not Rated", IF(Table13[[#This Row],[Rating]] &lt; 3, "Low", IF(Table13[[#This Row],[Rating]] &lt; 4, "Medium", "High")))</f>
        <v>Medium</v>
      </c>
      <c r="L1046">
        <v>648</v>
      </c>
      <c r="M1046">
        <v>34</v>
      </c>
      <c r="N1046" t="str">
        <f>IF(Table13[[#This Row],[Price USD]]&lt;20,"Budget",IF(Table13[[#This Row],[Price USD]]&lt;=50,"Mid-range","Premium"))</f>
        <v>Mid-range</v>
      </c>
      <c r="O1046">
        <v>0</v>
      </c>
      <c r="P1046">
        <v>0</v>
      </c>
    </row>
    <row r="1047" spans="1:16" x14ac:dyDescent="0.25">
      <c r="A1047" t="s">
        <v>674</v>
      </c>
      <c r="B1047" t="s">
        <v>675</v>
      </c>
      <c r="C1047">
        <v>6169</v>
      </c>
      <c r="D1047" t="s">
        <v>24</v>
      </c>
      <c r="E1047" t="s">
        <v>149</v>
      </c>
      <c r="F1047">
        <v>54679</v>
      </c>
      <c r="G10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7">
        <v>3.8645</v>
      </c>
      <c r="J1047" t="str">
        <f>IF(ISBLANK(Table13[[#This Row],[Rating]]), "No", "Yes")</f>
        <v>Yes</v>
      </c>
      <c r="K1047" t="str">
        <f>IF(ISBLANK(Table13[[#This Row],[Rating]]), "Not Rated", IF(Table13[[#This Row],[Rating]] &lt; 3, "Low", IF(Table13[[#This Row],[Rating]] &lt; 4, "Medium", "High")))</f>
        <v>Medium</v>
      </c>
      <c r="L1047">
        <v>546</v>
      </c>
      <c r="M1047">
        <v>48</v>
      </c>
      <c r="N1047" t="str">
        <f>IF(Table13[[#This Row],[Price USD]]&lt;20,"Budget",IF(Table13[[#This Row],[Price USD]]&lt;=50,"Mid-range","Premium"))</f>
        <v>Mid-range</v>
      </c>
      <c r="O1047">
        <v>0</v>
      </c>
      <c r="P1047">
        <v>0</v>
      </c>
    </row>
    <row r="1048" spans="1:16" x14ac:dyDescent="0.25">
      <c r="A1048" t="s">
        <v>672</v>
      </c>
      <c r="B1048" t="s">
        <v>673</v>
      </c>
      <c r="C1048">
        <v>5972</v>
      </c>
      <c r="D1048" t="s">
        <v>54</v>
      </c>
      <c r="E1048" t="s">
        <v>13</v>
      </c>
      <c r="F1048">
        <v>54752</v>
      </c>
      <c r="G10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8">
        <v>4.4745999999999997</v>
      </c>
      <c r="J1048" t="str">
        <f>IF(ISBLANK(Table13[[#This Row],[Rating]]), "No", "Yes")</f>
        <v>Yes</v>
      </c>
      <c r="K1048" t="str">
        <f>IF(ISBLANK(Table13[[#This Row],[Rating]]), "Not Rated", IF(Table13[[#This Row],[Rating]] &lt; 3, "Low", IF(Table13[[#This Row],[Rating]] &lt; 4, "Medium", "High")))</f>
        <v>High</v>
      </c>
      <c r="L1048">
        <v>531</v>
      </c>
      <c r="M1048">
        <v>24</v>
      </c>
      <c r="N1048" t="str">
        <f>IF(Table13[[#This Row],[Price USD]]&lt;20,"Budget",IF(Table13[[#This Row],[Price USD]]&lt;=50,"Mid-range","Premium"))</f>
        <v>Mid-range</v>
      </c>
      <c r="O1048">
        <v>0</v>
      </c>
      <c r="P1048">
        <v>0</v>
      </c>
    </row>
    <row r="1049" spans="1:16" x14ac:dyDescent="0.25">
      <c r="A1049" t="s">
        <v>670</v>
      </c>
      <c r="B1049" t="s">
        <v>671</v>
      </c>
      <c r="C1049">
        <v>6073</v>
      </c>
      <c r="D1049" t="s">
        <v>78</v>
      </c>
      <c r="E1049" t="s">
        <v>220</v>
      </c>
      <c r="F1049">
        <v>54878</v>
      </c>
      <c r="G10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49">
        <v>3.8481000000000001</v>
      </c>
      <c r="J1049" t="str">
        <f>IF(ISBLANK(Table13[[#This Row],[Rating]]), "No", "Yes")</f>
        <v>Yes</v>
      </c>
      <c r="K1049" t="str">
        <f>IF(ISBLANK(Table13[[#This Row],[Rating]]), "Not Rated", IF(Table13[[#This Row],[Rating]] &lt; 3, "Low", IF(Table13[[#This Row],[Rating]] &lt; 4, "Medium", "High")))</f>
        <v>Medium</v>
      </c>
      <c r="L1049">
        <v>158</v>
      </c>
      <c r="M1049">
        <v>28</v>
      </c>
      <c r="N1049" t="str">
        <f>IF(Table13[[#This Row],[Price USD]]&lt;20,"Budget",IF(Table13[[#This Row],[Price USD]]&lt;=50,"Mid-range","Premium"))</f>
        <v>Mid-range</v>
      </c>
      <c r="O1049">
        <v>0</v>
      </c>
      <c r="P1049">
        <v>0</v>
      </c>
    </row>
    <row r="1050" spans="1:16" x14ac:dyDescent="0.25">
      <c r="A1050" t="s">
        <v>668</v>
      </c>
      <c r="B1050" t="s">
        <v>669</v>
      </c>
      <c r="C1050">
        <v>3733</v>
      </c>
      <c r="D1050" t="s">
        <v>124</v>
      </c>
      <c r="E1050" t="s">
        <v>21</v>
      </c>
      <c r="F1050">
        <v>54899</v>
      </c>
      <c r="G10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0">
        <v>4.4089</v>
      </c>
      <c r="J1050" t="str">
        <f>IF(ISBLANK(Table13[[#This Row],[Rating]]), "No", "Yes")</f>
        <v>Yes</v>
      </c>
      <c r="K1050" t="str">
        <f>IF(ISBLANK(Table13[[#This Row],[Rating]]), "Not Rated", IF(Table13[[#This Row],[Rating]] &lt; 3, "Low", IF(Table13[[#This Row],[Rating]] &lt; 4, "Medium", "High")))</f>
        <v>High</v>
      </c>
      <c r="L1050">
        <v>2306</v>
      </c>
      <c r="M1050">
        <v>40</v>
      </c>
      <c r="N1050" t="str">
        <f>IF(Table13[[#This Row],[Price USD]]&lt;20,"Budget",IF(Table13[[#This Row],[Price USD]]&lt;=50,"Mid-range","Premium"))</f>
        <v>Mid-range</v>
      </c>
      <c r="O1050">
        <v>0</v>
      </c>
      <c r="P1050">
        <v>0</v>
      </c>
    </row>
    <row r="1051" spans="1:16" x14ac:dyDescent="0.25">
      <c r="A1051" t="s">
        <v>666</v>
      </c>
      <c r="B1051" t="s">
        <v>667</v>
      </c>
      <c r="C1051">
        <v>4164</v>
      </c>
      <c r="D1051" t="s">
        <v>623</v>
      </c>
      <c r="E1051" t="s">
        <v>13</v>
      </c>
      <c r="F1051">
        <v>54926</v>
      </c>
      <c r="G10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1">
        <v>4.4981</v>
      </c>
      <c r="J1051" t="str">
        <f>IF(ISBLANK(Table13[[#This Row],[Rating]]), "No", "Yes")</f>
        <v>Yes</v>
      </c>
      <c r="K1051" t="str">
        <f>IF(ISBLANK(Table13[[#This Row],[Rating]]), "Not Rated", IF(Table13[[#This Row],[Rating]] &lt; 3, "Low", IF(Table13[[#This Row],[Rating]] &lt; 4, "Medium", "High")))</f>
        <v>High</v>
      </c>
      <c r="L1051">
        <v>789</v>
      </c>
      <c r="M1051">
        <v>46</v>
      </c>
      <c r="N1051" t="str">
        <f>IF(Table13[[#This Row],[Price USD]]&lt;20,"Budget",IF(Table13[[#This Row],[Price USD]]&lt;=50,"Mid-range","Premium"))</f>
        <v>Mid-range</v>
      </c>
      <c r="O1051">
        <v>0</v>
      </c>
      <c r="P1051">
        <v>0</v>
      </c>
    </row>
    <row r="1052" spans="1:16" x14ac:dyDescent="0.25">
      <c r="A1052" t="s">
        <v>664</v>
      </c>
      <c r="B1052" t="s">
        <v>665</v>
      </c>
      <c r="C1052">
        <v>6014</v>
      </c>
      <c r="D1052" t="s">
        <v>102</v>
      </c>
      <c r="E1052" t="s">
        <v>8</v>
      </c>
      <c r="F1052">
        <v>54955</v>
      </c>
      <c r="G10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2">
        <v>3.0381</v>
      </c>
      <c r="J1052" t="str">
        <f>IF(ISBLANK(Table13[[#This Row],[Rating]]), "No", "Yes")</f>
        <v>Yes</v>
      </c>
      <c r="K1052" t="str">
        <f>IF(ISBLANK(Table13[[#This Row],[Rating]]), "Not Rated", IF(Table13[[#This Row],[Rating]] &lt; 3, "Low", IF(Table13[[#This Row],[Rating]] &lt; 4, "Medium", "High")))</f>
        <v>Medium</v>
      </c>
      <c r="L1052">
        <v>578</v>
      </c>
      <c r="M1052">
        <v>20</v>
      </c>
      <c r="N1052" t="str">
        <f>IF(Table13[[#This Row],[Price USD]]&lt;20,"Budget",IF(Table13[[#This Row],[Price USD]]&lt;=50,"Mid-range","Premium"))</f>
        <v>Mid-range</v>
      </c>
      <c r="O1052">
        <v>0</v>
      </c>
      <c r="P1052">
        <v>0</v>
      </c>
    </row>
    <row r="1053" spans="1:16" x14ac:dyDescent="0.25">
      <c r="A1053" t="s">
        <v>662</v>
      </c>
      <c r="B1053" t="s">
        <v>663</v>
      </c>
      <c r="C1053">
        <v>6169</v>
      </c>
      <c r="D1053" t="s">
        <v>24</v>
      </c>
      <c r="E1053" t="s">
        <v>8</v>
      </c>
      <c r="F1053">
        <v>55041</v>
      </c>
      <c r="G10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3">
        <v>4.5141999999999998</v>
      </c>
      <c r="J1053" t="str">
        <f>IF(ISBLANK(Table13[[#This Row],[Rating]]), "No", "Yes")</f>
        <v>Yes</v>
      </c>
      <c r="K1053" t="str">
        <f>IF(ISBLANK(Table13[[#This Row],[Rating]]), "Not Rated", IF(Table13[[#This Row],[Rating]] &lt; 3, "Low", IF(Table13[[#This Row],[Rating]] &lt; 4, "Medium", "High")))</f>
        <v>High</v>
      </c>
      <c r="L1053">
        <v>459</v>
      </c>
      <c r="M1053">
        <v>54</v>
      </c>
      <c r="N1053" t="str">
        <f>IF(Table13[[#This Row],[Price USD]]&lt;20,"Budget",IF(Table13[[#This Row],[Price USD]]&lt;=50,"Mid-range","Premium"))</f>
        <v>Premium</v>
      </c>
      <c r="O1053">
        <v>0</v>
      </c>
      <c r="P1053">
        <v>0</v>
      </c>
    </row>
    <row r="1054" spans="1:16" x14ac:dyDescent="0.25">
      <c r="A1054" t="s">
        <v>660</v>
      </c>
      <c r="B1054" t="s">
        <v>661</v>
      </c>
      <c r="C1054">
        <v>3728</v>
      </c>
      <c r="D1054" t="s">
        <v>458</v>
      </c>
      <c r="E1054" t="s">
        <v>69</v>
      </c>
      <c r="F1054">
        <v>55129</v>
      </c>
      <c r="G10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4">
        <v>4.6611000000000002</v>
      </c>
      <c r="J1054" t="str">
        <f>IF(ISBLANK(Table13[[#This Row],[Rating]]), "No", "Yes")</f>
        <v>Yes</v>
      </c>
      <c r="K1054" t="str">
        <f>IF(ISBLANK(Table13[[#This Row],[Rating]]), "Not Rated", IF(Table13[[#This Row],[Rating]] &lt; 3, "Low", IF(Table13[[#This Row],[Rating]] &lt; 4, "Medium", "High")))</f>
        <v>High</v>
      </c>
      <c r="L1054">
        <v>720</v>
      </c>
      <c r="M1054">
        <v>60</v>
      </c>
      <c r="N1054" t="str">
        <f>IF(Table13[[#This Row],[Price USD]]&lt;20,"Budget",IF(Table13[[#This Row],[Price USD]]&lt;=50,"Mid-range","Premium"))</f>
        <v>Premium</v>
      </c>
      <c r="O1054">
        <v>0</v>
      </c>
      <c r="P1054">
        <v>0</v>
      </c>
    </row>
    <row r="1055" spans="1:16" x14ac:dyDescent="0.25">
      <c r="A1055" t="s">
        <v>658</v>
      </c>
      <c r="B1055" t="s">
        <v>659</v>
      </c>
      <c r="C1055">
        <v>6236</v>
      </c>
      <c r="D1055" t="s">
        <v>272</v>
      </c>
      <c r="E1055" t="s">
        <v>8</v>
      </c>
      <c r="F1055">
        <v>55157</v>
      </c>
      <c r="G10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5">
        <v>4.1593</v>
      </c>
      <c r="J1055" t="str">
        <f>IF(ISBLANK(Table13[[#This Row],[Rating]]), "No", "Yes")</f>
        <v>Yes</v>
      </c>
      <c r="K1055" t="str">
        <f>IF(ISBLANK(Table13[[#This Row],[Rating]]), "Not Rated", IF(Table13[[#This Row],[Rating]] &lt; 3, "Low", IF(Table13[[#This Row],[Rating]] &lt; 4, "Medium", "High")))</f>
        <v>High</v>
      </c>
      <c r="L1055">
        <v>954</v>
      </c>
      <c r="M1055">
        <v>85</v>
      </c>
      <c r="N1055" t="str">
        <f>IF(Table13[[#This Row],[Price USD]]&lt;20,"Budget",IF(Table13[[#This Row],[Price USD]]&lt;=50,"Mid-range","Premium"))</f>
        <v>Premium</v>
      </c>
      <c r="O1055">
        <v>0</v>
      </c>
      <c r="P1055">
        <v>0</v>
      </c>
    </row>
    <row r="1056" spans="1:16" x14ac:dyDescent="0.25">
      <c r="A1056" t="s">
        <v>655</v>
      </c>
      <c r="B1056" t="s">
        <v>656</v>
      </c>
      <c r="C1056">
        <v>7020</v>
      </c>
      <c r="D1056" t="s">
        <v>657</v>
      </c>
      <c r="E1056" t="s">
        <v>69</v>
      </c>
      <c r="F1056">
        <v>55191</v>
      </c>
      <c r="G10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6">
        <v>4.3471000000000002</v>
      </c>
      <c r="J1056" t="str">
        <f>IF(ISBLANK(Table13[[#This Row],[Rating]]), "No", "Yes")</f>
        <v>Yes</v>
      </c>
      <c r="K1056" t="str">
        <f>IF(ISBLANK(Table13[[#This Row],[Rating]]), "Not Rated", IF(Table13[[#This Row],[Rating]] &lt; 3, "Low", IF(Table13[[#This Row],[Rating]] &lt; 4, "Medium", "High")))</f>
        <v>High</v>
      </c>
      <c r="L1056">
        <v>847</v>
      </c>
      <c r="M1056">
        <v>68</v>
      </c>
      <c r="N1056" t="str">
        <f>IF(Table13[[#This Row],[Price USD]]&lt;20,"Budget",IF(Table13[[#This Row],[Price USD]]&lt;=50,"Mid-range","Premium"))</f>
        <v>Premium</v>
      </c>
      <c r="O1056">
        <v>0</v>
      </c>
      <c r="P1056">
        <v>0</v>
      </c>
    </row>
    <row r="1057" spans="1:16" x14ac:dyDescent="0.25">
      <c r="A1057" t="s">
        <v>653</v>
      </c>
      <c r="B1057" t="s">
        <v>654</v>
      </c>
      <c r="C1057">
        <v>8001</v>
      </c>
      <c r="D1057" t="s">
        <v>27</v>
      </c>
      <c r="E1057" t="s">
        <v>4</v>
      </c>
      <c r="F1057">
        <v>55236</v>
      </c>
      <c r="G10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7">
        <v>4.2550999999999997</v>
      </c>
      <c r="J1057" t="str">
        <f>IF(ISBLANK(Table13[[#This Row],[Rating]]), "No", "Yes")</f>
        <v>Yes</v>
      </c>
      <c r="K1057" t="str">
        <f>IF(ISBLANK(Table13[[#This Row],[Rating]]), "Not Rated", IF(Table13[[#This Row],[Rating]] &lt; 3, "Low", IF(Table13[[#This Row],[Rating]] &lt; 4, "Medium", "High")))</f>
        <v>High</v>
      </c>
      <c r="L1057">
        <v>839</v>
      </c>
      <c r="M1057">
        <v>12</v>
      </c>
      <c r="N1057" t="str">
        <f>IF(Table13[[#This Row],[Price USD]]&lt;20,"Budget",IF(Table13[[#This Row],[Price USD]]&lt;=50,"Mid-range","Premium"))</f>
        <v>Budget</v>
      </c>
      <c r="O1057">
        <v>0</v>
      </c>
      <c r="P1057">
        <v>0</v>
      </c>
    </row>
    <row r="1058" spans="1:16" x14ac:dyDescent="0.25">
      <c r="A1058" t="s">
        <v>651</v>
      </c>
      <c r="B1058" t="s">
        <v>652</v>
      </c>
      <c r="C1058">
        <v>4348</v>
      </c>
      <c r="D1058" t="s">
        <v>61</v>
      </c>
      <c r="E1058" t="s">
        <v>8</v>
      </c>
      <c r="F1058">
        <v>55320</v>
      </c>
      <c r="G10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8">
        <v>4.5838000000000001</v>
      </c>
      <c r="J1058" t="str">
        <f>IF(ISBLANK(Table13[[#This Row],[Rating]]), "No", "Yes")</f>
        <v>Yes</v>
      </c>
      <c r="K1058" t="str">
        <f>IF(ISBLANK(Table13[[#This Row],[Rating]]), "Not Rated", IF(Table13[[#This Row],[Rating]] &lt; 3, "Low", IF(Table13[[#This Row],[Rating]] &lt; 4, "Medium", "High")))</f>
        <v>High</v>
      </c>
      <c r="L1058">
        <v>978</v>
      </c>
      <c r="M1058">
        <v>60</v>
      </c>
      <c r="N1058" t="str">
        <f>IF(Table13[[#This Row],[Price USD]]&lt;20,"Budget",IF(Table13[[#This Row],[Price USD]]&lt;=50,"Mid-range","Premium"))</f>
        <v>Premium</v>
      </c>
      <c r="O1058">
        <v>0</v>
      </c>
      <c r="P1058">
        <v>0</v>
      </c>
    </row>
    <row r="1059" spans="1:16" x14ac:dyDescent="0.25">
      <c r="A1059" t="s">
        <v>649</v>
      </c>
      <c r="B1059" t="s">
        <v>650</v>
      </c>
      <c r="C1059">
        <v>1741</v>
      </c>
      <c r="D1059" t="s">
        <v>388</v>
      </c>
      <c r="E1059" t="s">
        <v>13</v>
      </c>
      <c r="F1059">
        <v>55339</v>
      </c>
      <c r="G10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59">
        <v>4.5585000000000004</v>
      </c>
      <c r="J1059" t="str">
        <f>IF(ISBLANK(Table13[[#This Row],[Rating]]), "No", "Yes")</f>
        <v>Yes</v>
      </c>
      <c r="K1059" t="str">
        <f>IF(ISBLANK(Table13[[#This Row],[Rating]]), "Not Rated", IF(Table13[[#This Row],[Rating]] &lt; 3, "Low", IF(Table13[[#This Row],[Rating]] &lt; 4, "Medium", "High")))</f>
        <v>High</v>
      </c>
      <c r="L1059">
        <v>1581</v>
      </c>
      <c r="M1059">
        <v>39</v>
      </c>
      <c r="N1059" t="str">
        <f>IF(Table13[[#This Row],[Price USD]]&lt;20,"Budget",IF(Table13[[#This Row],[Price USD]]&lt;=50,"Mid-range","Premium"))</f>
        <v>Mid-range</v>
      </c>
      <c r="O1059">
        <v>0</v>
      </c>
      <c r="P1059">
        <v>1</v>
      </c>
    </row>
    <row r="1060" spans="1:16" x14ac:dyDescent="0.25">
      <c r="A1060" t="s">
        <v>647</v>
      </c>
      <c r="B1060" t="s">
        <v>648</v>
      </c>
      <c r="C1060">
        <v>6195</v>
      </c>
      <c r="D1060" t="s">
        <v>163</v>
      </c>
      <c r="E1060" t="s">
        <v>220</v>
      </c>
      <c r="F1060">
        <v>55347</v>
      </c>
      <c r="G10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0">
        <v>4.1323999999999996</v>
      </c>
      <c r="J1060" t="str">
        <f>IF(ISBLANK(Table13[[#This Row],[Rating]]), "No", "Yes")</f>
        <v>Yes</v>
      </c>
      <c r="K1060" t="str">
        <f>IF(ISBLANK(Table13[[#This Row],[Rating]]), "Not Rated", IF(Table13[[#This Row],[Rating]] &lt; 3, "Low", IF(Table13[[#This Row],[Rating]] &lt; 4, "Medium", "High")))</f>
        <v>High</v>
      </c>
      <c r="L1060">
        <v>136</v>
      </c>
      <c r="M1060">
        <v>35</v>
      </c>
      <c r="N1060" t="str">
        <f>IF(Table13[[#This Row],[Price USD]]&lt;20,"Budget",IF(Table13[[#This Row],[Price USD]]&lt;=50,"Mid-range","Premium"))</f>
        <v>Mid-range</v>
      </c>
      <c r="O1060">
        <v>0</v>
      </c>
      <c r="P1060">
        <v>0</v>
      </c>
    </row>
    <row r="1061" spans="1:16" x14ac:dyDescent="0.25">
      <c r="A1061" t="s">
        <v>645</v>
      </c>
      <c r="B1061" t="s">
        <v>646</v>
      </c>
      <c r="C1061">
        <v>5674</v>
      </c>
      <c r="D1061" t="s">
        <v>141</v>
      </c>
      <c r="E1061" t="s">
        <v>21</v>
      </c>
      <c r="F1061">
        <v>55708</v>
      </c>
      <c r="G10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1">
        <v>3.8816999999999999</v>
      </c>
      <c r="J1061" t="str">
        <f>IF(ISBLANK(Table13[[#This Row],[Rating]]), "No", "Yes")</f>
        <v>Yes</v>
      </c>
      <c r="K1061" t="str">
        <f>IF(ISBLANK(Table13[[#This Row],[Rating]]), "Not Rated", IF(Table13[[#This Row],[Rating]] &lt; 3, "Low", IF(Table13[[#This Row],[Rating]] &lt; 4, "Medium", "High")))</f>
        <v>Medium</v>
      </c>
      <c r="L1061">
        <v>524</v>
      </c>
      <c r="M1061">
        <v>60</v>
      </c>
      <c r="N1061" t="str">
        <f>IF(Table13[[#This Row],[Price USD]]&lt;20,"Budget",IF(Table13[[#This Row],[Price USD]]&lt;=50,"Mid-range","Premium"))</f>
        <v>Premium</v>
      </c>
      <c r="O1061">
        <v>0</v>
      </c>
      <c r="P1061">
        <v>0</v>
      </c>
    </row>
    <row r="1062" spans="1:16" x14ac:dyDescent="0.25">
      <c r="A1062" t="s">
        <v>643</v>
      </c>
      <c r="B1062" t="s">
        <v>644</v>
      </c>
      <c r="C1062">
        <v>7083</v>
      </c>
      <c r="D1062" t="s">
        <v>20</v>
      </c>
      <c r="E1062" t="s">
        <v>220</v>
      </c>
      <c r="F1062">
        <v>55728</v>
      </c>
      <c r="G10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2">
        <v>4.34</v>
      </c>
      <c r="J1062" t="str">
        <f>IF(ISBLANK(Table13[[#This Row],[Rating]]), "No", "Yes")</f>
        <v>Yes</v>
      </c>
      <c r="K1062" t="str">
        <f>IF(ISBLANK(Table13[[#This Row],[Rating]]), "Not Rated", IF(Table13[[#This Row],[Rating]] &lt; 3, "Low", IF(Table13[[#This Row],[Rating]] &lt; 4, "Medium", "High")))</f>
        <v>High</v>
      </c>
      <c r="L1062">
        <v>600</v>
      </c>
      <c r="M1062">
        <v>16</v>
      </c>
      <c r="N1062" t="str">
        <f>IF(Table13[[#This Row],[Price USD]]&lt;20,"Budget",IF(Table13[[#This Row],[Price USD]]&lt;=50,"Mid-range","Premium"))</f>
        <v>Budget</v>
      </c>
      <c r="O1062">
        <v>0</v>
      </c>
      <c r="P1062">
        <v>0</v>
      </c>
    </row>
    <row r="1063" spans="1:16" x14ac:dyDescent="0.25">
      <c r="A1063" t="s">
        <v>641</v>
      </c>
      <c r="B1063" t="s">
        <v>642</v>
      </c>
      <c r="C1063">
        <v>5671</v>
      </c>
      <c r="D1063" t="s">
        <v>393</v>
      </c>
      <c r="E1063" t="s">
        <v>4</v>
      </c>
      <c r="F1063">
        <v>55765</v>
      </c>
      <c r="G10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3">
        <v>4.5590000000000002</v>
      </c>
      <c r="J1063" t="str">
        <f>IF(ISBLANK(Table13[[#This Row],[Rating]]), "No", "Yes")</f>
        <v>Yes</v>
      </c>
      <c r="K1063" t="str">
        <f>IF(ISBLANK(Table13[[#This Row],[Rating]]), "Not Rated", IF(Table13[[#This Row],[Rating]] &lt; 3, "Low", IF(Table13[[#This Row],[Rating]] &lt; 4, "Medium", "High")))</f>
        <v>High</v>
      </c>
      <c r="L1063">
        <v>2440</v>
      </c>
      <c r="M1063">
        <v>8</v>
      </c>
      <c r="N1063" t="str">
        <f>IF(Table13[[#This Row],[Price USD]]&lt;20,"Budget",IF(Table13[[#This Row],[Price USD]]&lt;=50,"Mid-range","Premium"))</f>
        <v>Budget</v>
      </c>
      <c r="O1063">
        <v>0</v>
      </c>
      <c r="P1063">
        <v>0</v>
      </c>
    </row>
    <row r="1064" spans="1:16" x14ac:dyDescent="0.25">
      <c r="A1064" t="s">
        <v>638</v>
      </c>
      <c r="B1064" t="s">
        <v>639</v>
      </c>
      <c r="C1064">
        <v>6225</v>
      </c>
      <c r="D1064" t="s">
        <v>640</v>
      </c>
      <c r="E1064" t="s">
        <v>106</v>
      </c>
      <c r="F1064">
        <v>55771</v>
      </c>
      <c r="G10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4">
        <v>3.9893999999999998</v>
      </c>
      <c r="J1064" t="str">
        <f>IF(ISBLANK(Table13[[#This Row],[Rating]]), "No", "Yes")</f>
        <v>Yes</v>
      </c>
      <c r="K1064" t="str">
        <f>IF(ISBLANK(Table13[[#This Row],[Rating]]), "Not Rated", IF(Table13[[#This Row],[Rating]] &lt; 3, "Low", IF(Table13[[#This Row],[Rating]] &lt; 4, "Medium", "High")))</f>
        <v>Medium</v>
      </c>
      <c r="L1064">
        <v>471</v>
      </c>
      <c r="M1064">
        <v>50</v>
      </c>
      <c r="N1064" t="str">
        <f>IF(Table13[[#This Row],[Price USD]]&lt;20,"Budget",IF(Table13[[#This Row],[Price USD]]&lt;=50,"Mid-range","Premium"))</f>
        <v>Mid-range</v>
      </c>
      <c r="O1064">
        <v>0</v>
      </c>
      <c r="P1064">
        <v>0</v>
      </c>
    </row>
    <row r="1065" spans="1:16" x14ac:dyDescent="0.25">
      <c r="A1065" t="s">
        <v>636</v>
      </c>
      <c r="B1065" t="s">
        <v>637</v>
      </c>
      <c r="C1065">
        <v>6234</v>
      </c>
      <c r="D1065" t="s">
        <v>7</v>
      </c>
      <c r="E1065" t="s">
        <v>8</v>
      </c>
      <c r="F1065">
        <v>55852</v>
      </c>
      <c r="G10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5">
        <v>4.4123000000000001</v>
      </c>
      <c r="J1065" t="str">
        <f>IF(ISBLANK(Table13[[#This Row],[Rating]]), "No", "Yes")</f>
        <v>Yes</v>
      </c>
      <c r="K1065" t="str">
        <f>IF(ISBLANK(Table13[[#This Row],[Rating]]), "Not Rated", IF(Table13[[#This Row],[Rating]] &lt; 3, "Low", IF(Table13[[#This Row],[Rating]] &lt; 4, "Medium", "High")))</f>
        <v>High</v>
      </c>
      <c r="L1065">
        <v>228</v>
      </c>
      <c r="M1065">
        <v>8.9</v>
      </c>
      <c r="N1065" t="str">
        <f>IF(Table13[[#This Row],[Price USD]]&lt;20,"Budget",IF(Table13[[#This Row],[Price USD]]&lt;=50,"Mid-range","Premium"))</f>
        <v>Budget</v>
      </c>
      <c r="O1065">
        <v>0</v>
      </c>
      <c r="P1065">
        <v>0</v>
      </c>
    </row>
    <row r="1066" spans="1:16" x14ac:dyDescent="0.25">
      <c r="A1066" t="s">
        <v>634</v>
      </c>
      <c r="B1066" t="s">
        <v>635</v>
      </c>
      <c r="C1066">
        <v>6234</v>
      </c>
      <c r="D1066" t="s">
        <v>7</v>
      </c>
      <c r="E1066" t="s">
        <v>8</v>
      </c>
      <c r="F1066">
        <v>55894</v>
      </c>
      <c r="G10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6">
        <v>4.5243000000000002</v>
      </c>
      <c r="J1066" t="str">
        <f>IF(ISBLANK(Table13[[#This Row],[Rating]]), "No", "Yes")</f>
        <v>Yes</v>
      </c>
      <c r="K1066" t="str">
        <f>IF(ISBLANK(Table13[[#This Row],[Rating]]), "Not Rated", IF(Table13[[#This Row],[Rating]] &lt; 3, "Low", IF(Table13[[#This Row],[Rating]] &lt; 4, "Medium", "High")))</f>
        <v>High</v>
      </c>
      <c r="L1066">
        <v>206</v>
      </c>
      <c r="M1066">
        <v>11.1</v>
      </c>
      <c r="N1066" t="str">
        <f>IF(Table13[[#This Row],[Price USD]]&lt;20,"Budget",IF(Table13[[#This Row],[Price USD]]&lt;=50,"Mid-range","Premium"))</f>
        <v>Budget</v>
      </c>
      <c r="O1066">
        <v>0</v>
      </c>
      <c r="P1066">
        <v>0</v>
      </c>
    </row>
    <row r="1067" spans="1:16" x14ac:dyDescent="0.25">
      <c r="A1067" t="s">
        <v>632</v>
      </c>
      <c r="B1067" t="s">
        <v>633</v>
      </c>
      <c r="C1067">
        <v>8001</v>
      </c>
      <c r="D1067" t="s">
        <v>27</v>
      </c>
      <c r="E1067" t="s">
        <v>69</v>
      </c>
      <c r="F1067">
        <v>56372</v>
      </c>
      <c r="G10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7">
        <v>4.6759000000000004</v>
      </c>
      <c r="J1067" t="str">
        <f>IF(ISBLANK(Table13[[#This Row],[Rating]]), "No", "Yes")</f>
        <v>Yes</v>
      </c>
      <c r="K1067" t="str">
        <f>IF(ISBLANK(Table13[[#This Row],[Rating]]), "Not Rated", IF(Table13[[#This Row],[Rating]] &lt; 3, "Low", IF(Table13[[#This Row],[Rating]] &lt; 4, "Medium", "High")))</f>
        <v>High</v>
      </c>
      <c r="L1067">
        <v>901</v>
      </c>
      <c r="M1067">
        <v>44</v>
      </c>
      <c r="N1067" t="str">
        <f>IF(Table13[[#This Row],[Price USD]]&lt;20,"Budget",IF(Table13[[#This Row],[Price USD]]&lt;=50,"Mid-range","Premium"))</f>
        <v>Mid-range</v>
      </c>
      <c r="O1067">
        <v>0</v>
      </c>
      <c r="P1067">
        <v>0</v>
      </c>
    </row>
    <row r="1068" spans="1:16" x14ac:dyDescent="0.25">
      <c r="A1068" t="s">
        <v>630</v>
      </c>
      <c r="B1068" t="s">
        <v>631</v>
      </c>
      <c r="C1068">
        <v>3728</v>
      </c>
      <c r="D1068" t="s">
        <v>458</v>
      </c>
      <c r="E1068" t="s">
        <v>8</v>
      </c>
      <c r="F1068">
        <v>56547</v>
      </c>
      <c r="G10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8">
        <v>4.5391000000000004</v>
      </c>
      <c r="J1068" t="str">
        <f>IF(ISBLANK(Table13[[#This Row],[Rating]]), "No", "Yes")</f>
        <v>Yes</v>
      </c>
      <c r="K1068" t="str">
        <f>IF(ISBLANK(Table13[[#This Row],[Rating]]), "Not Rated", IF(Table13[[#This Row],[Rating]] &lt; 3, "Low", IF(Table13[[#This Row],[Rating]] &lt; 4, "Medium", "High")))</f>
        <v>High</v>
      </c>
      <c r="L1068">
        <v>1686</v>
      </c>
      <c r="M1068">
        <v>49</v>
      </c>
      <c r="N1068" t="str">
        <f>IF(Table13[[#This Row],[Price USD]]&lt;20,"Budget",IF(Table13[[#This Row],[Price USD]]&lt;=50,"Mid-range","Premium"))</f>
        <v>Mid-range</v>
      </c>
      <c r="O1068">
        <v>0</v>
      </c>
      <c r="P1068">
        <v>0</v>
      </c>
    </row>
    <row r="1069" spans="1:16" x14ac:dyDescent="0.25">
      <c r="A1069" t="s">
        <v>628</v>
      </c>
      <c r="B1069" t="s">
        <v>629</v>
      </c>
      <c r="C1069">
        <v>6289</v>
      </c>
      <c r="D1069" t="s">
        <v>111</v>
      </c>
      <c r="E1069" t="s">
        <v>13</v>
      </c>
      <c r="F1069">
        <v>56605</v>
      </c>
      <c r="G10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69">
        <v>4.5791000000000004</v>
      </c>
      <c r="J1069" t="str">
        <f>IF(ISBLANK(Table13[[#This Row],[Rating]]), "No", "Yes")</f>
        <v>Yes</v>
      </c>
      <c r="K1069" t="str">
        <f>IF(ISBLANK(Table13[[#This Row],[Rating]]), "Not Rated", IF(Table13[[#This Row],[Rating]] &lt; 3, "Low", IF(Table13[[#This Row],[Rating]] &lt; 4, "Medium", "High")))</f>
        <v>High</v>
      </c>
      <c r="L1069">
        <v>993</v>
      </c>
      <c r="M1069">
        <v>30</v>
      </c>
      <c r="N1069" t="str">
        <f>IF(Table13[[#This Row],[Price USD]]&lt;20,"Budget",IF(Table13[[#This Row],[Price USD]]&lt;=50,"Mid-range","Premium"))</f>
        <v>Mid-range</v>
      </c>
      <c r="O1069">
        <v>0</v>
      </c>
      <c r="P1069">
        <v>0</v>
      </c>
    </row>
    <row r="1070" spans="1:16" x14ac:dyDescent="0.25">
      <c r="A1070" t="s">
        <v>626</v>
      </c>
      <c r="B1070" t="s">
        <v>627</v>
      </c>
      <c r="C1070">
        <v>5648</v>
      </c>
      <c r="D1070" t="s">
        <v>408</v>
      </c>
      <c r="E1070" t="s">
        <v>149</v>
      </c>
      <c r="F1070">
        <v>56808</v>
      </c>
      <c r="G10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0">
        <v>4.1779000000000002</v>
      </c>
      <c r="J1070" t="str">
        <f>IF(ISBLANK(Table13[[#This Row],[Rating]]), "No", "Yes")</f>
        <v>Yes</v>
      </c>
      <c r="K1070" t="str">
        <f>IF(ISBLANK(Table13[[#This Row],[Rating]]), "Not Rated", IF(Table13[[#This Row],[Rating]] &lt; 3, "Low", IF(Table13[[#This Row],[Rating]] &lt; 4, "Medium", "High")))</f>
        <v>High</v>
      </c>
      <c r="L1070">
        <v>298</v>
      </c>
      <c r="M1070">
        <v>22</v>
      </c>
      <c r="N1070" t="str">
        <f>IF(Table13[[#This Row],[Price USD]]&lt;20,"Budget",IF(Table13[[#This Row],[Price USD]]&lt;=50,"Mid-range","Premium"))</f>
        <v>Mid-range</v>
      </c>
      <c r="O1070">
        <v>0</v>
      </c>
      <c r="P1070">
        <v>1</v>
      </c>
    </row>
    <row r="1071" spans="1:16" x14ac:dyDescent="0.25">
      <c r="A1071" t="s">
        <v>624</v>
      </c>
      <c r="B1071" t="s">
        <v>625</v>
      </c>
      <c r="C1071">
        <v>3728</v>
      </c>
      <c r="D1071" t="s">
        <v>458</v>
      </c>
      <c r="E1071" t="s">
        <v>8</v>
      </c>
      <c r="F1071">
        <v>56955</v>
      </c>
      <c r="G10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1">
        <v>4.4199000000000002</v>
      </c>
      <c r="J1071" t="str">
        <f>IF(ISBLANK(Table13[[#This Row],[Rating]]), "No", "Yes")</f>
        <v>Yes</v>
      </c>
      <c r="K1071" t="str">
        <f>IF(ISBLANK(Table13[[#This Row],[Rating]]), "Not Rated", IF(Table13[[#This Row],[Rating]] &lt; 3, "Low", IF(Table13[[#This Row],[Rating]] &lt; 4, "Medium", "High")))</f>
        <v>High</v>
      </c>
      <c r="L1071">
        <v>1529</v>
      </c>
      <c r="M1071">
        <v>48</v>
      </c>
      <c r="N1071" t="str">
        <f>IF(Table13[[#This Row],[Price USD]]&lt;20,"Budget",IF(Table13[[#This Row],[Price USD]]&lt;=50,"Mid-range","Premium"))</f>
        <v>Mid-range</v>
      </c>
      <c r="O1071">
        <v>0</v>
      </c>
      <c r="P1071">
        <v>0</v>
      </c>
    </row>
    <row r="1072" spans="1:16" x14ac:dyDescent="0.25">
      <c r="A1072" t="s">
        <v>621</v>
      </c>
      <c r="B1072" t="s">
        <v>622</v>
      </c>
      <c r="C1072">
        <v>4164</v>
      </c>
      <c r="D1072" t="s">
        <v>623</v>
      </c>
      <c r="E1072" t="s">
        <v>13</v>
      </c>
      <c r="F1072">
        <v>56973</v>
      </c>
      <c r="G10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2">
        <v>4.2347999999999999</v>
      </c>
      <c r="J1072" t="str">
        <f>IF(ISBLANK(Table13[[#This Row],[Rating]]), "No", "Yes")</f>
        <v>Yes</v>
      </c>
      <c r="K1072" t="str">
        <f>IF(ISBLANK(Table13[[#This Row],[Rating]]), "Not Rated", IF(Table13[[#This Row],[Rating]] &lt; 3, "Low", IF(Table13[[#This Row],[Rating]] &lt; 4, "Medium", "High")))</f>
        <v>High</v>
      </c>
      <c r="L1072">
        <v>2572</v>
      </c>
      <c r="M1072">
        <v>36</v>
      </c>
      <c r="N1072" t="str">
        <f>IF(Table13[[#This Row],[Price USD]]&lt;20,"Budget",IF(Table13[[#This Row],[Price USD]]&lt;=50,"Mid-range","Premium"))</f>
        <v>Mid-range</v>
      </c>
      <c r="O1072">
        <v>0</v>
      </c>
      <c r="P1072">
        <v>0</v>
      </c>
    </row>
    <row r="1073" spans="1:16" x14ac:dyDescent="0.25">
      <c r="A1073" t="s">
        <v>618</v>
      </c>
      <c r="B1073" t="s">
        <v>619</v>
      </c>
      <c r="C1073">
        <v>8017</v>
      </c>
      <c r="D1073" t="s">
        <v>620</v>
      </c>
      <c r="E1073" t="s">
        <v>8</v>
      </c>
      <c r="F1073">
        <v>57039</v>
      </c>
      <c r="G10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3">
        <v>4.0955000000000004</v>
      </c>
      <c r="J1073" t="str">
        <f>IF(ISBLANK(Table13[[#This Row],[Rating]]), "No", "Yes")</f>
        <v>Yes</v>
      </c>
      <c r="K1073" t="str">
        <f>IF(ISBLANK(Table13[[#This Row],[Rating]]), "Not Rated", IF(Table13[[#This Row],[Rating]] &lt; 3, "Low", IF(Table13[[#This Row],[Rating]] &lt; 4, "Medium", "High")))</f>
        <v>High</v>
      </c>
      <c r="L1073">
        <v>398</v>
      </c>
      <c r="M1073">
        <v>17</v>
      </c>
      <c r="N1073" t="str">
        <f>IF(Table13[[#This Row],[Price USD]]&lt;20,"Budget",IF(Table13[[#This Row],[Price USD]]&lt;=50,"Mid-range","Premium"))</f>
        <v>Budget</v>
      </c>
      <c r="O1073">
        <v>0</v>
      </c>
      <c r="P1073">
        <v>0</v>
      </c>
    </row>
    <row r="1074" spans="1:16" x14ac:dyDescent="0.25">
      <c r="A1074" t="s">
        <v>616</v>
      </c>
      <c r="B1074" t="s">
        <v>617</v>
      </c>
      <c r="C1074">
        <v>6189</v>
      </c>
      <c r="D1074" t="s">
        <v>30</v>
      </c>
      <c r="E1074" t="s">
        <v>220</v>
      </c>
      <c r="F1074">
        <v>57316</v>
      </c>
      <c r="G10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4">
        <v>4.6338999999999997</v>
      </c>
      <c r="J1074" t="str">
        <f>IF(ISBLANK(Table13[[#This Row],[Rating]]), "No", "Yes")</f>
        <v>Yes</v>
      </c>
      <c r="K1074" t="str">
        <f>IF(ISBLANK(Table13[[#This Row],[Rating]]), "Not Rated", IF(Table13[[#This Row],[Rating]] &lt; 3, "Low", IF(Table13[[#This Row],[Rating]] &lt; 4, "Medium", "High")))</f>
        <v>High</v>
      </c>
      <c r="L1074">
        <v>183</v>
      </c>
      <c r="M1074">
        <v>34</v>
      </c>
      <c r="N1074" t="str">
        <f>IF(Table13[[#This Row],[Price USD]]&lt;20,"Budget",IF(Table13[[#This Row],[Price USD]]&lt;=50,"Mid-range","Premium"))</f>
        <v>Mid-range</v>
      </c>
      <c r="O1074">
        <v>0</v>
      </c>
      <c r="P1074">
        <v>0</v>
      </c>
    </row>
    <row r="1075" spans="1:16" x14ac:dyDescent="0.25">
      <c r="A1075" t="s">
        <v>614</v>
      </c>
      <c r="B1075" t="s">
        <v>615</v>
      </c>
      <c r="C1075">
        <v>1254</v>
      </c>
      <c r="D1075" t="s">
        <v>136</v>
      </c>
      <c r="E1075" t="s">
        <v>13</v>
      </c>
      <c r="F1075">
        <v>57395</v>
      </c>
      <c r="G10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5">
        <v>4.3693999999999997</v>
      </c>
      <c r="J1075" t="str">
        <f>IF(ISBLANK(Table13[[#This Row],[Rating]]), "No", "Yes")</f>
        <v>Yes</v>
      </c>
      <c r="K1075" t="str">
        <f>IF(ISBLANK(Table13[[#This Row],[Rating]]), "Not Rated", IF(Table13[[#This Row],[Rating]] &lt; 3, "Low", IF(Table13[[#This Row],[Rating]] &lt; 4, "Medium", "High")))</f>
        <v>High</v>
      </c>
      <c r="L1075">
        <v>2206</v>
      </c>
      <c r="M1075">
        <v>23.5</v>
      </c>
      <c r="N1075" t="str">
        <f>IF(Table13[[#This Row],[Price USD]]&lt;20,"Budget",IF(Table13[[#This Row],[Price USD]]&lt;=50,"Mid-range","Premium"))</f>
        <v>Mid-range</v>
      </c>
      <c r="O1075">
        <v>0</v>
      </c>
      <c r="P1075">
        <v>0</v>
      </c>
    </row>
    <row r="1076" spans="1:16" x14ac:dyDescent="0.25">
      <c r="A1076" t="s">
        <v>612</v>
      </c>
      <c r="B1076" t="s">
        <v>613</v>
      </c>
      <c r="C1076">
        <v>5857</v>
      </c>
      <c r="D1076" t="s">
        <v>433</v>
      </c>
      <c r="E1076" t="s">
        <v>69</v>
      </c>
      <c r="F1076">
        <v>58212</v>
      </c>
      <c r="G10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6">
        <v>4.4021999999999997</v>
      </c>
      <c r="J1076" t="str">
        <f>IF(ISBLANK(Table13[[#This Row],[Rating]]), "No", "Yes")</f>
        <v>Yes</v>
      </c>
      <c r="K1076" t="str">
        <f>IF(ISBLANK(Table13[[#This Row],[Rating]]), "Not Rated", IF(Table13[[#This Row],[Rating]] &lt; 3, "Low", IF(Table13[[#This Row],[Rating]] &lt; 4, "Medium", "High")))</f>
        <v>High</v>
      </c>
      <c r="L1076">
        <v>1283</v>
      </c>
      <c r="M1076">
        <v>58</v>
      </c>
      <c r="N1076" t="str">
        <f>IF(Table13[[#This Row],[Price USD]]&lt;20,"Budget",IF(Table13[[#This Row],[Price USD]]&lt;=50,"Mid-range","Premium"))</f>
        <v>Premium</v>
      </c>
      <c r="O1076">
        <v>0</v>
      </c>
      <c r="P1076">
        <v>0</v>
      </c>
    </row>
    <row r="1077" spans="1:16" x14ac:dyDescent="0.25">
      <c r="A1077" t="s">
        <v>610</v>
      </c>
      <c r="B1077" t="s">
        <v>611</v>
      </c>
      <c r="C1077">
        <v>6234</v>
      </c>
      <c r="D1077" t="s">
        <v>7</v>
      </c>
      <c r="E1077" t="s">
        <v>8</v>
      </c>
      <c r="F1077">
        <v>58355</v>
      </c>
      <c r="G10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7">
        <v>3.8193000000000001</v>
      </c>
      <c r="J1077" t="str">
        <f>IF(ISBLANK(Table13[[#This Row],[Rating]]), "No", "Yes")</f>
        <v>Yes</v>
      </c>
      <c r="K1077" t="str">
        <f>IF(ISBLANK(Table13[[#This Row],[Rating]]), "Not Rated", IF(Table13[[#This Row],[Rating]] &lt; 3, "Low", IF(Table13[[#This Row],[Rating]] &lt; 4, "Medium", "High")))</f>
        <v>Medium</v>
      </c>
      <c r="L1077">
        <v>166</v>
      </c>
      <c r="M1077">
        <v>19.8</v>
      </c>
      <c r="N1077" t="str">
        <f>IF(Table13[[#This Row],[Price USD]]&lt;20,"Budget",IF(Table13[[#This Row],[Price USD]]&lt;=50,"Mid-range","Premium"))</f>
        <v>Budget</v>
      </c>
      <c r="O1077">
        <v>0</v>
      </c>
      <c r="P1077">
        <v>0</v>
      </c>
    </row>
    <row r="1078" spans="1:16" x14ac:dyDescent="0.25">
      <c r="A1078" t="s">
        <v>608</v>
      </c>
      <c r="B1078" t="s">
        <v>609</v>
      </c>
      <c r="C1078">
        <v>4348</v>
      </c>
      <c r="D1078" t="s">
        <v>61</v>
      </c>
      <c r="E1078" t="s">
        <v>149</v>
      </c>
      <c r="F1078">
        <v>58657</v>
      </c>
      <c r="G10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8">
        <v>3.8767999999999998</v>
      </c>
      <c r="J1078" t="str">
        <f>IF(ISBLANK(Table13[[#This Row],[Rating]]), "No", "Yes")</f>
        <v>Yes</v>
      </c>
      <c r="K1078" t="str">
        <f>IF(ISBLANK(Table13[[#This Row],[Rating]]), "Not Rated", IF(Table13[[#This Row],[Rating]] &lt; 3, "Low", IF(Table13[[#This Row],[Rating]] &lt; 4, "Medium", "High")))</f>
        <v>Medium</v>
      </c>
      <c r="L1078">
        <v>609</v>
      </c>
      <c r="M1078">
        <v>68</v>
      </c>
      <c r="N1078" t="str">
        <f>IF(Table13[[#This Row],[Price USD]]&lt;20,"Budget",IF(Table13[[#This Row],[Price USD]]&lt;=50,"Mid-range","Premium"))</f>
        <v>Premium</v>
      </c>
      <c r="O1078">
        <v>0</v>
      </c>
      <c r="P1078">
        <v>0</v>
      </c>
    </row>
    <row r="1079" spans="1:16" x14ac:dyDescent="0.25">
      <c r="A1079" t="s">
        <v>606</v>
      </c>
      <c r="B1079" t="s">
        <v>607</v>
      </c>
      <c r="C1079">
        <v>6195</v>
      </c>
      <c r="D1079" t="s">
        <v>163</v>
      </c>
      <c r="E1079" t="s">
        <v>21</v>
      </c>
      <c r="F1079">
        <v>58788</v>
      </c>
      <c r="G10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79">
        <v>4.0923999999999996</v>
      </c>
      <c r="J1079" t="str">
        <f>IF(ISBLANK(Table13[[#This Row],[Rating]]), "No", "Yes")</f>
        <v>Yes</v>
      </c>
      <c r="K1079" t="str">
        <f>IF(ISBLANK(Table13[[#This Row],[Rating]]), "Not Rated", IF(Table13[[#This Row],[Rating]] &lt; 3, "Low", IF(Table13[[#This Row],[Rating]] &lt; 4, "Medium", "High")))</f>
        <v>High</v>
      </c>
      <c r="L1079">
        <v>714</v>
      </c>
      <c r="M1079">
        <v>54</v>
      </c>
      <c r="N1079" t="str">
        <f>IF(Table13[[#This Row],[Price USD]]&lt;20,"Budget",IF(Table13[[#This Row],[Price USD]]&lt;=50,"Mid-range","Premium"))</f>
        <v>Premium</v>
      </c>
      <c r="O1079">
        <v>0</v>
      </c>
      <c r="P1079">
        <v>0</v>
      </c>
    </row>
    <row r="1080" spans="1:16" x14ac:dyDescent="0.25">
      <c r="A1080" t="s">
        <v>603</v>
      </c>
      <c r="B1080" t="s">
        <v>604</v>
      </c>
      <c r="C1080">
        <v>6089</v>
      </c>
      <c r="D1080" t="s">
        <v>605</v>
      </c>
      <c r="E1080" t="s">
        <v>8</v>
      </c>
      <c r="F1080">
        <v>58873</v>
      </c>
      <c r="G10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0">
        <v>4.0456000000000003</v>
      </c>
      <c r="J1080" t="str">
        <f>IF(ISBLANK(Table13[[#This Row],[Rating]]), "No", "Yes")</f>
        <v>Yes</v>
      </c>
      <c r="K1080" t="str">
        <f>IF(ISBLANK(Table13[[#This Row],[Rating]]), "Not Rated", IF(Table13[[#This Row],[Rating]] &lt; 3, "Low", IF(Table13[[#This Row],[Rating]] &lt; 4, "Medium", "High")))</f>
        <v>High</v>
      </c>
      <c r="L1080">
        <v>2410</v>
      </c>
      <c r="M1080">
        <v>115</v>
      </c>
      <c r="N1080" t="str">
        <f>IF(Table13[[#This Row],[Price USD]]&lt;20,"Budget",IF(Table13[[#This Row],[Price USD]]&lt;=50,"Mid-range","Premium"))</f>
        <v>Premium</v>
      </c>
      <c r="O1080">
        <v>0</v>
      </c>
      <c r="P1080">
        <v>0</v>
      </c>
    </row>
    <row r="1081" spans="1:16" x14ac:dyDescent="0.25">
      <c r="A1081" t="s">
        <v>601</v>
      </c>
      <c r="B1081" t="s">
        <v>602</v>
      </c>
      <c r="C1081">
        <v>5972</v>
      </c>
      <c r="D1081" t="s">
        <v>54</v>
      </c>
      <c r="E1081" t="s">
        <v>21</v>
      </c>
      <c r="F1081">
        <v>59220</v>
      </c>
      <c r="G10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1">
        <v>4.1963999999999997</v>
      </c>
      <c r="J1081" t="str">
        <f>IF(ISBLANK(Table13[[#This Row],[Rating]]), "No", "Yes")</f>
        <v>Yes</v>
      </c>
      <c r="K1081" t="str">
        <f>IF(ISBLANK(Table13[[#This Row],[Rating]]), "Not Rated", IF(Table13[[#This Row],[Rating]] &lt; 3, "Low", IF(Table13[[#This Row],[Rating]] &lt; 4, "Medium", "High")))</f>
        <v>High</v>
      </c>
      <c r="L1081">
        <v>988</v>
      </c>
      <c r="M1081">
        <v>28</v>
      </c>
      <c r="N1081" t="str">
        <f>IF(Table13[[#This Row],[Price USD]]&lt;20,"Budget",IF(Table13[[#This Row],[Price USD]]&lt;=50,"Mid-range","Premium"))</f>
        <v>Mid-range</v>
      </c>
      <c r="O1081">
        <v>0</v>
      </c>
      <c r="P1081">
        <v>0</v>
      </c>
    </row>
    <row r="1082" spans="1:16" x14ac:dyDescent="0.25">
      <c r="A1082" t="s">
        <v>599</v>
      </c>
      <c r="B1082" t="s">
        <v>600</v>
      </c>
      <c r="C1082">
        <v>3902</v>
      </c>
      <c r="D1082" t="s">
        <v>72</v>
      </c>
      <c r="E1082" t="s">
        <v>21</v>
      </c>
      <c r="F1082">
        <v>59250</v>
      </c>
      <c r="G10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2">
        <v>4.5182000000000002</v>
      </c>
      <c r="J1082" t="str">
        <f>IF(ISBLANK(Table13[[#This Row],[Rating]]), "No", "Yes")</f>
        <v>Yes</v>
      </c>
      <c r="K1082" t="str">
        <f>IF(ISBLANK(Table13[[#This Row],[Rating]]), "Not Rated", IF(Table13[[#This Row],[Rating]] &lt; 3, "Low", IF(Table13[[#This Row],[Rating]] &lt; 4, "Medium", "High")))</f>
        <v>High</v>
      </c>
      <c r="L1082">
        <v>467</v>
      </c>
      <c r="M1082">
        <v>18</v>
      </c>
      <c r="N1082" t="str">
        <f>IF(Table13[[#This Row],[Price USD]]&lt;20,"Budget",IF(Table13[[#This Row],[Price USD]]&lt;=50,"Mid-range","Premium"))</f>
        <v>Budget</v>
      </c>
      <c r="O1082">
        <v>0</v>
      </c>
      <c r="P1082">
        <v>0</v>
      </c>
    </row>
    <row r="1083" spans="1:16" x14ac:dyDescent="0.25">
      <c r="A1083" t="s">
        <v>597</v>
      </c>
      <c r="B1083" t="s">
        <v>598</v>
      </c>
      <c r="C1083">
        <v>6195</v>
      </c>
      <c r="D1083" t="s">
        <v>163</v>
      </c>
      <c r="E1083" t="s">
        <v>149</v>
      </c>
      <c r="F1083">
        <v>59273</v>
      </c>
      <c r="G10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3">
        <v>3.6371000000000002</v>
      </c>
      <c r="J1083" t="str">
        <f>IF(ISBLANK(Table13[[#This Row],[Rating]]), "No", "Yes")</f>
        <v>Yes</v>
      </c>
      <c r="K1083" t="str">
        <f>IF(ISBLANK(Table13[[#This Row],[Rating]]), "Not Rated", IF(Table13[[#This Row],[Rating]] &lt; 3, "Low", IF(Table13[[#This Row],[Rating]] &lt; 4, "Medium", "High")))</f>
        <v>Medium</v>
      </c>
      <c r="L1083">
        <v>653</v>
      </c>
      <c r="M1083">
        <v>56</v>
      </c>
      <c r="N1083" t="str">
        <f>IF(Table13[[#This Row],[Price USD]]&lt;20,"Budget",IF(Table13[[#This Row],[Price USD]]&lt;=50,"Mid-range","Premium"))</f>
        <v>Premium</v>
      </c>
      <c r="O1083">
        <v>0</v>
      </c>
      <c r="P1083">
        <v>0</v>
      </c>
    </row>
    <row r="1084" spans="1:16" x14ac:dyDescent="0.25">
      <c r="A1084" t="s">
        <v>595</v>
      </c>
      <c r="B1084" t="s">
        <v>596</v>
      </c>
      <c r="C1084">
        <v>1254</v>
      </c>
      <c r="D1084" t="s">
        <v>136</v>
      </c>
      <c r="E1084" t="s">
        <v>8</v>
      </c>
      <c r="F1084">
        <v>59548</v>
      </c>
      <c r="G10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4">
        <v>4.2233999999999998</v>
      </c>
      <c r="J1084" t="str">
        <f>IF(ISBLANK(Table13[[#This Row],[Rating]]), "No", "Yes")</f>
        <v>Yes</v>
      </c>
      <c r="K1084" t="str">
        <f>IF(ISBLANK(Table13[[#This Row],[Rating]]), "Not Rated", IF(Table13[[#This Row],[Rating]] &lt; 3, "Low", IF(Table13[[#This Row],[Rating]] &lt; 4, "Medium", "High")))</f>
        <v>High</v>
      </c>
      <c r="L1084">
        <v>1079</v>
      </c>
      <c r="M1084">
        <v>32</v>
      </c>
      <c r="N1084" t="str">
        <f>IF(Table13[[#This Row],[Price USD]]&lt;20,"Budget",IF(Table13[[#This Row],[Price USD]]&lt;=50,"Mid-range","Premium"))</f>
        <v>Mid-range</v>
      </c>
      <c r="O1084">
        <v>0</v>
      </c>
      <c r="P1084">
        <v>0</v>
      </c>
    </row>
    <row r="1085" spans="1:16" x14ac:dyDescent="0.25">
      <c r="A1085" t="s">
        <v>592</v>
      </c>
      <c r="B1085" t="s">
        <v>593</v>
      </c>
      <c r="C1085">
        <v>2082</v>
      </c>
      <c r="D1085" t="s">
        <v>594</v>
      </c>
      <c r="E1085" t="s">
        <v>8</v>
      </c>
      <c r="F1085">
        <v>59652</v>
      </c>
      <c r="G10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5">
        <v>4.2503000000000002</v>
      </c>
      <c r="J1085" t="str">
        <f>IF(ISBLANK(Table13[[#This Row],[Rating]]), "No", "Yes")</f>
        <v>Yes</v>
      </c>
      <c r="K1085" t="str">
        <f>IF(ISBLANK(Table13[[#This Row],[Rating]]), "Not Rated", IF(Table13[[#This Row],[Rating]] &lt; 3, "Low", IF(Table13[[#This Row],[Rating]] &lt; 4, "Medium", "High")))</f>
        <v>High</v>
      </c>
      <c r="L1085">
        <v>2605</v>
      </c>
      <c r="M1085">
        <v>90</v>
      </c>
      <c r="N1085" t="str">
        <f>IF(Table13[[#This Row],[Price USD]]&lt;20,"Budget",IF(Table13[[#This Row],[Price USD]]&lt;=50,"Mid-range","Premium"))</f>
        <v>Premium</v>
      </c>
      <c r="O1085">
        <v>0</v>
      </c>
      <c r="P1085">
        <v>0</v>
      </c>
    </row>
    <row r="1086" spans="1:16" x14ac:dyDescent="0.25">
      <c r="A1086" t="s">
        <v>590</v>
      </c>
      <c r="B1086" t="s">
        <v>591</v>
      </c>
      <c r="C1086">
        <v>1254</v>
      </c>
      <c r="D1086" t="s">
        <v>136</v>
      </c>
      <c r="E1086" t="s">
        <v>21</v>
      </c>
      <c r="F1086">
        <v>59756</v>
      </c>
      <c r="G10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6">
        <v>3.6309999999999998</v>
      </c>
      <c r="J1086" t="str">
        <f>IF(ISBLANK(Table13[[#This Row],[Rating]]), "No", "Yes")</f>
        <v>Yes</v>
      </c>
      <c r="K1086" t="str">
        <f>IF(ISBLANK(Table13[[#This Row],[Rating]]), "Not Rated", IF(Table13[[#This Row],[Rating]] &lt; 3, "Low", IF(Table13[[#This Row],[Rating]] &lt; 4, "Medium", "High")))</f>
        <v>Medium</v>
      </c>
      <c r="L1086">
        <v>271</v>
      </c>
      <c r="M1086">
        <v>41</v>
      </c>
      <c r="N1086" t="str">
        <f>IF(Table13[[#This Row],[Price USD]]&lt;20,"Budget",IF(Table13[[#This Row],[Price USD]]&lt;=50,"Mid-range","Premium"))</f>
        <v>Mid-range</v>
      </c>
      <c r="O1086">
        <v>0</v>
      </c>
      <c r="P1086">
        <v>1</v>
      </c>
    </row>
    <row r="1087" spans="1:16" x14ac:dyDescent="0.25">
      <c r="A1087" t="s">
        <v>588</v>
      </c>
      <c r="B1087" t="s">
        <v>589</v>
      </c>
      <c r="C1087">
        <v>3728</v>
      </c>
      <c r="D1087" t="s">
        <v>458</v>
      </c>
      <c r="E1087" t="s">
        <v>149</v>
      </c>
      <c r="F1087">
        <v>60266</v>
      </c>
      <c r="G10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7">
        <v>4.069</v>
      </c>
      <c r="J1087" t="str">
        <f>IF(ISBLANK(Table13[[#This Row],[Rating]]), "No", "Yes")</f>
        <v>Yes</v>
      </c>
      <c r="K1087" t="str">
        <f>IF(ISBLANK(Table13[[#This Row],[Rating]]), "Not Rated", IF(Table13[[#This Row],[Rating]] &lt; 3, "Low", IF(Table13[[#This Row],[Rating]] &lt; 4, "Medium", "High")))</f>
        <v>High</v>
      </c>
      <c r="L1087">
        <v>290</v>
      </c>
      <c r="M1087">
        <v>55</v>
      </c>
      <c r="N1087" t="str">
        <f>IF(Table13[[#This Row],[Price USD]]&lt;20,"Budget",IF(Table13[[#This Row],[Price USD]]&lt;=50,"Mid-range","Premium"))</f>
        <v>Premium</v>
      </c>
      <c r="O1087">
        <v>0</v>
      </c>
      <c r="P1087">
        <v>0</v>
      </c>
    </row>
    <row r="1088" spans="1:16" x14ac:dyDescent="0.25">
      <c r="A1088" t="s">
        <v>586</v>
      </c>
      <c r="B1088" t="s">
        <v>587</v>
      </c>
      <c r="C1088">
        <v>5972</v>
      </c>
      <c r="D1088" t="s">
        <v>54</v>
      </c>
      <c r="E1088" t="s">
        <v>21</v>
      </c>
      <c r="F1088">
        <v>60505</v>
      </c>
      <c r="G10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8">
        <v>4.5355999999999996</v>
      </c>
      <c r="J1088" t="str">
        <f>IF(ISBLANK(Table13[[#This Row],[Rating]]), "No", "Yes")</f>
        <v>Yes</v>
      </c>
      <c r="K1088" t="str">
        <f>IF(ISBLANK(Table13[[#This Row],[Rating]]), "Not Rated", IF(Table13[[#This Row],[Rating]] &lt; 3, "Low", IF(Table13[[#This Row],[Rating]] &lt; 4, "Medium", "High")))</f>
        <v>High</v>
      </c>
      <c r="L1088">
        <v>534</v>
      </c>
      <c r="M1088">
        <v>44</v>
      </c>
      <c r="N1088" t="str">
        <f>IF(Table13[[#This Row],[Price USD]]&lt;20,"Budget",IF(Table13[[#This Row],[Price USD]]&lt;=50,"Mid-range","Premium"))</f>
        <v>Mid-range</v>
      </c>
      <c r="O1088">
        <v>0</v>
      </c>
      <c r="P1088">
        <v>0</v>
      </c>
    </row>
    <row r="1089" spans="1:16" x14ac:dyDescent="0.25">
      <c r="A1089" t="s">
        <v>584</v>
      </c>
      <c r="B1089" t="s">
        <v>585</v>
      </c>
      <c r="C1089">
        <v>6234</v>
      </c>
      <c r="D1089" t="s">
        <v>7</v>
      </c>
      <c r="E1089" t="s">
        <v>8</v>
      </c>
      <c r="F1089">
        <v>60746</v>
      </c>
      <c r="G10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89">
        <v>4</v>
      </c>
      <c r="J1089" t="str">
        <f>IF(ISBLANK(Table13[[#This Row],[Rating]]), "No", "Yes")</f>
        <v>Yes</v>
      </c>
      <c r="K1089" t="str">
        <f>IF(ISBLANK(Table13[[#This Row],[Rating]]), "Not Rated", IF(Table13[[#This Row],[Rating]] &lt; 3, "Low", IF(Table13[[#This Row],[Rating]] &lt; 4, "Medium", "High")))</f>
        <v>High</v>
      </c>
      <c r="L1089">
        <v>162</v>
      </c>
      <c r="M1089">
        <v>10</v>
      </c>
      <c r="N1089" t="str">
        <f>IF(Table13[[#This Row],[Price USD]]&lt;20,"Budget",IF(Table13[[#This Row],[Price USD]]&lt;=50,"Mid-range","Premium"))</f>
        <v>Budget</v>
      </c>
      <c r="O1089">
        <v>0</v>
      </c>
      <c r="P1089">
        <v>0</v>
      </c>
    </row>
    <row r="1090" spans="1:16" x14ac:dyDescent="0.25">
      <c r="A1090" t="s">
        <v>582</v>
      </c>
      <c r="B1090" t="s">
        <v>583</v>
      </c>
      <c r="C1090">
        <v>6341</v>
      </c>
      <c r="D1090" t="s">
        <v>66</v>
      </c>
      <c r="E1090" t="s">
        <v>8</v>
      </c>
      <c r="F1090">
        <v>60835</v>
      </c>
      <c r="G10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0">
        <v>4.5551000000000004</v>
      </c>
      <c r="J1090" t="str">
        <f>IF(ISBLANK(Table13[[#This Row],[Rating]]), "No", "Yes")</f>
        <v>Yes</v>
      </c>
      <c r="K1090" t="str">
        <f>IF(ISBLANK(Table13[[#This Row],[Rating]]), "Not Rated", IF(Table13[[#This Row],[Rating]] &lt; 3, "Low", IF(Table13[[#This Row],[Rating]] &lt; 4, "Medium", "High")))</f>
        <v>High</v>
      </c>
      <c r="L1090">
        <v>263</v>
      </c>
      <c r="M1090">
        <v>62</v>
      </c>
      <c r="N1090" t="str">
        <f>IF(Table13[[#This Row],[Price USD]]&lt;20,"Budget",IF(Table13[[#This Row],[Price USD]]&lt;=50,"Mid-range","Premium"))</f>
        <v>Premium</v>
      </c>
      <c r="O1090">
        <v>0</v>
      </c>
      <c r="P1090">
        <v>0</v>
      </c>
    </row>
    <row r="1091" spans="1:16" x14ac:dyDescent="0.25">
      <c r="A1091" t="s">
        <v>580</v>
      </c>
      <c r="B1091" t="s">
        <v>581</v>
      </c>
      <c r="C1091">
        <v>5987</v>
      </c>
      <c r="D1091" t="s">
        <v>48</v>
      </c>
      <c r="E1091" t="s">
        <v>49</v>
      </c>
      <c r="F1091">
        <v>60887</v>
      </c>
      <c r="G10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1">
        <v>4.0953999999999997</v>
      </c>
      <c r="J1091" t="str">
        <f>IF(ISBLANK(Table13[[#This Row],[Rating]]), "No", "Yes")</f>
        <v>Yes</v>
      </c>
      <c r="K1091" t="str">
        <f>IF(ISBLANK(Table13[[#This Row],[Rating]]), "Not Rated", IF(Table13[[#This Row],[Rating]] &lt; 3, "Low", IF(Table13[[#This Row],[Rating]] &lt; 4, "Medium", "High")))</f>
        <v>High</v>
      </c>
      <c r="L1091">
        <v>1059</v>
      </c>
      <c r="M1091">
        <v>34</v>
      </c>
      <c r="N1091" t="str">
        <f>IF(Table13[[#This Row],[Price USD]]&lt;20,"Budget",IF(Table13[[#This Row],[Price USD]]&lt;=50,"Mid-range","Premium"))</f>
        <v>Mid-range</v>
      </c>
      <c r="O1091">
        <v>0</v>
      </c>
      <c r="P1091">
        <v>0</v>
      </c>
    </row>
    <row r="1092" spans="1:16" x14ac:dyDescent="0.25">
      <c r="A1092" t="s">
        <v>578</v>
      </c>
      <c r="B1092" t="s">
        <v>579</v>
      </c>
      <c r="C1092">
        <v>6285</v>
      </c>
      <c r="D1092" t="s">
        <v>119</v>
      </c>
      <c r="E1092" t="s">
        <v>8</v>
      </c>
      <c r="F1092">
        <v>61536</v>
      </c>
      <c r="G10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2">
        <v>3.9335</v>
      </c>
      <c r="J1092" t="str">
        <f>IF(ISBLANK(Table13[[#This Row],[Rating]]), "No", "Yes")</f>
        <v>Yes</v>
      </c>
      <c r="K1092" t="str">
        <f>IF(ISBLANK(Table13[[#This Row],[Rating]]), "Not Rated", IF(Table13[[#This Row],[Rating]] &lt; 3, "Low", IF(Table13[[#This Row],[Rating]] &lt; 4, "Medium", "High")))</f>
        <v>Medium</v>
      </c>
      <c r="L1092">
        <v>511</v>
      </c>
      <c r="M1092">
        <v>15.99</v>
      </c>
      <c r="N1092" t="str">
        <f>IF(Table13[[#This Row],[Price USD]]&lt;20,"Budget",IF(Table13[[#This Row],[Price USD]]&lt;=50,"Mid-range","Premium"))</f>
        <v>Budget</v>
      </c>
      <c r="O1092">
        <v>0</v>
      </c>
      <c r="P1092">
        <v>0</v>
      </c>
    </row>
    <row r="1093" spans="1:16" x14ac:dyDescent="0.25">
      <c r="A1093" t="s">
        <v>576</v>
      </c>
      <c r="B1093" t="s">
        <v>577</v>
      </c>
      <c r="C1093">
        <v>4348</v>
      </c>
      <c r="D1093" t="s">
        <v>61</v>
      </c>
      <c r="E1093" t="s">
        <v>13</v>
      </c>
      <c r="F1093">
        <v>61862</v>
      </c>
      <c r="G10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3">
        <v>4.1597</v>
      </c>
      <c r="J1093" t="str">
        <f>IF(ISBLANK(Table13[[#This Row],[Rating]]), "No", "Yes")</f>
        <v>Yes</v>
      </c>
      <c r="K1093" t="str">
        <f>IF(ISBLANK(Table13[[#This Row],[Rating]]), "Not Rated", IF(Table13[[#This Row],[Rating]] &lt; 3, "Low", IF(Table13[[#This Row],[Rating]] &lt; 4, "Medium", "High")))</f>
        <v>High</v>
      </c>
      <c r="L1093">
        <v>1259</v>
      </c>
      <c r="M1093">
        <v>33</v>
      </c>
      <c r="N1093" t="str">
        <f>IF(Table13[[#This Row],[Price USD]]&lt;20,"Budget",IF(Table13[[#This Row],[Price USD]]&lt;=50,"Mid-range","Premium"))</f>
        <v>Mid-range</v>
      </c>
      <c r="O1093">
        <v>0</v>
      </c>
      <c r="P1093">
        <v>0</v>
      </c>
    </row>
    <row r="1094" spans="1:16" x14ac:dyDescent="0.25">
      <c r="A1094" t="s">
        <v>574</v>
      </c>
      <c r="B1094" t="s">
        <v>575</v>
      </c>
      <c r="C1094">
        <v>6014</v>
      </c>
      <c r="D1094" t="s">
        <v>102</v>
      </c>
      <c r="E1094" t="s">
        <v>8</v>
      </c>
      <c r="F1094">
        <v>62298</v>
      </c>
      <c r="G10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4">
        <v>4.1395</v>
      </c>
      <c r="J1094" t="str">
        <f>IF(ISBLANK(Table13[[#This Row],[Rating]]), "No", "Yes")</f>
        <v>Yes</v>
      </c>
      <c r="K1094" t="str">
        <f>IF(ISBLANK(Table13[[#This Row],[Rating]]), "Not Rated", IF(Table13[[#This Row],[Rating]] &lt; 3, "Low", IF(Table13[[#This Row],[Rating]] &lt; 4, "Medium", "High")))</f>
        <v>High</v>
      </c>
      <c r="L1094">
        <v>473</v>
      </c>
      <c r="M1094">
        <v>48</v>
      </c>
      <c r="N1094" t="str">
        <f>IF(Table13[[#This Row],[Price USD]]&lt;20,"Budget",IF(Table13[[#This Row],[Price USD]]&lt;=50,"Mid-range","Premium"))</f>
        <v>Mid-range</v>
      </c>
      <c r="O1094">
        <v>0</v>
      </c>
      <c r="P1094">
        <v>0</v>
      </c>
    </row>
    <row r="1095" spans="1:16" x14ac:dyDescent="0.25">
      <c r="A1095" t="s">
        <v>572</v>
      </c>
      <c r="B1095" t="s">
        <v>573</v>
      </c>
      <c r="C1095">
        <v>5946</v>
      </c>
      <c r="D1095" t="s">
        <v>341</v>
      </c>
      <c r="E1095" t="s">
        <v>13</v>
      </c>
      <c r="F1095">
        <v>62349</v>
      </c>
      <c r="G10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5">
        <v>4.4493999999999998</v>
      </c>
      <c r="J1095" t="str">
        <f>IF(ISBLANK(Table13[[#This Row],[Rating]]), "No", "Yes")</f>
        <v>Yes</v>
      </c>
      <c r="K1095" t="str">
        <f>IF(ISBLANK(Table13[[#This Row],[Rating]]), "Not Rated", IF(Table13[[#This Row],[Rating]] &lt; 3, "Low", IF(Table13[[#This Row],[Rating]] &lt; 4, "Medium", "High")))</f>
        <v>High</v>
      </c>
      <c r="L1095">
        <v>948</v>
      </c>
      <c r="M1095">
        <v>44</v>
      </c>
      <c r="N1095" t="str">
        <f>IF(Table13[[#This Row],[Price USD]]&lt;20,"Budget",IF(Table13[[#This Row],[Price USD]]&lt;=50,"Mid-range","Premium"))</f>
        <v>Mid-range</v>
      </c>
      <c r="O1095">
        <v>0</v>
      </c>
      <c r="P1095">
        <v>0</v>
      </c>
    </row>
    <row r="1096" spans="1:16" x14ac:dyDescent="0.25">
      <c r="A1096" t="s">
        <v>570</v>
      </c>
      <c r="B1096" t="s">
        <v>571</v>
      </c>
      <c r="C1096">
        <v>6169</v>
      </c>
      <c r="D1096" t="s">
        <v>24</v>
      </c>
      <c r="E1096" t="s">
        <v>69</v>
      </c>
      <c r="F1096">
        <v>62672</v>
      </c>
      <c r="G10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6">
        <v>4.4595000000000002</v>
      </c>
      <c r="J1096" t="str">
        <f>IF(ISBLANK(Table13[[#This Row],[Rating]]), "No", "Yes")</f>
        <v>Yes</v>
      </c>
      <c r="K1096" t="str">
        <f>IF(ISBLANK(Table13[[#This Row],[Rating]]), "Not Rated", IF(Table13[[#This Row],[Rating]] &lt; 3, "Low", IF(Table13[[#This Row],[Rating]] &lt; 4, "Medium", "High")))</f>
        <v>High</v>
      </c>
      <c r="L1096">
        <v>346</v>
      </c>
      <c r="M1096">
        <v>38</v>
      </c>
      <c r="N1096" t="str">
        <f>IF(Table13[[#This Row],[Price USD]]&lt;20,"Budget",IF(Table13[[#This Row],[Price USD]]&lt;=50,"Mid-range","Premium"))</f>
        <v>Mid-range</v>
      </c>
      <c r="O1096">
        <v>0</v>
      </c>
      <c r="P1096">
        <v>0</v>
      </c>
    </row>
    <row r="1097" spans="1:16" x14ac:dyDescent="0.25">
      <c r="A1097" t="s">
        <v>568</v>
      </c>
      <c r="B1097" t="s">
        <v>569</v>
      </c>
      <c r="C1097">
        <v>6236</v>
      </c>
      <c r="D1097" t="s">
        <v>272</v>
      </c>
      <c r="E1097" t="s">
        <v>21</v>
      </c>
      <c r="F1097">
        <v>62966</v>
      </c>
      <c r="G10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7">
        <v>3.6585000000000001</v>
      </c>
      <c r="J1097" t="str">
        <f>IF(ISBLANK(Table13[[#This Row],[Rating]]), "No", "Yes")</f>
        <v>Yes</v>
      </c>
      <c r="K1097" t="str">
        <f>IF(ISBLANK(Table13[[#This Row],[Rating]]), "Not Rated", IF(Table13[[#This Row],[Rating]] &lt; 3, "Low", IF(Table13[[#This Row],[Rating]] &lt; 4, "Medium", "High")))</f>
        <v>Medium</v>
      </c>
      <c r="L1097">
        <v>246</v>
      </c>
      <c r="M1097">
        <v>30</v>
      </c>
      <c r="N1097" t="str">
        <f>IF(Table13[[#This Row],[Price USD]]&lt;20,"Budget",IF(Table13[[#This Row],[Price USD]]&lt;=50,"Mid-range","Premium"))</f>
        <v>Mid-range</v>
      </c>
      <c r="O1097">
        <v>0</v>
      </c>
      <c r="P1097">
        <v>0</v>
      </c>
    </row>
    <row r="1098" spans="1:16" x14ac:dyDescent="0.25">
      <c r="A1098" t="s">
        <v>566</v>
      </c>
      <c r="B1098" t="s">
        <v>567</v>
      </c>
      <c r="C1098">
        <v>6175</v>
      </c>
      <c r="D1098" t="s">
        <v>338</v>
      </c>
      <c r="E1098" t="s">
        <v>21</v>
      </c>
      <c r="F1098">
        <v>62988</v>
      </c>
      <c r="G10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8">
        <v>4.62</v>
      </c>
      <c r="J1098" t="str">
        <f>IF(ISBLANK(Table13[[#This Row],[Rating]]), "No", "Yes")</f>
        <v>Yes</v>
      </c>
      <c r="K1098" t="str">
        <f>IF(ISBLANK(Table13[[#This Row],[Rating]]), "Not Rated", IF(Table13[[#This Row],[Rating]] &lt; 3, "Low", IF(Table13[[#This Row],[Rating]] &lt; 4, "Medium", "High")))</f>
        <v>High</v>
      </c>
      <c r="L1098">
        <v>2484</v>
      </c>
      <c r="M1098">
        <v>20</v>
      </c>
      <c r="N1098" t="str">
        <f>IF(Table13[[#This Row],[Price USD]]&lt;20,"Budget",IF(Table13[[#This Row],[Price USD]]&lt;=50,"Mid-range","Premium"))</f>
        <v>Mid-range</v>
      </c>
      <c r="O1098">
        <v>0</v>
      </c>
      <c r="P1098">
        <v>0</v>
      </c>
    </row>
    <row r="1099" spans="1:16" x14ac:dyDescent="0.25">
      <c r="A1099" t="s">
        <v>564</v>
      </c>
      <c r="B1099" t="s">
        <v>565</v>
      </c>
      <c r="C1099">
        <v>6218</v>
      </c>
      <c r="D1099" t="s">
        <v>116</v>
      </c>
      <c r="E1099" t="s">
        <v>13</v>
      </c>
      <c r="F1099">
        <v>63080</v>
      </c>
      <c r="G10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0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099">
        <v>4.3712</v>
      </c>
      <c r="J1099" t="str">
        <f>IF(ISBLANK(Table13[[#This Row],[Rating]]), "No", "Yes")</f>
        <v>Yes</v>
      </c>
      <c r="K1099" t="str">
        <f>IF(ISBLANK(Table13[[#This Row],[Rating]]), "Not Rated", IF(Table13[[#This Row],[Rating]] &lt; 3, "Low", IF(Table13[[#This Row],[Rating]] &lt; 4, "Medium", "High")))</f>
        <v>High</v>
      </c>
      <c r="L1099">
        <v>862</v>
      </c>
      <c r="M1099">
        <v>30</v>
      </c>
      <c r="N1099" t="str">
        <f>IF(Table13[[#This Row],[Price USD]]&lt;20,"Budget",IF(Table13[[#This Row],[Price USD]]&lt;=50,"Mid-range","Premium"))</f>
        <v>Mid-range</v>
      </c>
      <c r="O1099">
        <v>0</v>
      </c>
      <c r="P1099">
        <v>0</v>
      </c>
    </row>
    <row r="1100" spans="1:16" x14ac:dyDescent="0.25">
      <c r="A1100" t="s">
        <v>561</v>
      </c>
      <c r="B1100" t="s">
        <v>562</v>
      </c>
      <c r="C1100">
        <v>6316</v>
      </c>
      <c r="D1100" t="s">
        <v>563</v>
      </c>
      <c r="E1100" t="s">
        <v>13</v>
      </c>
      <c r="F1100">
        <v>63463</v>
      </c>
      <c r="G11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0">
        <v>4.2460000000000004</v>
      </c>
      <c r="J1100" t="str">
        <f>IF(ISBLANK(Table13[[#This Row],[Rating]]), "No", "Yes")</f>
        <v>Yes</v>
      </c>
      <c r="K1100" t="str">
        <f>IF(ISBLANK(Table13[[#This Row],[Rating]]), "Not Rated", IF(Table13[[#This Row],[Rating]] &lt; 3, "Low", IF(Table13[[#This Row],[Rating]] &lt; 4, "Medium", "High")))</f>
        <v>High</v>
      </c>
      <c r="L1100">
        <v>2207</v>
      </c>
      <c r="M1100">
        <v>39</v>
      </c>
      <c r="N1100" t="str">
        <f>IF(Table13[[#This Row],[Price USD]]&lt;20,"Budget",IF(Table13[[#This Row],[Price USD]]&lt;=50,"Mid-range","Premium"))</f>
        <v>Mid-range</v>
      </c>
      <c r="O1100">
        <v>0</v>
      </c>
      <c r="P1100">
        <v>0</v>
      </c>
    </row>
    <row r="1101" spans="1:16" x14ac:dyDescent="0.25">
      <c r="A1101" t="s">
        <v>559</v>
      </c>
      <c r="B1101" t="s">
        <v>560</v>
      </c>
      <c r="C1101">
        <v>6073</v>
      </c>
      <c r="D1101" t="s">
        <v>78</v>
      </c>
      <c r="E1101" t="s">
        <v>21</v>
      </c>
      <c r="F1101">
        <v>63669</v>
      </c>
      <c r="G11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1">
        <v>4.0133000000000001</v>
      </c>
      <c r="J1101" t="str">
        <f>IF(ISBLANK(Table13[[#This Row],[Rating]]), "No", "Yes")</f>
        <v>Yes</v>
      </c>
      <c r="K1101" t="str">
        <f>IF(ISBLANK(Table13[[#This Row],[Rating]]), "Not Rated", IF(Table13[[#This Row],[Rating]] &lt; 3, "Low", IF(Table13[[#This Row],[Rating]] &lt; 4, "Medium", "High")))</f>
        <v>High</v>
      </c>
      <c r="L1101">
        <v>977</v>
      </c>
      <c r="M1101">
        <v>65</v>
      </c>
      <c r="N1101" t="str">
        <f>IF(Table13[[#This Row],[Price USD]]&lt;20,"Budget",IF(Table13[[#This Row],[Price USD]]&lt;=50,"Mid-range","Premium"))</f>
        <v>Premium</v>
      </c>
      <c r="O1101">
        <v>0</v>
      </c>
      <c r="P1101">
        <v>0</v>
      </c>
    </row>
    <row r="1102" spans="1:16" x14ac:dyDescent="0.25">
      <c r="A1102" t="s">
        <v>556</v>
      </c>
      <c r="B1102" t="s">
        <v>557</v>
      </c>
      <c r="C1102">
        <v>6314</v>
      </c>
      <c r="D1102" t="s">
        <v>558</v>
      </c>
      <c r="E1102" t="s">
        <v>8</v>
      </c>
      <c r="F1102">
        <v>63782</v>
      </c>
      <c r="G11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2">
        <v>4.2568999999999999</v>
      </c>
      <c r="J1102" t="str">
        <f>IF(ISBLANK(Table13[[#This Row],[Rating]]), "No", "Yes")</f>
        <v>Yes</v>
      </c>
      <c r="K1102" t="str">
        <f>IF(ISBLANK(Table13[[#This Row],[Rating]]), "Not Rated", IF(Table13[[#This Row],[Rating]] &lt; 3, "Low", IF(Table13[[#This Row],[Rating]] &lt; 4, "Medium", "High")))</f>
        <v>High</v>
      </c>
      <c r="L1102">
        <v>1012</v>
      </c>
      <c r="M1102">
        <v>88</v>
      </c>
      <c r="N1102" t="str">
        <f>IF(Table13[[#This Row],[Price USD]]&lt;20,"Budget",IF(Table13[[#This Row],[Price USD]]&lt;=50,"Mid-range","Premium"))</f>
        <v>Premium</v>
      </c>
      <c r="O1102">
        <v>0</v>
      </c>
      <c r="P1102">
        <v>0</v>
      </c>
    </row>
    <row r="1103" spans="1:16" x14ac:dyDescent="0.25">
      <c r="A1103" t="s">
        <v>554</v>
      </c>
      <c r="B1103" t="s">
        <v>555</v>
      </c>
      <c r="C1103">
        <v>6175</v>
      </c>
      <c r="D1103" t="s">
        <v>338</v>
      </c>
      <c r="E1103" t="s">
        <v>21</v>
      </c>
      <c r="F1103">
        <v>64038</v>
      </c>
      <c r="G11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3">
        <v>4.1768000000000001</v>
      </c>
      <c r="J1103" t="str">
        <f>IF(ISBLANK(Table13[[#This Row],[Rating]]), "No", "Yes")</f>
        <v>Yes</v>
      </c>
      <c r="K1103" t="str">
        <f>IF(ISBLANK(Table13[[#This Row],[Rating]]), "Not Rated", IF(Table13[[#This Row],[Rating]] &lt; 3, "Low", IF(Table13[[#This Row],[Rating]] &lt; 4, "Medium", "High")))</f>
        <v>High</v>
      </c>
      <c r="L1103">
        <v>933</v>
      </c>
      <c r="M1103">
        <v>35</v>
      </c>
      <c r="N1103" t="str">
        <f>IF(Table13[[#This Row],[Price USD]]&lt;20,"Budget",IF(Table13[[#This Row],[Price USD]]&lt;=50,"Mid-range","Premium"))</f>
        <v>Mid-range</v>
      </c>
      <c r="O1103">
        <v>0</v>
      </c>
      <c r="P1103">
        <v>0</v>
      </c>
    </row>
    <row r="1104" spans="1:16" x14ac:dyDescent="0.25">
      <c r="A1104" t="s">
        <v>552</v>
      </c>
      <c r="B1104" t="s">
        <v>553</v>
      </c>
      <c r="C1104">
        <v>6189</v>
      </c>
      <c r="D1104" t="s">
        <v>30</v>
      </c>
      <c r="E1104" t="s">
        <v>49</v>
      </c>
      <c r="F1104">
        <v>64453</v>
      </c>
      <c r="G11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4">
        <v>3.7610000000000001</v>
      </c>
      <c r="J1104" t="str">
        <f>IF(ISBLANK(Table13[[#This Row],[Rating]]), "No", "Yes")</f>
        <v>Yes</v>
      </c>
      <c r="K1104" t="str">
        <f>IF(ISBLANK(Table13[[#This Row],[Rating]]), "Not Rated", IF(Table13[[#This Row],[Rating]] &lt; 3, "Low", IF(Table13[[#This Row],[Rating]] &lt; 4, "Medium", "High")))</f>
        <v>Medium</v>
      </c>
      <c r="L1104">
        <v>1293</v>
      </c>
      <c r="M1104">
        <v>35</v>
      </c>
      <c r="N1104" t="str">
        <f>IF(Table13[[#This Row],[Price USD]]&lt;20,"Budget",IF(Table13[[#This Row],[Price USD]]&lt;=50,"Mid-range","Premium"))</f>
        <v>Mid-range</v>
      </c>
      <c r="O1104">
        <v>0</v>
      </c>
      <c r="P1104">
        <v>0</v>
      </c>
    </row>
    <row r="1105" spans="1:16" x14ac:dyDescent="0.25">
      <c r="A1105" t="s">
        <v>550</v>
      </c>
      <c r="B1105" t="s">
        <v>551</v>
      </c>
      <c r="C1105">
        <v>6352</v>
      </c>
      <c r="D1105" t="s">
        <v>251</v>
      </c>
      <c r="E1105" t="s">
        <v>21</v>
      </c>
      <c r="F1105">
        <v>64620</v>
      </c>
      <c r="G11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5">
        <v>4.0128000000000004</v>
      </c>
      <c r="J1105" t="str">
        <f>IF(ISBLANK(Table13[[#This Row],[Rating]]), "No", "Yes")</f>
        <v>Yes</v>
      </c>
      <c r="K1105" t="str">
        <f>IF(ISBLANK(Table13[[#This Row],[Rating]]), "Not Rated", IF(Table13[[#This Row],[Rating]] &lt; 3, "Low", IF(Table13[[#This Row],[Rating]] &lt; 4, "Medium", "High")))</f>
        <v>High</v>
      </c>
      <c r="L1105">
        <v>781</v>
      </c>
      <c r="M1105">
        <v>39</v>
      </c>
      <c r="N1105" t="str">
        <f>IF(Table13[[#This Row],[Price USD]]&lt;20,"Budget",IF(Table13[[#This Row],[Price USD]]&lt;=50,"Mid-range","Premium"))</f>
        <v>Mid-range</v>
      </c>
      <c r="O1105">
        <v>0</v>
      </c>
      <c r="P1105">
        <v>0</v>
      </c>
    </row>
    <row r="1106" spans="1:16" x14ac:dyDescent="0.25">
      <c r="A1106" t="s">
        <v>548</v>
      </c>
      <c r="B1106" t="s">
        <v>549</v>
      </c>
      <c r="C1106">
        <v>5987</v>
      </c>
      <c r="D1106" t="s">
        <v>48</v>
      </c>
      <c r="E1106" t="s">
        <v>49</v>
      </c>
      <c r="F1106">
        <v>64624</v>
      </c>
      <c r="G11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6">
        <v>3.9659</v>
      </c>
      <c r="J1106" t="str">
        <f>IF(ISBLANK(Table13[[#This Row],[Rating]]), "No", "Yes")</f>
        <v>Yes</v>
      </c>
      <c r="K1106" t="str">
        <f>IF(ISBLANK(Table13[[#This Row],[Rating]]), "Not Rated", IF(Table13[[#This Row],[Rating]] &lt; 3, "Low", IF(Table13[[#This Row],[Rating]] &lt; 4, "Medium", "High")))</f>
        <v>Medium</v>
      </c>
      <c r="L1106">
        <v>1439</v>
      </c>
      <c r="M1106">
        <v>22</v>
      </c>
      <c r="N1106" t="str">
        <f>IF(Table13[[#This Row],[Price USD]]&lt;20,"Budget",IF(Table13[[#This Row],[Price USD]]&lt;=50,"Mid-range","Premium"))</f>
        <v>Mid-range</v>
      </c>
      <c r="O1106">
        <v>0</v>
      </c>
      <c r="P1106">
        <v>1</v>
      </c>
    </row>
    <row r="1107" spans="1:16" x14ac:dyDescent="0.25">
      <c r="A1107" t="s">
        <v>546</v>
      </c>
      <c r="B1107" t="s">
        <v>547</v>
      </c>
      <c r="C1107">
        <v>5972</v>
      </c>
      <c r="D1107" t="s">
        <v>54</v>
      </c>
      <c r="E1107" t="s">
        <v>21</v>
      </c>
      <c r="F1107">
        <v>64785</v>
      </c>
      <c r="G11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7">
        <v>4.0008999999999997</v>
      </c>
      <c r="J1107" t="str">
        <f>IF(ISBLANK(Table13[[#This Row],[Rating]]), "No", "Yes")</f>
        <v>Yes</v>
      </c>
      <c r="K1107" t="str">
        <f>IF(ISBLANK(Table13[[#This Row],[Rating]]), "Not Rated", IF(Table13[[#This Row],[Rating]] &lt; 3, "Low", IF(Table13[[#This Row],[Rating]] &lt; 4, "Medium", "High")))</f>
        <v>High</v>
      </c>
      <c r="L1107">
        <v>1072</v>
      </c>
      <c r="M1107">
        <v>36</v>
      </c>
      <c r="N1107" t="str">
        <f>IF(Table13[[#This Row],[Price USD]]&lt;20,"Budget",IF(Table13[[#This Row],[Price USD]]&lt;=50,"Mid-range","Premium"))</f>
        <v>Mid-range</v>
      </c>
      <c r="O1107">
        <v>0</v>
      </c>
      <c r="P1107">
        <v>0</v>
      </c>
    </row>
    <row r="1108" spans="1:16" x14ac:dyDescent="0.25">
      <c r="A1108" t="s">
        <v>544</v>
      </c>
      <c r="B1108" t="s">
        <v>545</v>
      </c>
      <c r="C1108">
        <v>2000</v>
      </c>
      <c r="D1108" t="s">
        <v>362</v>
      </c>
      <c r="E1108" t="s">
        <v>21</v>
      </c>
      <c r="F1108">
        <v>64871</v>
      </c>
      <c r="G11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8">
        <v>3.9091</v>
      </c>
      <c r="J1108" t="str">
        <f>IF(ISBLANK(Table13[[#This Row],[Rating]]), "No", "Yes")</f>
        <v>Yes</v>
      </c>
      <c r="K1108" t="str">
        <f>IF(ISBLANK(Table13[[#This Row],[Rating]]), "Not Rated", IF(Table13[[#This Row],[Rating]] &lt; 3, "Low", IF(Table13[[#This Row],[Rating]] &lt; 4, "Medium", "High")))</f>
        <v>Medium</v>
      </c>
      <c r="L1108">
        <v>187</v>
      </c>
      <c r="M1108">
        <v>12</v>
      </c>
      <c r="N1108" t="str">
        <f>IF(Table13[[#This Row],[Price USD]]&lt;20,"Budget",IF(Table13[[#This Row],[Price USD]]&lt;=50,"Mid-range","Premium"))</f>
        <v>Budget</v>
      </c>
      <c r="O1108">
        <v>0</v>
      </c>
      <c r="P1108">
        <v>0</v>
      </c>
    </row>
    <row r="1109" spans="1:16" x14ac:dyDescent="0.25">
      <c r="A1109" t="s">
        <v>542</v>
      </c>
      <c r="B1109" t="s">
        <v>543</v>
      </c>
      <c r="C1109">
        <v>6175</v>
      </c>
      <c r="D1109" t="s">
        <v>338</v>
      </c>
      <c r="E1109" t="s">
        <v>149</v>
      </c>
      <c r="F1109">
        <v>64892</v>
      </c>
      <c r="G11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09">
        <v>4.0049000000000001</v>
      </c>
      <c r="J1109" t="str">
        <f>IF(ISBLANK(Table13[[#This Row],[Rating]]), "No", "Yes")</f>
        <v>Yes</v>
      </c>
      <c r="K1109" t="str">
        <f>IF(ISBLANK(Table13[[#This Row],[Rating]]), "Not Rated", IF(Table13[[#This Row],[Rating]] &lt; 3, "Low", IF(Table13[[#This Row],[Rating]] &lt; 4, "Medium", "High")))</f>
        <v>High</v>
      </c>
      <c r="L1109">
        <v>1024</v>
      </c>
      <c r="M1109">
        <v>49.5</v>
      </c>
      <c r="N1109" t="str">
        <f>IF(Table13[[#This Row],[Price USD]]&lt;20,"Budget",IF(Table13[[#This Row],[Price USD]]&lt;=50,"Mid-range","Premium"))</f>
        <v>Mid-range</v>
      </c>
      <c r="O1109">
        <v>0</v>
      </c>
      <c r="P1109">
        <v>0</v>
      </c>
    </row>
    <row r="1110" spans="1:16" x14ac:dyDescent="0.25">
      <c r="A1110" t="s">
        <v>540</v>
      </c>
      <c r="B1110" t="s">
        <v>541</v>
      </c>
      <c r="C1110">
        <v>6041</v>
      </c>
      <c r="D1110" t="s">
        <v>33</v>
      </c>
      <c r="E1110" t="s">
        <v>144</v>
      </c>
      <c r="F1110">
        <v>65016</v>
      </c>
      <c r="G11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0">
        <v>4.3975999999999997</v>
      </c>
      <c r="J1110" t="str">
        <f>IF(ISBLANK(Table13[[#This Row],[Rating]]), "No", "Yes")</f>
        <v>Yes</v>
      </c>
      <c r="K1110" t="str">
        <f>IF(ISBLANK(Table13[[#This Row],[Rating]]), "Not Rated", IF(Table13[[#This Row],[Rating]] &lt; 3, "Low", IF(Table13[[#This Row],[Rating]] &lt; 4, "Medium", "High")))</f>
        <v>High</v>
      </c>
      <c r="L1110">
        <v>1831</v>
      </c>
      <c r="M1110">
        <v>24</v>
      </c>
      <c r="N1110" t="str">
        <f>IF(Table13[[#This Row],[Price USD]]&lt;20,"Budget",IF(Table13[[#This Row],[Price USD]]&lt;=50,"Mid-range","Premium"))</f>
        <v>Mid-range</v>
      </c>
      <c r="O1110">
        <v>0</v>
      </c>
      <c r="P1110">
        <v>0</v>
      </c>
    </row>
    <row r="1111" spans="1:16" x14ac:dyDescent="0.25">
      <c r="A1111" t="s">
        <v>538</v>
      </c>
      <c r="B1111" t="s">
        <v>539</v>
      </c>
      <c r="C1111">
        <v>6234</v>
      </c>
      <c r="D1111" t="s">
        <v>7</v>
      </c>
      <c r="E1111" t="s">
        <v>8</v>
      </c>
      <c r="F1111">
        <v>65023</v>
      </c>
      <c r="G11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1">
        <v>4.3316999999999997</v>
      </c>
      <c r="J1111" t="str">
        <f>IF(ISBLANK(Table13[[#This Row],[Rating]]), "No", "Yes")</f>
        <v>Yes</v>
      </c>
      <c r="K1111" t="str">
        <f>IF(ISBLANK(Table13[[#This Row],[Rating]]), "Not Rated", IF(Table13[[#This Row],[Rating]] &lt; 3, "Low", IF(Table13[[#This Row],[Rating]] &lt; 4, "Medium", "High")))</f>
        <v>High</v>
      </c>
      <c r="L1111">
        <v>202</v>
      </c>
      <c r="M1111">
        <v>6.4</v>
      </c>
      <c r="N1111" t="str">
        <f>IF(Table13[[#This Row],[Price USD]]&lt;20,"Budget",IF(Table13[[#This Row],[Price USD]]&lt;=50,"Mid-range","Premium"))</f>
        <v>Budget</v>
      </c>
      <c r="O1111">
        <v>0</v>
      </c>
      <c r="P1111">
        <v>0</v>
      </c>
    </row>
    <row r="1112" spans="1:16" x14ac:dyDescent="0.25">
      <c r="A1112" t="s">
        <v>536</v>
      </c>
      <c r="B1112" t="s">
        <v>537</v>
      </c>
      <c r="C1112">
        <v>6234</v>
      </c>
      <c r="D1112" t="s">
        <v>7</v>
      </c>
      <c r="E1112" t="s">
        <v>21</v>
      </c>
      <c r="F1112">
        <v>65051</v>
      </c>
      <c r="G11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2">
        <v>4.1708999999999996</v>
      </c>
      <c r="J1112" t="str">
        <f>IF(ISBLANK(Table13[[#This Row],[Rating]]), "No", "Yes")</f>
        <v>Yes</v>
      </c>
      <c r="K1112" t="str">
        <f>IF(ISBLANK(Table13[[#This Row],[Rating]]), "Not Rated", IF(Table13[[#This Row],[Rating]] &lt; 3, "Low", IF(Table13[[#This Row],[Rating]] &lt; 4, "Medium", "High")))</f>
        <v>High</v>
      </c>
      <c r="L1112">
        <v>357</v>
      </c>
      <c r="M1112">
        <v>7.5</v>
      </c>
      <c r="N1112" t="str">
        <f>IF(Table13[[#This Row],[Price USD]]&lt;20,"Budget",IF(Table13[[#This Row],[Price USD]]&lt;=50,"Mid-range","Premium"))</f>
        <v>Budget</v>
      </c>
      <c r="O1112">
        <v>0</v>
      </c>
      <c r="P1112">
        <v>0</v>
      </c>
    </row>
    <row r="1113" spans="1:16" x14ac:dyDescent="0.25">
      <c r="A1113" t="s">
        <v>534</v>
      </c>
      <c r="B1113" t="s">
        <v>535</v>
      </c>
      <c r="C1113">
        <v>6084</v>
      </c>
      <c r="D1113" t="s">
        <v>269</v>
      </c>
      <c r="E1113" t="s">
        <v>69</v>
      </c>
      <c r="F1113">
        <v>65151</v>
      </c>
      <c r="G11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3">
        <v>4.2972000000000001</v>
      </c>
      <c r="J1113" t="str">
        <f>IF(ISBLANK(Table13[[#This Row],[Rating]]), "No", "Yes")</f>
        <v>Yes</v>
      </c>
      <c r="K1113" t="str">
        <f>IF(ISBLANK(Table13[[#This Row],[Rating]]), "Not Rated", IF(Table13[[#This Row],[Rating]] &lt; 3, "Low", IF(Table13[[#This Row],[Rating]] &lt; 4, "Medium", "High")))</f>
        <v>High</v>
      </c>
      <c r="L1113">
        <v>434</v>
      </c>
      <c r="M1113">
        <v>145</v>
      </c>
      <c r="N1113" t="str">
        <f>IF(Table13[[#This Row],[Price USD]]&lt;20,"Budget",IF(Table13[[#This Row],[Price USD]]&lt;=50,"Mid-range","Premium"))</f>
        <v>Premium</v>
      </c>
      <c r="O1113">
        <v>0</v>
      </c>
      <c r="P1113">
        <v>0</v>
      </c>
    </row>
    <row r="1114" spans="1:16" x14ac:dyDescent="0.25">
      <c r="A1114" t="s">
        <v>532</v>
      </c>
      <c r="B1114" t="s">
        <v>533</v>
      </c>
      <c r="C1114">
        <v>4348</v>
      </c>
      <c r="D1114" t="s">
        <v>61</v>
      </c>
      <c r="E1114" t="s">
        <v>144</v>
      </c>
      <c r="F1114">
        <v>65185</v>
      </c>
      <c r="G11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4">
        <v>4.125</v>
      </c>
      <c r="J1114" t="str">
        <f>IF(ISBLANK(Table13[[#This Row],[Rating]]), "No", "Yes")</f>
        <v>Yes</v>
      </c>
      <c r="K1114" t="str">
        <f>IF(ISBLANK(Table13[[#This Row],[Rating]]), "Not Rated", IF(Table13[[#This Row],[Rating]] &lt; 3, "Low", IF(Table13[[#This Row],[Rating]] &lt; 4, "Medium", "High")))</f>
        <v>High</v>
      </c>
      <c r="L1114">
        <v>336</v>
      </c>
      <c r="M1114">
        <v>26</v>
      </c>
      <c r="N1114" t="str">
        <f>IF(Table13[[#This Row],[Price USD]]&lt;20,"Budget",IF(Table13[[#This Row],[Price USD]]&lt;=50,"Mid-range","Premium"))</f>
        <v>Mid-range</v>
      </c>
      <c r="O1114">
        <v>0</v>
      </c>
      <c r="P1114">
        <v>0</v>
      </c>
    </row>
    <row r="1115" spans="1:16" x14ac:dyDescent="0.25">
      <c r="A1115" t="s">
        <v>530</v>
      </c>
      <c r="B1115" t="s">
        <v>531</v>
      </c>
      <c r="C1115">
        <v>5671</v>
      </c>
      <c r="D1115" t="s">
        <v>393</v>
      </c>
      <c r="E1115" t="s">
        <v>4</v>
      </c>
      <c r="F1115">
        <v>65272</v>
      </c>
      <c r="G11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5">
        <v>4.3796999999999997</v>
      </c>
      <c r="J1115" t="str">
        <f>IF(ISBLANK(Table13[[#This Row],[Rating]]), "No", "Yes")</f>
        <v>Yes</v>
      </c>
      <c r="K1115" t="str">
        <f>IF(ISBLANK(Table13[[#This Row],[Rating]]), "Not Rated", IF(Table13[[#This Row],[Rating]] &lt; 3, "Low", IF(Table13[[#This Row],[Rating]] &lt; 4, "Medium", "High")))</f>
        <v>High</v>
      </c>
      <c r="L1115">
        <v>2399</v>
      </c>
      <c r="M1115">
        <v>7</v>
      </c>
      <c r="N1115" t="str">
        <f>IF(Table13[[#This Row],[Price USD]]&lt;20,"Budget",IF(Table13[[#This Row],[Price USD]]&lt;=50,"Mid-range","Premium"))</f>
        <v>Budget</v>
      </c>
      <c r="O1115">
        <v>0</v>
      </c>
      <c r="P1115">
        <v>0</v>
      </c>
    </row>
    <row r="1116" spans="1:16" x14ac:dyDescent="0.25">
      <c r="A1116" t="s">
        <v>528</v>
      </c>
      <c r="B1116" t="s">
        <v>529</v>
      </c>
      <c r="C1116">
        <v>4348</v>
      </c>
      <c r="D1116" t="s">
        <v>61</v>
      </c>
      <c r="E1116" t="s">
        <v>69</v>
      </c>
      <c r="F1116">
        <v>65834</v>
      </c>
      <c r="G11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6">
        <v>4.2919</v>
      </c>
      <c r="J1116" t="str">
        <f>IF(ISBLANK(Table13[[#This Row],[Rating]]), "No", "Yes")</f>
        <v>Yes</v>
      </c>
      <c r="K1116" t="str">
        <f>IF(ISBLANK(Table13[[#This Row],[Rating]]), "Not Rated", IF(Table13[[#This Row],[Rating]] &lt; 3, "Low", IF(Table13[[#This Row],[Rating]] &lt; 4, "Medium", "High")))</f>
        <v>High</v>
      </c>
      <c r="L1116">
        <v>908</v>
      </c>
      <c r="M1116">
        <v>96</v>
      </c>
      <c r="N1116" t="str">
        <f>IF(Table13[[#This Row],[Price USD]]&lt;20,"Budget",IF(Table13[[#This Row],[Price USD]]&lt;=50,"Mid-range","Premium"))</f>
        <v>Premium</v>
      </c>
      <c r="O1116">
        <v>0</v>
      </c>
      <c r="P1116">
        <v>0</v>
      </c>
    </row>
    <row r="1117" spans="1:16" x14ac:dyDescent="0.25">
      <c r="A1117" t="s">
        <v>526</v>
      </c>
      <c r="B1117" t="s">
        <v>527</v>
      </c>
      <c r="C1117">
        <v>6285</v>
      </c>
      <c r="D1117" t="s">
        <v>119</v>
      </c>
      <c r="E1117" t="s">
        <v>8</v>
      </c>
      <c r="F1117">
        <v>66477</v>
      </c>
      <c r="G11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7">
        <v>4.3102999999999998</v>
      </c>
      <c r="J1117" t="str">
        <f>IF(ISBLANK(Table13[[#This Row],[Rating]]), "No", "Yes")</f>
        <v>Yes</v>
      </c>
      <c r="K1117" t="str">
        <f>IF(ISBLANK(Table13[[#This Row],[Rating]]), "Not Rated", IF(Table13[[#This Row],[Rating]] &lt; 3, "Low", IF(Table13[[#This Row],[Rating]] &lt; 4, "Medium", "High")))</f>
        <v>High</v>
      </c>
      <c r="L1117">
        <v>580</v>
      </c>
      <c r="M1117">
        <v>12.99</v>
      </c>
      <c r="N1117" t="str">
        <f>IF(Table13[[#This Row],[Price USD]]&lt;20,"Budget",IF(Table13[[#This Row],[Price USD]]&lt;=50,"Mid-range","Premium"))</f>
        <v>Budget</v>
      </c>
      <c r="O1117">
        <v>0</v>
      </c>
      <c r="P1117">
        <v>0</v>
      </c>
    </row>
    <row r="1118" spans="1:16" x14ac:dyDescent="0.25">
      <c r="A1118" t="s">
        <v>524</v>
      </c>
      <c r="B1118" t="s">
        <v>525</v>
      </c>
      <c r="C1118">
        <v>6073</v>
      </c>
      <c r="D1118" t="s">
        <v>78</v>
      </c>
      <c r="E1118" t="s">
        <v>8</v>
      </c>
      <c r="F1118">
        <v>66551</v>
      </c>
      <c r="G11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8">
        <v>4.2016</v>
      </c>
      <c r="J1118" t="str">
        <f>IF(ISBLANK(Table13[[#This Row],[Rating]]), "No", "Yes")</f>
        <v>Yes</v>
      </c>
      <c r="K1118" t="str">
        <f>IF(ISBLANK(Table13[[#This Row],[Rating]]), "Not Rated", IF(Table13[[#This Row],[Rating]] &lt; 3, "Low", IF(Table13[[#This Row],[Rating]] &lt; 4, "Medium", "High")))</f>
        <v>High</v>
      </c>
      <c r="L1118">
        <v>516</v>
      </c>
      <c r="M1118">
        <v>85</v>
      </c>
      <c r="N1118" t="str">
        <f>IF(Table13[[#This Row],[Price USD]]&lt;20,"Budget",IF(Table13[[#This Row],[Price USD]]&lt;=50,"Mid-range","Premium"))</f>
        <v>Premium</v>
      </c>
      <c r="O1118">
        <v>0</v>
      </c>
      <c r="P1118">
        <v>0</v>
      </c>
    </row>
    <row r="1119" spans="1:16" x14ac:dyDescent="0.25">
      <c r="A1119" t="s">
        <v>522</v>
      </c>
      <c r="B1119" t="s">
        <v>523</v>
      </c>
      <c r="C1119">
        <v>4171</v>
      </c>
      <c r="D1119" t="s">
        <v>133</v>
      </c>
      <c r="E1119" t="s">
        <v>21</v>
      </c>
      <c r="F1119">
        <v>66634</v>
      </c>
      <c r="G11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19">
        <v>4.2691999999999997</v>
      </c>
      <c r="J1119" t="str">
        <f>IF(ISBLANK(Table13[[#This Row],[Rating]]), "No", "Yes")</f>
        <v>Yes</v>
      </c>
      <c r="K1119" t="str">
        <f>IF(ISBLANK(Table13[[#This Row],[Rating]]), "Not Rated", IF(Table13[[#This Row],[Rating]] &lt; 3, "Low", IF(Table13[[#This Row],[Rating]] &lt; 4, "Medium", "High")))</f>
        <v>High</v>
      </c>
      <c r="L1119">
        <v>535</v>
      </c>
      <c r="M1119">
        <v>59</v>
      </c>
      <c r="N1119" t="str">
        <f>IF(Table13[[#This Row],[Price USD]]&lt;20,"Budget",IF(Table13[[#This Row],[Price USD]]&lt;=50,"Mid-range","Premium"))</f>
        <v>Premium</v>
      </c>
      <c r="O1119">
        <v>0</v>
      </c>
      <c r="P1119">
        <v>0</v>
      </c>
    </row>
    <row r="1120" spans="1:16" x14ac:dyDescent="0.25">
      <c r="A1120" t="s">
        <v>520</v>
      </c>
      <c r="B1120" t="s">
        <v>521</v>
      </c>
      <c r="C1120">
        <v>5987</v>
      </c>
      <c r="D1120" t="s">
        <v>48</v>
      </c>
      <c r="E1120" t="s">
        <v>144</v>
      </c>
      <c r="F1120">
        <v>66960</v>
      </c>
      <c r="G11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0">
        <v>4.2603999999999997</v>
      </c>
      <c r="J1120" t="str">
        <f>IF(ISBLANK(Table13[[#This Row],[Rating]]), "No", "Yes")</f>
        <v>Yes</v>
      </c>
      <c r="K1120" t="str">
        <f>IF(ISBLANK(Table13[[#This Row],[Rating]]), "Not Rated", IF(Table13[[#This Row],[Rating]] &lt; 3, "Low", IF(Table13[[#This Row],[Rating]] &lt; 4, "Medium", "High")))</f>
        <v>High</v>
      </c>
      <c r="L1120">
        <v>3260</v>
      </c>
      <c r="M1120">
        <v>22</v>
      </c>
      <c r="N1120" t="str">
        <f>IF(Table13[[#This Row],[Price USD]]&lt;20,"Budget",IF(Table13[[#This Row],[Price USD]]&lt;=50,"Mid-range","Premium"))</f>
        <v>Mid-range</v>
      </c>
      <c r="O1120">
        <v>0</v>
      </c>
      <c r="P1120">
        <v>0</v>
      </c>
    </row>
    <row r="1121" spans="1:16" x14ac:dyDescent="0.25">
      <c r="A1121" t="s">
        <v>518</v>
      </c>
      <c r="B1121" t="s">
        <v>519</v>
      </c>
      <c r="C1121">
        <v>6285</v>
      </c>
      <c r="D1121" t="s">
        <v>119</v>
      </c>
      <c r="E1121" t="s">
        <v>8</v>
      </c>
      <c r="F1121">
        <v>67403</v>
      </c>
      <c r="G11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1">
        <v>3.8502999999999998</v>
      </c>
      <c r="J1121" t="str">
        <f>IF(ISBLANK(Table13[[#This Row],[Rating]]), "No", "Yes")</f>
        <v>Yes</v>
      </c>
      <c r="K1121" t="str">
        <f>IF(ISBLANK(Table13[[#This Row],[Rating]]), "Not Rated", IF(Table13[[#This Row],[Rating]] &lt; 3, "Low", IF(Table13[[#This Row],[Rating]] &lt; 4, "Medium", "High")))</f>
        <v>Medium</v>
      </c>
      <c r="L1121">
        <v>915</v>
      </c>
      <c r="M1121">
        <v>9.99</v>
      </c>
      <c r="N1121" t="str">
        <f>IF(Table13[[#This Row],[Price USD]]&lt;20,"Budget",IF(Table13[[#This Row],[Price USD]]&lt;=50,"Mid-range","Premium"))</f>
        <v>Budget</v>
      </c>
      <c r="O1121">
        <v>0</v>
      </c>
      <c r="P1121">
        <v>0</v>
      </c>
    </row>
    <row r="1122" spans="1:16" x14ac:dyDescent="0.25">
      <c r="A1122" t="s">
        <v>515</v>
      </c>
      <c r="B1122" t="s">
        <v>516</v>
      </c>
      <c r="C1122">
        <v>6018</v>
      </c>
      <c r="D1122" t="s">
        <v>517</v>
      </c>
      <c r="E1122" t="s">
        <v>8</v>
      </c>
      <c r="F1122">
        <v>67870</v>
      </c>
      <c r="G11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2">
        <v>4.0259</v>
      </c>
      <c r="J1122" t="str">
        <f>IF(ISBLANK(Table13[[#This Row],[Rating]]), "No", "Yes")</f>
        <v>Yes</v>
      </c>
      <c r="K1122" t="str">
        <f>IF(ISBLANK(Table13[[#This Row],[Rating]]), "Not Rated", IF(Table13[[#This Row],[Rating]] &lt; 3, "Low", IF(Table13[[#This Row],[Rating]] &lt; 4, "Medium", "High")))</f>
        <v>High</v>
      </c>
      <c r="L1122">
        <v>1159</v>
      </c>
      <c r="M1122">
        <v>115</v>
      </c>
      <c r="N1122" t="str">
        <f>IF(Table13[[#This Row],[Price USD]]&lt;20,"Budget",IF(Table13[[#This Row],[Price USD]]&lt;=50,"Mid-range","Premium"))</f>
        <v>Premium</v>
      </c>
      <c r="O1122">
        <v>0</v>
      </c>
      <c r="P1122">
        <v>0</v>
      </c>
    </row>
    <row r="1123" spans="1:16" x14ac:dyDescent="0.25">
      <c r="A1123" t="s">
        <v>513</v>
      </c>
      <c r="B1123" t="s">
        <v>514</v>
      </c>
      <c r="C1123">
        <v>6218</v>
      </c>
      <c r="D1123" t="s">
        <v>116</v>
      </c>
      <c r="E1123" t="s">
        <v>149</v>
      </c>
      <c r="F1123">
        <v>68043</v>
      </c>
      <c r="G11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3">
        <v>3.9994000000000001</v>
      </c>
      <c r="J1123" t="str">
        <f>IF(ISBLANK(Table13[[#This Row],[Rating]]), "No", "Yes")</f>
        <v>Yes</v>
      </c>
      <c r="K1123" t="str">
        <f>IF(ISBLANK(Table13[[#This Row],[Rating]]), "Not Rated", IF(Table13[[#This Row],[Rating]] &lt; 3, "Low", IF(Table13[[#This Row],[Rating]] &lt; 4, "Medium", "High")))</f>
        <v>Medium</v>
      </c>
      <c r="L1123">
        <v>1668</v>
      </c>
      <c r="M1123">
        <v>36</v>
      </c>
      <c r="N1123" t="str">
        <f>IF(Table13[[#This Row],[Price USD]]&lt;20,"Budget",IF(Table13[[#This Row],[Price USD]]&lt;=50,"Mid-range","Premium"))</f>
        <v>Mid-range</v>
      </c>
      <c r="O1123">
        <v>0</v>
      </c>
      <c r="P1123">
        <v>0</v>
      </c>
    </row>
    <row r="1124" spans="1:16" x14ac:dyDescent="0.25">
      <c r="A1124" t="s">
        <v>511</v>
      </c>
      <c r="B1124" t="s">
        <v>512</v>
      </c>
      <c r="C1124">
        <v>5987</v>
      </c>
      <c r="D1124" t="s">
        <v>48</v>
      </c>
      <c r="E1124" t="s">
        <v>49</v>
      </c>
      <c r="F1124">
        <v>68453</v>
      </c>
      <c r="G11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4">
        <v>4.0426000000000002</v>
      </c>
      <c r="J1124" t="str">
        <f>IF(ISBLANK(Table13[[#This Row],[Rating]]), "No", "Yes")</f>
        <v>Yes</v>
      </c>
      <c r="K1124" t="str">
        <f>IF(ISBLANK(Table13[[#This Row],[Rating]]), "Not Rated", IF(Table13[[#This Row],[Rating]] &lt; 3, "Low", IF(Table13[[#This Row],[Rating]] &lt; 4, "Medium", "High")))</f>
        <v>High</v>
      </c>
      <c r="L1124">
        <v>376</v>
      </c>
      <c r="M1124">
        <v>35</v>
      </c>
      <c r="N1124" t="str">
        <f>IF(Table13[[#This Row],[Price USD]]&lt;20,"Budget",IF(Table13[[#This Row],[Price USD]]&lt;=50,"Mid-range","Premium"))</f>
        <v>Mid-range</v>
      </c>
      <c r="O1124">
        <v>0</v>
      </c>
      <c r="P1124">
        <v>0</v>
      </c>
    </row>
    <row r="1125" spans="1:16" x14ac:dyDescent="0.25">
      <c r="A1125" t="s">
        <v>509</v>
      </c>
      <c r="B1125" t="s">
        <v>510</v>
      </c>
      <c r="C1125">
        <v>6247</v>
      </c>
      <c r="D1125" t="s">
        <v>38</v>
      </c>
      <c r="E1125" t="s">
        <v>69</v>
      </c>
      <c r="F1125">
        <v>68583</v>
      </c>
      <c r="G11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5">
        <v>4.4086999999999996</v>
      </c>
      <c r="J1125" t="str">
        <f>IF(ISBLANK(Table13[[#This Row],[Rating]]), "No", "Yes")</f>
        <v>Yes</v>
      </c>
      <c r="K1125" t="str">
        <f>IF(ISBLANK(Table13[[#This Row],[Rating]]), "Not Rated", IF(Table13[[#This Row],[Rating]] &lt; 3, "Low", IF(Table13[[#This Row],[Rating]] &lt; 4, "Medium", "High")))</f>
        <v>High</v>
      </c>
      <c r="L1125">
        <v>531</v>
      </c>
      <c r="M1125">
        <v>49</v>
      </c>
      <c r="N1125" t="str">
        <f>IF(Table13[[#This Row],[Price USD]]&lt;20,"Budget",IF(Table13[[#This Row],[Price USD]]&lt;=50,"Mid-range","Premium"))</f>
        <v>Mid-range</v>
      </c>
      <c r="O1125">
        <v>0</v>
      </c>
      <c r="P1125">
        <v>0</v>
      </c>
    </row>
    <row r="1126" spans="1:16" x14ac:dyDescent="0.25">
      <c r="A1126" t="s">
        <v>507</v>
      </c>
      <c r="B1126" t="s">
        <v>508</v>
      </c>
      <c r="C1126">
        <v>6117</v>
      </c>
      <c r="D1126" t="s">
        <v>229</v>
      </c>
      <c r="E1126" t="s">
        <v>21</v>
      </c>
      <c r="F1126">
        <v>68960</v>
      </c>
      <c r="G11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6">
        <v>4.2461000000000002</v>
      </c>
      <c r="J1126" t="str">
        <f>IF(ISBLANK(Table13[[#This Row],[Rating]]), "No", "Yes")</f>
        <v>Yes</v>
      </c>
      <c r="K1126" t="str">
        <f>IF(ISBLANK(Table13[[#This Row],[Rating]]), "Not Rated", IF(Table13[[#This Row],[Rating]] &lt; 3, "Low", IF(Table13[[#This Row],[Rating]] &lt; 4, "Medium", "High")))</f>
        <v>High</v>
      </c>
      <c r="L1126">
        <v>959</v>
      </c>
      <c r="M1126">
        <v>74</v>
      </c>
      <c r="N1126" t="str">
        <f>IF(Table13[[#This Row],[Price USD]]&lt;20,"Budget",IF(Table13[[#This Row],[Price USD]]&lt;=50,"Mid-range","Premium"))</f>
        <v>Premium</v>
      </c>
      <c r="O1126">
        <v>0</v>
      </c>
      <c r="P1126">
        <v>0</v>
      </c>
    </row>
    <row r="1127" spans="1:16" x14ac:dyDescent="0.25">
      <c r="A1127" t="s">
        <v>505</v>
      </c>
      <c r="B1127" t="s">
        <v>506</v>
      </c>
      <c r="C1127">
        <v>1254</v>
      </c>
      <c r="D1127" t="s">
        <v>136</v>
      </c>
      <c r="E1127" t="s">
        <v>149</v>
      </c>
      <c r="F1127">
        <v>68979</v>
      </c>
      <c r="G11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7">
        <v>4.1444000000000001</v>
      </c>
      <c r="J1127" t="str">
        <f>IF(ISBLANK(Table13[[#This Row],[Rating]]), "No", "Yes")</f>
        <v>Yes</v>
      </c>
      <c r="K1127" t="str">
        <f>IF(ISBLANK(Table13[[#This Row],[Rating]]), "Not Rated", IF(Table13[[#This Row],[Rating]] &lt; 3, "Low", IF(Table13[[#This Row],[Rating]] &lt; 4, "Medium", "High")))</f>
        <v>High</v>
      </c>
      <c r="L1127">
        <v>1614</v>
      </c>
      <c r="M1127">
        <v>37</v>
      </c>
      <c r="N1127" t="str">
        <f>IF(Table13[[#This Row],[Price USD]]&lt;20,"Budget",IF(Table13[[#This Row],[Price USD]]&lt;=50,"Mid-range","Premium"))</f>
        <v>Mid-range</v>
      </c>
      <c r="O1127">
        <v>0</v>
      </c>
      <c r="P1127">
        <v>0</v>
      </c>
    </row>
    <row r="1128" spans="1:16" x14ac:dyDescent="0.25">
      <c r="A1128" t="s">
        <v>503</v>
      </c>
      <c r="B1128" t="s">
        <v>504</v>
      </c>
      <c r="C1128">
        <v>6285</v>
      </c>
      <c r="D1128" t="s">
        <v>119</v>
      </c>
      <c r="E1128" t="s">
        <v>21</v>
      </c>
      <c r="F1128">
        <v>69215</v>
      </c>
      <c r="G11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8">
        <v>3.7913000000000001</v>
      </c>
      <c r="J1128" t="str">
        <f>IF(ISBLANK(Table13[[#This Row],[Rating]]), "No", "Yes")</f>
        <v>Yes</v>
      </c>
      <c r="K1128" t="str">
        <f>IF(ISBLANK(Table13[[#This Row],[Rating]]), "Not Rated", IF(Table13[[#This Row],[Rating]] &lt; 3, "Low", IF(Table13[[#This Row],[Rating]] &lt; 4, "Medium", "High")))</f>
        <v>Medium</v>
      </c>
      <c r="L1128">
        <v>781</v>
      </c>
      <c r="M1128">
        <v>15.99</v>
      </c>
      <c r="N1128" t="str">
        <f>IF(Table13[[#This Row],[Price USD]]&lt;20,"Budget",IF(Table13[[#This Row],[Price USD]]&lt;=50,"Mid-range","Premium"))</f>
        <v>Budget</v>
      </c>
      <c r="O1128">
        <v>0</v>
      </c>
      <c r="P1128">
        <v>0</v>
      </c>
    </row>
    <row r="1129" spans="1:16" x14ac:dyDescent="0.25">
      <c r="A1129" t="s">
        <v>501</v>
      </c>
      <c r="B1129" t="s">
        <v>502</v>
      </c>
      <c r="C1129">
        <v>5648</v>
      </c>
      <c r="D1129" t="s">
        <v>408</v>
      </c>
      <c r="E1129" t="s">
        <v>347</v>
      </c>
      <c r="F1129">
        <v>69366</v>
      </c>
      <c r="G11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29">
        <v>4.1787999999999998</v>
      </c>
      <c r="J1129" t="str">
        <f>IF(ISBLANK(Table13[[#This Row],[Rating]]), "No", "Yes")</f>
        <v>Yes</v>
      </c>
      <c r="K1129" t="str">
        <f>IF(ISBLANK(Table13[[#This Row],[Rating]]), "Not Rated", IF(Table13[[#This Row],[Rating]] &lt; 3, "Low", IF(Table13[[#This Row],[Rating]] &lt; 4, "Medium", "High")))</f>
        <v>High</v>
      </c>
      <c r="L1129">
        <v>481</v>
      </c>
      <c r="M1129">
        <v>25</v>
      </c>
      <c r="N1129" t="str">
        <f>IF(Table13[[#This Row],[Price USD]]&lt;20,"Budget",IF(Table13[[#This Row],[Price USD]]&lt;=50,"Mid-range","Premium"))</f>
        <v>Mid-range</v>
      </c>
      <c r="O1129">
        <v>0</v>
      </c>
      <c r="P1129">
        <v>0</v>
      </c>
    </row>
    <row r="1130" spans="1:16" x14ac:dyDescent="0.25">
      <c r="A1130" t="s">
        <v>499</v>
      </c>
      <c r="B1130" t="s">
        <v>500</v>
      </c>
      <c r="C1130">
        <v>6073</v>
      </c>
      <c r="D1130" t="s">
        <v>78</v>
      </c>
      <c r="E1130" t="s">
        <v>21</v>
      </c>
      <c r="F1130">
        <v>69459</v>
      </c>
      <c r="G11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0">
        <v>4.3299000000000003</v>
      </c>
      <c r="J1130" t="str">
        <f>IF(ISBLANK(Table13[[#This Row],[Rating]]), "No", "Yes")</f>
        <v>Yes</v>
      </c>
      <c r="K1130" t="str">
        <f>IF(ISBLANK(Table13[[#This Row],[Rating]]), "Not Rated", IF(Table13[[#This Row],[Rating]] &lt; 3, "Low", IF(Table13[[#This Row],[Rating]] &lt; 4, "Medium", "High")))</f>
        <v>High</v>
      </c>
      <c r="L1130">
        <v>585</v>
      </c>
      <c r="M1130">
        <v>72</v>
      </c>
      <c r="N1130" t="str">
        <f>IF(Table13[[#This Row],[Price USD]]&lt;20,"Budget",IF(Table13[[#This Row],[Price USD]]&lt;=50,"Mid-range","Premium"))</f>
        <v>Premium</v>
      </c>
      <c r="O1130">
        <v>0</v>
      </c>
      <c r="P1130">
        <v>0</v>
      </c>
    </row>
    <row r="1131" spans="1:16" x14ac:dyDescent="0.25">
      <c r="A1131" t="s">
        <v>497</v>
      </c>
      <c r="B1131" t="s">
        <v>498</v>
      </c>
      <c r="C1131">
        <v>3728</v>
      </c>
      <c r="D1131" t="s">
        <v>458</v>
      </c>
      <c r="E1131" t="s">
        <v>69</v>
      </c>
      <c r="F1131">
        <v>69468</v>
      </c>
      <c r="G11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1">
        <v>4.5110999999999999</v>
      </c>
      <c r="J1131" t="str">
        <f>IF(ISBLANK(Table13[[#This Row],[Rating]]), "No", "Yes")</f>
        <v>Yes</v>
      </c>
      <c r="K1131" t="str">
        <f>IF(ISBLANK(Table13[[#This Row],[Rating]]), "Not Rated", IF(Table13[[#This Row],[Rating]] &lt; 3, "Low", IF(Table13[[#This Row],[Rating]] &lt; 4, "Medium", "High")))</f>
        <v>High</v>
      </c>
      <c r="L1131">
        <v>1217</v>
      </c>
      <c r="M1131">
        <v>52</v>
      </c>
      <c r="N1131" t="str">
        <f>IF(Table13[[#This Row],[Price USD]]&lt;20,"Budget",IF(Table13[[#This Row],[Price USD]]&lt;=50,"Mid-range","Premium"))</f>
        <v>Premium</v>
      </c>
      <c r="O1131">
        <v>0</v>
      </c>
      <c r="P1131">
        <v>0</v>
      </c>
    </row>
    <row r="1132" spans="1:16" x14ac:dyDescent="0.25">
      <c r="A1132" t="s">
        <v>495</v>
      </c>
      <c r="B1132" t="s">
        <v>496</v>
      </c>
      <c r="C1132">
        <v>6195</v>
      </c>
      <c r="D1132" t="s">
        <v>163</v>
      </c>
      <c r="E1132" t="s">
        <v>21</v>
      </c>
      <c r="F1132">
        <v>69489</v>
      </c>
      <c r="G11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2">
        <v>4.5335999999999999</v>
      </c>
      <c r="J1132" t="str">
        <f>IF(ISBLANK(Table13[[#This Row],[Rating]]), "No", "Yes")</f>
        <v>Yes</v>
      </c>
      <c r="K1132" t="str">
        <f>IF(ISBLANK(Table13[[#This Row],[Rating]]), "Not Rated", IF(Table13[[#This Row],[Rating]] &lt; 3, "Low", IF(Table13[[#This Row],[Rating]] &lt; 4, "Medium", "High")))</f>
        <v>High</v>
      </c>
      <c r="L1132">
        <v>476</v>
      </c>
      <c r="M1132">
        <v>34</v>
      </c>
      <c r="N1132" t="str">
        <f>IF(Table13[[#This Row],[Price USD]]&lt;20,"Budget",IF(Table13[[#This Row],[Price USD]]&lt;=50,"Mid-range","Premium"))</f>
        <v>Mid-range</v>
      </c>
      <c r="O1132">
        <v>0</v>
      </c>
      <c r="P1132">
        <v>0</v>
      </c>
    </row>
    <row r="1133" spans="1:16" x14ac:dyDescent="0.25">
      <c r="A1133" t="s">
        <v>493</v>
      </c>
      <c r="B1133" t="s">
        <v>494</v>
      </c>
      <c r="C1133">
        <v>6189</v>
      </c>
      <c r="D1133" t="s">
        <v>30</v>
      </c>
      <c r="E1133" t="s">
        <v>144</v>
      </c>
      <c r="F1133">
        <v>69635</v>
      </c>
      <c r="G11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3">
        <v>3.7555000000000001</v>
      </c>
      <c r="J1133" t="str">
        <f>IF(ISBLANK(Table13[[#This Row],[Rating]]), "No", "Yes")</f>
        <v>Yes</v>
      </c>
      <c r="K1133" t="str">
        <f>IF(ISBLANK(Table13[[#This Row],[Rating]]), "Not Rated", IF(Table13[[#This Row],[Rating]] &lt; 3, "Low", IF(Table13[[#This Row],[Rating]] &lt; 4, "Medium", "High")))</f>
        <v>Medium</v>
      </c>
      <c r="L1133">
        <v>409</v>
      </c>
      <c r="M1133">
        <v>21</v>
      </c>
      <c r="N1133" t="str">
        <f>IF(Table13[[#This Row],[Price USD]]&lt;20,"Budget",IF(Table13[[#This Row],[Price USD]]&lt;=50,"Mid-range","Premium"))</f>
        <v>Mid-range</v>
      </c>
      <c r="O1133">
        <v>0</v>
      </c>
      <c r="P1133">
        <v>0</v>
      </c>
    </row>
    <row r="1134" spans="1:16" x14ac:dyDescent="0.25">
      <c r="A1134" t="s">
        <v>491</v>
      </c>
      <c r="B1134" t="s">
        <v>492</v>
      </c>
      <c r="C1134">
        <v>5674</v>
      </c>
      <c r="D1134" t="s">
        <v>141</v>
      </c>
      <c r="E1134" t="s">
        <v>13</v>
      </c>
      <c r="F1134">
        <v>69759</v>
      </c>
      <c r="G11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4">
        <v>4.5597000000000003</v>
      </c>
      <c r="J1134" t="str">
        <f>IF(ISBLANK(Table13[[#This Row],[Rating]]), "No", "Yes")</f>
        <v>Yes</v>
      </c>
      <c r="K1134" t="str">
        <f>IF(ISBLANK(Table13[[#This Row],[Rating]]), "Not Rated", IF(Table13[[#This Row],[Rating]] &lt; 3, "Low", IF(Table13[[#This Row],[Rating]] &lt; 4, "Medium", "High")))</f>
        <v>High</v>
      </c>
      <c r="L1134">
        <v>879</v>
      </c>
      <c r="M1134">
        <v>35</v>
      </c>
      <c r="N1134" t="str">
        <f>IF(Table13[[#This Row],[Price USD]]&lt;20,"Budget",IF(Table13[[#This Row],[Price USD]]&lt;=50,"Mid-range","Premium"))</f>
        <v>Mid-range</v>
      </c>
      <c r="O1134">
        <v>0</v>
      </c>
      <c r="P1134">
        <v>0</v>
      </c>
    </row>
    <row r="1135" spans="1:16" x14ac:dyDescent="0.25">
      <c r="A1135" t="s">
        <v>489</v>
      </c>
      <c r="B1135" t="s">
        <v>490</v>
      </c>
      <c r="C1135">
        <v>5648</v>
      </c>
      <c r="D1135" t="s">
        <v>408</v>
      </c>
      <c r="E1135" t="s">
        <v>21</v>
      </c>
      <c r="F1135">
        <v>70039</v>
      </c>
      <c r="G11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5">
        <v>4.2373000000000003</v>
      </c>
      <c r="J1135" t="str">
        <f>IF(ISBLANK(Table13[[#This Row],[Rating]]), "No", "Yes")</f>
        <v>Yes</v>
      </c>
      <c r="K1135" t="str">
        <f>IF(ISBLANK(Table13[[#This Row],[Rating]]), "Not Rated", IF(Table13[[#This Row],[Rating]] &lt; 3, "Low", IF(Table13[[#This Row],[Rating]] &lt; 4, "Medium", "High")))</f>
        <v>High</v>
      </c>
      <c r="L1135">
        <v>1749</v>
      </c>
      <c r="M1135">
        <v>39</v>
      </c>
      <c r="N1135" t="str">
        <f>IF(Table13[[#This Row],[Price USD]]&lt;20,"Budget",IF(Table13[[#This Row],[Price USD]]&lt;=50,"Mid-range","Premium"))</f>
        <v>Mid-range</v>
      </c>
      <c r="O1135">
        <v>0</v>
      </c>
      <c r="P1135">
        <v>0</v>
      </c>
    </row>
    <row r="1136" spans="1:16" x14ac:dyDescent="0.25">
      <c r="A1136" t="s">
        <v>487</v>
      </c>
      <c r="B1136" t="s">
        <v>488</v>
      </c>
      <c r="C1136">
        <v>6125</v>
      </c>
      <c r="D1136" t="s">
        <v>3</v>
      </c>
      <c r="E1136" t="s">
        <v>220</v>
      </c>
      <c r="F1136">
        <v>71206</v>
      </c>
      <c r="G11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6">
        <v>4.5953999999999997</v>
      </c>
      <c r="J1136" t="str">
        <f>IF(ISBLANK(Table13[[#This Row],[Rating]]), "No", "Yes")</f>
        <v>Yes</v>
      </c>
      <c r="K1136" t="str">
        <f>IF(ISBLANK(Table13[[#This Row],[Rating]]), "Not Rated", IF(Table13[[#This Row],[Rating]] &lt; 3, "Low", IF(Table13[[#This Row],[Rating]] &lt; 4, "Medium", "High")))</f>
        <v>High</v>
      </c>
      <c r="L1136">
        <v>173</v>
      </c>
      <c r="M1136">
        <v>26</v>
      </c>
      <c r="N1136" t="str">
        <f>IF(Table13[[#This Row],[Price USD]]&lt;20,"Budget",IF(Table13[[#This Row],[Price USD]]&lt;=50,"Mid-range","Premium"))</f>
        <v>Mid-range</v>
      </c>
      <c r="O1136">
        <v>1</v>
      </c>
      <c r="P1136">
        <v>0</v>
      </c>
    </row>
    <row r="1137" spans="1:16" x14ac:dyDescent="0.25">
      <c r="A1137" t="s">
        <v>485</v>
      </c>
      <c r="B1137" t="s">
        <v>486</v>
      </c>
      <c r="C1137">
        <v>7083</v>
      </c>
      <c r="D1137" t="s">
        <v>20</v>
      </c>
      <c r="E1137" t="s">
        <v>69</v>
      </c>
      <c r="F1137">
        <v>71224</v>
      </c>
      <c r="G11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7">
        <v>4.1665000000000001</v>
      </c>
      <c r="J1137" t="str">
        <f>IF(ISBLANK(Table13[[#This Row],[Rating]]), "No", "Yes")</f>
        <v>Yes</v>
      </c>
      <c r="K1137" t="str">
        <f>IF(ISBLANK(Table13[[#This Row],[Rating]]), "Not Rated", IF(Table13[[#This Row],[Rating]] &lt; 3, "Low", IF(Table13[[#This Row],[Rating]] &lt; 4, "Medium", "High")))</f>
        <v>High</v>
      </c>
      <c r="L1137">
        <v>1105</v>
      </c>
      <c r="M1137">
        <v>54</v>
      </c>
      <c r="N1137" t="str">
        <f>IF(Table13[[#This Row],[Price USD]]&lt;20,"Budget",IF(Table13[[#This Row],[Price USD]]&lt;=50,"Mid-range","Premium"))</f>
        <v>Premium</v>
      </c>
      <c r="O1137">
        <v>0</v>
      </c>
      <c r="P1137">
        <v>0</v>
      </c>
    </row>
    <row r="1138" spans="1:16" x14ac:dyDescent="0.25">
      <c r="A1138" t="s">
        <v>483</v>
      </c>
      <c r="B1138" t="s">
        <v>484</v>
      </c>
      <c r="C1138">
        <v>6195</v>
      </c>
      <c r="D1138" t="s">
        <v>163</v>
      </c>
      <c r="E1138" t="s">
        <v>8</v>
      </c>
      <c r="F1138">
        <v>72034</v>
      </c>
      <c r="G11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8">
        <v>4.3964999999999996</v>
      </c>
      <c r="J1138" t="str">
        <f>IF(ISBLANK(Table13[[#This Row],[Rating]]), "No", "Yes")</f>
        <v>Yes</v>
      </c>
      <c r="K1138" t="str">
        <f>IF(ISBLANK(Table13[[#This Row],[Rating]]), "Not Rated", IF(Table13[[#This Row],[Rating]] &lt; 3, "Low", IF(Table13[[#This Row],[Rating]] &lt; 4, "Medium", "High")))</f>
        <v>High</v>
      </c>
      <c r="L1138">
        <v>966</v>
      </c>
      <c r="M1138">
        <v>65</v>
      </c>
      <c r="N1138" t="str">
        <f>IF(Table13[[#This Row],[Price USD]]&lt;20,"Budget",IF(Table13[[#This Row],[Price USD]]&lt;=50,"Mid-range","Premium"))</f>
        <v>Premium</v>
      </c>
      <c r="O1138">
        <v>0</v>
      </c>
      <c r="P1138">
        <v>0</v>
      </c>
    </row>
    <row r="1139" spans="1:16" x14ac:dyDescent="0.25">
      <c r="A1139" t="s">
        <v>481</v>
      </c>
      <c r="B1139" t="s">
        <v>482</v>
      </c>
      <c r="C1139">
        <v>5987</v>
      </c>
      <c r="D1139" t="s">
        <v>48</v>
      </c>
      <c r="E1139" t="s">
        <v>49</v>
      </c>
      <c r="F1139">
        <v>72075</v>
      </c>
      <c r="G11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39">
        <v>3.6587000000000001</v>
      </c>
      <c r="J1139" t="str">
        <f>IF(ISBLANK(Table13[[#This Row],[Rating]]), "No", "Yes")</f>
        <v>Yes</v>
      </c>
      <c r="K1139" t="str">
        <f>IF(ISBLANK(Table13[[#This Row],[Rating]]), "Not Rated", IF(Table13[[#This Row],[Rating]] &lt; 3, "Low", IF(Table13[[#This Row],[Rating]] &lt; 4, "Medium", "High")))</f>
        <v>Medium</v>
      </c>
      <c r="L1139">
        <v>501</v>
      </c>
      <c r="M1139">
        <v>26</v>
      </c>
      <c r="N1139" t="str">
        <f>IF(Table13[[#This Row],[Price USD]]&lt;20,"Budget",IF(Table13[[#This Row],[Price USD]]&lt;=50,"Mid-range","Premium"))</f>
        <v>Mid-range</v>
      </c>
      <c r="O1139">
        <v>0</v>
      </c>
      <c r="P1139">
        <v>0</v>
      </c>
    </row>
    <row r="1140" spans="1:16" x14ac:dyDescent="0.25">
      <c r="A1140" t="s">
        <v>479</v>
      </c>
      <c r="B1140" t="s">
        <v>480</v>
      </c>
      <c r="C1140">
        <v>8001</v>
      </c>
      <c r="D1140" t="s">
        <v>27</v>
      </c>
      <c r="E1140" t="s">
        <v>21</v>
      </c>
      <c r="F1140">
        <v>72156</v>
      </c>
      <c r="G11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0">
        <v>4.0612000000000004</v>
      </c>
      <c r="J1140" t="str">
        <f>IF(ISBLANK(Table13[[#This Row],[Rating]]), "No", "Yes")</f>
        <v>Yes</v>
      </c>
      <c r="K1140" t="str">
        <f>IF(ISBLANK(Table13[[#This Row],[Rating]]), "Not Rated", IF(Table13[[#This Row],[Rating]] &lt; 3, "Low", IF(Table13[[#This Row],[Rating]] &lt; 4, "Medium", "High")))</f>
        <v>High</v>
      </c>
      <c r="L1140">
        <v>1356</v>
      </c>
      <c r="M1140">
        <v>42</v>
      </c>
      <c r="N1140" t="str">
        <f>IF(Table13[[#This Row],[Price USD]]&lt;20,"Budget",IF(Table13[[#This Row],[Price USD]]&lt;=50,"Mid-range","Premium"))</f>
        <v>Mid-range</v>
      </c>
      <c r="O1140">
        <v>0</v>
      </c>
      <c r="P1140">
        <v>0</v>
      </c>
    </row>
    <row r="1141" spans="1:16" x14ac:dyDescent="0.25">
      <c r="A1141" t="s">
        <v>477</v>
      </c>
      <c r="B1141" t="s">
        <v>478</v>
      </c>
      <c r="C1141">
        <v>6189</v>
      </c>
      <c r="D1141" t="s">
        <v>30</v>
      </c>
      <c r="E1141" t="s">
        <v>149</v>
      </c>
      <c r="F1141">
        <v>72173</v>
      </c>
      <c r="G11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1">
        <v>4.5109000000000004</v>
      </c>
      <c r="J1141" t="str">
        <f>IF(ISBLANK(Table13[[#This Row],[Rating]]), "No", "Yes")</f>
        <v>Yes</v>
      </c>
      <c r="K1141" t="str">
        <f>IF(ISBLANK(Table13[[#This Row],[Rating]]), "Not Rated", IF(Table13[[#This Row],[Rating]] &lt; 3, "Low", IF(Table13[[#This Row],[Rating]] &lt; 4, "Medium", "High")))</f>
        <v>High</v>
      </c>
      <c r="L1141">
        <v>914</v>
      </c>
      <c r="M1141">
        <v>38</v>
      </c>
      <c r="N1141" t="str">
        <f>IF(Table13[[#This Row],[Price USD]]&lt;20,"Budget",IF(Table13[[#This Row],[Price USD]]&lt;=50,"Mid-range","Premium"))</f>
        <v>Mid-range</v>
      </c>
      <c r="O1141">
        <v>0</v>
      </c>
      <c r="P1141">
        <v>0</v>
      </c>
    </row>
    <row r="1142" spans="1:16" x14ac:dyDescent="0.25">
      <c r="A1142" t="s">
        <v>475</v>
      </c>
      <c r="B1142" t="s">
        <v>476</v>
      </c>
      <c r="C1142">
        <v>6189</v>
      </c>
      <c r="D1142" t="s">
        <v>30</v>
      </c>
      <c r="E1142" t="s">
        <v>13</v>
      </c>
      <c r="F1142">
        <v>72289</v>
      </c>
      <c r="G11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2">
        <v>3.8102999999999998</v>
      </c>
      <c r="J1142" t="str">
        <f>IF(ISBLANK(Table13[[#This Row],[Rating]]), "No", "Yes")</f>
        <v>Yes</v>
      </c>
      <c r="K1142" t="str">
        <f>IF(ISBLANK(Table13[[#This Row],[Rating]]), "Not Rated", IF(Table13[[#This Row],[Rating]] &lt; 3, "Low", IF(Table13[[#This Row],[Rating]] &lt; 4, "Medium", "High")))</f>
        <v>Medium</v>
      </c>
      <c r="L1142">
        <v>1065</v>
      </c>
      <c r="M1142">
        <v>34</v>
      </c>
      <c r="N1142" t="str">
        <f>IF(Table13[[#This Row],[Price USD]]&lt;20,"Budget",IF(Table13[[#This Row],[Price USD]]&lt;=50,"Mid-range","Premium"))</f>
        <v>Mid-range</v>
      </c>
      <c r="O1142">
        <v>0</v>
      </c>
      <c r="P1142">
        <v>0</v>
      </c>
    </row>
    <row r="1143" spans="1:16" x14ac:dyDescent="0.25">
      <c r="A1143" t="s">
        <v>473</v>
      </c>
      <c r="B1143" t="s">
        <v>474</v>
      </c>
      <c r="C1143">
        <v>5674</v>
      </c>
      <c r="D1143" t="s">
        <v>141</v>
      </c>
      <c r="E1143" t="s">
        <v>13</v>
      </c>
      <c r="F1143">
        <v>72479</v>
      </c>
      <c r="G11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3">
        <v>4.4298999999999999</v>
      </c>
      <c r="J1143" t="str">
        <f>IF(ISBLANK(Table13[[#This Row],[Rating]]), "No", "Yes")</f>
        <v>Yes</v>
      </c>
      <c r="K1143" t="str">
        <f>IF(ISBLANK(Table13[[#This Row],[Rating]]), "Not Rated", IF(Table13[[#This Row],[Rating]] &lt; 3, "Low", IF(Table13[[#This Row],[Rating]] &lt; 4, "Medium", "High")))</f>
        <v>High</v>
      </c>
      <c r="L1143">
        <v>1447</v>
      </c>
      <c r="M1143">
        <v>33</v>
      </c>
      <c r="N1143" t="str">
        <f>IF(Table13[[#This Row],[Price USD]]&lt;20,"Budget",IF(Table13[[#This Row],[Price USD]]&lt;=50,"Mid-range","Premium"))</f>
        <v>Mid-range</v>
      </c>
      <c r="O1143">
        <v>0</v>
      </c>
      <c r="P1143">
        <v>0</v>
      </c>
    </row>
    <row r="1144" spans="1:16" x14ac:dyDescent="0.25">
      <c r="A1144" t="s">
        <v>471</v>
      </c>
      <c r="B1144" t="s">
        <v>472</v>
      </c>
      <c r="C1144">
        <v>6234</v>
      </c>
      <c r="D1144" t="s">
        <v>7</v>
      </c>
      <c r="E1144" t="s">
        <v>8</v>
      </c>
      <c r="F1144">
        <v>72633</v>
      </c>
      <c r="G11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4">
        <v>3.6345000000000001</v>
      </c>
      <c r="J1144" t="str">
        <f>IF(ISBLANK(Table13[[#This Row],[Rating]]), "No", "Yes")</f>
        <v>Yes</v>
      </c>
      <c r="K1144" t="str">
        <f>IF(ISBLANK(Table13[[#This Row],[Rating]]), "Not Rated", IF(Table13[[#This Row],[Rating]] &lt; 3, "Low", IF(Table13[[#This Row],[Rating]] &lt; 4, "Medium", "High")))</f>
        <v>Medium</v>
      </c>
      <c r="L1144">
        <v>394</v>
      </c>
      <c r="M1144">
        <v>8.3000000000000007</v>
      </c>
      <c r="N1144" t="str">
        <f>IF(Table13[[#This Row],[Price USD]]&lt;20,"Budget",IF(Table13[[#This Row],[Price USD]]&lt;=50,"Mid-range","Premium"))</f>
        <v>Budget</v>
      </c>
      <c r="O1144">
        <v>0</v>
      </c>
      <c r="P1144">
        <v>0</v>
      </c>
    </row>
    <row r="1145" spans="1:16" x14ac:dyDescent="0.25">
      <c r="A1145" t="s">
        <v>469</v>
      </c>
      <c r="B1145" t="s">
        <v>470</v>
      </c>
      <c r="C1145">
        <v>6285</v>
      </c>
      <c r="D1145" t="s">
        <v>119</v>
      </c>
      <c r="E1145" t="s">
        <v>8</v>
      </c>
      <c r="F1145">
        <v>72805</v>
      </c>
      <c r="G11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5">
        <v>4.0834999999999999</v>
      </c>
      <c r="J1145" t="str">
        <f>IF(ISBLANK(Table13[[#This Row],[Rating]]), "No", "Yes")</f>
        <v>Yes</v>
      </c>
      <c r="K1145" t="str">
        <f>IF(ISBLANK(Table13[[#This Row],[Rating]]), "Not Rated", IF(Table13[[#This Row],[Rating]] &lt; 3, "Low", IF(Table13[[#This Row],[Rating]] &lt; 4, "Medium", "High")))</f>
        <v>High</v>
      </c>
      <c r="L1145">
        <v>431</v>
      </c>
      <c r="M1145">
        <v>12.99</v>
      </c>
      <c r="N1145" t="str">
        <f>IF(Table13[[#This Row],[Price USD]]&lt;20,"Budget",IF(Table13[[#This Row],[Price USD]]&lt;=50,"Mid-range","Premium"))</f>
        <v>Budget</v>
      </c>
      <c r="O1145">
        <v>0</v>
      </c>
      <c r="P1145">
        <v>0</v>
      </c>
    </row>
    <row r="1146" spans="1:16" x14ac:dyDescent="0.25">
      <c r="A1146" t="s">
        <v>467</v>
      </c>
      <c r="B1146" t="s">
        <v>468</v>
      </c>
      <c r="C1146">
        <v>8008</v>
      </c>
      <c r="D1146" t="s">
        <v>105</v>
      </c>
      <c r="E1146" t="s">
        <v>106</v>
      </c>
      <c r="F1146">
        <v>73112</v>
      </c>
      <c r="G11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6">
        <v>3.7120000000000002</v>
      </c>
      <c r="J1146" t="str">
        <f>IF(ISBLANK(Table13[[#This Row],[Rating]]), "No", "Yes")</f>
        <v>Yes</v>
      </c>
      <c r="K1146" t="str">
        <f>IF(ISBLANK(Table13[[#This Row],[Rating]]), "Not Rated", IF(Table13[[#This Row],[Rating]] &lt; 3, "Low", IF(Table13[[#This Row],[Rating]] &lt; 4, "Medium", "High")))</f>
        <v>Medium</v>
      </c>
      <c r="L1146">
        <v>1073</v>
      </c>
      <c r="M1146">
        <v>32</v>
      </c>
      <c r="N1146" t="str">
        <f>IF(Table13[[#This Row],[Price USD]]&lt;20,"Budget",IF(Table13[[#This Row],[Price USD]]&lt;=50,"Mid-range","Premium"))</f>
        <v>Mid-range</v>
      </c>
      <c r="O1146">
        <v>0</v>
      </c>
      <c r="P1146">
        <v>0</v>
      </c>
    </row>
    <row r="1147" spans="1:16" x14ac:dyDescent="0.25">
      <c r="A1147" t="s">
        <v>465</v>
      </c>
      <c r="B1147" t="s">
        <v>466</v>
      </c>
      <c r="C1147">
        <v>4348</v>
      </c>
      <c r="D1147" t="s">
        <v>61</v>
      </c>
      <c r="E1147" t="s">
        <v>69</v>
      </c>
      <c r="F1147">
        <v>73168</v>
      </c>
      <c r="G11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7">
        <v>4.1368999999999998</v>
      </c>
      <c r="J1147" t="str">
        <f>IF(ISBLANK(Table13[[#This Row],[Rating]]), "No", "Yes")</f>
        <v>Yes</v>
      </c>
      <c r="K1147" t="str">
        <f>IF(ISBLANK(Table13[[#This Row],[Rating]]), "Not Rated", IF(Table13[[#This Row],[Rating]] &lt; 3, "Low", IF(Table13[[#This Row],[Rating]] &lt; 4, "Medium", "High")))</f>
        <v>High</v>
      </c>
      <c r="L1147">
        <v>482</v>
      </c>
      <c r="M1147">
        <v>96</v>
      </c>
      <c r="N1147" t="str">
        <f>IF(Table13[[#This Row],[Price USD]]&lt;20,"Budget",IF(Table13[[#This Row],[Price USD]]&lt;=50,"Mid-range","Premium"))</f>
        <v>Premium</v>
      </c>
      <c r="O1147">
        <v>0</v>
      </c>
      <c r="P1147">
        <v>0</v>
      </c>
    </row>
    <row r="1148" spans="1:16" x14ac:dyDescent="0.25">
      <c r="A1148" t="s">
        <v>463</v>
      </c>
      <c r="B1148" t="s">
        <v>464</v>
      </c>
      <c r="C1148">
        <v>6014</v>
      </c>
      <c r="D1148" t="s">
        <v>102</v>
      </c>
      <c r="E1148" t="s">
        <v>8</v>
      </c>
      <c r="F1148">
        <v>73240</v>
      </c>
      <c r="G11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8">
        <v>4.2656999999999998</v>
      </c>
      <c r="J1148" t="str">
        <f>IF(ISBLANK(Table13[[#This Row],[Rating]]), "No", "Yes")</f>
        <v>Yes</v>
      </c>
      <c r="K1148" t="str">
        <f>IF(ISBLANK(Table13[[#This Row],[Rating]]), "Not Rated", IF(Table13[[#This Row],[Rating]] &lt; 3, "Low", IF(Table13[[#This Row],[Rating]] &lt; 4, "Medium", "High")))</f>
        <v>High</v>
      </c>
      <c r="L1148">
        <v>1080</v>
      </c>
      <c r="M1148">
        <v>52</v>
      </c>
      <c r="N1148" t="str">
        <f>IF(Table13[[#This Row],[Price USD]]&lt;20,"Budget",IF(Table13[[#This Row],[Price USD]]&lt;=50,"Mid-range","Premium"))</f>
        <v>Premium</v>
      </c>
      <c r="O1148">
        <v>0</v>
      </c>
      <c r="P1148">
        <v>0</v>
      </c>
    </row>
    <row r="1149" spans="1:16" x14ac:dyDescent="0.25">
      <c r="A1149" t="s">
        <v>461</v>
      </c>
      <c r="B1149" t="s">
        <v>462</v>
      </c>
      <c r="C1149">
        <v>6352</v>
      </c>
      <c r="D1149" t="s">
        <v>251</v>
      </c>
      <c r="E1149" t="s">
        <v>69</v>
      </c>
      <c r="F1149">
        <v>73465</v>
      </c>
      <c r="G11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49">
        <v>4.6897000000000002</v>
      </c>
      <c r="J1149" t="str">
        <f>IF(ISBLANK(Table13[[#This Row],[Rating]]), "No", "Yes")</f>
        <v>Yes</v>
      </c>
      <c r="K1149" t="str">
        <f>IF(ISBLANK(Table13[[#This Row],[Rating]]), "Not Rated", IF(Table13[[#This Row],[Rating]] &lt; 3, "Low", IF(Table13[[#This Row],[Rating]] &lt; 4, "Medium", "High")))</f>
        <v>High</v>
      </c>
      <c r="L1149">
        <v>390</v>
      </c>
      <c r="M1149">
        <v>35</v>
      </c>
      <c r="N1149" t="str">
        <f>IF(Table13[[#This Row],[Price USD]]&lt;20,"Budget",IF(Table13[[#This Row],[Price USD]]&lt;=50,"Mid-range","Premium"))</f>
        <v>Mid-range</v>
      </c>
      <c r="O1149">
        <v>0</v>
      </c>
      <c r="P1149">
        <v>1</v>
      </c>
    </row>
    <row r="1150" spans="1:16" x14ac:dyDescent="0.25">
      <c r="A1150" t="s">
        <v>459</v>
      </c>
      <c r="B1150" t="s">
        <v>460</v>
      </c>
      <c r="C1150">
        <v>6189</v>
      </c>
      <c r="D1150" t="s">
        <v>30</v>
      </c>
      <c r="E1150" t="s">
        <v>4</v>
      </c>
      <c r="F1150">
        <v>73756</v>
      </c>
      <c r="G11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0">
        <v>4.5777999999999999</v>
      </c>
      <c r="J1150" t="str">
        <f>IF(ISBLANK(Table13[[#This Row],[Rating]]), "No", "Yes")</f>
        <v>Yes</v>
      </c>
      <c r="K1150" t="str">
        <f>IF(ISBLANK(Table13[[#This Row],[Rating]]), "Not Rated", IF(Table13[[#This Row],[Rating]] &lt; 3, "Low", IF(Table13[[#This Row],[Rating]] &lt; 4, "Medium", "High")))</f>
        <v>High</v>
      </c>
      <c r="L1150">
        <v>1047</v>
      </c>
      <c r="M1150">
        <v>22</v>
      </c>
      <c r="N1150" t="str">
        <f>IF(Table13[[#This Row],[Price USD]]&lt;20,"Budget",IF(Table13[[#This Row],[Price USD]]&lt;=50,"Mid-range","Premium"))</f>
        <v>Mid-range</v>
      </c>
      <c r="O1150">
        <v>0</v>
      </c>
      <c r="P1150">
        <v>0</v>
      </c>
    </row>
    <row r="1151" spans="1:16" x14ac:dyDescent="0.25">
      <c r="A1151" t="s">
        <v>456</v>
      </c>
      <c r="B1151" t="s">
        <v>457</v>
      </c>
      <c r="C1151">
        <v>3728</v>
      </c>
      <c r="D1151" t="s">
        <v>458</v>
      </c>
      <c r="E1151" t="s">
        <v>21</v>
      </c>
      <c r="F1151">
        <v>73776</v>
      </c>
      <c r="G11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1">
        <v>4.2649999999999997</v>
      </c>
      <c r="J1151" t="str">
        <f>IF(ISBLANK(Table13[[#This Row],[Rating]]), "No", "Yes")</f>
        <v>Yes</v>
      </c>
      <c r="K1151" t="str">
        <f>IF(ISBLANK(Table13[[#This Row],[Rating]]), "Not Rated", IF(Table13[[#This Row],[Rating]] &lt; 3, "Low", IF(Table13[[#This Row],[Rating]] &lt; 4, "Medium", "High")))</f>
        <v>High</v>
      </c>
      <c r="L1151">
        <v>1830</v>
      </c>
      <c r="M1151">
        <v>54</v>
      </c>
      <c r="N1151" t="str">
        <f>IF(Table13[[#This Row],[Price USD]]&lt;20,"Budget",IF(Table13[[#This Row],[Price USD]]&lt;=50,"Mid-range","Premium"))</f>
        <v>Premium</v>
      </c>
      <c r="O1151">
        <v>0</v>
      </c>
      <c r="P1151">
        <v>0</v>
      </c>
    </row>
    <row r="1152" spans="1:16" x14ac:dyDescent="0.25">
      <c r="A1152" t="s">
        <v>454</v>
      </c>
      <c r="B1152" t="s">
        <v>455</v>
      </c>
      <c r="C1152">
        <v>6014</v>
      </c>
      <c r="D1152" t="s">
        <v>102</v>
      </c>
      <c r="E1152" t="s">
        <v>21</v>
      </c>
      <c r="F1152">
        <v>73855</v>
      </c>
      <c r="G11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2">
        <v>4.3232999999999997</v>
      </c>
      <c r="J1152" t="str">
        <f>IF(ISBLANK(Table13[[#This Row],[Rating]]), "No", "Yes")</f>
        <v>Yes</v>
      </c>
      <c r="K1152" t="str">
        <f>IF(ISBLANK(Table13[[#This Row],[Rating]]), "Not Rated", IF(Table13[[#This Row],[Rating]] &lt; 3, "Low", IF(Table13[[#This Row],[Rating]] &lt; 4, "Medium", "High")))</f>
        <v>High</v>
      </c>
      <c r="L1152">
        <v>1367</v>
      </c>
      <c r="M1152">
        <v>49</v>
      </c>
      <c r="N1152" t="str">
        <f>IF(Table13[[#This Row],[Price USD]]&lt;20,"Budget",IF(Table13[[#This Row],[Price USD]]&lt;=50,"Mid-range","Premium"))</f>
        <v>Mid-range</v>
      </c>
      <c r="O1152">
        <v>0</v>
      </c>
      <c r="P1152">
        <v>0</v>
      </c>
    </row>
    <row r="1153" spans="1:16" x14ac:dyDescent="0.25">
      <c r="A1153" t="s">
        <v>452</v>
      </c>
      <c r="B1153" t="s">
        <v>453</v>
      </c>
      <c r="C1153">
        <v>6234</v>
      </c>
      <c r="D1153" t="s">
        <v>7</v>
      </c>
      <c r="E1153" t="s">
        <v>8</v>
      </c>
      <c r="F1153">
        <v>74003</v>
      </c>
      <c r="G11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3">
        <v>4.3080999999999996</v>
      </c>
      <c r="J1153" t="str">
        <f>IF(ISBLANK(Table13[[#This Row],[Rating]]), "No", "Yes")</f>
        <v>Yes</v>
      </c>
      <c r="K1153" t="str">
        <f>IF(ISBLANK(Table13[[#This Row],[Rating]]), "Not Rated", IF(Table13[[#This Row],[Rating]] &lt; 3, "Low", IF(Table13[[#This Row],[Rating]] &lt; 4, "Medium", "High")))</f>
        <v>High</v>
      </c>
      <c r="L1153">
        <v>172</v>
      </c>
      <c r="M1153">
        <v>7.8</v>
      </c>
      <c r="N1153" t="str">
        <f>IF(Table13[[#This Row],[Price USD]]&lt;20,"Budget",IF(Table13[[#This Row],[Price USD]]&lt;=50,"Mid-range","Premium"))</f>
        <v>Budget</v>
      </c>
      <c r="O1153">
        <v>0</v>
      </c>
      <c r="P1153">
        <v>0</v>
      </c>
    </row>
    <row r="1154" spans="1:16" x14ac:dyDescent="0.25">
      <c r="A1154" t="s">
        <v>450</v>
      </c>
      <c r="B1154" t="s">
        <v>451</v>
      </c>
      <c r="C1154">
        <v>3902</v>
      </c>
      <c r="D1154" t="s">
        <v>72</v>
      </c>
      <c r="E1154" t="s">
        <v>4</v>
      </c>
      <c r="F1154">
        <v>74119</v>
      </c>
      <c r="G11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4">
        <v>2.282</v>
      </c>
      <c r="J1154" t="str">
        <f>IF(ISBLANK(Table13[[#This Row],[Rating]]), "No", "Yes")</f>
        <v>Yes</v>
      </c>
      <c r="K1154" t="str">
        <f>IF(ISBLANK(Table13[[#This Row],[Rating]]), "Not Rated", IF(Table13[[#This Row],[Rating]] &lt; 3, "Low", IF(Table13[[#This Row],[Rating]] &lt; 4, "Medium", "High")))</f>
        <v>Low</v>
      </c>
      <c r="L1154">
        <v>610</v>
      </c>
      <c r="M1154">
        <v>7</v>
      </c>
      <c r="N1154" t="str">
        <f>IF(Table13[[#This Row],[Price USD]]&lt;20,"Budget",IF(Table13[[#This Row],[Price USD]]&lt;=50,"Mid-range","Premium"))</f>
        <v>Budget</v>
      </c>
      <c r="O1154">
        <v>0</v>
      </c>
      <c r="P1154">
        <v>1</v>
      </c>
    </row>
    <row r="1155" spans="1:16" x14ac:dyDescent="0.25">
      <c r="A1155" t="s">
        <v>448</v>
      </c>
      <c r="B1155" t="s">
        <v>449</v>
      </c>
      <c r="C1155">
        <v>6341</v>
      </c>
      <c r="D1155" t="s">
        <v>66</v>
      </c>
      <c r="E1155" t="s">
        <v>8</v>
      </c>
      <c r="F1155">
        <v>74161</v>
      </c>
      <c r="G11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5">
        <v>4.2096999999999998</v>
      </c>
      <c r="J1155" t="str">
        <f>IF(ISBLANK(Table13[[#This Row],[Rating]]), "No", "Yes")</f>
        <v>Yes</v>
      </c>
      <c r="K1155" t="str">
        <f>IF(ISBLANK(Table13[[#This Row],[Rating]]), "Not Rated", IF(Table13[[#This Row],[Rating]] &lt; 3, "Low", IF(Table13[[#This Row],[Rating]] &lt; 4, "Medium", "High")))</f>
        <v>High</v>
      </c>
      <c r="L1155">
        <v>434</v>
      </c>
      <c r="M1155">
        <v>55</v>
      </c>
      <c r="N1155" t="str">
        <f>IF(Table13[[#This Row],[Price USD]]&lt;20,"Budget",IF(Table13[[#This Row],[Price USD]]&lt;=50,"Mid-range","Premium"))</f>
        <v>Premium</v>
      </c>
      <c r="O1155">
        <v>0</v>
      </c>
      <c r="P1155">
        <v>0</v>
      </c>
    </row>
    <row r="1156" spans="1:16" x14ac:dyDescent="0.25">
      <c r="A1156" t="s">
        <v>446</v>
      </c>
      <c r="B1156" t="s">
        <v>447</v>
      </c>
      <c r="C1156">
        <v>5337</v>
      </c>
      <c r="D1156" t="s">
        <v>209</v>
      </c>
      <c r="E1156" t="s">
        <v>49</v>
      </c>
      <c r="F1156">
        <v>74272</v>
      </c>
      <c r="G11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6">
        <v>4.6566000000000001</v>
      </c>
      <c r="J1156" t="str">
        <f>IF(ISBLANK(Table13[[#This Row],[Rating]]), "No", "Yes")</f>
        <v>Yes</v>
      </c>
      <c r="K1156" t="str">
        <f>IF(ISBLANK(Table13[[#This Row],[Rating]]), "Not Rated", IF(Table13[[#This Row],[Rating]] &lt; 3, "Low", IF(Table13[[#This Row],[Rating]] &lt; 4, "Medium", "High")))</f>
        <v>High</v>
      </c>
      <c r="L1156">
        <v>1529</v>
      </c>
      <c r="M1156">
        <v>30</v>
      </c>
      <c r="N1156" t="str">
        <f>IF(Table13[[#This Row],[Price USD]]&lt;20,"Budget",IF(Table13[[#This Row],[Price USD]]&lt;=50,"Mid-range","Premium"))</f>
        <v>Mid-range</v>
      </c>
      <c r="O1156">
        <v>0</v>
      </c>
      <c r="P1156">
        <v>0</v>
      </c>
    </row>
    <row r="1157" spans="1:16" x14ac:dyDescent="0.25">
      <c r="A1157" t="s">
        <v>444</v>
      </c>
      <c r="B1157" t="s">
        <v>445</v>
      </c>
      <c r="C1157">
        <v>6014</v>
      </c>
      <c r="D1157" t="s">
        <v>102</v>
      </c>
      <c r="E1157" t="s">
        <v>144</v>
      </c>
      <c r="F1157">
        <v>74947</v>
      </c>
      <c r="G11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7">
        <v>4.0164999999999997</v>
      </c>
      <c r="J1157" t="str">
        <f>IF(ISBLANK(Table13[[#This Row],[Rating]]), "No", "Yes")</f>
        <v>Yes</v>
      </c>
      <c r="K1157" t="str">
        <f>IF(ISBLANK(Table13[[#This Row],[Rating]]), "Not Rated", IF(Table13[[#This Row],[Rating]] &lt; 3, "Low", IF(Table13[[#This Row],[Rating]] &lt; 4, "Medium", "High")))</f>
        <v>High</v>
      </c>
      <c r="L1157">
        <v>5028</v>
      </c>
      <c r="M1157">
        <v>21</v>
      </c>
      <c r="N1157" t="str">
        <f>IF(Table13[[#This Row],[Price USD]]&lt;20,"Budget",IF(Table13[[#This Row],[Price USD]]&lt;=50,"Mid-range","Premium"))</f>
        <v>Mid-range</v>
      </c>
      <c r="O1157">
        <v>0</v>
      </c>
      <c r="P1157">
        <v>0</v>
      </c>
    </row>
    <row r="1158" spans="1:16" x14ac:dyDescent="0.25">
      <c r="A1158" t="s">
        <v>442</v>
      </c>
      <c r="B1158" t="s">
        <v>443</v>
      </c>
      <c r="C1158">
        <v>5946</v>
      </c>
      <c r="D1158" t="s">
        <v>341</v>
      </c>
      <c r="E1158" t="s">
        <v>13</v>
      </c>
      <c r="F1158">
        <v>75332</v>
      </c>
      <c r="G11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8">
        <v>4.4375</v>
      </c>
      <c r="J1158" t="str">
        <f>IF(ISBLANK(Table13[[#This Row],[Rating]]), "No", "Yes")</f>
        <v>Yes</v>
      </c>
      <c r="K1158" t="str">
        <f>IF(ISBLANK(Table13[[#This Row],[Rating]]), "Not Rated", IF(Table13[[#This Row],[Rating]] &lt; 3, "Low", IF(Table13[[#This Row],[Rating]] &lt; 4, "Medium", "High")))</f>
        <v>High</v>
      </c>
      <c r="L1158">
        <v>2990</v>
      </c>
      <c r="M1158">
        <v>98</v>
      </c>
      <c r="N1158" t="str">
        <f>IF(Table13[[#This Row],[Price USD]]&lt;20,"Budget",IF(Table13[[#This Row],[Price USD]]&lt;=50,"Mid-range","Premium"))</f>
        <v>Premium</v>
      </c>
      <c r="O1158">
        <v>0</v>
      </c>
      <c r="P1158">
        <v>0</v>
      </c>
    </row>
    <row r="1159" spans="1:16" x14ac:dyDescent="0.25">
      <c r="A1159" t="s">
        <v>440</v>
      </c>
      <c r="B1159" t="s">
        <v>441</v>
      </c>
      <c r="C1159">
        <v>6218</v>
      </c>
      <c r="D1159" t="s">
        <v>116</v>
      </c>
      <c r="E1159" t="s">
        <v>8</v>
      </c>
      <c r="F1159">
        <v>75403</v>
      </c>
      <c r="G11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59">
        <v>3.8477999999999999</v>
      </c>
      <c r="J1159" t="str">
        <f>IF(ISBLANK(Table13[[#This Row],[Rating]]), "No", "Yes")</f>
        <v>Yes</v>
      </c>
      <c r="K1159" t="str">
        <f>IF(ISBLANK(Table13[[#This Row],[Rating]]), "Not Rated", IF(Table13[[#This Row],[Rating]] &lt; 3, "Low", IF(Table13[[#This Row],[Rating]] &lt; 4, "Medium", "High")))</f>
        <v>Medium</v>
      </c>
      <c r="L1159">
        <v>913</v>
      </c>
      <c r="M1159">
        <v>65</v>
      </c>
      <c r="N1159" t="str">
        <f>IF(Table13[[#This Row],[Price USD]]&lt;20,"Budget",IF(Table13[[#This Row],[Price USD]]&lt;=50,"Mid-range","Premium"))</f>
        <v>Premium</v>
      </c>
      <c r="O1159">
        <v>0</v>
      </c>
      <c r="P1159">
        <v>0</v>
      </c>
    </row>
    <row r="1160" spans="1:16" x14ac:dyDescent="0.25">
      <c r="A1160" t="s">
        <v>438</v>
      </c>
      <c r="B1160" t="s">
        <v>439</v>
      </c>
      <c r="C1160">
        <v>6073</v>
      </c>
      <c r="D1160" t="s">
        <v>78</v>
      </c>
      <c r="E1160" t="s">
        <v>21</v>
      </c>
      <c r="F1160">
        <v>75741</v>
      </c>
      <c r="G11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0">
        <v>4.0758999999999999</v>
      </c>
      <c r="J1160" t="str">
        <f>IF(ISBLANK(Table13[[#This Row],[Rating]]), "No", "Yes")</f>
        <v>Yes</v>
      </c>
      <c r="K1160" t="str">
        <f>IF(ISBLANK(Table13[[#This Row],[Rating]]), "Not Rated", IF(Table13[[#This Row],[Rating]] &lt; 3, "Low", IF(Table13[[#This Row],[Rating]] &lt; 4, "Medium", "High")))</f>
        <v>High</v>
      </c>
      <c r="L1160">
        <v>843</v>
      </c>
      <c r="M1160">
        <v>80</v>
      </c>
      <c r="N1160" t="str">
        <f>IF(Table13[[#This Row],[Price USD]]&lt;20,"Budget",IF(Table13[[#This Row],[Price USD]]&lt;=50,"Mid-range","Premium"))</f>
        <v>Premium</v>
      </c>
      <c r="O1160">
        <v>0</v>
      </c>
      <c r="P1160">
        <v>0</v>
      </c>
    </row>
    <row r="1161" spans="1:16" x14ac:dyDescent="0.25">
      <c r="A1161" t="s">
        <v>436</v>
      </c>
      <c r="B1161" t="s">
        <v>437</v>
      </c>
      <c r="C1161">
        <v>7083</v>
      </c>
      <c r="D1161" t="s">
        <v>20</v>
      </c>
      <c r="E1161" t="s">
        <v>149</v>
      </c>
      <c r="F1161">
        <v>75752</v>
      </c>
      <c r="G11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1">
        <v>3.8963000000000001</v>
      </c>
      <c r="J1161" t="str">
        <f>IF(ISBLANK(Table13[[#This Row],[Rating]]), "No", "Yes")</f>
        <v>Yes</v>
      </c>
      <c r="K1161" t="str">
        <f>IF(ISBLANK(Table13[[#This Row],[Rating]]), "Not Rated", IF(Table13[[#This Row],[Rating]] &lt; 3, "Low", IF(Table13[[#This Row],[Rating]] &lt; 4, "Medium", "High")))</f>
        <v>Medium</v>
      </c>
      <c r="L1161">
        <v>1070</v>
      </c>
      <c r="M1161">
        <v>60</v>
      </c>
      <c r="N1161" t="str">
        <f>IF(Table13[[#This Row],[Price USD]]&lt;20,"Budget",IF(Table13[[#This Row],[Price USD]]&lt;=50,"Mid-range","Premium"))</f>
        <v>Premium</v>
      </c>
      <c r="O1161">
        <v>0</v>
      </c>
      <c r="P1161">
        <v>0</v>
      </c>
    </row>
    <row r="1162" spans="1:16" x14ac:dyDescent="0.25">
      <c r="A1162" t="s">
        <v>434</v>
      </c>
      <c r="B1162" t="s">
        <v>435</v>
      </c>
      <c r="C1162">
        <v>6189</v>
      </c>
      <c r="D1162" t="s">
        <v>30</v>
      </c>
      <c r="E1162" t="s">
        <v>69</v>
      </c>
      <c r="F1162">
        <v>76226</v>
      </c>
      <c r="G11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2">
        <v>4.5911999999999997</v>
      </c>
      <c r="J1162" t="str">
        <f>IF(ISBLANK(Table13[[#This Row],[Rating]]), "No", "Yes")</f>
        <v>Yes</v>
      </c>
      <c r="K1162" t="str">
        <f>IF(ISBLANK(Table13[[#This Row],[Rating]]), "Not Rated", IF(Table13[[#This Row],[Rating]] &lt; 3, "Low", IF(Table13[[#This Row],[Rating]] &lt; 4, "Medium", "High")))</f>
        <v>High</v>
      </c>
      <c r="L1162">
        <v>981</v>
      </c>
      <c r="M1162">
        <v>40</v>
      </c>
      <c r="N1162" t="str">
        <f>IF(Table13[[#This Row],[Price USD]]&lt;20,"Budget",IF(Table13[[#This Row],[Price USD]]&lt;=50,"Mid-range","Premium"))</f>
        <v>Mid-range</v>
      </c>
      <c r="O1162">
        <v>0</v>
      </c>
      <c r="P1162">
        <v>0</v>
      </c>
    </row>
    <row r="1163" spans="1:16" x14ac:dyDescent="0.25">
      <c r="A1163" t="s">
        <v>431</v>
      </c>
      <c r="B1163" t="s">
        <v>432</v>
      </c>
      <c r="C1163">
        <v>5857</v>
      </c>
      <c r="D1163" t="s">
        <v>433</v>
      </c>
      <c r="E1163" t="s">
        <v>13</v>
      </c>
      <c r="F1163">
        <v>76269</v>
      </c>
      <c r="G11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3">
        <v>4.1429999999999998</v>
      </c>
      <c r="J1163" t="str">
        <f>IF(ISBLANK(Table13[[#This Row],[Rating]]), "No", "Yes")</f>
        <v>Yes</v>
      </c>
      <c r="K1163" t="str">
        <f>IF(ISBLANK(Table13[[#This Row],[Rating]]), "Not Rated", IF(Table13[[#This Row],[Rating]] &lt; 3, "Low", IF(Table13[[#This Row],[Rating]] &lt; 4, "Medium", "High")))</f>
        <v>High</v>
      </c>
      <c r="L1163">
        <v>1238</v>
      </c>
      <c r="M1163">
        <v>40</v>
      </c>
      <c r="N1163" t="str">
        <f>IF(Table13[[#This Row],[Price USD]]&lt;20,"Budget",IF(Table13[[#This Row],[Price USD]]&lt;=50,"Mid-range","Premium"))</f>
        <v>Mid-range</v>
      </c>
      <c r="O1163">
        <v>0</v>
      </c>
      <c r="P1163">
        <v>0</v>
      </c>
    </row>
    <row r="1164" spans="1:16" x14ac:dyDescent="0.25">
      <c r="A1164" t="s">
        <v>429</v>
      </c>
      <c r="B1164" t="s">
        <v>430</v>
      </c>
      <c r="C1164">
        <v>6195</v>
      </c>
      <c r="D1164" t="s">
        <v>163</v>
      </c>
      <c r="E1164" t="s">
        <v>21</v>
      </c>
      <c r="F1164">
        <v>76514</v>
      </c>
      <c r="G11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4">
        <v>4.2100999999999997</v>
      </c>
      <c r="J1164" t="str">
        <f>IF(ISBLANK(Table13[[#This Row],[Rating]]), "No", "Yes")</f>
        <v>Yes</v>
      </c>
      <c r="K1164" t="str">
        <f>IF(ISBLANK(Table13[[#This Row],[Rating]]), "Not Rated", IF(Table13[[#This Row],[Rating]] &lt; 3, "Low", IF(Table13[[#This Row],[Rating]] &lt; 4, "Medium", "High")))</f>
        <v>High</v>
      </c>
      <c r="L1164">
        <v>2089</v>
      </c>
      <c r="M1164">
        <v>60</v>
      </c>
      <c r="N1164" t="str">
        <f>IF(Table13[[#This Row],[Price USD]]&lt;20,"Budget",IF(Table13[[#This Row],[Price USD]]&lt;=50,"Mid-range","Premium"))</f>
        <v>Premium</v>
      </c>
      <c r="O1164">
        <v>0</v>
      </c>
      <c r="P1164">
        <v>0</v>
      </c>
    </row>
    <row r="1165" spans="1:16" x14ac:dyDescent="0.25">
      <c r="A1165" t="s">
        <v>427</v>
      </c>
      <c r="B1165" t="s">
        <v>428</v>
      </c>
      <c r="C1165">
        <v>6285</v>
      </c>
      <c r="D1165" t="s">
        <v>119</v>
      </c>
      <c r="E1165" t="s">
        <v>149</v>
      </c>
      <c r="F1165">
        <v>76545</v>
      </c>
      <c r="G11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5">
        <v>3.9531999999999998</v>
      </c>
      <c r="J1165" t="str">
        <f>IF(ISBLANK(Table13[[#This Row],[Rating]]), "No", "Yes")</f>
        <v>Yes</v>
      </c>
      <c r="K1165" t="str">
        <f>IF(ISBLANK(Table13[[#This Row],[Rating]]), "Not Rated", IF(Table13[[#This Row],[Rating]] &lt; 3, "Low", IF(Table13[[#This Row],[Rating]] &lt; 4, "Medium", "High")))</f>
        <v>Medium</v>
      </c>
      <c r="L1165">
        <v>662</v>
      </c>
      <c r="M1165">
        <v>12.99</v>
      </c>
      <c r="N1165" t="str">
        <f>IF(Table13[[#This Row],[Price USD]]&lt;20,"Budget",IF(Table13[[#This Row],[Price USD]]&lt;=50,"Mid-range","Premium"))</f>
        <v>Budget</v>
      </c>
      <c r="O1165">
        <v>0</v>
      </c>
      <c r="P1165">
        <v>0</v>
      </c>
    </row>
    <row r="1166" spans="1:16" x14ac:dyDescent="0.25">
      <c r="A1166" t="s">
        <v>425</v>
      </c>
      <c r="B1166" t="s">
        <v>426</v>
      </c>
      <c r="C1166">
        <v>6352</v>
      </c>
      <c r="D1166" t="s">
        <v>251</v>
      </c>
      <c r="E1166" t="s">
        <v>4</v>
      </c>
      <c r="F1166">
        <v>76840</v>
      </c>
      <c r="G11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6">
        <v>4.1143999999999998</v>
      </c>
      <c r="J1166" t="str">
        <f>IF(ISBLANK(Table13[[#This Row],[Rating]]), "No", "Yes")</f>
        <v>Yes</v>
      </c>
      <c r="K1166" t="str">
        <f>IF(ISBLANK(Table13[[#This Row],[Rating]]), "Not Rated", IF(Table13[[#This Row],[Rating]] &lt; 3, "Low", IF(Table13[[#This Row],[Rating]] &lt; 4, "Medium", "High")))</f>
        <v>High</v>
      </c>
      <c r="L1166">
        <v>376</v>
      </c>
      <c r="M1166">
        <v>22</v>
      </c>
      <c r="N1166" t="str">
        <f>IF(Table13[[#This Row],[Price USD]]&lt;20,"Budget",IF(Table13[[#This Row],[Price USD]]&lt;=50,"Mid-range","Premium"))</f>
        <v>Mid-range</v>
      </c>
      <c r="O1166">
        <v>0</v>
      </c>
      <c r="P1166">
        <v>1</v>
      </c>
    </row>
    <row r="1167" spans="1:16" x14ac:dyDescent="0.25">
      <c r="A1167" t="s">
        <v>423</v>
      </c>
      <c r="B1167" t="s">
        <v>424</v>
      </c>
      <c r="C1167">
        <v>6041</v>
      </c>
      <c r="D1167" t="s">
        <v>33</v>
      </c>
      <c r="E1167" t="s">
        <v>8</v>
      </c>
      <c r="F1167">
        <v>77027</v>
      </c>
      <c r="G11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7">
        <v>4.6355000000000004</v>
      </c>
      <c r="J1167" t="str">
        <f>IF(ISBLANK(Table13[[#This Row],[Rating]]), "No", "Yes")</f>
        <v>Yes</v>
      </c>
      <c r="K1167" t="str">
        <f>IF(ISBLANK(Table13[[#This Row],[Rating]]), "Not Rated", IF(Table13[[#This Row],[Rating]] &lt; 3, "Low", IF(Table13[[#This Row],[Rating]] &lt; 4, "Medium", "High")))</f>
        <v>High</v>
      </c>
      <c r="L1167">
        <v>1391</v>
      </c>
      <c r="M1167">
        <v>89</v>
      </c>
      <c r="N1167" t="str">
        <f>IF(Table13[[#This Row],[Price USD]]&lt;20,"Budget",IF(Table13[[#This Row],[Price USD]]&lt;=50,"Mid-range","Premium"))</f>
        <v>Premium</v>
      </c>
      <c r="O1167">
        <v>0</v>
      </c>
      <c r="P1167">
        <v>0</v>
      </c>
    </row>
    <row r="1168" spans="1:16" x14ac:dyDescent="0.25">
      <c r="A1168" t="s">
        <v>421</v>
      </c>
      <c r="B1168" t="s">
        <v>422</v>
      </c>
      <c r="C1168">
        <v>6352</v>
      </c>
      <c r="D1168" t="s">
        <v>251</v>
      </c>
      <c r="E1168" t="s">
        <v>13</v>
      </c>
      <c r="F1168">
        <v>77300</v>
      </c>
      <c r="G11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8">
        <v>4.1052</v>
      </c>
      <c r="J1168" t="str">
        <f>IF(ISBLANK(Table13[[#This Row],[Rating]]), "No", "Yes")</f>
        <v>Yes</v>
      </c>
      <c r="K1168" t="str">
        <f>IF(ISBLANK(Table13[[#This Row],[Rating]]), "Not Rated", IF(Table13[[#This Row],[Rating]] &lt; 3, "Low", IF(Table13[[#This Row],[Rating]] &lt; 4, "Medium", "High")))</f>
        <v>High</v>
      </c>
      <c r="L1168">
        <v>485</v>
      </c>
      <c r="M1168">
        <v>34</v>
      </c>
      <c r="N1168" t="str">
        <f>IF(Table13[[#This Row],[Price USD]]&lt;20,"Budget",IF(Table13[[#This Row],[Price USD]]&lt;=50,"Mid-range","Premium"))</f>
        <v>Mid-range</v>
      </c>
      <c r="O1168">
        <v>0</v>
      </c>
      <c r="P1168">
        <v>0</v>
      </c>
    </row>
    <row r="1169" spans="1:16" x14ac:dyDescent="0.25">
      <c r="A1169" t="s">
        <v>419</v>
      </c>
      <c r="B1169" t="s">
        <v>420</v>
      </c>
      <c r="C1169">
        <v>6014</v>
      </c>
      <c r="D1169" t="s">
        <v>102</v>
      </c>
      <c r="E1169" t="s">
        <v>69</v>
      </c>
      <c r="F1169">
        <v>77748</v>
      </c>
      <c r="G11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69">
        <v>4.2176</v>
      </c>
      <c r="J1169" t="str">
        <f>IF(ISBLANK(Table13[[#This Row],[Rating]]), "No", "Yes")</f>
        <v>Yes</v>
      </c>
      <c r="K1169" t="str">
        <f>IF(ISBLANK(Table13[[#This Row],[Rating]]), "Not Rated", IF(Table13[[#This Row],[Rating]] &lt; 3, "Low", IF(Table13[[#This Row],[Rating]] &lt; 4, "Medium", "High")))</f>
        <v>High</v>
      </c>
      <c r="L1169">
        <v>432</v>
      </c>
      <c r="M1169">
        <v>7</v>
      </c>
      <c r="N1169" t="str">
        <f>IF(Table13[[#This Row],[Price USD]]&lt;20,"Budget",IF(Table13[[#This Row],[Price USD]]&lt;=50,"Mid-range","Premium"))</f>
        <v>Budget</v>
      </c>
      <c r="O1169">
        <v>0</v>
      </c>
      <c r="P1169">
        <v>0</v>
      </c>
    </row>
    <row r="1170" spans="1:16" x14ac:dyDescent="0.25">
      <c r="A1170" t="s">
        <v>417</v>
      </c>
      <c r="B1170" t="s">
        <v>418</v>
      </c>
      <c r="C1170">
        <v>5972</v>
      </c>
      <c r="D1170" t="s">
        <v>54</v>
      </c>
      <c r="E1170" t="s">
        <v>21</v>
      </c>
      <c r="F1170">
        <v>77772</v>
      </c>
      <c r="G11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0">
        <v>4.1988000000000003</v>
      </c>
      <c r="J1170" t="str">
        <f>IF(ISBLANK(Table13[[#This Row],[Rating]]), "No", "Yes")</f>
        <v>Yes</v>
      </c>
      <c r="K1170" t="str">
        <f>IF(ISBLANK(Table13[[#This Row],[Rating]]), "Not Rated", IF(Table13[[#This Row],[Rating]] &lt; 3, "Low", IF(Table13[[#This Row],[Rating]] &lt; 4, "Medium", "High")))</f>
        <v>High</v>
      </c>
      <c r="L1170">
        <v>1826</v>
      </c>
      <c r="M1170">
        <v>32</v>
      </c>
      <c r="N1170" t="str">
        <f>IF(Table13[[#This Row],[Price USD]]&lt;20,"Budget",IF(Table13[[#This Row],[Price USD]]&lt;=50,"Mid-range","Premium"))</f>
        <v>Mid-range</v>
      </c>
      <c r="O1170">
        <v>0</v>
      </c>
      <c r="P1170">
        <v>0</v>
      </c>
    </row>
    <row r="1171" spans="1:16" x14ac:dyDescent="0.25">
      <c r="A1171" t="s">
        <v>415</v>
      </c>
      <c r="B1171" t="s">
        <v>416</v>
      </c>
      <c r="C1171">
        <v>4348</v>
      </c>
      <c r="D1171" t="s">
        <v>61</v>
      </c>
      <c r="E1171" t="s">
        <v>13</v>
      </c>
      <c r="F1171">
        <v>78005</v>
      </c>
      <c r="G11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1">
        <v>4.5195999999999996</v>
      </c>
      <c r="J1171" t="str">
        <f>IF(ISBLANK(Table13[[#This Row],[Rating]]), "No", "Yes")</f>
        <v>Yes</v>
      </c>
      <c r="K1171" t="str">
        <f>IF(ISBLANK(Table13[[#This Row],[Rating]]), "Not Rated", IF(Table13[[#This Row],[Rating]] &lt; 3, "Low", IF(Table13[[#This Row],[Rating]] &lt; 4, "Medium", "High")))</f>
        <v>High</v>
      </c>
      <c r="L1171">
        <v>1070</v>
      </c>
      <c r="M1171">
        <v>64</v>
      </c>
      <c r="N1171" t="str">
        <f>IF(Table13[[#This Row],[Price USD]]&lt;20,"Budget",IF(Table13[[#This Row],[Price USD]]&lt;=50,"Mid-range","Premium"))</f>
        <v>Premium</v>
      </c>
      <c r="O1171">
        <v>0</v>
      </c>
      <c r="P1171">
        <v>0</v>
      </c>
    </row>
    <row r="1172" spans="1:16" x14ac:dyDescent="0.25">
      <c r="A1172" t="s">
        <v>413</v>
      </c>
      <c r="B1172" t="s">
        <v>414</v>
      </c>
      <c r="C1172">
        <v>6125</v>
      </c>
      <c r="D1172" t="s">
        <v>3</v>
      </c>
      <c r="E1172" t="s">
        <v>69</v>
      </c>
      <c r="F1172">
        <v>78940</v>
      </c>
      <c r="G11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2">
        <v>4.3623000000000003</v>
      </c>
      <c r="J1172" t="str">
        <f>IF(ISBLANK(Table13[[#This Row],[Rating]]), "No", "Yes")</f>
        <v>Yes</v>
      </c>
      <c r="K1172" t="str">
        <f>IF(ISBLANK(Table13[[#This Row],[Rating]]), "Not Rated", IF(Table13[[#This Row],[Rating]] &lt; 3, "Low", IF(Table13[[#This Row],[Rating]] &lt; 4, "Medium", "High")))</f>
        <v>High</v>
      </c>
      <c r="L1172">
        <v>472</v>
      </c>
      <c r="M1172">
        <v>32</v>
      </c>
      <c r="N1172" t="str">
        <f>IF(Table13[[#This Row],[Price USD]]&lt;20,"Budget",IF(Table13[[#This Row],[Price USD]]&lt;=50,"Mid-range","Premium"))</f>
        <v>Mid-range</v>
      </c>
      <c r="O1172">
        <v>0</v>
      </c>
      <c r="P1172">
        <v>0</v>
      </c>
    </row>
    <row r="1173" spans="1:16" x14ac:dyDescent="0.25">
      <c r="A1173" t="s">
        <v>411</v>
      </c>
      <c r="B1173" t="s">
        <v>412</v>
      </c>
      <c r="C1173">
        <v>3733</v>
      </c>
      <c r="D1173" t="s">
        <v>124</v>
      </c>
      <c r="E1173" t="s">
        <v>69</v>
      </c>
      <c r="F1173">
        <v>79246</v>
      </c>
      <c r="G11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3">
        <v>4.3970000000000002</v>
      </c>
      <c r="J1173" t="str">
        <f>IF(ISBLANK(Table13[[#This Row],[Rating]]), "No", "Yes")</f>
        <v>Yes</v>
      </c>
      <c r="K1173" t="str">
        <f>IF(ISBLANK(Table13[[#This Row],[Rating]]), "Not Rated", IF(Table13[[#This Row],[Rating]] &lt; 3, "Low", IF(Table13[[#This Row],[Rating]] &lt; 4, "Medium", "High")))</f>
        <v>High</v>
      </c>
      <c r="L1173">
        <v>1000</v>
      </c>
      <c r="M1173">
        <v>32</v>
      </c>
      <c r="N1173" t="str">
        <f>IF(Table13[[#This Row],[Price USD]]&lt;20,"Budget",IF(Table13[[#This Row],[Price USD]]&lt;=50,"Mid-range","Premium"))</f>
        <v>Mid-range</v>
      </c>
      <c r="O1173">
        <v>0</v>
      </c>
      <c r="P1173">
        <v>0</v>
      </c>
    </row>
    <row r="1174" spans="1:16" x14ac:dyDescent="0.25">
      <c r="A1174" t="s">
        <v>409</v>
      </c>
      <c r="B1174" t="s">
        <v>410</v>
      </c>
      <c r="C1174">
        <v>6169</v>
      </c>
      <c r="D1174" t="s">
        <v>24</v>
      </c>
      <c r="E1174" t="s">
        <v>144</v>
      </c>
      <c r="F1174">
        <v>79524</v>
      </c>
      <c r="G11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4">
        <v>4.3236999999999997</v>
      </c>
      <c r="J1174" t="str">
        <f>IF(ISBLANK(Table13[[#This Row],[Rating]]), "No", "Yes")</f>
        <v>Yes</v>
      </c>
      <c r="K1174" t="str">
        <f>IF(ISBLANK(Table13[[#This Row],[Rating]]), "Not Rated", IF(Table13[[#This Row],[Rating]] &lt; 3, "Low", IF(Table13[[#This Row],[Rating]] &lt; 4, "Medium", "High")))</f>
        <v>High</v>
      </c>
      <c r="L1174">
        <v>2354</v>
      </c>
      <c r="M1174">
        <v>18</v>
      </c>
      <c r="N1174" t="str">
        <f>IF(Table13[[#This Row],[Price USD]]&lt;20,"Budget",IF(Table13[[#This Row],[Price USD]]&lt;=50,"Mid-range","Premium"))</f>
        <v>Budget</v>
      </c>
      <c r="O1174">
        <v>0</v>
      </c>
      <c r="P1174">
        <v>0</v>
      </c>
    </row>
    <row r="1175" spans="1:16" x14ac:dyDescent="0.25">
      <c r="A1175" t="s">
        <v>406</v>
      </c>
      <c r="B1175" t="s">
        <v>407</v>
      </c>
      <c r="C1175">
        <v>5648</v>
      </c>
      <c r="D1175" t="s">
        <v>408</v>
      </c>
      <c r="E1175" t="s">
        <v>21</v>
      </c>
      <c r="F1175">
        <v>79986</v>
      </c>
      <c r="G11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5">
        <v>4.3959999999999999</v>
      </c>
      <c r="J1175" t="str">
        <f>IF(ISBLANK(Table13[[#This Row],[Rating]]), "No", "Yes")</f>
        <v>Yes</v>
      </c>
      <c r="K1175" t="str">
        <f>IF(ISBLANK(Table13[[#This Row],[Rating]]), "Not Rated", IF(Table13[[#This Row],[Rating]] &lt; 3, "Low", IF(Table13[[#This Row],[Rating]] &lt; 4, "Medium", "High")))</f>
        <v>High</v>
      </c>
      <c r="L1175">
        <v>2419</v>
      </c>
      <c r="M1175">
        <v>48</v>
      </c>
      <c r="N1175" t="str">
        <f>IF(Table13[[#This Row],[Price USD]]&lt;20,"Budget",IF(Table13[[#This Row],[Price USD]]&lt;=50,"Mid-range","Premium"))</f>
        <v>Mid-range</v>
      </c>
      <c r="O1175">
        <v>0</v>
      </c>
      <c r="P1175">
        <v>0</v>
      </c>
    </row>
    <row r="1176" spans="1:16" x14ac:dyDescent="0.25">
      <c r="A1176" t="s">
        <v>404</v>
      </c>
      <c r="B1176" t="s">
        <v>405</v>
      </c>
      <c r="C1176">
        <v>6125</v>
      </c>
      <c r="D1176" t="s">
        <v>3</v>
      </c>
      <c r="E1176" t="s">
        <v>69</v>
      </c>
      <c r="F1176">
        <v>80111</v>
      </c>
      <c r="G11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6">
        <v>4.6375000000000002</v>
      </c>
      <c r="J1176" t="str">
        <f>IF(ISBLANK(Table13[[#This Row],[Rating]]), "No", "Yes")</f>
        <v>Yes</v>
      </c>
      <c r="K1176" t="str">
        <f>IF(ISBLANK(Table13[[#This Row],[Rating]]), "Not Rated", IF(Table13[[#This Row],[Rating]] &lt; 3, "Low", IF(Table13[[#This Row],[Rating]] &lt; 4, "Medium", "High")))</f>
        <v>High</v>
      </c>
      <c r="L1176">
        <v>971</v>
      </c>
      <c r="M1176">
        <v>34</v>
      </c>
      <c r="N1176" t="str">
        <f>IF(Table13[[#This Row],[Price USD]]&lt;20,"Budget",IF(Table13[[#This Row],[Price USD]]&lt;=50,"Mid-range","Premium"))</f>
        <v>Mid-range</v>
      </c>
      <c r="O1176">
        <v>0</v>
      </c>
      <c r="P1176">
        <v>0</v>
      </c>
    </row>
    <row r="1177" spans="1:16" x14ac:dyDescent="0.25">
      <c r="A1177" t="s">
        <v>402</v>
      </c>
      <c r="B1177" t="s">
        <v>403</v>
      </c>
      <c r="C1177">
        <v>6285</v>
      </c>
      <c r="D1177" t="s">
        <v>119</v>
      </c>
      <c r="E1177" t="s">
        <v>8</v>
      </c>
      <c r="F1177">
        <v>80563</v>
      </c>
      <c r="G11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7">
        <v>4.1989999999999998</v>
      </c>
      <c r="J1177" t="str">
        <f>IF(ISBLANK(Table13[[#This Row],[Rating]]), "No", "Yes")</f>
        <v>Yes</v>
      </c>
      <c r="K1177" t="str">
        <f>IF(ISBLANK(Table13[[#This Row],[Rating]]), "Not Rated", IF(Table13[[#This Row],[Rating]] &lt; 3, "Low", IF(Table13[[#This Row],[Rating]] &lt; 4, "Medium", "High")))</f>
        <v>High</v>
      </c>
      <c r="L1177">
        <v>985</v>
      </c>
      <c r="M1177">
        <v>9.99</v>
      </c>
      <c r="N1177" t="str">
        <f>IF(Table13[[#This Row],[Price USD]]&lt;20,"Budget",IF(Table13[[#This Row],[Price USD]]&lt;=50,"Mid-range","Premium"))</f>
        <v>Budget</v>
      </c>
      <c r="O1177">
        <v>0</v>
      </c>
      <c r="P1177">
        <v>0</v>
      </c>
    </row>
    <row r="1178" spans="1:16" x14ac:dyDescent="0.25">
      <c r="A1178" t="s">
        <v>400</v>
      </c>
      <c r="B1178" t="s">
        <v>401</v>
      </c>
      <c r="C1178">
        <v>3902</v>
      </c>
      <c r="D1178" t="s">
        <v>72</v>
      </c>
      <c r="E1178" t="s">
        <v>69</v>
      </c>
      <c r="F1178">
        <v>80684</v>
      </c>
      <c r="G11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8">
        <v>4.1455000000000002</v>
      </c>
      <c r="J1178" t="str">
        <f>IF(ISBLANK(Table13[[#This Row],[Rating]]), "No", "Yes")</f>
        <v>Yes</v>
      </c>
      <c r="K1178" t="str">
        <f>IF(ISBLANK(Table13[[#This Row],[Rating]]), "Not Rated", IF(Table13[[#This Row],[Rating]] &lt; 3, "Low", IF(Table13[[#This Row],[Rating]] &lt; 4, "Medium", "High")))</f>
        <v>High</v>
      </c>
      <c r="L1178">
        <v>385</v>
      </c>
      <c r="M1178">
        <v>5.5</v>
      </c>
      <c r="N1178" t="str">
        <f>IF(Table13[[#This Row],[Price USD]]&lt;20,"Budget",IF(Table13[[#This Row],[Price USD]]&lt;=50,"Mid-range","Premium"))</f>
        <v>Budget</v>
      </c>
      <c r="O1178">
        <v>0</v>
      </c>
      <c r="P1178">
        <v>0</v>
      </c>
    </row>
    <row r="1179" spans="1:16" x14ac:dyDescent="0.25">
      <c r="A1179" t="s">
        <v>398</v>
      </c>
      <c r="B1179" t="s">
        <v>399</v>
      </c>
      <c r="C1179">
        <v>4348</v>
      </c>
      <c r="D1179" t="s">
        <v>61</v>
      </c>
      <c r="E1179" t="s">
        <v>13</v>
      </c>
      <c r="F1179">
        <v>80841</v>
      </c>
      <c r="G11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79">
        <v>4.1067</v>
      </c>
      <c r="J1179" t="str">
        <f>IF(ISBLANK(Table13[[#This Row],[Rating]]), "No", "Yes")</f>
        <v>Yes</v>
      </c>
      <c r="K1179" t="str">
        <f>IF(ISBLANK(Table13[[#This Row],[Rating]]), "Not Rated", IF(Table13[[#This Row],[Rating]] &lt; 3, "Low", IF(Table13[[#This Row],[Rating]] &lt; 4, "Medium", "High")))</f>
        <v>High</v>
      </c>
      <c r="L1179">
        <v>937</v>
      </c>
      <c r="M1179">
        <v>15</v>
      </c>
      <c r="N1179" t="str">
        <f>IF(Table13[[#This Row],[Price USD]]&lt;20,"Budget",IF(Table13[[#This Row],[Price USD]]&lt;=50,"Mid-range","Premium"))</f>
        <v>Budget</v>
      </c>
      <c r="O1179">
        <v>0</v>
      </c>
      <c r="P1179">
        <v>0</v>
      </c>
    </row>
    <row r="1180" spans="1:16" x14ac:dyDescent="0.25">
      <c r="A1180" t="s">
        <v>396</v>
      </c>
      <c r="B1180" t="s">
        <v>397</v>
      </c>
      <c r="C1180">
        <v>6247</v>
      </c>
      <c r="D1180" t="s">
        <v>38</v>
      </c>
      <c r="E1180" t="s">
        <v>8</v>
      </c>
      <c r="F1180">
        <v>80956</v>
      </c>
      <c r="G11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0">
        <v>4.0892999999999997</v>
      </c>
      <c r="J1180" t="str">
        <f>IF(ISBLANK(Table13[[#This Row],[Rating]]), "No", "Yes")</f>
        <v>Yes</v>
      </c>
      <c r="K1180" t="str">
        <f>IF(ISBLANK(Table13[[#This Row],[Rating]]), "Not Rated", IF(Table13[[#This Row],[Rating]] &lt; 3, "Low", IF(Table13[[#This Row],[Rating]] &lt; 4, "Medium", "High")))</f>
        <v>High</v>
      </c>
      <c r="L1180">
        <v>896</v>
      </c>
      <c r="M1180">
        <v>68</v>
      </c>
      <c r="N1180" t="str">
        <f>IF(Table13[[#This Row],[Price USD]]&lt;20,"Budget",IF(Table13[[#This Row],[Price USD]]&lt;=50,"Mid-range","Premium"))</f>
        <v>Premium</v>
      </c>
      <c r="O1180">
        <v>0</v>
      </c>
      <c r="P1180">
        <v>0</v>
      </c>
    </row>
    <row r="1181" spans="1:16" x14ac:dyDescent="0.25">
      <c r="A1181" t="s">
        <v>394</v>
      </c>
      <c r="B1181" t="s">
        <v>395</v>
      </c>
      <c r="C1181">
        <v>5337</v>
      </c>
      <c r="D1181" t="s">
        <v>209</v>
      </c>
      <c r="E1181" t="s">
        <v>149</v>
      </c>
      <c r="F1181">
        <v>81341</v>
      </c>
      <c r="G11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1">
        <v>4.4219999999999997</v>
      </c>
      <c r="J1181" t="str">
        <f>IF(ISBLANK(Table13[[#This Row],[Rating]]), "No", "Yes")</f>
        <v>Yes</v>
      </c>
      <c r="K1181" t="str">
        <f>IF(ISBLANK(Table13[[#This Row],[Rating]]), "Not Rated", IF(Table13[[#This Row],[Rating]] &lt; 3, "Low", IF(Table13[[#This Row],[Rating]] &lt; 4, "Medium", "High")))</f>
        <v>High</v>
      </c>
      <c r="L1181">
        <v>500</v>
      </c>
      <c r="M1181">
        <v>70</v>
      </c>
      <c r="N1181" t="str">
        <f>IF(Table13[[#This Row],[Price USD]]&lt;20,"Budget",IF(Table13[[#This Row],[Price USD]]&lt;=50,"Mid-range","Premium"))</f>
        <v>Premium</v>
      </c>
      <c r="O1181">
        <v>0</v>
      </c>
      <c r="P1181">
        <v>0</v>
      </c>
    </row>
    <row r="1182" spans="1:16" x14ac:dyDescent="0.25">
      <c r="A1182" t="s">
        <v>391</v>
      </c>
      <c r="B1182" t="s">
        <v>392</v>
      </c>
      <c r="C1182">
        <v>5671</v>
      </c>
      <c r="D1182" t="s">
        <v>393</v>
      </c>
      <c r="E1182" t="s">
        <v>4</v>
      </c>
      <c r="F1182">
        <v>81724</v>
      </c>
      <c r="G11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2">
        <v>4.6463000000000001</v>
      </c>
      <c r="J1182" t="str">
        <f>IF(ISBLANK(Table13[[#This Row],[Rating]]), "No", "Yes")</f>
        <v>Yes</v>
      </c>
      <c r="K1182" t="str">
        <f>IF(ISBLANK(Table13[[#This Row],[Rating]]), "Not Rated", IF(Table13[[#This Row],[Rating]] &lt; 3, "Low", IF(Table13[[#This Row],[Rating]] &lt; 4, "Medium", "High")))</f>
        <v>High</v>
      </c>
      <c r="L1182">
        <v>5199</v>
      </c>
      <c r="M1182">
        <v>7</v>
      </c>
      <c r="N1182" t="str">
        <f>IF(Table13[[#This Row],[Price USD]]&lt;20,"Budget",IF(Table13[[#This Row],[Price USD]]&lt;=50,"Mid-range","Premium"))</f>
        <v>Budget</v>
      </c>
      <c r="O1182">
        <v>0</v>
      </c>
      <c r="P1182">
        <v>0</v>
      </c>
    </row>
    <row r="1183" spans="1:16" x14ac:dyDescent="0.25">
      <c r="A1183" t="s">
        <v>389</v>
      </c>
      <c r="B1183" t="s">
        <v>390</v>
      </c>
      <c r="C1183">
        <v>6169</v>
      </c>
      <c r="D1183" t="s">
        <v>24</v>
      </c>
      <c r="E1183" t="s">
        <v>13</v>
      </c>
      <c r="F1183">
        <v>82444</v>
      </c>
      <c r="G11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3">
        <v>4.4774000000000003</v>
      </c>
      <c r="J1183" t="str">
        <f>IF(ISBLANK(Table13[[#This Row],[Rating]]), "No", "Yes")</f>
        <v>Yes</v>
      </c>
      <c r="K1183" t="str">
        <f>IF(ISBLANK(Table13[[#This Row],[Rating]]), "Not Rated", IF(Table13[[#This Row],[Rating]] &lt; 3, "Low", IF(Table13[[#This Row],[Rating]] &lt; 4, "Medium", "High")))</f>
        <v>High</v>
      </c>
      <c r="L1183">
        <v>620</v>
      </c>
      <c r="M1183">
        <v>59</v>
      </c>
      <c r="N1183" t="str">
        <f>IF(Table13[[#This Row],[Price USD]]&lt;20,"Budget",IF(Table13[[#This Row],[Price USD]]&lt;=50,"Mid-range","Premium"))</f>
        <v>Premium</v>
      </c>
      <c r="O1183">
        <v>0</v>
      </c>
      <c r="P1183">
        <v>0</v>
      </c>
    </row>
    <row r="1184" spans="1:16" x14ac:dyDescent="0.25">
      <c r="A1184" t="s">
        <v>386</v>
      </c>
      <c r="B1184" t="s">
        <v>387</v>
      </c>
      <c r="C1184">
        <v>1741</v>
      </c>
      <c r="D1184" t="s">
        <v>388</v>
      </c>
      <c r="E1184" t="s">
        <v>8</v>
      </c>
      <c r="F1184">
        <v>82978</v>
      </c>
      <c r="G11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4">
        <v>4.4032</v>
      </c>
      <c r="J1184" t="str">
        <f>IF(ISBLANK(Table13[[#This Row],[Rating]]), "No", "Yes")</f>
        <v>Yes</v>
      </c>
      <c r="K1184" t="str">
        <f>IF(ISBLANK(Table13[[#This Row],[Rating]]), "Not Rated", IF(Table13[[#This Row],[Rating]] &lt; 3, "Low", IF(Table13[[#This Row],[Rating]] &lt; 4, "Medium", "High")))</f>
        <v>High</v>
      </c>
      <c r="L1184">
        <v>1602</v>
      </c>
      <c r="M1184">
        <v>132</v>
      </c>
      <c r="N1184" t="str">
        <f>IF(Table13[[#This Row],[Price USD]]&lt;20,"Budget",IF(Table13[[#This Row],[Price USD]]&lt;=50,"Mid-range","Premium"))</f>
        <v>Premium</v>
      </c>
      <c r="O1184">
        <v>0</v>
      </c>
      <c r="P1184">
        <v>0</v>
      </c>
    </row>
    <row r="1185" spans="1:16" x14ac:dyDescent="0.25">
      <c r="A1185" t="s">
        <v>384</v>
      </c>
      <c r="B1185" t="s">
        <v>385</v>
      </c>
      <c r="C1185">
        <v>6234</v>
      </c>
      <c r="D1185" t="s">
        <v>7</v>
      </c>
      <c r="E1185" t="s">
        <v>8</v>
      </c>
      <c r="F1185">
        <v>83357</v>
      </c>
      <c r="G11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5">
        <v>4.3164999999999996</v>
      </c>
      <c r="J1185" t="str">
        <f>IF(ISBLANK(Table13[[#This Row],[Rating]]), "No", "Yes")</f>
        <v>Yes</v>
      </c>
      <c r="K1185" t="str">
        <f>IF(ISBLANK(Table13[[#This Row],[Rating]]), "Not Rated", IF(Table13[[#This Row],[Rating]] &lt; 3, "Low", IF(Table13[[#This Row],[Rating]] &lt; 4, "Medium", "High")))</f>
        <v>High</v>
      </c>
      <c r="L1185">
        <v>237</v>
      </c>
      <c r="M1185">
        <v>10.5</v>
      </c>
      <c r="N1185" t="str">
        <f>IF(Table13[[#This Row],[Price USD]]&lt;20,"Budget",IF(Table13[[#This Row],[Price USD]]&lt;=50,"Mid-range","Premium"))</f>
        <v>Budget</v>
      </c>
      <c r="O1185">
        <v>0</v>
      </c>
      <c r="P1185">
        <v>0</v>
      </c>
    </row>
    <row r="1186" spans="1:16" x14ac:dyDescent="0.25">
      <c r="A1186" t="s">
        <v>382</v>
      </c>
      <c r="B1186" t="s">
        <v>383</v>
      </c>
      <c r="C1186">
        <v>7083</v>
      </c>
      <c r="D1186" t="s">
        <v>20</v>
      </c>
      <c r="E1186" t="s">
        <v>4</v>
      </c>
      <c r="F1186">
        <v>84276</v>
      </c>
      <c r="G11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6">
        <v>3.7385999999999999</v>
      </c>
      <c r="J1186" t="str">
        <f>IF(ISBLANK(Table13[[#This Row],[Rating]]), "No", "Yes")</f>
        <v>Yes</v>
      </c>
      <c r="K1186" t="str">
        <f>IF(ISBLANK(Table13[[#This Row],[Rating]]), "Not Rated", IF(Table13[[#This Row],[Rating]] &lt; 3, "Low", IF(Table13[[#This Row],[Rating]] &lt; 4, "Medium", "High")))</f>
        <v>Medium</v>
      </c>
      <c r="L1186">
        <v>1901</v>
      </c>
      <c r="M1186">
        <v>18</v>
      </c>
      <c r="N1186" t="str">
        <f>IF(Table13[[#This Row],[Price USD]]&lt;20,"Budget",IF(Table13[[#This Row],[Price USD]]&lt;=50,"Mid-range","Premium"))</f>
        <v>Budget</v>
      </c>
      <c r="O1186">
        <v>0</v>
      </c>
      <c r="P1186">
        <v>0</v>
      </c>
    </row>
    <row r="1187" spans="1:16" x14ac:dyDescent="0.25">
      <c r="A1187" t="s">
        <v>380</v>
      </c>
      <c r="B1187" t="s">
        <v>381</v>
      </c>
      <c r="C1187">
        <v>6234</v>
      </c>
      <c r="D1187" t="s">
        <v>7</v>
      </c>
      <c r="E1187" t="s">
        <v>8</v>
      </c>
      <c r="F1187">
        <v>85389</v>
      </c>
      <c r="G11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7">
        <v>4.1984000000000004</v>
      </c>
      <c r="J1187" t="str">
        <f>IF(ISBLANK(Table13[[#This Row],[Rating]]), "No", "Yes")</f>
        <v>Yes</v>
      </c>
      <c r="K1187" t="str">
        <f>IF(ISBLANK(Table13[[#This Row],[Rating]]), "Not Rated", IF(Table13[[#This Row],[Rating]] &lt; 3, "Low", IF(Table13[[#This Row],[Rating]] &lt; 4, "Medium", "High")))</f>
        <v>High</v>
      </c>
      <c r="L1187">
        <v>247</v>
      </c>
      <c r="M1187">
        <v>9.4</v>
      </c>
      <c r="N1187" t="str">
        <f>IF(Table13[[#This Row],[Price USD]]&lt;20,"Budget",IF(Table13[[#This Row],[Price USD]]&lt;=50,"Mid-range","Premium"))</f>
        <v>Budget</v>
      </c>
      <c r="O1187">
        <v>0</v>
      </c>
      <c r="P1187">
        <v>0</v>
      </c>
    </row>
    <row r="1188" spans="1:16" x14ac:dyDescent="0.25">
      <c r="A1188" t="s">
        <v>378</v>
      </c>
      <c r="B1188" t="s">
        <v>379</v>
      </c>
      <c r="C1188">
        <v>6189</v>
      </c>
      <c r="D1188" t="s">
        <v>30</v>
      </c>
      <c r="E1188" t="s">
        <v>13</v>
      </c>
      <c r="F1188">
        <v>87376</v>
      </c>
      <c r="G11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8">
        <v>4.1989000000000001</v>
      </c>
      <c r="J1188" t="str">
        <f>IF(ISBLANK(Table13[[#This Row],[Rating]]), "No", "Yes")</f>
        <v>Yes</v>
      </c>
      <c r="K1188" t="str">
        <f>IF(ISBLANK(Table13[[#This Row],[Rating]]), "Not Rated", IF(Table13[[#This Row],[Rating]] &lt; 3, "Low", IF(Table13[[#This Row],[Rating]] &lt; 4, "Medium", "High")))</f>
        <v>High</v>
      </c>
      <c r="L1188">
        <v>1428</v>
      </c>
      <c r="M1188">
        <v>32</v>
      </c>
      <c r="N1188" t="str">
        <f>IF(Table13[[#This Row],[Price USD]]&lt;20,"Budget",IF(Table13[[#This Row],[Price USD]]&lt;=50,"Mid-range","Premium"))</f>
        <v>Mid-range</v>
      </c>
      <c r="O1188">
        <v>0</v>
      </c>
      <c r="P1188">
        <v>0</v>
      </c>
    </row>
    <row r="1189" spans="1:16" x14ac:dyDescent="0.25">
      <c r="A1189" t="s">
        <v>376</v>
      </c>
      <c r="B1189" t="s">
        <v>377</v>
      </c>
      <c r="C1189">
        <v>6285</v>
      </c>
      <c r="D1189" t="s">
        <v>119</v>
      </c>
      <c r="E1189" t="s">
        <v>8</v>
      </c>
      <c r="F1189">
        <v>87389</v>
      </c>
      <c r="G11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89">
        <v>3.9445999999999999</v>
      </c>
      <c r="J1189" t="str">
        <f>IF(ISBLANK(Table13[[#This Row],[Rating]]), "No", "Yes")</f>
        <v>Yes</v>
      </c>
      <c r="K1189" t="str">
        <f>IF(ISBLANK(Table13[[#This Row],[Rating]]), "Not Rated", IF(Table13[[#This Row],[Rating]] &lt; 3, "Low", IF(Table13[[#This Row],[Rating]] &lt; 4, "Medium", "High")))</f>
        <v>Medium</v>
      </c>
      <c r="L1189">
        <v>668</v>
      </c>
      <c r="M1189">
        <v>15.99</v>
      </c>
      <c r="N1189" t="str">
        <f>IF(Table13[[#This Row],[Price USD]]&lt;20,"Budget",IF(Table13[[#This Row],[Price USD]]&lt;=50,"Mid-range","Premium"))</f>
        <v>Budget</v>
      </c>
      <c r="O1189">
        <v>0</v>
      </c>
      <c r="P1189">
        <v>0</v>
      </c>
    </row>
    <row r="1190" spans="1:16" x14ac:dyDescent="0.25">
      <c r="A1190" t="s">
        <v>374</v>
      </c>
      <c r="B1190" t="s">
        <v>375</v>
      </c>
      <c r="C1190">
        <v>6285</v>
      </c>
      <c r="D1190" t="s">
        <v>119</v>
      </c>
      <c r="E1190" t="s">
        <v>149</v>
      </c>
      <c r="F1190">
        <v>87730</v>
      </c>
      <c r="G11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0">
        <v>3.7616999999999998</v>
      </c>
      <c r="J1190" t="str">
        <f>IF(ISBLANK(Table13[[#This Row],[Rating]]), "No", "Yes")</f>
        <v>Yes</v>
      </c>
      <c r="K1190" t="str">
        <f>IF(ISBLANK(Table13[[#This Row],[Rating]]), "Not Rated", IF(Table13[[#This Row],[Rating]] &lt; 3, "Low", IF(Table13[[#This Row],[Rating]] &lt; 4, "Medium", "High")))</f>
        <v>Medium</v>
      </c>
      <c r="L1190">
        <v>1137</v>
      </c>
      <c r="M1190">
        <v>12.99</v>
      </c>
      <c r="N1190" t="str">
        <f>IF(Table13[[#This Row],[Price USD]]&lt;20,"Budget",IF(Table13[[#This Row],[Price USD]]&lt;=50,"Mid-range","Premium"))</f>
        <v>Budget</v>
      </c>
      <c r="O1190">
        <v>0</v>
      </c>
      <c r="P1190">
        <v>0</v>
      </c>
    </row>
    <row r="1191" spans="1:16" x14ac:dyDescent="0.25">
      <c r="A1191" t="s">
        <v>372</v>
      </c>
      <c r="B1191" t="s">
        <v>373</v>
      </c>
      <c r="C1191">
        <v>3733</v>
      </c>
      <c r="D1191" t="s">
        <v>124</v>
      </c>
      <c r="E1191" t="s">
        <v>21</v>
      </c>
      <c r="F1191">
        <v>87846</v>
      </c>
      <c r="G11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1">
        <v>4.4009999999999998</v>
      </c>
      <c r="J1191" t="str">
        <f>IF(ISBLANK(Table13[[#This Row],[Rating]]), "No", "Yes")</f>
        <v>Yes</v>
      </c>
      <c r="K1191" t="str">
        <f>IF(ISBLANK(Table13[[#This Row],[Rating]]), "Not Rated", IF(Table13[[#This Row],[Rating]] &lt; 3, "Low", IF(Table13[[#This Row],[Rating]] &lt; 4, "Medium", "High")))</f>
        <v>High</v>
      </c>
      <c r="L1191">
        <v>3135</v>
      </c>
      <c r="M1191">
        <v>36</v>
      </c>
      <c r="N1191" t="str">
        <f>IF(Table13[[#This Row],[Price USD]]&lt;20,"Budget",IF(Table13[[#This Row],[Price USD]]&lt;=50,"Mid-range","Premium"))</f>
        <v>Mid-range</v>
      </c>
      <c r="O1191">
        <v>0</v>
      </c>
      <c r="P1191">
        <v>0</v>
      </c>
    </row>
    <row r="1192" spans="1:16" x14ac:dyDescent="0.25">
      <c r="A1192" t="s">
        <v>370</v>
      </c>
      <c r="B1192" t="s">
        <v>371</v>
      </c>
      <c r="C1192">
        <v>7083</v>
      </c>
      <c r="D1192" t="s">
        <v>20</v>
      </c>
      <c r="E1192" t="s">
        <v>13</v>
      </c>
      <c r="F1192">
        <v>88374</v>
      </c>
      <c r="G11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2">
        <v>3.7810000000000001</v>
      </c>
      <c r="J1192" t="str">
        <f>IF(ISBLANK(Table13[[#This Row],[Rating]]), "No", "Yes")</f>
        <v>Yes</v>
      </c>
      <c r="K1192" t="str">
        <f>IF(ISBLANK(Table13[[#This Row],[Rating]]), "Not Rated", IF(Table13[[#This Row],[Rating]] &lt; 3, "Low", IF(Table13[[#This Row],[Rating]] &lt; 4, "Medium", "High")))</f>
        <v>Medium</v>
      </c>
      <c r="L1192">
        <v>1525</v>
      </c>
      <c r="M1192">
        <v>36</v>
      </c>
      <c r="N1192" t="str">
        <f>IF(Table13[[#This Row],[Price USD]]&lt;20,"Budget",IF(Table13[[#This Row],[Price USD]]&lt;=50,"Mid-range","Premium"))</f>
        <v>Mid-range</v>
      </c>
      <c r="O1192">
        <v>0</v>
      </c>
      <c r="P1192">
        <v>0</v>
      </c>
    </row>
    <row r="1193" spans="1:16" x14ac:dyDescent="0.25">
      <c r="A1193" t="s">
        <v>368</v>
      </c>
      <c r="B1193" t="s">
        <v>369</v>
      </c>
      <c r="C1193">
        <v>5674</v>
      </c>
      <c r="D1193" t="s">
        <v>141</v>
      </c>
      <c r="E1193" t="s">
        <v>8</v>
      </c>
      <c r="F1193">
        <v>88410</v>
      </c>
      <c r="G11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3">
        <v>3.9403999999999999</v>
      </c>
      <c r="J1193" t="str">
        <f>IF(ISBLANK(Table13[[#This Row],[Rating]]), "No", "Yes")</f>
        <v>Yes</v>
      </c>
      <c r="K1193" t="str">
        <f>IF(ISBLANK(Table13[[#This Row],[Rating]]), "Not Rated", IF(Table13[[#This Row],[Rating]] &lt; 3, "Low", IF(Table13[[#This Row],[Rating]] &lt; 4, "Medium", "High")))</f>
        <v>Medium</v>
      </c>
      <c r="L1193">
        <v>1041</v>
      </c>
      <c r="M1193">
        <v>71</v>
      </c>
      <c r="N1193" t="str">
        <f>IF(Table13[[#This Row],[Price USD]]&lt;20,"Budget",IF(Table13[[#This Row],[Price USD]]&lt;=50,"Mid-range","Premium"))</f>
        <v>Premium</v>
      </c>
      <c r="O1193">
        <v>0</v>
      </c>
      <c r="P1193">
        <v>0</v>
      </c>
    </row>
    <row r="1194" spans="1:16" x14ac:dyDescent="0.25">
      <c r="A1194" t="s">
        <v>365</v>
      </c>
      <c r="B1194" t="s">
        <v>366</v>
      </c>
      <c r="C1194">
        <v>6201</v>
      </c>
      <c r="D1194" t="s">
        <v>367</v>
      </c>
      <c r="E1194" t="s">
        <v>21</v>
      </c>
      <c r="F1194">
        <v>90776</v>
      </c>
      <c r="G11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4">
        <v>4.0566000000000004</v>
      </c>
      <c r="J1194" t="str">
        <f>IF(ISBLANK(Table13[[#This Row],[Rating]]), "No", "Yes")</f>
        <v>Yes</v>
      </c>
      <c r="K1194" t="str">
        <f>IF(ISBLANK(Table13[[#This Row],[Rating]]), "Not Rated", IF(Table13[[#This Row],[Rating]] &lt; 3, "Low", IF(Table13[[#This Row],[Rating]] &lt; 4, "Medium", "High")))</f>
        <v>High</v>
      </c>
      <c r="L1194">
        <v>1377</v>
      </c>
      <c r="M1194">
        <v>380</v>
      </c>
      <c r="N1194" t="str">
        <f>IF(Table13[[#This Row],[Price USD]]&lt;20,"Budget",IF(Table13[[#This Row],[Price USD]]&lt;=50,"Mid-range","Premium"))</f>
        <v>Premium</v>
      </c>
      <c r="O1194">
        <v>0</v>
      </c>
      <c r="P1194">
        <v>0</v>
      </c>
    </row>
    <row r="1195" spans="1:16" x14ac:dyDescent="0.25">
      <c r="A1195" t="s">
        <v>363</v>
      </c>
      <c r="B1195" t="s">
        <v>364</v>
      </c>
      <c r="C1195">
        <v>6234</v>
      </c>
      <c r="D1195" t="s">
        <v>7</v>
      </c>
      <c r="E1195" t="s">
        <v>8</v>
      </c>
      <c r="F1195">
        <v>91079</v>
      </c>
      <c r="G11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5">
        <v>4.1803999999999997</v>
      </c>
      <c r="J1195" t="str">
        <f>IF(ISBLANK(Table13[[#This Row],[Rating]]), "No", "Yes")</f>
        <v>Yes</v>
      </c>
      <c r="K1195" t="str">
        <f>IF(ISBLANK(Table13[[#This Row],[Rating]]), "Not Rated", IF(Table13[[#This Row],[Rating]] &lt; 3, "Low", IF(Table13[[#This Row],[Rating]] &lt; 4, "Medium", "High")))</f>
        <v>High</v>
      </c>
      <c r="L1195">
        <v>255</v>
      </c>
      <c r="M1195">
        <v>30.9</v>
      </c>
      <c r="N1195" t="str">
        <f>IF(Table13[[#This Row],[Price USD]]&lt;20,"Budget",IF(Table13[[#This Row],[Price USD]]&lt;=50,"Mid-range","Premium"))</f>
        <v>Mid-range</v>
      </c>
      <c r="O1195">
        <v>0</v>
      </c>
      <c r="P1195">
        <v>0</v>
      </c>
    </row>
    <row r="1196" spans="1:16" x14ac:dyDescent="0.25">
      <c r="A1196" t="s">
        <v>360</v>
      </c>
      <c r="B1196" t="s">
        <v>361</v>
      </c>
      <c r="C1196">
        <v>2000</v>
      </c>
      <c r="D1196" t="s">
        <v>362</v>
      </c>
      <c r="E1196" t="s">
        <v>21</v>
      </c>
      <c r="F1196">
        <v>91499</v>
      </c>
      <c r="G11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6">
        <v>4.2481</v>
      </c>
      <c r="J1196" t="str">
        <f>IF(ISBLANK(Table13[[#This Row],[Rating]]), "No", "Yes")</f>
        <v>Yes</v>
      </c>
      <c r="K1196" t="str">
        <f>IF(ISBLANK(Table13[[#This Row],[Rating]]), "Not Rated", IF(Table13[[#This Row],[Rating]] &lt; 3, "Low", IF(Table13[[#This Row],[Rating]] &lt; 4, "Medium", "High")))</f>
        <v>High</v>
      </c>
      <c r="L1196">
        <v>653</v>
      </c>
      <c r="M1196">
        <v>12</v>
      </c>
      <c r="N1196" t="str">
        <f>IF(Table13[[#This Row],[Price USD]]&lt;20,"Budget",IF(Table13[[#This Row],[Price USD]]&lt;=50,"Mid-range","Premium"))</f>
        <v>Budget</v>
      </c>
      <c r="O1196">
        <v>0</v>
      </c>
      <c r="P1196">
        <v>0</v>
      </c>
    </row>
    <row r="1197" spans="1:16" x14ac:dyDescent="0.25">
      <c r="A1197" t="s">
        <v>358</v>
      </c>
      <c r="B1197" t="s">
        <v>359</v>
      </c>
      <c r="C1197">
        <v>6041</v>
      </c>
      <c r="D1197" t="s">
        <v>33</v>
      </c>
      <c r="E1197" t="s">
        <v>149</v>
      </c>
      <c r="F1197">
        <v>91742</v>
      </c>
      <c r="G11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7">
        <v>4.1593</v>
      </c>
      <c r="J1197" t="str">
        <f>IF(ISBLANK(Table13[[#This Row],[Rating]]), "No", "Yes")</f>
        <v>Yes</v>
      </c>
      <c r="K1197" t="str">
        <f>IF(ISBLANK(Table13[[#This Row],[Rating]]), "Not Rated", IF(Table13[[#This Row],[Rating]] &lt; 3, "Low", IF(Table13[[#This Row],[Rating]] &lt; 4, "Medium", "High")))</f>
        <v>High</v>
      </c>
      <c r="L1197">
        <v>1557</v>
      </c>
      <c r="M1197">
        <v>62</v>
      </c>
      <c r="N1197" t="str">
        <f>IF(Table13[[#This Row],[Price USD]]&lt;20,"Budget",IF(Table13[[#This Row],[Price USD]]&lt;=50,"Mid-range","Premium"))</f>
        <v>Premium</v>
      </c>
      <c r="O1197">
        <v>0</v>
      </c>
      <c r="P1197">
        <v>0</v>
      </c>
    </row>
    <row r="1198" spans="1:16" x14ac:dyDescent="0.25">
      <c r="A1198" t="s">
        <v>356</v>
      </c>
      <c r="B1198" t="s">
        <v>357</v>
      </c>
      <c r="C1198">
        <v>1254</v>
      </c>
      <c r="D1198" t="s">
        <v>136</v>
      </c>
      <c r="E1198" t="s">
        <v>21</v>
      </c>
      <c r="F1198">
        <v>92239</v>
      </c>
      <c r="G11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8">
        <v>3.9100999999999999</v>
      </c>
      <c r="J1198" t="str">
        <f>IF(ISBLANK(Table13[[#This Row],[Rating]]), "No", "Yes")</f>
        <v>Yes</v>
      </c>
      <c r="K1198" t="str">
        <f>IF(ISBLANK(Table13[[#This Row],[Rating]]), "Not Rated", IF(Table13[[#This Row],[Rating]] &lt; 3, "Low", IF(Table13[[#This Row],[Rating]] &lt; 4, "Medium", "High")))</f>
        <v>Medium</v>
      </c>
      <c r="L1198">
        <v>2124</v>
      </c>
      <c r="M1198">
        <v>32.5</v>
      </c>
      <c r="N1198" t="str">
        <f>IF(Table13[[#This Row],[Price USD]]&lt;20,"Budget",IF(Table13[[#This Row],[Price USD]]&lt;=50,"Mid-range","Premium"))</f>
        <v>Mid-range</v>
      </c>
      <c r="O1198">
        <v>0</v>
      </c>
      <c r="P1198">
        <v>0</v>
      </c>
    </row>
    <row r="1199" spans="1:16" x14ac:dyDescent="0.25">
      <c r="A1199" t="s">
        <v>354</v>
      </c>
      <c r="B1199" t="s">
        <v>355</v>
      </c>
      <c r="C1199">
        <v>6195</v>
      </c>
      <c r="D1199" t="s">
        <v>163</v>
      </c>
      <c r="E1199" t="s">
        <v>149</v>
      </c>
      <c r="F1199">
        <v>92333</v>
      </c>
      <c r="G11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1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199">
        <v>4.1436000000000002</v>
      </c>
      <c r="J1199" t="str">
        <f>IF(ISBLANK(Table13[[#This Row],[Rating]]), "No", "Yes")</f>
        <v>Yes</v>
      </c>
      <c r="K1199" t="str">
        <f>IF(ISBLANK(Table13[[#This Row],[Rating]]), "Not Rated", IF(Table13[[#This Row],[Rating]] &lt; 3, "Low", IF(Table13[[#This Row],[Rating]] &lt; 4, "Medium", "High")))</f>
        <v>High</v>
      </c>
      <c r="L1199">
        <v>1010</v>
      </c>
      <c r="M1199">
        <v>56</v>
      </c>
      <c r="N1199" t="str">
        <f>IF(Table13[[#This Row],[Price USD]]&lt;20,"Budget",IF(Table13[[#This Row],[Price USD]]&lt;=50,"Mid-range","Premium"))</f>
        <v>Premium</v>
      </c>
      <c r="O1199">
        <v>0</v>
      </c>
      <c r="P1199">
        <v>0</v>
      </c>
    </row>
    <row r="1200" spans="1:16" x14ac:dyDescent="0.25">
      <c r="A1200" t="s">
        <v>352</v>
      </c>
      <c r="B1200" t="s">
        <v>353</v>
      </c>
      <c r="C1200">
        <v>8001</v>
      </c>
      <c r="D1200" t="s">
        <v>27</v>
      </c>
      <c r="E1200" t="s">
        <v>13</v>
      </c>
      <c r="F1200">
        <v>93009</v>
      </c>
      <c r="G12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0">
        <v>4.4835000000000003</v>
      </c>
      <c r="J1200" t="str">
        <f>IF(ISBLANK(Table13[[#This Row],[Rating]]), "No", "Yes")</f>
        <v>Yes</v>
      </c>
      <c r="K1200" t="str">
        <f>IF(ISBLANK(Table13[[#This Row],[Rating]]), "Not Rated", IF(Table13[[#This Row],[Rating]] &lt; 3, "Low", IF(Table13[[#This Row],[Rating]] &lt; 4, "Medium", "High")))</f>
        <v>High</v>
      </c>
      <c r="L1200">
        <v>819</v>
      </c>
      <c r="M1200">
        <v>32</v>
      </c>
      <c r="N1200" t="str">
        <f>IF(Table13[[#This Row],[Price USD]]&lt;20,"Budget",IF(Table13[[#This Row],[Price USD]]&lt;=50,"Mid-range","Premium"))</f>
        <v>Mid-range</v>
      </c>
      <c r="O1200">
        <v>0</v>
      </c>
      <c r="P1200">
        <v>0</v>
      </c>
    </row>
    <row r="1201" spans="1:16" x14ac:dyDescent="0.25">
      <c r="A1201" t="s">
        <v>350</v>
      </c>
      <c r="B1201" t="s">
        <v>351</v>
      </c>
      <c r="C1201">
        <v>6355</v>
      </c>
      <c r="D1201" t="s">
        <v>195</v>
      </c>
      <c r="E1201" t="s">
        <v>8</v>
      </c>
      <c r="F1201">
        <v>93075</v>
      </c>
      <c r="G12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1">
        <v>3.6634000000000002</v>
      </c>
      <c r="J1201" t="str">
        <f>IF(ISBLANK(Table13[[#This Row],[Rating]]), "No", "Yes")</f>
        <v>Yes</v>
      </c>
      <c r="K1201" t="str">
        <f>IF(ISBLANK(Table13[[#This Row],[Rating]]), "Not Rated", IF(Table13[[#This Row],[Rating]] &lt; 3, "Low", IF(Table13[[#This Row],[Rating]] &lt; 4, "Medium", "High")))</f>
        <v>Medium</v>
      </c>
      <c r="L1201">
        <v>906</v>
      </c>
      <c r="M1201">
        <v>18</v>
      </c>
      <c r="N1201" t="str">
        <f>IF(Table13[[#This Row],[Price USD]]&lt;20,"Budget",IF(Table13[[#This Row],[Price USD]]&lt;=50,"Mid-range","Premium"))</f>
        <v>Budget</v>
      </c>
      <c r="O1201">
        <v>0</v>
      </c>
      <c r="P1201">
        <v>0</v>
      </c>
    </row>
    <row r="1202" spans="1:16" x14ac:dyDescent="0.25">
      <c r="A1202" t="s">
        <v>348</v>
      </c>
      <c r="B1202" t="s">
        <v>349</v>
      </c>
      <c r="C1202">
        <v>6125</v>
      </c>
      <c r="D1202" t="s">
        <v>3</v>
      </c>
      <c r="E1202" t="s">
        <v>4</v>
      </c>
      <c r="F1202">
        <v>93358</v>
      </c>
      <c r="G12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2">
        <v>4.2127999999999997</v>
      </c>
      <c r="J1202" t="str">
        <f>IF(ISBLANK(Table13[[#This Row],[Rating]]), "No", "Yes")</f>
        <v>Yes</v>
      </c>
      <c r="K1202" t="str">
        <f>IF(ISBLANK(Table13[[#This Row],[Rating]]), "Not Rated", IF(Table13[[#This Row],[Rating]] &lt; 3, "Low", IF(Table13[[#This Row],[Rating]] &lt; 4, "Medium", "High")))</f>
        <v>High</v>
      </c>
      <c r="L1202">
        <v>719</v>
      </c>
      <c r="M1202">
        <v>25</v>
      </c>
      <c r="N1202" t="str">
        <f>IF(Table13[[#This Row],[Price USD]]&lt;20,"Budget",IF(Table13[[#This Row],[Price USD]]&lt;=50,"Mid-range","Premium"))</f>
        <v>Mid-range</v>
      </c>
      <c r="O1202">
        <v>0</v>
      </c>
      <c r="P1202">
        <v>0</v>
      </c>
    </row>
    <row r="1203" spans="1:16" x14ac:dyDescent="0.25">
      <c r="A1203" t="s">
        <v>344</v>
      </c>
      <c r="B1203" t="s">
        <v>345</v>
      </c>
      <c r="C1203">
        <v>6256</v>
      </c>
      <c r="D1203" t="s">
        <v>346</v>
      </c>
      <c r="E1203" t="s">
        <v>347</v>
      </c>
      <c r="F1203">
        <v>93790</v>
      </c>
      <c r="G12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3">
        <v>4.1254</v>
      </c>
      <c r="J1203" t="str">
        <f>IF(ISBLANK(Table13[[#This Row],[Rating]]), "No", "Yes")</f>
        <v>Yes</v>
      </c>
      <c r="K1203" t="str">
        <f>IF(ISBLANK(Table13[[#This Row],[Rating]]), "Not Rated", IF(Table13[[#This Row],[Rating]] &lt; 3, "Low", IF(Table13[[#This Row],[Rating]] &lt; 4, "Medium", "High")))</f>
        <v>High</v>
      </c>
      <c r="L1203">
        <v>303</v>
      </c>
      <c r="M1203">
        <v>30</v>
      </c>
      <c r="N1203" t="str">
        <f>IF(Table13[[#This Row],[Price USD]]&lt;20,"Budget",IF(Table13[[#This Row],[Price USD]]&lt;=50,"Mid-range","Premium"))</f>
        <v>Mid-range</v>
      </c>
      <c r="O1203">
        <v>0</v>
      </c>
      <c r="P1203">
        <v>0</v>
      </c>
    </row>
    <row r="1204" spans="1:16" x14ac:dyDescent="0.25">
      <c r="A1204" t="s">
        <v>342</v>
      </c>
      <c r="B1204" t="s">
        <v>343</v>
      </c>
      <c r="C1204">
        <v>6014</v>
      </c>
      <c r="D1204" t="s">
        <v>102</v>
      </c>
      <c r="E1204" t="s">
        <v>69</v>
      </c>
      <c r="F1204">
        <v>93809</v>
      </c>
      <c r="G12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4">
        <v>4.3148999999999997</v>
      </c>
      <c r="J1204" t="str">
        <f>IF(ISBLANK(Table13[[#This Row],[Rating]]), "No", "Yes")</f>
        <v>Yes</v>
      </c>
      <c r="K1204" t="str">
        <f>IF(ISBLANK(Table13[[#This Row],[Rating]]), "Not Rated", IF(Table13[[#This Row],[Rating]] &lt; 3, "Low", IF(Table13[[#This Row],[Rating]] &lt; 4, "Medium", "High")))</f>
        <v>High</v>
      </c>
      <c r="L1204">
        <v>562</v>
      </c>
      <c r="M1204">
        <v>15</v>
      </c>
      <c r="N1204" t="str">
        <f>IF(Table13[[#This Row],[Price USD]]&lt;20,"Budget",IF(Table13[[#This Row],[Price USD]]&lt;=50,"Mid-range","Premium"))</f>
        <v>Budget</v>
      </c>
      <c r="O1204">
        <v>0</v>
      </c>
      <c r="P1204">
        <v>0</v>
      </c>
    </row>
    <row r="1205" spans="1:16" x14ac:dyDescent="0.25">
      <c r="A1205" t="s">
        <v>339</v>
      </c>
      <c r="B1205" t="s">
        <v>340</v>
      </c>
      <c r="C1205">
        <v>5946</v>
      </c>
      <c r="D1205" t="s">
        <v>341</v>
      </c>
      <c r="E1205" t="s">
        <v>8</v>
      </c>
      <c r="F1205">
        <v>93898</v>
      </c>
      <c r="G12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5">
        <v>4.2243000000000004</v>
      </c>
      <c r="J1205" t="str">
        <f>IF(ISBLANK(Table13[[#This Row],[Rating]]), "No", "Yes")</f>
        <v>Yes</v>
      </c>
      <c r="K1205" t="str">
        <f>IF(ISBLANK(Table13[[#This Row],[Rating]]), "Not Rated", IF(Table13[[#This Row],[Rating]] &lt; 3, "Low", IF(Table13[[#This Row],[Rating]] &lt; 4, "Medium", "High")))</f>
        <v>High</v>
      </c>
      <c r="L1205">
        <v>3152</v>
      </c>
      <c r="M1205">
        <v>28</v>
      </c>
      <c r="N1205" t="str">
        <f>IF(Table13[[#This Row],[Price USD]]&lt;20,"Budget",IF(Table13[[#This Row],[Price USD]]&lt;=50,"Mid-range","Premium"))</f>
        <v>Mid-range</v>
      </c>
      <c r="O1205">
        <v>0</v>
      </c>
      <c r="P1205">
        <v>0</v>
      </c>
    </row>
    <row r="1206" spans="1:16" x14ac:dyDescent="0.25">
      <c r="A1206" t="s">
        <v>336</v>
      </c>
      <c r="B1206" t="s">
        <v>337</v>
      </c>
      <c r="C1206">
        <v>6175</v>
      </c>
      <c r="D1206" t="s">
        <v>338</v>
      </c>
      <c r="E1206" t="s">
        <v>21</v>
      </c>
      <c r="F1206">
        <v>94058</v>
      </c>
      <c r="G12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6">
        <v>3.8460000000000001</v>
      </c>
      <c r="J1206" t="str">
        <f>IF(ISBLANK(Table13[[#This Row],[Rating]]), "No", "Yes")</f>
        <v>Yes</v>
      </c>
      <c r="K1206" t="str">
        <f>IF(ISBLANK(Table13[[#This Row],[Rating]]), "Not Rated", IF(Table13[[#This Row],[Rating]] &lt; 3, "Low", IF(Table13[[#This Row],[Rating]] &lt; 4, "Medium", "High")))</f>
        <v>Medium</v>
      </c>
      <c r="L1206">
        <v>1422</v>
      </c>
      <c r="M1206">
        <v>44</v>
      </c>
      <c r="N1206" t="str">
        <f>IF(Table13[[#This Row],[Price USD]]&lt;20,"Budget",IF(Table13[[#This Row],[Price USD]]&lt;=50,"Mid-range","Premium"))</f>
        <v>Mid-range</v>
      </c>
      <c r="O1206">
        <v>0</v>
      </c>
      <c r="P1206">
        <v>0</v>
      </c>
    </row>
    <row r="1207" spans="1:16" x14ac:dyDescent="0.25">
      <c r="A1207" t="s">
        <v>334</v>
      </c>
      <c r="B1207" t="s">
        <v>335</v>
      </c>
      <c r="C1207">
        <v>3902</v>
      </c>
      <c r="D1207" t="s">
        <v>72</v>
      </c>
      <c r="E1207" t="s">
        <v>69</v>
      </c>
      <c r="F1207">
        <v>94157</v>
      </c>
      <c r="G12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7">
        <v>4.1698000000000004</v>
      </c>
      <c r="J1207" t="str">
        <f>IF(ISBLANK(Table13[[#This Row],[Rating]]), "No", "Yes")</f>
        <v>Yes</v>
      </c>
      <c r="K1207" t="str">
        <f>IF(ISBLANK(Table13[[#This Row],[Rating]]), "Not Rated", IF(Table13[[#This Row],[Rating]] &lt; 3, "Low", IF(Table13[[#This Row],[Rating]] &lt; 4, "Medium", "High")))</f>
        <v>High</v>
      </c>
      <c r="L1207">
        <v>371</v>
      </c>
      <c r="M1207">
        <v>3.5</v>
      </c>
      <c r="N1207" t="str">
        <f>IF(Table13[[#This Row],[Price USD]]&lt;20,"Budget",IF(Table13[[#This Row],[Price USD]]&lt;=50,"Mid-range","Premium"))</f>
        <v>Budget</v>
      </c>
      <c r="O1207">
        <v>0</v>
      </c>
      <c r="P1207">
        <v>0</v>
      </c>
    </row>
    <row r="1208" spans="1:16" x14ac:dyDescent="0.25">
      <c r="A1208" t="s">
        <v>332</v>
      </c>
      <c r="B1208" t="s">
        <v>333</v>
      </c>
      <c r="C1208">
        <v>6219</v>
      </c>
      <c r="D1208" t="s">
        <v>277</v>
      </c>
      <c r="E1208" t="s">
        <v>13</v>
      </c>
      <c r="F1208">
        <v>95311</v>
      </c>
      <c r="G12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8">
        <v>4.6959999999999997</v>
      </c>
      <c r="J1208" t="str">
        <f>IF(ISBLANK(Table13[[#This Row],[Rating]]), "No", "Yes")</f>
        <v>Yes</v>
      </c>
      <c r="K1208" t="str">
        <f>IF(ISBLANK(Table13[[#This Row],[Rating]]), "Not Rated", IF(Table13[[#This Row],[Rating]] &lt; 3, "Low", IF(Table13[[#This Row],[Rating]] &lt; 4, "Medium", "High")))</f>
        <v>High</v>
      </c>
      <c r="L1208">
        <v>4598</v>
      </c>
      <c r="M1208">
        <v>65</v>
      </c>
      <c r="N1208" t="str">
        <f>IF(Table13[[#This Row],[Price USD]]&lt;20,"Budget",IF(Table13[[#This Row],[Price USD]]&lt;=50,"Mid-range","Premium"))</f>
        <v>Premium</v>
      </c>
      <c r="O1208">
        <v>0</v>
      </c>
      <c r="P1208">
        <v>0</v>
      </c>
    </row>
    <row r="1209" spans="1:16" x14ac:dyDescent="0.25">
      <c r="A1209" t="s">
        <v>330</v>
      </c>
      <c r="B1209" t="s">
        <v>331</v>
      </c>
      <c r="C1209">
        <v>6169</v>
      </c>
      <c r="D1209" t="s">
        <v>24</v>
      </c>
      <c r="E1209" t="s">
        <v>8</v>
      </c>
      <c r="F1209">
        <v>95527</v>
      </c>
      <c r="G12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09">
        <v>4.3983999999999996</v>
      </c>
      <c r="J1209" t="str">
        <f>IF(ISBLANK(Table13[[#This Row],[Rating]]), "No", "Yes")</f>
        <v>Yes</v>
      </c>
      <c r="K1209" t="str">
        <f>IF(ISBLANK(Table13[[#This Row],[Rating]]), "Not Rated", IF(Table13[[#This Row],[Rating]] &lt; 3, "Low", IF(Table13[[#This Row],[Rating]] &lt; 4, "Medium", "High")))</f>
        <v>High</v>
      </c>
      <c r="L1209">
        <v>989</v>
      </c>
      <c r="M1209">
        <v>69</v>
      </c>
      <c r="N1209" t="str">
        <f>IF(Table13[[#This Row],[Price USD]]&lt;20,"Budget",IF(Table13[[#This Row],[Price USD]]&lt;=50,"Mid-range","Premium"))</f>
        <v>Premium</v>
      </c>
      <c r="O1209">
        <v>0</v>
      </c>
      <c r="P1209">
        <v>0</v>
      </c>
    </row>
    <row r="1210" spans="1:16" x14ac:dyDescent="0.25">
      <c r="A1210" t="s">
        <v>328</v>
      </c>
      <c r="B1210" t="s">
        <v>329</v>
      </c>
      <c r="C1210">
        <v>1254</v>
      </c>
      <c r="D1210" t="s">
        <v>136</v>
      </c>
      <c r="E1210" t="s">
        <v>21</v>
      </c>
      <c r="F1210">
        <v>95864</v>
      </c>
      <c r="G12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0">
        <v>4.4382999999999999</v>
      </c>
      <c r="J1210" t="str">
        <f>IF(ISBLANK(Table13[[#This Row],[Rating]]), "No", "Yes")</f>
        <v>Yes</v>
      </c>
      <c r="K1210" t="str">
        <f>IF(ISBLANK(Table13[[#This Row],[Rating]]), "Not Rated", IF(Table13[[#This Row],[Rating]] &lt; 3, "Low", IF(Table13[[#This Row],[Rating]] &lt; 4, "Medium", "High")))</f>
        <v>High</v>
      </c>
      <c r="L1210">
        <v>3977</v>
      </c>
      <c r="M1210">
        <v>32.5</v>
      </c>
      <c r="N1210" t="str">
        <f>IF(Table13[[#This Row],[Price USD]]&lt;20,"Budget",IF(Table13[[#This Row],[Price USD]]&lt;=50,"Mid-range","Premium"))</f>
        <v>Mid-range</v>
      </c>
      <c r="O1210">
        <v>0</v>
      </c>
      <c r="P1210">
        <v>0</v>
      </c>
    </row>
    <row r="1211" spans="1:16" x14ac:dyDescent="0.25">
      <c r="A1211" t="s">
        <v>325</v>
      </c>
      <c r="B1211" t="s">
        <v>326</v>
      </c>
      <c r="C1211">
        <v>5996</v>
      </c>
      <c r="D1211" t="s">
        <v>327</v>
      </c>
      <c r="E1211" t="s">
        <v>220</v>
      </c>
      <c r="F1211">
        <v>95949</v>
      </c>
      <c r="G12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1">
        <v>3.9986999999999999</v>
      </c>
      <c r="J1211" t="str">
        <f>IF(ISBLANK(Table13[[#This Row],[Rating]]), "No", "Yes")</f>
        <v>Yes</v>
      </c>
      <c r="K1211" t="str">
        <f>IF(ISBLANK(Table13[[#This Row],[Rating]]), "Not Rated", IF(Table13[[#This Row],[Rating]] &lt; 3, "Low", IF(Table13[[#This Row],[Rating]] &lt; 4, "Medium", "High")))</f>
        <v>Medium</v>
      </c>
      <c r="L1211">
        <v>779</v>
      </c>
      <c r="M1211">
        <v>159</v>
      </c>
      <c r="N1211" t="str">
        <f>IF(Table13[[#This Row],[Price USD]]&lt;20,"Budget",IF(Table13[[#This Row],[Price USD]]&lt;=50,"Mid-range","Premium"))</f>
        <v>Premium</v>
      </c>
      <c r="O1211">
        <v>0</v>
      </c>
      <c r="P1211">
        <v>0</v>
      </c>
    </row>
    <row r="1212" spans="1:16" x14ac:dyDescent="0.25">
      <c r="A1212" t="s">
        <v>323</v>
      </c>
      <c r="B1212" t="s">
        <v>324</v>
      </c>
      <c r="C1212">
        <v>6041</v>
      </c>
      <c r="D1212" t="s">
        <v>33</v>
      </c>
      <c r="E1212" t="s">
        <v>69</v>
      </c>
      <c r="F1212">
        <v>96300</v>
      </c>
      <c r="G12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2">
        <v>4.0507</v>
      </c>
      <c r="J1212" t="str">
        <f>IF(ISBLANK(Table13[[#This Row],[Rating]]), "No", "Yes")</f>
        <v>Yes</v>
      </c>
      <c r="K1212" t="str">
        <f>IF(ISBLANK(Table13[[#This Row],[Rating]]), "Not Rated", IF(Table13[[#This Row],[Rating]] &lt; 3, "Low", IF(Table13[[#This Row],[Rating]] &lt; 4, "Medium", "High")))</f>
        <v>High</v>
      </c>
      <c r="L1212">
        <v>651</v>
      </c>
      <c r="M1212">
        <v>70</v>
      </c>
      <c r="N1212" t="str">
        <f>IF(Table13[[#This Row],[Price USD]]&lt;20,"Budget",IF(Table13[[#This Row],[Price USD]]&lt;=50,"Mid-range","Premium"))</f>
        <v>Premium</v>
      </c>
      <c r="O1212">
        <v>0</v>
      </c>
      <c r="P1212">
        <v>0</v>
      </c>
    </row>
    <row r="1213" spans="1:16" x14ac:dyDescent="0.25">
      <c r="A1213" t="s">
        <v>321</v>
      </c>
      <c r="B1213" t="s">
        <v>322</v>
      </c>
      <c r="C1213">
        <v>6073</v>
      </c>
      <c r="D1213" t="s">
        <v>78</v>
      </c>
      <c r="E1213" t="s">
        <v>8</v>
      </c>
      <c r="F1213">
        <v>97114</v>
      </c>
      <c r="G12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3">
        <v>4.1036000000000001</v>
      </c>
      <c r="J1213" t="str">
        <f>IF(ISBLANK(Table13[[#This Row],[Rating]]), "No", "Yes")</f>
        <v>Yes</v>
      </c>
      <c r="K1213" t="str">
        <f>IF(ISBLANK(Table13[[#This Row],[Rating]]), "Not Rated", IF(Table13[[#This Row],[Rating]] &lt; 3, "Low", IF(Table13[[#This Row],[Rating]] &lt; 4, "Medium", "High")))</f>
        <v>High</v>
      </c>
      <c r="L1213">
        <v>1785</v>
      </c>
      <c r="M1213">
        <v>85</v>
      </c>
      <c r="N1213" t="str">
        <f>IF(Table13[[#This Row],[Price USD]]&lt;20,"Budget",IF(Table13[[#This Row],[Price USD]]&lt;=50,"Mid-range","Premium"))</f>
        <v>Premium</v>
      </c>
      <c r="O1213">
        <v>0</v>
      </c>
      <c r="P1213">
        <v>0</v>
      </c>
    </row>
    <row r="1214" spans="1:16" x14ac:dyDescent="0.25">
      <c r="A1214" t="s">
        <v>319</v>
      </c>
      <c r="B1214" t="s">
        <v>320</v>
      </c>
      <c r="C1214">
        <v>5674</v>
      </c>
      <c r="D1214" t="s">
        <v>141</v>
      </c>
      <c r="E1214" t="s">
        <v>13</v>
      </c>
      <c r="F1214">
        <v>98160</v>
      </c>
      <c r="G12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4">
        <v>4.3017000000000003</v>
      </c>
      <c r="J1214" t="str">
        <f>IF(ISBLANK(Table13[[#This Row],[Rating]]), "No", "Yes")</f>
        <v>Yes</v>
      </c>
      <c r="K1214" t="str">
        <f>IF(ISBLANK(Table13[[#This Row],[Rating]]), "Not Rated", IF(Table13[[#This Row],[Rating]] &lt; 3, "Low", IF(Table13[[#This Row],[Rating]] &lt; 4, "Medium", "High")))</f>
        <v>High</v>
      </c>
      <c r="L1214">
        <v>1674</v>
      </c>
      <c r="M1214">
        <v>35</v>
      </c>
      <c r="N1214" t="str">
        <f>IF(Table13[[#This Row],[Price USD]]&lt;20,"Budget",IF(Table13[[#This Row],[Price USD]]&lt;=50,"Mid-range","Premium"))</f>
        <v>Mid-range</v>
      </c>
      <c r="O1214">
        <v>0</v>
      </c>
      <c r="P1214">
        <v>0</v>
      </c>
    </row>
    <row r="1215" spans="1:16" x14ac:dyDescent="0.25">
      <c r="A1215" t="s">
        <v>317</v>
      </c>
      <c r="B1215" t="s">
        <v>318</v>
      </c>
      <c r="C1215">
        <v>3733</v>
      </c>
      <c r="D1215" t="s">
        <v>124</v>
      </c>
      <c r="E1215" t="s">
        <v>8</v>
      </c>
      <c r="F1215">
        <v>98392</v>
      </c>
      <c r="G12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5">
        <v>3.9348999999999998</v>
      </c>
      <c r="J1215" t="str">
        <f>IF(ISBLANK(Table13[[#This Row],[Rating]]), "No", "Yes")</f>
        <v>Yes</v>
      </c>
      <c r="K1215" t="str">
        <f>IF(ISBLANK(Table13[[#This Row],[Rating]]), "Not Rated", IF(Table13[[#This Row],[Rating]] &lt; 3, "Low", IF(Table13[[#This Row],[Rating]] &lt; 4, "Medium", "High")))</f>
        <v>Medium</v>
      </c>
      <c r="L1215">
        <v>1706</v>
      </c>
      <c r="M1215">
        <v>20</v>
      </c>
      <c r="N1215" t="str">
        <f>IF(Table13[[#This Row],[Price USD]]&lt;20,"Budget",IF(Table13[[#This Row],[Price USD]]&lt;=50,"Mid-range","Premium"))</f>
        <v>Mid-range</v>
      </c>
      <c r="O1215">
        <v>0</v>
      </c>
      <c r="P1215">
        <v>0</v>
      </c>
    </row>
    <row r="1216" spans="1:16" x14ac:dyDescent="0.25">
      <c r="A1216" t="s">
        <v>315</v>
      </c>
      <c r="B1216" t="s">
        <v>316</v>
      </c>
      <c r="C1216">
        <v>6041</v>
      </c>
      <c r="D1216" t="s">
        <v>33</v>
      </c>
      <c r="E1216" t="s">
        <v>144</v>
      </c>
      <c r="F1216">
        <v>98580</v>
      </c>
      <c r="G12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6">
        <v>3.6444000000000001</v>
      </c>
      <c r="J1216" t="str">
        <f>IF(ISBLANK(Table13[[#This Row],[Rating]]), "No", "Yes")</f>
        <v>Yes</v>
      </c>
      <c r="K1216" t="str">
        <f>IF(ISBLANK(Table13[[#This Row],[Rating]]), "Not Rated", IF(Table13[[#This Row],[Rating]] &lt; 3, "Low", IF(Table13[[#This Row],[Rating]] &lt; 4, "Medium", "High")))</f>
        <v>Medium</v>
      </c>
      <c r="L1216">
        <v>807</v>
      </c>
      <c r="M1216">
        <v>24</v>
      </c>
      <c r="N1216" t="str">
        <f>IF(Table13[[#This Row],[Price USD]]&lt;20,"Budget",IF(Table13[[#This Row],[Price USD]]&lt;=50,"Mid-range","Premium"))</f>
        <v>Mid-range</v>
      </c>
      <c r="O1216">
        <v>0</v>
      </c>
      <c r="P1216">
        <v>0</v>
      </c>
    </row>
    <row r="1217" spans="1:16" x14ac:dyDescent="0.25">
      <c r="A1217" t="s">
        <v>313</v>
      </c>
      <c r="B1217" t="s">
        <v>314</v>
      </c>
      <c r="C1217">
        <v>3733</v>
      </c>
      <c r="D1217" t="s">
        <v>124</v>
      </c>
      <c r="E1217" t="s">
        <v>13</v>
      </c>
      <c r="F1217">
        <v>98621</v>
      </c>
      <c r="G12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50K–1L</v>
      </c>
      <c r="H12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High</v>
      </c>
      <c r="I1217">
        <v>4.2888000000000002</v>
      </c>
      <c r="J1217" t="str">
        <f>IF(ISBLANK(Table13[[#This Row],[Rating]]), "No", "Yes")</f>
        <v>Yes</v>
      </c>
      <c r="K1217" t="str">
        <f>IF(ISBLANK(Table13[[#This Row],[Rating]]), "Not Rated", IF(Table13[[#This Row],[Rating]] &lt; 3, "Low", IF(Table13[[#This Row],[Rating]] &lt; 4, "Medium", "High")))</f>
        <v>High</v>
      </c>
      <c r="L1217">
        <v>3286</v>
      </c>
      <c r="M1217">
        <v>27</v>
      </c>
      <c r="N1217" t="str">
        <f>IF(Table13[[#This Row],[Price USD]]&lt;20,"Budget",IF(Table13[[#This Row],[Price USD]]&lt;=50,"Mid-range","Premium"))</f>
        <v>Mid-range</v>
      </c>
      <c r="O1217">
        <v>0</v>
      </c>
      <c r="P1217">
        <v>0</v>
      </c>
    </row>
    <row r="1218" spans="1:16" x14ac:dyDescent="0.25">
      <c r="A1218" t="s">
        <v>4659</v>
      </c>
      <c r="B1218" t="s">
        <v>791</v>
      </c>
      <c r="C1218">
        <v>3902</v>
      </c>
      <c r="D1218" t="s">
        <v>72</v>
      </c>
      <c r="E1218" t="s">
        <v>4</v>
      </c>
      <c r="F1218">
        <v>1006</v>
      </c>
      <c r="G12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18">
        <v>3.6667000000000001</v>
      </c>
      <c r="J1218" t="str">
        <f>IF(ISBLANK(Table13[[#This Row],[Rating]]), "No", "Yes")</f>
        <v>Yes</v>
      </c>
      <c r="K1218" t="str">
        <f>IF(ISBLANK(Table13[[#This Row],[Rating]]), "Not Rated", IF(Table13[[#This Row],[Rating]] &lt; 3, "Low", IF(Table13[[#This Row],[Rating]] &lt; 4, "Medium", "High")))</f>
        <v>Medium</v>
      </c>
      <c r="L1218">
        <v>3</v>
      </c>
      <c r="M1218">
        <v>5</v>
      </c>
      <c r="N1218" t="str">
        <f>IF(Table13[[#This Row],[Price USD]]&lt;20,"Budget",IF(Table13[[#This Row],[Price USD]]&lt;=50,"Mid-range","Premium"))</f>
        <v>Budget</v>
      </c>
      <c r="O1218">
        <v>0</v>
      </c>
      <c r="P1218">
        <v>1</v>
      </c>
    </row>
    <row r="1219" spans="1:16" x14ac:dyDescent="0.25">
      <c r="A1219" t="s">
        <v>4657</v>
      </c>
      <c r="B1219" t="s">
        <v>4658</v>
      </c>
      <c r="C1219">
        <v>6272</v>
      </c>
      <c r="D1219" t="s">
        <v>1711</v>
      </c>
      <c r="E1219" t="s">
        <v>347</v>
      </c>
      <c r="F1219">
        <v>1011</v>
      </c>
      <c r="G12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19">
        <v>5</v>
      </c>
      <c r="J1219" t="str">
        <f>IF(ISBLANK(Table13[[#This Row],[Rating]]), "No", "Yes")</f>
        <v>Yes</v>
      </c>
      <c r="K1219" t="str">
        <f>IF(ISBLANK(Table13[[#This Row],[Rating]]), "Not Rated", IF(Table13[[#This Row],[Rating]] &lt; 3, "Low", IF(Table13[[#This Row],[Rating]] &lt; 4, "Medium", "High")))</f>
        <v>High</v>
      </c>
      <c r="L1219">
        <v>7</v>
      </c>
      <c r="M1219">
        <v>30</v>
      </c>
      <c r="N1219" t="str">
        <f>IF(Table13[[#This Row],[Price USD]]&lt;20,"Budget",IF(Table13[[#This Row],[Price USD]]&lt;=50,"Mid-range","Premium"))</f>
        <v>Mid-range</v>
      </c>
      <c r="O1219">
        <v>0</v>
      </c>
      <c r="P1219">
        <v>0</v>
      </c>
    </row>
    <row r="1220" spans="1:16" x14ac:dyDescent="0.25">
      <c r="A1220" t="s">
        <v>4655</v>
      </c>
      <c r="B1220" t="s">
        <v>4656</v>
      </c>
      <c r="C1220">
        <v>5333</v>
      </c>
      <c r="D1220" t="s">
        <v>4388</v>
      </c>
      <c r="E1220" t="s">
        <v>69</v>
      </c>
      <c r="F1220">
        <v>1024</v>
      </c>
      <c r="G12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0">
        <v>4.7134</v>
      </c>
      <c r="J1220" t="str">
        <f>IF(ISBLANK(Table13[[#This Row],[Rating]]), "No", "Yes")</f>
        <v>Yes</v>
      </c>
      <c r="K1220" t="str">
        <f>IF(ISBLANK(Table13[[#This Row],[Rating]]), "Not Rated", IF(Table13[[#This Row],[Rating]] &lt; 3, "Low", IF(Table13[[#This Row],[Rating]] &lt; 4, "Medium", "High")))</f>
        <v>High</v>
      </c>
      <c r="L1220">
        <v>471</v>
      </c>
      <c r="M1220">
        <v>39</v>
      </c>
      <c r="N1220" t="str">
        <f>IF(Table13[[#This Row],[Price USD]]&lt;20,"Budget",IF(Table13[[#This Row],[Price USD]]&lt;=50,"Mid-range","Premium"))</f>
        <v>Mid-range</v>
      </c>
      <c r="O1220">
        <v>1</v>
      </c>
      <c r="P1220">
        <v>0</v>
      </c>
    </row>
    <row r="1221" spans="1:16" x14ac:dyDescent="0.25">
      <c r="A1221" t="s">
        <v>4653</v>
      </c>
      <c r="B1221" t="s">
        <v>4654</v>
      </c>
      <c r="C1221">
        <v>4372</v>
      </c>
      <c r="D1221" t="s">
        <v>1513</v>
      </c>
      <c r="E1221" t="s">
        <v>4</v>
      </c>
      <c r="F1221">
        <v>1030</v>
      </c>
      <c r="G12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1">
        <v>4</v>
      </c>
      <c r="J1221" t="str">
        <f>IF(ISBLANK(Table13[[#This Row],[Rating]]), "No", "Yes")</f>
        <v>Yes</v>
      </c>
      <c r="K1221" t="str">
        <f>IF(ISBLANK(Table13[[#This Row],[Rating]]), "Not Rated", IF(Table13[[#This Row],[Rating]] &lt; 3, "Low", IF(Table13[[#This Row],[Rating]] &lt; 4, "Medium", "High")))</f>
        <v>High</v>
      </c>
      <c r="L1221">
        <v>2</v>
      </c>
      <c r="M1221">
        <v>30</v>
      </c>
      <c r="N1221" t="str">
        <f>IF(Table13[[#This Row],[Price USD]]&lt;20,"Budget",IF(Table13[[#This Row],[Price USD]]&lt;=50,"Mid-range","Premium"))</f>
        <v>Mid-range</v>
      </c>
      <c r="O1221">
        <v>1</v>
      </c>
      <c r="P1221">
        <v>0</v>
      </c>
    </row>
    <row r="1222" spans="1:16" x14ac:dyDescent="0.25">
      <c r="A1222" t="s">
        <v>4650</v>
      </c>
      <c r="B1222" t="s">
        <v>4651</v>
      </c>
      <c r="C1222">
        <v>4028</v>
      </c>
      <c r="D1222" t="s">
        <v>4652</v>
      </c>
      <c r="E1222" t="s">
        <v>13</v>
      </c>
      <c r="F1222">
        <v>1031</v>
      </c>
      <c r="G12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22" t="str">
        <f>IF(ISBLANK(Table13[[#This Row],[Rating]]), "No", "Yes")</f>
        <v>No</v>
      </c>
      <c r="K1222" t="str">
        <f>IF(ISBLANK(Table13[[#This Row],[Rating]]), "Not Rated", IF(Table13[[#This Row],[Rating]] &lt; 3, "Low", IF(Table13[[#This Row],[Rating]] &lt; 4, "Medium", "High")))</f>
        <v>Not Rated</v>
      </c>
      <c r="L1222">
        <v>0</v>
      </c>
      <c r="M1222">
        <v>29</v>
      </c>
      <c r="N1222" t="str">
        <f>IF(Table13[[#This Row],[Price USD]]&lt;20,"Budget",IF(Table13[[#This Row],[Price USD]]&lt;=50,"Mid-range","Premium"))</f>
        <v>Mid-range</v>
      </c>
      <c r="O1222">
        <v>1</v>
      </c>
      <c r="P1222">
        <v>0</v>
      </c>
    </row>
    <row r="1223" spans="1:16" x14ac:dyDescent="0.25">
      <c r="A1223" t="s">
        <v>4648</v>
      </c>
      <c r="B1223" t="s">
        <v>4649</v>
      </c>
      <c r="C1223">
        <v>6314</v>
      </c>
      <c r="D1223" t="s">
        <v>558</v>
      </c>
      <c r="E1223" t="s">
        <v>21</v>
      </c>
      <c r="F1223">
        <v>1033</v>
      </c>
      <c r="G12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23" t="str">
        <f>IF(ISBLANK(Table13[[#This Row],[Rating]]), "No", "Yes")</f>
        <v>No</v>
      </c>
      <c r="K1223" t="str">
        <f>IF(ISBLANK(Table13[[#This Row],[Rating]]), "Not Rated", IF(Table13[[#This Row],[Rating]] &lt; 3, "Low", IF(Table13[[#This Row],[Rating]] &lt; 4, "Medium", "High")))</f>
        <v>Not Rated</v>
      </c>
      <c r="L1223">
        <v>0</v>
      </c>
      <c r="M1223">
        <v>38</v>
      </c>
      <c r="N1223" t="str">
        <f>IF(Table13[[#This Row],[Price USD]]&lt;20,"Budget",IF(Table13[[#This Row],[Price USD]]&lt;=50,"Mid-range","Premium"))</f>
        <v>Mid-range</v>
      </c>
      <c r="O1223">
        <v>0</v>
      </c>
      <c r="P1223">
        <v>0</v>
      </c>
    </row>
    <row r="1224" spans="1:16" x14ac:dyDescent="0.25">
      <c r="A1224" t="s">
        <v>4642</v>
      </c>
      <c r="B1224" t="s">
        <v>4643</v>
      </c>
      <c r="C1224">
        <v>3902</v>
      </c>
      <c r="D1224" t="s">
        <v>72</v>
      </c>
      <c r="E1224" t="s">
        <v>8</v>
      </c>
      <c r="F1224">
        <v>1039</v>
      </c>
      <c r="G12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4">
        <v>5</v>
      </c>
      <c r="J1224" t="str">
        <f>IF(ISBLANK(Table13[[#This Row],[Rating]]), "No", "Yes")</f>
        <v>Yes</v>
      </c>
      <c r="K1224" t="str">
        <f>IF(ISBLANK(Table13[[#This Row],[Rating]]), "Not Rated", IF(Table13[[#This Row],[Rating]] &lt; 3, "Low", IF(Table13[[#This Row],[Rating]] &lt; 4, "Medium", "High")))</f>
        <v>High</v>
      </c>
      <c r="L1224">
        <v>1</v>
      </c>
      <c r="M1224">
        <v>20</v>
      </c>
      <c r="N1224" t="str">
        <f>IF(Table13[[#This Row],[Price USD]]&lt;20,"Budget",IF(Table13[[#This Row],[Price USD]]&lt;=50,"Mid-range","Premium"))</f>
        <v>Mid-range</v>
      </c>
      <c r="O1224">
        <v>1</v>
      </c>
      <c r="P1224">
        <v>0</v>
      </c>
    </row>
    <row r="1225" spans="1:16" x14ac:dyDescent="0.25">
      <c r="A1225" t="s">
        <v>4644</v>
      </c>
      <c r="B1225" t="s">
        <v>4645</v>
      </c>
      <c r="C1225">
        <v>6743</v>
      </c>
      <c r="D1225" t="s">
        <v>3942</v>
      </c>
      <c r="E1225" t="s">
        <v>21</v>
      </c>
      <c r="F1225">
        <v>1039</v>
      </c>
      <c r="G12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5">
        <v>4.1245000000000003</v>
      </c>
      <c r="J1225" t="str">
        <f>IF(ISBLANK(Table13[[#This Row],[Rating]]), "No", "Yes")</f>
        <v>Yes</v>
      </c>
      <c r="K1225" t="str">
        <f>IF(ISBLANK(Table13[[#This Row],[Rating]]), "Not Rated", IF(Table13[[#This Row],[Rating]] &lt; 3, "Low", IF(Table13[[#This Row],[Rating]] &lt; 4, "Medium", "High")))</f>
        <v>High</v>
      </c>
      <c r="L1225">
        <v>241</v>
      </c>
      <c r="M1225">
        <v>25</v>
      </c>
      <c r="N1225" t="str">
        <f>IF(Table13[[#This Row],[Price USD]]&lt;20,"Budget",IF(Table13[[#This Row],[Price USD]]&lt;=50,"Mid-range","Premium"))</f>
        <v>Mid-range</v>
      </c>
      <c r="O1225">
        <v>0</v>
      </c>
      <c r="P1225">
        <v>0</v>
      </c>
    </row>
    <row r="1226" spans="1:16" x14ac:dyDescent="0.25">
      <c r="A1226" t="s">
        <v>4646</v>
      </c>
      <c r="B1226" t="s">
        <v>4647</v>
      </c>
      <c r="C1226">
        <v>6749</v>
      </c>
      <c r="D1226" t="s">
        <v>3173</v>
      </c>
      <c r="E1226" t="s">
        <v>21</v>
      </c>
      <c r="F1226">
        <v>1039</v>
      </c>
      <c r="G12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6">
        <v>4.9486999999999997</v>
      </c>
      <c r="J1226" t="str">
        <f>IF(ISBLANK(Table13[[#This Row],[Rating]]), "No", "Yes")</f>
        <v>Yes</v>
      </c>
      <c r="K1226" t="str">
        <f>IF(ISBLANK(Table13[[#This Row],[Rating]]), "Not Rated", IF(Table13[[#This Row],[Rating]] &lt; 3, "Low", IF(Table13[[#This Row],[Rating]] &lt; 4, "Medium", "High")))</f>
        <v>High</v>
      </c>
      <c r="L1226">
        <v>78</v>
      </c>
      <c r="M1226">
        <v>66</v>
      </c>
      <c r="N1226" t="str">
        <f>IF(Table13[[#This Row],[Price USD]]&lt;20,"Budget",IF(Table13[[#This Row],[Price USD]]&lt;=50,"Mid-range","Premium"))</f>
        <v>Premium</v>
      </c>
      <c r="O1226">
        <v>1</v>
      </c>
      <c r="P1226">
        <v>0</v>
      </c>
    </row>
    <row r="1227" spans="1:16" x14ac:dyDescent="0.25">
      <c r="A1227" t="s">
        <v>4640</v>
      </c>
      <c r="B1227" t="s">
        <v>4641</v>
      </c>
      <c r="C1227">
        <v>6307</v>
      </c>
      <c r="D1227" t="s">
        <v>1132</v>
      </c>
      <c r="E1227" t="s">
        <v>69</v>
      </c>
      <c r="F1227">
        <v>1048</v>
      </c>
      <c r="G12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27" t="str">
        <f>IF(ISBLANK(Table13[[#This Row],[Rating]]), "No", "Yes")</f>
        <v>No</v>
      </c>
      <c r="K1227" t="str">
        <f>IF(ISBLANK(Table13[[#This Row],[Rating]]), "Not Rated", IF(Table13[[#This Row],[Rating]] &lt; 3, "Low", IF(Table13[[#This Row],[Rating]] &lt; 4, "Medium", "High")))</f>
        <v>Not Rated</v>
      </c>
      <c r="L1227">
        <v>0</v>
      </c>
      <c r="M1227">
        <v>120</v>
      </c>
      <c r="N1227" t="str">
        <f>IF(Table13[[#This Row],[Price USD]]&lt;20,"Budget",IF(Table13[[#This Row],[Price USD]]&lt;=50,"Mid-range","Premium"))</f>
        <v>Premium</v>
      </c>
      <c r="O1227">
        <v>0</v>
      </c>
      <c r="P1227">
        <v>0</v>
      </c>
    </row>
    <row r="1228" spans="1:16" x14ac:dyDescent="0.25">
      <c r="A1228" t="s">
        <v>4638</v>
      </c>
      <c r="B1228" t="s">
        <v>4639</v>
      </c>
      <c r="C1228">
        <v>3902</v>
      </c>
      <c r="D1228" t="s">
        <v>72</v>
      </c>
      <c r="E1228" t="s">
        <v>201</v>
      </c>
      <c r="F1228">
        <v>1060</v>
      </c>
      <c r="G12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8">
        <v>4.8914999999999997</v>
      </c>
      <c r="J1228" t="str">
        <f>IF(ISBLANK(Table13[[#This Row],[Rating]]), "No", "Yes")</f>
        <v>Yes</v>
      </c>
      <c r="K1228" t="str">
        <f>IF(ISBLANK(Table13[[#This Row],[Rating]]), "Not Rated", IF(Table13[[#This Row],[Rating]] &lt; 3, "Low", IF(Table13[[#This Row],[Rating]] &lt; 4, "Medium", "High")))</f>
        <v>High</v>
      </c>
      <c r="L1228">
        <v>129</v>
      </c>
      <c r="M1228">
        <v>22</v>
      </c>
      <c r="N1228" t="str">
        <f>IF(Table13[[#This Row],[Price USD]]&lt;20,"Budget",IF(Table13[[#This Row],[Price USD]]&lt;=50,"Mid-range","Premium"))</f>
        <v>Mid-range</v>
      </c>
      <c r="O1228">
        <v>1</v>
      </c>
      <c r="P1228">
        <v>0</v>
      </c>
    </row>
    <row r="1229" spans="1:16" x14ac:dyDescent="0.25">
      <c r="A1229" t="s">
        <v>4636</v>
      </c>
      <c r="B1229" t="s">
        <v>4637</v>
      </c>
      <c r="C1229">
        <v>1254</v>
      </c>
      <c r="D1229" t="s">
        <v>136</v>
      </c>
      <c r="E1229" t="s">
        <v>8</v>
      </c>
      <c r="F1229">
        <v>1064</v>
      </c>
      <c r="G12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29">
        <v>3</v>
      </c>
      <c r="J1229" t="str">
        <f>IF(ISBLANK(Table13[[#This Row],[Rating]]), "No", "Yes")</f>
        <v>Yes</v>
      </c>
      <c r="K1229" t="str">
        <f>IF(ISBLANK(Table13[[#This Row],[Rating]]), "Not Rated", IF(Table13[[#This Row],[Rating]] &lt; 3, "Low", IF(Table13[[#This Row],[Rating]] &lt; 4, "Medium", "High")))</f>
        <v>Medium</v>
      </c>
      <c r="L1229">
        <v>5</v>
      </c>
      <c r="M1229">
        <v>35</v>
      </c>
      <c r="N1229" t="str">
        <f>IF(Table13[[#This Row],[Price USD]]&lt;20,"Budget",IF(Table13[[#This Row],[Price USD]]&lt;=50,"Mid-range","Premium"))</f>
        <v>Mid-range</v>
      </c>
      <c r="O1229">
        <v>0</v>
      </c>
      <c r="P1229">
        <v>0</v>
      </c>
    </row>
    <row r="1230" spans="1:16" x14ac:dyDescent="0.25">
      <c r="A1230" t="s">
        <v>4634</v>
      </c>
      <c r="B1230" t="s">
        <v>4635</v>
      </c>
      <c r="C1230">
        <v>6329</v>
      </c>
      <c r="D1230" t="s">
        <v>3435</v>
      </c>
      <c r="E1230" t="s">
        <v>8</v>
      </c>
      <c r="F1230">
        <v>1068</v>
      </c>
      <c r="G12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30" t="str">
        <f>IF(ISBLANK(Table13[[#This Row],[Rating]]), "No", "Yes")</f>
        <v>No</v>
      </c>
      <c r="K1230" t="str">
        <f>IF(ISBLANK(Table13[[#This Row],[Rating]]), "Not Rated", IF(Table13[[#This Row],[Rating]] &lt; 3, "Low", IF(Table13[[#This Row],[Rating]] &lt; 4, "Medium", "High")))</f>
        <v>Not Rated</v>
      </c>
      <c r="L1230">
        <v>0</v>
      </c>
      <c r="M1230">
        <v>90</v>
      </c>
      <c r="N1230" t="str">
        <f>IF(Table13[[#This Row],[Price USD]]&lt;20,"Budget",IF(Table13[[#This Row],[Price USD]]&lt;=50,"Mid-range","Premium"))</f>
        <v>Premium</v>
      </c>
      <c r="O1230">
        <v>0</v>
      </c>
      <c r="P1230">
        <v>0</v>
      </c>
    </row>
    <row r="1231" spans="1:16" x14ac:dyDescent="0.25">
      <c r="A1231" t="s">
        <v>4630</v>
      </c>
      <c r="B1231" t="s">
        <v>4631</v>
      </c>
      <c r="C1231">
        <v>6307</v>
      </c>
      <c r="D1231" t="s">
        <v>1132</v>
      </c>
      <c r="E1231" t="s">
        <v>8</v>
      </c>
      <c r="F1231">
        <v>1085</v>
      </c>
      <c r="G12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31" t="str">
        <f>IF(ISBLANK(Table13[[#This Row],[Rating]]), "No", "Yes")</f>
        <v>No</v>
      </c>
      <c r="K1231" t="str">
        <f>IF(ISBLANK(Table13[[#This Row],[Rating]]), "Not Rated", IF(Table13[[#This Row],[Rating]] &lt; 3, "Low", IF(Table13[[#This Row],[Rating]] &lt; 4, "Medium", "High")))</f>
        <v>Not Rated</v>
      </c>
      <c r="L1231">
        <v>0</v>
      </c>
      <c r="M1231">
        <v>130</v>
      </c>
      <c r="N1231" t="str">
        <f>IF(Table13[[#This Row],[Price USD]]&lt;20,"Budget",IF(Table13[[#This Row],[Price USD]]&lt;=50,"Mid-range","Premium"))</f>
        <v>Premium</v>
      </c>
      <c r="O1231">
        <v>0</v>
      </c>
      <c r="P1231">
        <v>0</v>
      </c>
    </row>
    <row r="1232" spans="1:16" x14ac:dyDescent="0.25">
      <c r="A1232" t="s">
        <v>4632</v>
      </c>
      <c r="B1232" t="s">
        <v>4633</v>
      </c>
      <c r="C1232">
        <v>6001</v>
      </c>
      <c r="D1232" t="s">
        <v>1836</v>
      </c>
      <c r="E1232" t="s">
        <v>347</v>
      </c>
      <c r="F1232">
        <v>1085</v>
      </c>
      <c r="G12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2">
        <v>5</v>
      </c>
      <c r="J1232" t="str">
        <f>IF(ISBLANK(Table13[[#This Row],[Rating]]), "No", "Yes")</f>
        <v>Yes</v>
      </c>
      <c r="K1232" t="str">
        <f>IF(ISBLANK(Table13[[#This Row],[Rating]]), "Not Rated", IF(Table13[[#This Row],[Rating]] &lt; 3, "Low", IF(Table13[[#This Row],[Rating]] &lt; 4, "Medium", "High")))</f>
        <v>High</v>
      </c>
      <c r="L1232">
        <v>2</v>
      </c>
      <c r="M1232">
        <v>395</v>
      </c>
      <c r="N1232" t="str">
        <f>IF(Table13[[#This Row],[Price USD]]&lt;20,"Budget",IF(Table13[[#This Row],[Price USD]]&lt;=50,"Mid-range","Premium"))</f>
        <v>Premium</v>
      </c>
      <c r="O1232">
        <v>1</v>
      </c>
      <c r="P1232">
        <v>0</v>
      </c>
    </row>
    <row r="1233" spans="1:16" x14ac:dyDescent="0.25">
      <c r="A1233" t="s">
        <v>4628</v>
      </c>
      <c r="B1233" t="s">
        <v>4629</v>
      </c>
      <c r="C1233">
        <v>7075</v>
      </c>
      <c r="D1233" t="s">
        <v>75</v>
      </c>
      <c r="E1233" t="s">
        <v>220</v>
      </c>
      <c r="F1233">
        <v>1088</v>
      </c>
      <c r="G12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3">
        <v>3.5</v>
      </c>
      <c r="J1233" t="str">
        <f>IF(ISBLANK(Table13[[#This Row],[Rating]]), "No", "Yes")</f>
        <v>Yes</v>
      </c>
      <c r="K1233" t="str">
        <f>IF(ISBLANK(Table13[[#This Row],[Rating]]), "Not Rated", IF(Table13[[#This Row],[Rating]] &lt; 3, "Low", IF(Table13[[#This Row],[Rating]] &lt; 4, "Medium", "High")))</f>
        <v>Medium</v>
      </c>
      <c r="L1233">
        <v>2</v>
      </c>
      <c r="M1233">
        <v>27</v>
      </c>
      <c r="N1233" t="str">
        <f>IF(Table13[[#This Row],[Price USD]]&lt;20,"Budget",IF(Table13[[#This Row],[Price USD]]&lt;=50,"Mid-range","Premium"))</f>
        <v>Mid-range</v>
      </c>
      <c r="O1233">
        <v>1</v>
      </c>
      <c r="P1233">
        <v>0</v>
      </c>
    </row>
    <row r="1234" spans="1:16" x14ac:dyDescent="0.25">
      <c r="A1234" t="s">
        <v>4626</v>
      </c>
      <c r="B1234" t="s">
        <v>4627</v>
      </c>
      <c r="C1234">
        <v>6475</v>
      </c>
      <c r="D1234" t="s">
        <v>3011</v>
      </c>
      <c r="E1234" t="s">
        <v>21</v>
      </c>
      <c r="F1234">
        <v>1098</v>
      </c>
      <c r="G12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4">
        <v>4.7222</v>
      </c>
      <c r="J1234" t="str">
        <f>IF(ISBLANK(Table13[[#This Row],[Rating]]), "No", "Yes")</f>
        <v>Yes</v>
      </c>
      <c r="K1234" t="str">
        <f>IF(ISBLANK(Table13[[#This Row],[Rating]]), "Not Rated", IF(Table13[[#This Row],[Rating]] &lt; 3, "Low", IF(Table13[[#This Row],[Rating]] &lt; 4, "Medium", "High")))</f>
        <v>High</v>
      </c>
      <c r="L1234">
        <v>54</v>
      </c>
      <c r="M1234">
        <v>125</v>
      </c>
      <c r="N1234" t="str">
        <f>IF(Table13[[#This Row],[Price USD]]&lt;20,"Budget",IF(Table13[[#This Row],[Price USD]]&lt;=50,"Mid-range","Premium"))</f>
        <v>Premium</v>
      </c>
      <c r="O1234">
        <v>1</v>
      </c>
      <c r="P1234">
        <v>0</v>
      </c>
    </row>
    <row r="1235" spans="1:16" x14ac:dyDescent="0.25">
      <c r="A1235" t="s">
        <v>4624</v>
      </c>
      <c r="B1235" t="s">
        <v>4625</v>
      </c>
      <c r="C1235">
        <v>5337</v>
      </c>
      <c r="D1235" t="s">
        <v>209</v>
      </c>
      <c r="E1235" t="s">
        <v>49</v>
      </c>
      <c r="F1235">
        <v>1107</v>
      </c>
      <c r="G12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5">
        <v>4.6125999999999996</v>
      </c>
      <c r="J1235" t="str">
        <f>IF(ISBLANK(Table13[[#This Row],[Rating]]), "No", "Yes")</f>
        <v>Yes</v>
      </c>
      <c r="K1235" t="str">
        <f>IF(ISBLANK(Table13[[#This Row],[Rating]]), "Not Rated", IF(Table13[[#This Row],[Rating]] &lt; 3, "Low", IF(Table13[[#This Row],[Rating]] &lt; 4, "Medium", "High")))</f>
        <v>High</v>
      </c>
      <c r="L1235">
        <v>555</v>
      </c>
      <c r="M1235">
        <v>38</v>
      </c>
      <c r="N1235" t="str">
        <f>IF(Table13[[#This Row],[Price USD]]&lt;20,"Budget",IF(Table13[[#This Row],[Price USD]]&lt;=50,"Mid-range","Premium"))</f>
        <v>Mid-range</v>
      </c>
      <c r="O1235">
        <v>1</v>
      </c>
      <c r="P1235">
        <v>0</v>
      </c>
    </row>
    <row r="1236" spans="1:16" x14ac:dyDescent="0.25">
      <c r="A1236" t="s">
        <v>4622</v>
      </c>
      <c r="B1236" t="s">
        <v>4623</v>
      </c>
      <c r="C1236">
        <v>6329</v>
      </c>
      <c r="D1236" t="s">
        <v>3435</v>
      </c>
      <c r="E1236" t="s">
        <v>347</v>
      </c>
      <c r="F1236">
        <v>1119</v>
      </c>
      <c r="G12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6">
        <v>4.6315999999999997</v>
      </c>
      <c r="J1236" t="str">
        <f>IF(ISBLANK(Table13[[#This Row],[Rating]]), "No", "Yes")</f>
        <v>Yes</v>
      </c>
      <c r="K1236" t="str">
        <f>IF(ISBLANK(Table13[[#This Row],[Rating]]), "Not Rated", IF(Table13[[#This Row],[Rating]] &lt; 3, "Low", IF(Table13[[#This Row],[Rating]] &lt; 4, "Medium", "High")))</f>
        <v>High</v>
      </c>
      <c r="L1236">
        <v>38</v>
      </c>
      <c r="M1236">
        <v>70</v>
      </c>
      <c r="N1236" t="str">
        <f>IF(Table13[[#This Row],[Price USD]]&lt;20,"Budget",IF(Table13[[#This Row],[Price USD]]&lt;=50,"Mid-range","Premium"))</f>
        <v>Premium</v>
      </c>
      <c r="O1236">
        <v>0</v>
      </c>
      <c r="P1236">
        <v>0</v>
      </c>
    </row>
    <row r="1237" spans="1:16" x14ac:dyDescent="0.25">
      <c r="A1237" t="s">
        <v>4620</v>
      </c>
      <c r="B1237" t="s">
        <v>4621</v>
      </c>
      <c r="C1237">
        <v>6302</v>
      </c>
      <c r="D1237" t="s">
        <v>2721</v>
      </c>
      <c r="E1237" t="s">
        <v>21</v>
      </c>
      <c r="F1237">
        <v>1128</v>
      </c>
      <c r="G12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7">
        <v>3.3332999999999999</v>
      </c>
      <c r="J1237" t="str">
        <f>IF(ISBLANK(Table13[[#This Row],[Rating]]), "No", "Yes")</f>
        <v>Yes</v>
      </c>
      <c r="K1237" t="str">
        <f>IF(ISBLANK(Table13[[#This Row],[Rating]]), "Not Rated", IF(Table13[[#This Row],[Rating]] &lt; 3, "Low", IF(Table13[[#This Row],[Rating]] &lt; 4, "Medium", "High")))</f>
        <v>Medium</v>
      </c>
      <c r="L1237">
        <v>9</v>
      </c>
      <c r="M1237">
        <v>75</v>
      </c>
      <c r="N1237" t="str">
        <f>IF(Table13[[#This Row],[Price USD]]&lt;20,"Budget",IF(Table13[[#This Row],[Price USD]]&lt;=50,"Mid-range","Premium"))</f>
        <v>Premium</v>
      </c>
      <c r="O1237">
        <v>0</v>
      </c>
      <c r="P1237">
        <v>0</v>
      </c>
    </row>
    <row r="1238" spans="1:16" x14ac:dyDescent="0.25">
      <c r="A1238" t="s">
        <v>4618</v>
      </c>
      <c r="B1238" t="s">
        <v>4619</v>
      </c>
      <c r="C1238">
        <v>6175</v>
      </c>
      <c r="D1238" t="s">
        <v>338</v>
      </c>
      <c r="E1238" t="s">
        <v>21</v>
      </c>
      <c r="F1238">
        <v>1132</v>
      </c>
      <c r="G12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8">
        <v>4.0934999999999997</v>
      </c>
      <c r="J1238" t="str">
        <f>IF(ISBLANK(Table13[[#This Row],[Rating]]), "No", "Yes")</f>
        <v>Yes</v>
      </c>
      <c r="K1238" t="str">
        <f>IF(ISBLANK(Table13[[#This Row],[Rating]]), "Not Rated", IF(Table13[[#This Row],[Rating]] &lt; 3, "Low", IF(Table13[[#This Row],[Rating]] &lt; 4, "Medium", "High")))</f>
        <v>High</v>
      </c>
      <c r="L1238">
        <v>920</v>
      </c>
      <c r="M1238">
        <v>72</v>
      </c>
      <c r="N1238" t="str">
        <f>IF(Table13[[#This Row],[Price USD]]&lt;20,"Budget",IF(Table13[[#This Row],[Price USD]]&lt;=50,"Mid-range","Premium"))</f>
        <v>Premium</v>
      </c>
      <c r="O1238">
        <v>0</v>
      </c>
      <c r="P1238">
        <v>0</v>
      </c>
    </row>
    <row r="1239" spans="1:16" x14ac:dyDescent="0.25">
      <c r="A1239" t="s">
        <v>4614</v>
      </c>
      <c r="B1239" t="s">
        <v>4615</v>
      </c>
      <c r="C1239">
        <v>6318</v>
      </c>
      <c r="D1239" t="s">
        <v>2040</v>
      </c>
      <c r="E1239" t="s">
        <v>13</v>
      </c>
      <c r="F1239">
        <v>1136</v>
      </c>
      <c r="G12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39">
        <v>4.2</v>
      </c>
      <c r="J1239" t="str">
        <f>IF(ISBLANK(Table13[[#This Row],[Rating]]), "No", "Yes")</f>
        <v>Yes</v>
      </c>
      <c r="K1239" t="str">
        <f>IF(ISBLANK(Table13[[#This Row],[Rating]]), "Not Rated", IF(Table13[[#This Row],[Rating]] &lt; 3, "Low", IF(Table13[[#This Row],[Rating]] &lt; 4, "Medium", "High")))</f>
        <v>High</v>
      </c>
      <c r="L1239">
        <v>10</v>
      </c>
      <c r="M1239">
        <v>65</v>
      </c>
      <c r="N1239" t="str">
        <f>IF(Table13[[#This Row],[Price USD]]&lt;20,"Budget",IF(Table13[[#This Row],[Price USD]]&lt;=50,"Mid-range","Premium"))</f>
        <v>Premium</v>
      </c>
      <c r="O1239">
        <v>0</v>
      </c>
      <c r="P1239">
        <v>0</v>
      </c>
    </row>
    <row r="1240" spans="1:16" x14ac:dyDescent="0.25">
      <c r="A1240" t="s">
        <v>4616</v>
      </c>
      <c r="B1240" t="s">
        <v>4617</v>
      </c>
      <c r="C1240">
        <v>6089</v>
      </c>
      <c r="D1240" t="s">
        <v>605</v>
      </c>
      <c r="E1240" t="s">
        <v>149</v>
      </c>
      <c r="F1240">
        <v>1136</v>
      </c>
      <c r="G12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0">
        <v>3.5</v>
      </c>
      <c r="J1240" t="str">
        <f>IF(ISBLANK(Table13[[#This Row],[Rating]]), "No", "Yes")</f>
        <v>Yes</v>
      </c>
      <c r="K1240" t="str">
        <f>IF(ISBLANK(Table13[[#This Row],[Rating]]), "Not Rated", IF(Table13[[#This Row],[Rating]] &lt; 3, "Low", IF(Table13[[#This Row],[Rating]] &lt; 4, "Medium", "High")))</f>
        <v>Medium</v>
      </c>
      <c r="L1240">
        <v>4</v>
      </c>
      <c r="M1240">
        <v>76</v>
      </c>
      <c r="N1240" t="str">
        <f>IF(Table13[[#This Row],[Price USD]]&lt;20,"Budget",IF(Table13[[#This Row],[Price USD]]&lt;=50,"Mid-range","Premium"))</f>
        <v>Premium</v>
      </c>
      <c r="O1240">
        <v>0</v>
      </c>
      <c r="P1240">
        <v>0</v>
      </c>
    </row>
    <row r="1241" spans="1:16" x14ac:dyDescent="0.25">
      <c r="A1241" t="s">
        <v>4612</v>
      </c>
      <c r="B1241" t="s">
        <v>4613</v>
      </c>
      <c r="C1241">
        <v>1741</v>
      </c>
      <c r="D1241" t="s">
        <v>388</v>
      </c>
      <c r="E1241" t="s">
        <v>13</v>
      </c>
      <c r="F1241">
        <v>1139</v>
      </c>
      <c r="G12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41" t="str">
        <f>IF(ISBLANK(Table13[[#This Row],[Rating]]), "No", "Yes")</f>
        <v>No</v>
      </c>
      <c r="K1241" t="str">
        <f>IF(ISBLANK(Table13[[#This Row],[Rating]]), "Not Rated", IF(Table13[[#This Row],[Rating]] &lt; 3, "Low", IF(Table13[[#This Row],[Rating]] &lt; 4, "Medium", "High")))</f>
        <v>Not Rated</v>
      </c>
      <c r="L1241">
        <v>0</v>
      </c>
      <c r="M1241">
        <v>120</v>
      </c>
      <c r="N1241" t="str">
        <f>IF(Table13[[#This Row],[Price USD]]&lt;20,"Budget",IF(Table13[[#This Row],[Price USD]]&lt;=50,"Mid-range","Premium"))</f>
        <v>Premium</v>
      </c>
      <c r="O1241">
        <v>0</v>
      </c>
      <c r="P1241">
        <v>0</v>
      </c>
    </row>
    <row r="1242" spans="1:16" x14ac:dyDescent="0.25">
      <c r="A1242" t="s">
        <v>4610</v>
      </c>
      <c r="B1242" t="s">
        <v>4611</v>
      </c>
      <c r="C1242">
        <v>6089</v>
      </c>
      <c r="D1242" t="s">
        <v>605</v>
      </c>
      <c r="E1242" t="s">
        <v>21</v>
      </c>
      <c r="F1242">
        <v>1140</v>
      </c>
      <c r="G12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2">
        <v>5</v>
      </c>
      <c r="J1242" t="str">
        <f>IF(ISBLANK(Table13[[#This Row],[Rating]]), "No", "Yes")</f>
        <v>Yes</v>
      </c>
      <c r="K1242" t="str">
        <f>IF(ISBLANK(Table13[[#This Row],[Rating]]), "Not Rated", IF(Table13[[#This Row],[Rating]] &lt; 3, "Low", IF(Table13[[#This Row],[Rating]] &lt; 4, "Medium", "High")))</f>
        <v>High</v>
      </c>
      <c r="L1242">
        <v>1</v>
      </c>
      <c r="M1242">
        <v>98</v>
      </c>
      <c r="N1242" t="str">
        <f>IF(Table13[[#This Row],[Price USD]]&lt;20,"Budget",IF(Table13[[#This Row],[Price USD]]&lt;=50,"Mid-range","Premium"))</f>
        <v>Premium</v>
      </c>
      <c r="O1242">
        <v>0</v>
      </c>
      <c r="P1242">
        <v>0</v>
      </c>
    </row>
    <row r="1243" spans="1:16" x14ac:dyDescent="0.25">
      <c r="A1243" t="s">
        <v>4608</v>
      </c>
      <c r="B1243" t="s">
        <v>4609</v>
      </c>
      <c r="C1243">
        <v>2082</v>
      </c>
      <c r="D1243" t="s">
        <v>594</v>
      </c>
      <c r="E1243" t="s">
        <v>13</v>
      </c>
      <c r="F1243">
        <v>1143</v>
      </c>
      <c r="G12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3">
        <v>3.25</v>
      </c>
      <c r="J1243" t="str">
        <f>IF(ISBLANK(Table13[[#This Row],[Rating]]), "No", "Yes")</f>
        <v>Yes</v>
      </c>
      <c r="K1243" t="str">
        <f>IF(ISBLANK(Table13[[#This Row],[Rating]]), "Not Rated", IF(Table13[[#This Row],[Rating]] &lt; 3, "Low", IF(Table13[[#This Row],[Rating]] &lt; 4, "Medium", "High")))</f>
        <v>Medium</v>
      </c>
      <c r="L1243">
        <v>4</v>
      </c>
      <c r="M1243">
        <v>37</v>
      </c>
      <c r="N1243" t="str">
        <f>IF(Table13[[#This Row],[Price USD]]&lt;20,"Budget",IF(Table13[[#This Row],[Price USD]]&lt;=50,"Mid-range","Premium"))</f>
        <v>Mid-range</v>
      </c>
      <c r="O1243">
        <v>0</v>
      </c>
      <c r="P1243">
        <v>0</v>
      </c>
    </row>
    <row r="1244" spans="1:16" x14ac:dyDescent="0.25">
      <c r="A1244" t="s">
        <v>4606</v>
      </c>
      <c r="B1244" t="s">
        <v>4607</v>
      </c>
      <c r="C1244">
        <v>6302</v>
      </c>
      <c r="D1244" t="s">
        <v>2721</v>
      </c>
      <c r="E1244" t="s">
        <v>13</v>
      </c>
      <c r="F1244">
        <v>1146</v>
      </c>
      <c r="G12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4">
        <v>3.7</v>
      </c>
      <c r="J1244" t="str">
        <f>IF(ISBLANK(Table13[[#This Row],[Rating]]), "No", "Yes")</f>
        <v>Yes</v>
      </c>
      <c r="K1244" t="str">
        <f>IF(ISBLANK(Table13[[#This Row],[Rating]]), "Not Rated", IF(Table13[[#This Row],[Rating]] &lt; 3, "Low", IF(Table13[[#This Row],[Rating]] &lt; 4, "Medium", "High")))</f>
        <v>Medium</v>
      </c>
      <c r="L1244">
        <v>10</v>
      </c>
      <c r="M1244">
        <v>75</v>
      </c>
      <c r="N1244" t="str">
        <f>IF(Table13[[#This Row],[Price USD]]&lt;20,"Budget",IF(Table13[[#This Row],[Price USD]]&lt;=50,"Mid-range","Premium"))</f>
        <v>Premium</v>
      </c>
      <c r="O1244">
        <v>0</v>
      </c>
      <c r="P1244">
        <v>0</v>
      </c>
    </row>
    <row r="1245" spans="1:16" x14ac:dyDescent="0.25">
      <c r="A1245" t="s">
        <v>4604</v>
      </c>
      <c r="B1245" t="s">
        <v>4605</v>
      </c>
      <c r="C1245">
        <v>5879</v>
      </c>
      <c r="D1245" t="s">
        <v>3589</v>
      </c>
      <c r="E1245" t="s">
        <v>13</v>
      </c>
      <c r="F1245">
        <v>1149</v>
      </c>
      <c r="G12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5">
        <v>5</v>
      </c>
      <c r="J1245" t="str">
        <f>IF(ISBLANK(Table13[[#This Row],[Rating]]), "No", "Yes")</f>
        <v>Yes</v>
      </c>
      <c r="K1245" t="str">
        <f>IF(ISBLANK(Table13[[#This Row],[Rating]]), "Not Rated", IF(Table13[[#This Row],[Rating]] &lt; 3, "Low", IF(Table13[[#This Row],[Rating]] &lt; 4, "Medium", "High")))</f>
        <v>High</v>
      </c>
      <c r="L1245">
        <v>1</v>
      </c>
      <c r="M1245">
        <v>25</v>
      </c>
      <c r="N1245" t="str">
        <f>IF(Table13[[#This Row],[Price USD]]&lt;20,"Budget",IF(Table13[[#This Row],[Price USD]]&lt;=50,"Mid-range","Premium"))</f>
        <v>Mid-range</v>
      </c>
      <c r="O1245">
        <v>0</v>
      </c>
      <c r="P1245">
        <v>0</v>
      </c>
    </row>
    <row r="1246" spans="1:16" x14ac:dyDescent="0.25">
      <c r="A1246" t="s">
        <v>4602</v>
      </c>
      <c r="B1246" t="s">
        <v>4603</v>
      </c>
      <c r="C1246">
        <v>6749</v>
      </c>
      <c r="D1246" t="s">
        <v>3173</v>
      </c>
      <c r="E1246" t="s">
        <v>8</v>
      </c>
      <c r="F1246">
        <v>1159</v>
      </c>
      <c r="G12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6">
        <v>4.8845999999999998</v>
      </c>
      <c r="J1246" t="str">
        <f>IF(ISBLANK(Table13[[#This Row],[Rating]]), "No", "Yes")</f>
        <v>Yes</v>
      </c>
      <c r="K1246" t="str">
        <f>IF(ISBLANK(Table13[[#This Row],[Rating]]), "Not Rated", IF(Table13[[#This Row],[Rating]] &lt; 3, "Low", IF(Table13[[#This Row],[Rating]] &lt; 4, "Medium", "High")))</f>
        <v>High</v>
      </c>
      <c r="L1246">
        <v>52</v>
      </c>
      <c r="M1246">
        <v>74</v>
      </c>
      <c r="N1246" t="str">
        <f>IF(Table13[[#This Row],[Price USD]]&lt;20,"Budget",IF(Table13[[#This Row],[Price USD]]&lt;=50,"Mid-range","Premium"))</f>
        <v>Premium</v>
      </c>
      <c r="O1246">
        <v>1</v>
      </c>
      <c r="P1246">
        <v>0</v>
      </c>
    </row>
    <row r="1247" spans="1:16" x14ac:dyDescent="0.25">
      <c r="A1247" t="s">
        <v>4600</v>
      </c>
      <c r="B1247" t="s">
        <v>4601</v>
      </c>
      <c r="C1247">
        <v>6149</v>
      </c>
      <c r="D1247" t="s">
        <v>752</v>
      </c>
      <c r="E1247" t="s">
        <v>49</v>
      </c>
      <c r="F1247">
        <v>1160</v>
      </c>
      <c r="G12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7">
        <v>4.25</v>
      </c>
      <c r="J1247" t="str">
        <f>IF(ISBLANK(Table13[[#This Row],[Rating]]), "No", "Yes")</f>
        <v>Yes</v>
      </c>
      <c r="K1247" t="str">
        <f>IF(ISBLANK(Table13[[#This Row],[Rating]]), "Not Rated", IF(Table13[[#This Row],[Rating]] &lt; 3, "Low", IF(Table13[[#This Row],[Rating]] &lt; 4, "Medium", "High")))</f>
        <v>High</v>
      </c>
      <c r="L1247">
        <v>4</v>
      </c>
      <c r="M1247">
        <v>36</v>
      </c>
      <c r="N1247" t="str">
        <f>IF(Table13[[#This Row],[Price USD]]&lt;20,"Budget",IF(Table13[[#This Row],[Price USD]]&lt;=50,"Mid-range","Premium"))</f>
        <v>Mid-range</v>
      </c>
      <c r="O1247">
        <v>0</v>
      </c>
      <c r="P1247">
        <v>0</v>
      </c>
    </row>
    <row r="1248" spans="1:16" x14ac:dyDescent="0.25">
      <c r="A1248" t="s">
        <v>4598</v>
      </c>
      <c r="B1248" t="s">
        <v>4599</v>
      </c>
      <c r="C1248">
        <v>6358</v>
      </c>
      <c r="D1248" t="s">
        <v>2301</v>
      </c>
      <c r="E1248" t="s">
        <v>21</v>
      </c>
      <c r="F1248">
        <v>1162</v>
      </c>
      <c r="G12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48">
        <v>4.7142999999999997</v>
      </c>
      <c r="J1248" t="str">
        <f>IF(ISBLANK(Table13[[#This Row],[Rating]]), "No", "Yes")</f>
        <v>Yes</v>
      </c>
      <c r="K1248" t="str">
        <f>IF(ISBLANK(Table13[[#This Row],[Rating]]), "Not Rated", IF(Table13[[#This Row],[Rating]] &lt; 3, "Low", IF(Table13[[#This Row],[Rating]] &lt; 4, "Medium", "High")))</f>
        <v>High</v>
      </c>
      <c r="L1248">
        <v>42</v>
      </c>
      <c r="M1248">
        <v>99</v>
      </c>
      <c r="N1248" t="str">
        <f>IF(Table13[[#This Row],[Price USD]]&lt;20,"Budget",IF(Table13[[#This Row],[Price USD]]&lt;=50,"Mid-range","Premium"))</f>
        <v>Premium</v>
      </c>
      <c r="O1248">
        <v>0</v>
      </c>
      <c r="P1248">
        <v>0</v>
      </c>
    </row>
    <row r="1249" spans="1:16" x14ac:dyDescent="0.25">
      <c r="A1249" t="s">
        <v>4595</v>
      </c>
      <c r="B1249" t="s">
        <v>4596</v>
      </c>
      <c r="C1249">
        <v>7081</v>
      </c>
      <c r="D1249" t="s">
        <v>4597</v>
      </c>
      <c r="E1249" t="s">
        <v>220</v>
      </c>
      <c r="F1249">
        <v>1169</v>
      </c>
      <c r="G12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49" t="str">
        <f>IF(ISBLANK(Table13[[#This Row],[Rating]]), "No", "Yes")</f>
        <v>No</v>
      </c>
      <c r="K1249" t="str">
        <f>IF(ISBLANK(Table13[[#This Row],[Rating]]), "Not Rated", IF(Table13[[#This Row],[Rating]] &lt; 3, "Low", IF(Table13[[#This Row],[Rating]] &lt; 4, "Medium", "High")))</f>
        <v>Not Rated</v>
      </c>
      <c r="L1249">
        <v>0</v>
      </c>
      <c r="M1249">
        <v>75</v>
      </c>
      <c r="N1249" t="str">
        <f>IF(Table13[[#This Row],[Price USD]]&lt;20,"Budget",IF(Table13[[#This Row],[Price USD]]&lt;=50,"Mid-range","Premium"))</f>
        <v>Premium</v>
      </c>
      <c r="O1249">
        <v>0</v>
      </c>
      <c r="P1249">
        <v>1</v>
      </c>
    </row>
    <row r="1250" spans="1:16" x14ac:dyDescent="0.25">
      <c r="A1250" t="s">
        <v>4593</v>
      </c>
      <c r="B1250" t="s">
        <v>4594</v>
      </c>
      <c r="C1250">
        <v>5337</v>
      </c>
      <c r="D1250" t="s">
        <v>209</v>
      </c>
      <c r="E1250" t="s">
        <v>220</v>
      </c>
      <c r="F1250">
        <v>1171</v>
      </c>
      <c r="G12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50" t="str">
        <f>IF(ISBLANK(Table13[[#This Row],[Rating]]), "No", "Yes")</f>
        <v>No</v>
      </c>
      <c r="K1250" t="str">
        <f>IF(ISBLANK(Table13[[#This Row],[Rating]]), "Not Rated", IF(Table13[[#This Row],[Rating]] &lt; 3, "Low", IF(Table13[[#This Row],[Rating]] &lt; 4, "Medium", "High")))</f>
        <v>Not Rated</v>
      </c>
      <c r="L1250">
        <v>0</v>
      </c>
      <c r="M1250">
        <v>52</v>
      </c>
      <c r="N1250" t="str">
        <f>IF(Table13[[#This Row],[Price USD]]&lt;20,"Budget",IF(Table13[[#This Row],[Price USD]]&lt;=50,"Mid-range","Premium"))</f>
        <v>Premium</v>
      </c>
      <c r="O1250">
        <v>1</v>
      </c>
      <c r="P1250">
        <v>0</v>
      </c>
    </row>
    <row r="1251" spans="1:16" x14ac:dyDescent="0.25">
      <c r="A1251" t="s">
        <v>4591</v>
      </c>
      <c r="B1251" t="s">
        <v>4592</v>
      </c>
      <c r="C1251">
        <v>1741</v>
      </c>
      <c r="D1251" t="s">
        <v>388</v>
      </c>
      <c r="E1251" t="s">
        <v>220</v>
      </c>
      <c r="F1251">
        <v>1173</v>
      </c>
      <c r="G12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51" t="str">
        <f>IF(ISBLANK(Table13[[#This Row],[Rating]]), "No", "Yes")</f>
        <v>No</v>
      </c>
      <c r="K1251" t="str">
        <f>IF(ISBLANK(Table13[[#This Row],[Rating]]), "Not Rated", IF(Table13[[#This Row],[Rating]] &lt; 3, "Low", IF(Table13[[#This Row],[Rating]] &lt; 4, "Medium", "High")))</f>
        <v>Not Rated</v>
      </c>
      <c r="L1251">
        <v>0</v>
      </c>
      <c r="M1251">
        <v>165</v>
      </c>
      <c r="N1251" t="str">
        <f>IF(Table13[[#This Row],[Price USD]]&lt;20,"Budget",IF(Table13[[#This Row],[Price USD]]&lt;=50,"Mid-range","Premium"))</f>
        <v>Premium</v>
      </c>
      <c r="O1251">
        <v>1</v>
      </c>
      <c r="P1251">
        <v>0</v>
      </c>
    </row>
    <row r="1252" spans="1:16" x14ac:dyDescent="0.25">
      <c r="A1252" t="s">
        <v>4588</v>
      </c>
      <c r="B1252" t="s">
        <v>4589</v>
      </c>
      <c r="C1252">
        <v>6499</v>
      </c>
      <c r="D1252" t="s">
        <v>4590</v>
      </c>
      <c r="E1252" t="s">
        <v>21</v>
      </c>
      <c r="F1252">
        <v>1182</v>
      </c>
      <c r="G12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2">
        <v>4.6566999999999998</v>
      </c>
      <c r="J1252" t="str">
        <f>IF(ISBLANK(Table13[[#This Row],[Rating]]), "No", "Yes")</f>
        <v>Yes</v>
      </c>
      <c r="K1252" t="str">
        <f>IF(ISBLANK(Table13[[#This Row],[Rating]]), "Not Rated", IF(Table13[[#This Row],[Rating]] &lt; 3, "Low", IF(Table13[[#This Row],[Rating]] &lt; 4, "Medium", "High")))</f>
        <v>High</v>
      </c>
      <c r="L1252">
        <v>134</v>
      </c>
      <c r="M1252">
        <v>68</v>
      </c>
      <c r="N1252" t="str">
        <f>IF(Table13[[#This Row],[Price USD]]&lt;20,"Budget",IF(Table13[[#This Row],[Price USD]]&lt;=50,"Mid-range","Premium"))</f>
        <v>Premium</v>
      </c>
      <c r="O1252">
        <v>1</v>
      </c>
      <c r="P1252">
        <v>0</v>
      </c>
    </row>
    <row r="1253" spans="1:16" x14ac:dyDescent="0.25">
      <c r="A1253" t="s">
        <v>4586</v>
      </c>
      <c r="B1253" t="s">
        <v>4587</v>
      </c>
      <c r="C1253">
        <v>5337</v>
      </c>
      <c r="D1253" t="s">
        <v>209</v>
      </c>
      <c r="E1253" t="s">
        <v>220</v>
      </c>
      <c r="F1253">
        <v>1191</v>
      </c>
      <c r="G12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53" t="str">
        <f>IF(ISBLANK(Table13[[#This Row],[Rating]]), "No", "Yes")</f>
        <v>No</v>
      </c>
      <c r="K1253" t="str">
        <f>IF(ISBLANK(Table13[[#This Row],[Rating]]), "Not Rated", IF(Table13[[#This Row],[Rating]] &lt; 3, "Low", IF(Table13[[#This Row],[Rating]] &lt; 4, "Medium", "High")))</f>
        <v>Not Rated</v>
      </c>
      <c r="L1253">
        <v>0</v>
      </c>
      <c r="M1253">
        <v>64</v>
      </c>
      <c r="N1253" t="str">
        <f>IF(Table13[[#This Row],[Price USD]]&lt;20,"Budget",IF(Table13[[#This Row],[Price USD]]&lt;=50,"Mid-range","Premium"))</f>
        <v>Premium</v>
      </c>
      <c r="O1253">
        <v>1</v>
      </c>
      <c r="P1253">
        <v>0</v>
      </c>
    </row>
    <row r="1254" spans="1:16" x14ac:dyDescent="0.25">
      <c r="A1254" t="s">
        <v>4582</v>
      </c>
      <c r="B1254" t="s">
        <v>4583</v>
      </c>
      <c r="C1254">
        <v>2082</v>
      </c>
      <c r="D1254" t="s">
        <v>594</v>
      </c>
      <c r="E1254" t="s">
        <v>13</v>
      </c>
      <c r="F1254">
        <v>1195</v>
      </c>
      <c r="G12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4">
        <v>2.5293999999999999</v>
      </c>
      <c r="J1254" t="str">
        <f>IF(ISBLANK(Table13[[#This Row],[Rating]]), "No", "Yes")</f>
        <v>Yes</v>
      </c>
      <c r="K1254" t="str">
        <f>IF(ISBLANK(Table13[[#This Row],[Rating]]), "Not Rated", IF(Table13[[#This Row],[Rating]] &lt; 3, "Low", IF(Table13[[#This Row],[Rating]] &lt; 4, "Medium", "High")))</f>
        <v>Low</v>
      </c>
      <c r="L1254">
        <v>17</v>
      </c>
      <c r="M1254">
        <v>30</v>
      </c>
      <c r="N1254" t="str">
        <f>IF(Table13[[#This Row],[Price USD]]&lt;20,"Budget",IF(Table13[[#This Row],[Price USD]]&lt;=50,"Mid-range","Premium"))</f>
        <v>Mid-range</v>
      </c>
      <c r="O1254">
        <v>0</v>
      </c>
      <c r="P1254">
        <v>0</v>
      </c>
    </row>
    <row r="1255" spans="1:16" x14ac:dyDescent="0.25">
      <c r="A1255" t="s">
        <v>4584</v>
      </c>
      <c r="B1255" t="s">
        <v>4585</v>
      </c>
      <c r="C1255">
        <v>1254</v>
      </c>
      <c r="D1255" t="s">
        <v>136</v>
      </c>
      <c r="E1255" t="s">
        <v>21</v>
      </c>
      <c r="F1255">
        <v>1195</v>
      </c>
      <c r="G12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5">
        <v>3.4</v>
      </c>
      <c r="J1255" t="str">
        <f>IF(ISBLANK(Table13[[#This Row],[Rating]]), "No", "Yes")</f>
        <v>Yes</v>
      </c>
      <c r="K1255" t="str">
        <f>IF(ISBLANK(Table13[[#This Row],[Rating]]), "Not Rated", IF(Table13[[#This Row],[Rating]] &lt; 3, "Low", IF(Table13[[#This Row],[Rating]] &lt; 4, "Medium", "High")))</f>
        <v>Medium</v>
      </c>
      <c r="L1255">
        <v>15</v>
      </c>
      <c r="M1255">
        <v>72</v>
      </c>
      <c r="N1255" t="str">
        <f>IF(Table13[[#This Row],[Price USD]]&lt;20,"Budget",IF(Table13[[#This Row],[Price USD]]&lt;=50,"Mid-range","Premium"))</f>
        <v>Premium</v>
      </c>
      <c r="O1255">
        <v>0</v>
      </c>
      <c r="P1255">
        <v>0</v>
      </c>
    </row>
    <row r="1256" spans="1:16" x14ac:dyDescent="0.25">
      <c r="A1256" t="s">
        <v>4580</v>
      </c>
      <c r="B1256" t="s">
        <v>4581</v>
      </c>
      <c r="C1256">
        <v>6743</v>
      </c>
      <c r="D1256" t="s">
        <v>3942</v>
      </c>
      <c r="E1256" t="s">
        <v>13</v>
      </c>
      <c r="F1256">
        <v>1205</v>
      </c>
      <c r="G12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6">
        <v>4.0503999999999998</v>
      </c>
      <c r="J1256" t="str">
        <f>IF(ISBLANK(Table13[[#This Row],[Rating]]), "No", "Yes")</f>
        <v>Yes</v>
      </c>
      <c r="K1256" t="str">
        <f>IF(ISBLANK(Table13[[#This Row],[Rating]]), "Not Rated", IF(Table13[[#This Row],[Rating]] &lt; 3, "Low", IF(Table13[[#This Row],[Rating]] &lt; 4, "Medium", "High")))</f>
        <v>High</v>
      </c>
      <c r="L1256">
        <v>119</v>
      </c>
      <c r="M1256">
        <v>16</v>
      </c>
      <c r="N1256" t="str">
        <f>IF(Table13[[#This Row],[Price USD]]&lt;20,"Budget",IF(Table13[[#This Row],[Price USD]]&lt;=50,"Mid-range","Premium"))</f>
        <v>Budget</v>
      </c>
      <c r="O1256">
        <v>0</v>
      </c>
      <c r="P1256">
        <v>0</v>
      </c>
    </row>
    <row r="1257" spans="1:16" x14ac:dyDescent="0.25">
      <c r="A1257" t="s">
        <v>4578</v>
      </c>
      <c r="B1257" t="s">
        <v>4579</v>
      </c>
      <c r="C1257">
        <v>1073</v>
      </c>
      <c r="D1257" t="s">
        <v>767</v>
      </c>
      <c r="E1257" t="s">
        <v>21</v>
      </c>
      <c r="F1257">
        <v>1208</v>
      </c>
      <c r="G12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7">
        <v>3.5</v>
      </c>
      <c r="J1257" t="str">
        <f>IF(ISBLANK(Table13[[#This Row],[Rating]]), "No", "Yes")</f>
        <v>Yes</v>
      </c>
      <c r="K1257" t="str">
        <f>IF(ISBLANK(Table13[[#This Row],[Rating]]), "Not Rated", IF(Table13[[#This Row],[Rating]] &lt; 3, "Low", IF(Table13[[#This Row],[Rating]] &lt; 4, "Medium", "High")))</f>
        <v>Medium</v>
      </c>
      <c r="L1257">
        <v>6</v>
      </c>
      <c r="M1257">
        <v>85</v>
      </c>
      <c r="N1257" t="str">
        <f>IF(Table13[[#This Row],[Price USD]]&lt;20,"Budget",IF(Table13[[#This Row],[Price USD]]&lt;=50,"Mid-range","Premium"))</f>
        <v>Premium</v>
      </c>
      <c r="O1257">
        <v>0</v>
      </c>
      <c r="P1257">
        <v>0</v>
      </c>
    </row>
    <row r="1258" spans="1:16" x14ac:dyDescent="0.25">
      <c r="A1258" t="s">
        <v>4576</v>
      </c>
      <c r="B1258" t="s">
        <v>4577</v>
      </c>
      <c r="C1258">
        <v>7055</v>
      </c>
      <c r="D1258" t="s">
        <v>3361</v>
      </c>
      <c r="E1258" t="s">
        <v>8</v>
      </c>
      <c r="F1258">
        <v>1215</v>
      </c>
      <c r="G12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8">
        <v>4.4691000000000001</v>
      </c>
      <c r="J1258" t="str">
        <f>IF(ISBLANK(Table13[[#This Row],[Rating]]), "No", "Yes")</f>
        <v>Yes</v>
      </c>
      <c r="K1258" t="str">
        <f>IF(ISBLANK(Table13[[#This Row],[Rating]]), "Not Rated", IF(Table13[[#This Row],[Rating]] &lt; 3, "Low", IF(Table13[[#This Row],[Rating]] &lt; 4, "Medium", "High")))</f>
        <v>High</v>
      </c>
      <c r="L1258">
        <v>81</v>
      </c>
      <c r="M1258">
        <v>35</v>
      </c>
      <c r="N1258" t="str">
        <f>IF(Table13[[#This Row],[Price USD]]&lt;20,"Budget",IF(Table13[[#This Row],[Price USD]]&lt;=50,"Mid-range","Premium"))</f>
        <v>Mid-range</v>
      </c>
      <c r="O1258">
        <v>0</v>
      </c>
      <c r="P1258">
        <v>0</v>
      </c>
    </row>
    <row r="1259" spans="1:16" x14ac:dyDescent="0.25">
      <c r="A1259" t="s">
        <v>4572</v>
      </c>
      <c r="B1259" t="s">
        <v>4573</v>
      </c>
      <c r="C1259">
        <v>7091</v>
      </c>
      <c r="D1259" t="s">
        <v>879</v>
      </c>
      <c r="E1259" t="s">
        <v>49</v>
      </c>
      <c r="F1259">
        <v>1237</v>
      </c>
      <c r="G12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59">
        <v>3.5</v>
      </c>
      <c r="J1259" t="str">
        <f>IF(ISBLANK(Table13[[#This Row],[Rating]]), "No", "Yes")</f>
        <v>Yes</v>
      </c>
      <c r="K1259" t="str">
        <f>IF(ISBLANK(Table13[[#This Row],[Rating]]), "Not Rated", IF(Table13[[#This Row],[Rating]] &lt; 3, "Low", IF(Table13[[#This Row],[Rating]] &lt; 4, "Medium", "High")))</f>
        <v>Medium</v>
      </c>
      <c r="L1259">
        <v>6</v>
      </c>
      <c r="M1259">
        <v>36</v>
      </c>
      <c r="N1259" t="str">
        <f>IF(Table13[[#This Row],[Price USD]]&lt;20,"Budget",IF(Table13[[#This Row],[Price USD]]&lt;=50,"Mid-range","Premium"))</f>
        <v>Mid-range</v>
      </c>
      <c r="O1259">
        <v>0</v>
      </c>
      <c r="P1259">
        <v>0</v>
      </c>
    </row>
    <row r="1260" spans="1:16" x14ac:dyDescent="0.25">
      <c r="A1260" t="s">
        <v>4574</v>
      </c>
      <c r="B1260" t="s">
        <v>4575</v>
      </c>
      <c r="C1260">
        <v>1254</v>
      </c>
      <c r="D1260" t="s">
        <v>136</v>
      </c>
      <c r="E1260" t="s">
        <v>21</v>
      </c>
      <c r="F1260">
        <v>1237</v>
      </c>
      <c r="G12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0">
        <v>4.1779999999999999</v>
      </c>
      <c r="J1260" t="str">
        <f>IF(ISBLANK(Table13[[#This Row],[Rating]]), "No", "Yes")</f>
        <v>Yes</v>
      </c>
      <c r="K1260" t="str">
        <f>IF(ISBLANK(Table13[[#This Row],[Rating]]), "Not Rated", IF(Table13[[#This Row],[Rating]] &lt; 3, "Low", IF(Table13[[#This Row],[Rating]] &lt; 4, "Medium", "High")))</f>
        <v>High</v>
      </c>
      <c r="L1260">
        <v>1899</v>
      </c>
      <c r="M1260">
        <v>68</v>
      </c>
      <c r="N1260" t="str">
        <f>IF(Table13[[#This Row],[Price USD]]&lt;20,"Budget",IF(Table13[[#This Row],[Price USD]]&lt;=50,"Mid-range","Premium"))</f>
        <v>Premium</v>
      </c>
      <c r="O1260">
        <v>0</v>
      </c>
      <c r="P1260">
        <v>0</v>
      </c>
    </row>
    <row r="1261" spans="1:16" x14ac:dyDescent="0.25">
      <c r="A1261" t="s">
        <v>4570</v>
      </c>
      <c r="B1261" t="s">
        <v>4571</v>
      </c>
      <c r="C1261">
        <v>5946</v>
      </c>
      <c r="D1261" t="s">
        <v>341</v>
      </c>
      <c r="E1261" t="s">
        <v>220</v>
      </c>
      <c r="F1261">
        <v>1243</v>
      </c>
      <c r="G12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1">
        <v>5</v>
      </c>
      <c r="J1261" t="str">
        <f>IF(ISBLANK(Table13[[#This Row],[Rating]]), "No", "Yes")</f>
        <v>Yes</v>
      </c>
      <c r="K1261" t="str">
        <f>IF(ISBLANK(Table13[[#This Row],[Rating]]), "Not Rated", IF(Table13[[#This Row],[Rating]] &lt; 3, "Low", IF(Table13[[#This Row],[Rating]] &lt; 4, "Medium", "High")))</f>
        <v>High</v>
      </c>
      <c r="L1261">
        <v>1</v>
      </c>
      <c r="M1261">
        <v>115</v>
      </c>
      <c r="N1261" t="str">
        <f>IF(Table13[[#This Row],[Price USD]]&lt;20,"Budget",IF(Table13[[#This Row],[Price USD]]&lt;=50,"Mid-range","Premium"))</f>
        <v>Premium</v>
      </c>
      <c r="O1261">
        <v>0</v>
      </c>
      <c r="P1261">
        <v>0</v>
      </c>
    </row>
    <row r="1262" spans="1:16" x14ac:dyDescent="0.25">
      <c r="A1262" t="s">
        <v>4568</v>
      </c>
      <c r="B1262" t="s">
        <v>4569</v>
      </c>
      <c r="C1262">
        <v>6089</v>
      </c>
      <c r="D1262" t="s">
        <v>605</v>
      </c>
      <c r="E1262" t="s">
        <v>21</v>
      </c>
      <c r="F1262">
        <v>1255</v>
      </c>
      <c r="G12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2">
        <v>3.75</v>
      </c>
      <c r="J1262" t="str">
        <f>IF(ISBLANK(Table13[[#This Row],[Rating]]), "No", "Yes")</f>
        <v>Yes</v>
      </c>
      <c r="K1262" t="str">
        <f>IF(ISBLANK(Table13[[#This Row],[Rating]]), "Not Rated", IF(Table13[[#This Row],[Rating]] &lt; 3, "Low", IF(Table13[[#This Row],[Rating]] &lt; 4, "Medium", "High")))</f>
        <v>Medium</v>
      </c>
      <c r="L1262">
        <v>4</v>
      </c>
      <c r="M1262">
        <v>102</v>
      </c>
      <c r="N1262" t="str">
        <f>IF(Table13[[#This Row],[Price USD]]&lt;20,"Budget",IF(Table13[[#This Row],[Price USD]]&lt;=50,"Mid-range","Premium"))</f>
        <v>Premium</v>
      </c>
      <c r="O1262">
        <v>0</v>
      </c>
      <c r="P1262">
        <v>0</v>
      </c>
    </row>
    <row r="1263" spans="1:16" x14ac:dyDescent="0.25">
      <c r="A1263" t="s">
        <v>4566</v>
      </c>
      <c r="B1263" t="s">
        <v>4567</v>
      </c>
      <c r="C1263">
        <v>6373</v>
      </c>
      <c r="D1263" t="s">
        <v>1652</v>
      </c>
      <c r="E1263" t="s">
        <v>8</v>
      </c>
      <c r="F1263">
        <v>1258</v>
      </c>
      <c r="G12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3">
        <v>4.1578999999999997</v>
      </c>
      <c r="J1263" t="str">
        <f>IF(ISBLANK(Table13[[#This Row],[Rating]]), "No", "Yes")</f>
        <v>Yes</v>
      </c>
      <c r="K1263" t="str">
        <f>IF(ISBLANK(Table13[[#This Row],[Rating]]), "Not Rated", IF(Table13[[#This Row],[Rating]] &lt; 3, "Low", IF(Table13[[#This Row],[Rating]] &lt; 4, "Medium", "High")))</f>
        <v>High</v>
      </c>
      <c r="L1263">
        <v>38</v>
      </c>
      <c r="M1263">
        <v>84</v>
      </c>
      <c r="N1263" t="str">
        <f>IF(Table13[[#This Row],[Price USD]]&lt;20,"Budget",IF(Table13[[#This Row],[Price USD]]&lt;=50,"Mid-range","Premium"))</f>
        <v>Premium</v>
      </c>
      <c r="O1263">
        <v>0</v>
      </c>
      <c r="P1263">
        <v>0</v>
      </c>
    </row>
    <row r="1264" spans="1:16" x14ac:dyDescent="0.25">
      <c r="A1264" t="s">
        <v>4564</v>
      </c>
      <c r="B1264" t="s">
        <v>4565</v>
      </c>
      <c r="C1264">
        <v>5857</v>
      </c>
      <c r="D1264" t="s">
        <v>433</v>
      </c>
      <c r="E1264" t="s">
        <v>13</v>
      </c>
      <c r="F1264">
        <v>1293</v>
      </c>
      <c r="G12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4">
        <v>4.3600000000000003</v>
      </c>
      <c r="J1264" t="str">
        <f>IF(ISBLANK(Table13[[#This Row],[Rating]]), "No", "Yes")</f>
        <v>Yes</v>
      </c>
      <c r="K1264" t="str">
        <f>IF(ISBLANK(Table13[[#This Row],[Rating]]), "Not Rated", IF(Table13[[#This Row],[Rating]] &lt; 3, "Low", IF(Table13[[#This Row],[Rating]] &lt; 4, "Medium", "High")))</f>
        <v>High</v>
      </c>
      <c r="L1264">
        <v>125</v>
      </c>
      <c r="M1264">
        <v>38</v>
      </c>
      <c r="N1264" t="str">
        <f>IF(Table13[[#This Row],[Price USD]]&lt;20,"Budget",IF(Table13[[#This Row],[Price USD]]&lt;=50,"Mid-range","Premium"))</f>
        <v>Mid-range</v>
      </c>
      <c r="O1264">
        <v>0</v>
      </c>
      <c r="P1264">
        <v>0</v>
      </c>
    </row>
    <row r="1265" spans="1:16" x14ac:dyDescent="0.25">
      <c r="A1265" t="s">
        <v>4562</v>
      </c>
      <c r="B1265" t="s">
        <v>4563</v>
      </c>
      <c r="C1265">
        <v>1073</v>
      </c>
      <c r="D1265" t="s">
        <v>767</v>
      </c>
      <c r="E1265" t="s">
        <v>13</v>
      </c>
      <c r="F1265">
        <v>1294</v>
      </c>
      <c r="G12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5">
        <v>5</v>
      </c>
      <c r="J1265" t="str">
        <f>IF(ISBLANK(Table13[[#This Row],[Rating]]), "No", "Yes")</f>
        <v>Yes</v>
      </c>
      <c r="K1265" t="str">
        <f>IF(ISBLANK(Table13[[#This Row],[Rating]]), "Not Rated", IF(Table13[[#This Row],[Rating]] &lt; 3, "Low", IF(Table13[[#This Row],[Rating]] &lt; 4, "Medium", "High")))</f>
        <v>High</v>
      </c>
      <c r="L1265">
        <v>1</v>
      </c>
      <c r="M1265">
        <v>35</v>
      </c>
      <c r="N1265" t="str">
        <f>IF(Table13[[#This Row],[Price USD]]&lt;20,"Budget",IF(Table13[[#This Row],[Price USD]]&lt;=50,"Mid-range","Premium"))</f>
        <v>Mid-range</v>
      </c>
      <c r="O1265">
        <v>1</v>
      </c>
      <c r="P1265">
        <v>0</v>
      </c>
    </row>
    <row r="1266" spans="1:16" x14ac:dyDescent="0.25">
      <c r="A1266" t="s">
        <v>4560</v>
      </c>
      <c r="B1266" t="s">
        <v>4561</v>
      </c>
      <c r="C1266">
        <v>6349</v>
      </c>
      <c r="D1266" t="s">
        <v>2031</v>
      </c>
      <c r="E1266" t="s">
        <v>21</v>
      </c>
      <c r="F1266">
        <v>1300</v>
      </c>
      <c r="G12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6">
        <v>4.5</v>
      </c>
      <c r="J1266" t="str">
        <f>IF(ISBLANK(Table13[[#This Row],[Rating]]), "No", "Yes")</f>
        <v>Yes</v>
      </c>
      <c r="K1266" t="str">
        <f>IF(ISBLANK(Table13[[#This Row],[Rating]]), "Not Rated", IF(Table13[[#This Row],[Rating]] &lt; 3, "Low", IF(Table13[[#This Row],[Rating]] &lt; 4, "Medium", "High")))</f>
        <v>High</v>
      </c>
      <c r="L1266">
        <v>40</v>
      </c>
      <c r="M1266">
        <v>48</v>
      </c>
      <c r="N1266" t="str">
        <f>IF(Table13[[#This Row],[Price USD]]&lt;20,"Budget",IF(Table13[[#This Row],[Price USD]]&lt;=50,"Mid-range","Premium"))</f>
        <v>Mid-range</v>
      </c>
      <c r="O1266">
        <v>0</v>
      </c>
      <c r="P1266">
        <v>0</v>
      </c>
    </row>
    <row r="1267" spans="1:16" x14ac:dyDescent="0.25">
      <c r="A1267" t="s">
        <v>4558</v>
      </c>
      <c r="B1267" t="s">
        <v>4559</v>
      </c>
      <c r="C1267">
        <v>6743</v>
      </c>
      <c r="D1267" t="s">
        <v>3942</v>
      </c>
      <c r="E1267" t="s">
        <v>13</v>
      </c>
      <c r="F1267">
        <v>1308</v>
      </c>
      <c r="G12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7">
        <v>3.4032</v>
      </c>
      <c r="J1267" t="str">
        <f>IF(ISBLANK(Table13[[#This Row],[Rating]]), "No", "Yes")</f>
        <v>Yes</v>
      </c>
      <c r="K1267" t="str">
        <f>IF(ISBLANK(Table13[[#This Row],[Rating]]), "Not Rated", IF(Table13[[#This Row],[Rating]] &lt; 3, "Low", IF(Table13[[#This Row],[Rating]] &lt; 4, "Medium", "High")))</f>
        <v>Medium</v>
      </c>
      <c r="L1267">
        <v>248</v>
      </c>
      <c r="M1267">
        <v>16</v>
      </c>
      <c r="N1267" t="str">
        <f>IF(Table13[[#This Row],[Price USD]]&lt;20,"Budget",IF(Table13[[#This Row],[Price USD]]&lt;=50,"Mid-range","Premium"))</f>
        <v>Budget</v>
      </c>
      <c r="O1267">
        <v>0</v>
      </c>
      <c r="P1267">
        <v>0</v>
      </c>
    </row>
    <row r="1268" spans="1:16" x14ac:dyDescent="0.25">
      <c r="A1268" t="s">
        <v>4556</v>
      </c>
      <c r="B1268" t="s">
        <v>4557</v>
      </c>
      <c r="C1268">
        <v>5946</v>
      </c>
      <c r="D1268" t="s">
        <v>341</v>
      </c>
      <c r="E1268" t="s">
        <v>220</v>
      </c>
      <c r="F1268">
        <v>1311</v>
      </c>
      <c r="G12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8">
        <v>4</v>
      </c>
      <c r="J1268" t="str">
        <f>IF(ISBLANK(Table13[[#This Row],[Rating]]), "No", "Yes")</f>
        <v>Yes</v>
      </c>
      <c r="K1268" t="str">
        <f>IF(ISBLANK(Table13[[#This Row],[Rating]]), "Not Rated", IF(Table13[[#This Row],[Rating]] &lt; 3, "Low", IF(Table13[[#This Row],[Rating]] &lt; 4, "Medium", "High")))</f>
        <v>High</v>
      </c>
      <c r="L1268">
        <v>4</v>
      </c>
      <c r="M1268">
        <v>49</v>
      </c>
      <c r="N1268" t="str">
        <f>IF(Table13[[#This Row],[Price USD]]&lt;20,"Budget",IF(Table13[[#This Row],[Price USD]]&lt;=50,"Mid-range","Premium"))</f>
        <v>Mid-range</v>
      </c>
      <c r="O1268">
        <v>0</v>
      </c>
      <c r="P1268">
        <v>0</v>
      </c>
    </row>
    <row r="1269" spans="1:16" x14ac:dyDescent="0.25">
      <c r="A1269" t="s">
        <v>4554</v>
      </c>
      <c r="B1269" t="s">
        <v>4555</v>
      </c>
      <c r="C1269">
        <v>6001</v>
      </c>
      <c r="D1269" t="s">
        <v>1836</v>
      </c>
      <c r="E1269" t="s">
        <v>347</v>
      </c>
      <c r="F1269">
        <v>1312</v>
      </c>
      <c r="G12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69">
        <v>1</v>
      </c>
      <c r="J1269" t="str">
        <f>IF(ISBLANK(Table13[[#This Row],[Rating]]), "No", "Yes")</f>
        <v>Yes</v>
      </c>
      <c r="K1269" t="str">
        <f>IF(ISBLANK(Table13[[#This Row],[Rating]]), "Not Rated", IF(Table13[[#This Row],[Rating]] &lt; 3, "Low", IF(Table13[[#This Row],[Rating]] &lt; 4, "Medium", "High")))</f>
        <v>Low</v>
      </c>
      <c r="L1269">
        <v>2</v>
      </c>
      <c r="M1269">
        <v>399</v>
      </c>
      <c r="N1269" t="str">
        <f>IF(Table13[[#This Row],[Price USD]]&lt;20,"Budget",IF(Table13[[#This Row],[Price USD]]&lt;=50,"Mid-range","Premium"))</f>
        <v>Premium</v>
      </c>
      <c r="O1269">
        <v>0</v>
      </c>
      <c r="P1269">
        <v>0</v>
      </c>
    </row>
    <row r="1270" spans="1:16" x14ac:dyDescent="0.25">
      <c r="A1270" t="s">
        <v>4552</v>
      </c>
      <c r="B1270" t="s">
        <v>4553</v>
      </c>
      <c r="C1270">
        <v>6218</v>
      </c>
      <c r="D1270" t="s">
        <v>116</v>
      </c>
      <c r="E1270" t="s">
        <v>220</v>
      </c>
      <c r="F1270">
        <v>1314</v>
      </c>
      <c r="G12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0">
        <v>5</v>
      </c>
      <c r="J1270" t="str">
        <f>IF(ISBLANK(Table13[[#This Row],[Rating]]), "No", "Yes")</f>
        <v>Yes</v>
      </c>
      <c r="K1270" t="str">
        <f>IF(ISBLANK(Table13[[#This Row],[Rating]]), "Not Rated", IF(Table13[[#This Row],[Rating]] &lt; 3, "Low", IF(Table13[[#This Row],[Rating]] &lt; 4, "Medium", "High")))</f>
        <v>High</v>
      </c>
      <c r="L1270">
        <v>1</v>
      </c>
      <c r="M1270">
        <v>30</v>
      </c>
      <c r="N1270" t="str">
        <f>IF(Table13[[#This Row],[Price USD]]&lt;20,"Budget",IF(Table13[[#This Row],[Price USD]]&lt;=50,"Mid-range","Premium"))</f>
        <v>Mid-range</v>
      </c>
      <c r="O1270">
        <v>1</v>
      </c>
      <c r="P1270">
        <v>0</v>
      </c>
    </row>
    <row r="1271" spans="1:16" x14ac:dyDescent="0.25">
      <c r="A1271" t="s">
        <v>4550</v>
      </c>
      <c r="B1271" t="s">
        <v>4551</v>
      </c>
      <c r="C1271">
        <v>6358</v>
      </c>
      <c r="D1271" t="s">
        <v>2301</v>
      </c>
      <c r="E1271" t="s">
        <v>149</v>
      </c>
      <c r="F1271">
        <v>1322</v>
      </c>
      <c r="G12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1">
        <v>4.55</v>
      </c>
      <c r="J1271" t="str">
        <f>IF(ISBLANK(Table13[[#This Row],[Rating]]), "No", "Yes")</f>
        <v>Yes</v>
      </c>
      <c r="K1271" t="str">
        <f>IF(ISBLANK(Table13[[#This Row],[Rating]]), "Not Rated", IF(Table13[[#This Row],[Rating]] &lt; 3, "Low", IF(Table13[[#This Row],[Rating]] &lt; 4, "Medium", "High")))</f>
        <v>High</v>
      </c>
      <c r="L1271">
        <v>40</v>
      </c>
      <c r="M1271">
        <v>65</v>
      </c>
      <c r="N1271" t="str">
        <f>IF(Table13[[#This Row],[Price USD]]&lt;20,"Budget",IF(Table13[[#This Row],[Price USD]]&lt;=50,"Mid-range","Premium"))</f>
        <v>Premium</v>
      </c>
      <c r="O1271">
        <v>0</v>
      </c>
      <c r="P1271">
        <v>0</v>
      </c>
    </row>
    <row r="1272" spans="1:16" x14ac:dyDescent="0.25">
      <c r="A1272" t="s">
        <v>4548</v>
      </c>
      <c r="B1272" t="s">
        <v>4549</v>
      </c>
      <c r="C1272">
        <v>6749</v>
      </c>
      <c r="D1272" t="s">
        <v>3173</v>
      </c>
      <c r="E1272" t="s">
        <v>8</v>
      </c>
      <c r="F1272">
        <v>1323</v>
      </c>
      <c r="G12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2">
        <v>4.5713999999999997</v>
      </c>
      <c r="J1272" t="str">
        <f>IF(ISBLANK(Table13[[#This Row],[Rating]]), "No", "Yes")</f>
        <v>Yes</v>
      </c>
      <c r="K1272" t="str">
        <f>IF(ISBLANK(Table13[[#This Row],[Rating]]), "Not Rated", IF(Table13[[#This Row],[Rating]] &lt; 3, "Low", IF(Table13[[#This Row],[Rating]] &lt; 4, "Medium", "High")))</f>
        <v>High</v>
      </c>
      <c r="L1272">
        <v>28</v>
      </c>
      <c r="M1272">
        <v>52</v>
      </c>
      <c r="N1272" t="str">
        <f>IF(Table13[[#This Row],[Price USD]]&lt;20,"Budget",IF(Table13[[#This Row],[Price USD]]&lt;=50,"Mid-range","Premium"))</f>
        <v>Premium</v>
      </c>
      <c r="O1272">
        <v>1</v>
      </c>
      <c r="P1272">
        <v>0</v>
      </c>
    </row>
    <row r="1273" spans="1:16" x14ac:dyDescent="0.25">
      <c r="A1273" t="s">
        <v>4546</v>
      </c>
      <c r="B1273" t="s">
        <v>4547</v>
      </c>
      <c r="C1273">
        <v>6373</v>
      </c>
      <c r="D1273" t="s">
        <v>1652</v>
      </c>
      <c r="E1273" t="s">
        <v>8</v>
      </c>
      <c r="F1273">
        <v>1327</v>
      </c>
      <c r="G12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3">
        <v>4.2182000000000004</v>
      </c>
      <c r="J1273" t="str">
        <f>IF(ISBLANK(Table13[[#This Row],[Rating]]), "No", "Yes")</f>
        <v>Yes</v>
      </c>
      <c r="K1273" t="str">
        <f>IF(ISBLANK(Table13[[#This Row],[Rating]]), "Not Rated", IF(Table13[[#This Row],[Rating]] &lt; 3, "Low", IF(Table13[[#This Row],[Rating]] &lt; 4, "Medium", "High")))</f>
        <v>High</v>
      </c>
      <c r="L1273">
        <v>55</v>
      </c>
      <c r="M1273">
        <v>68</v>
      </c>
      <c r="N1273" t="str">
        <f>IF(Table13[[#This Row],[Price USD]]&lt;20,"Budget",IF(Table13[[#This Row],[Price USD]]&lt;=50,"Mid-range","Premium"))</f>
        <v>Premium</v>
      </c>
      <c r="O1273">
        <v>0</v>
      </c>
      <c r="P1273">
        <v>0</v>
      </c>
    </row>
    <row r="1274" spans="1:16" x14ac:dyDescent="0.25">
      <c r="A1274" t="s">
        <v>4544</v>
      </c>
      <c r="B1274" t="s">
        <v>4545</v>
      </c>
      <c r="C1274">
        <v>6749</v>
      </c>
      <c r="D1274" t="s">
        <v>3173</v>
      </c>
      <c r="E1274" t="s">
        <v>21</v>
      </c>
      <c r="F1274">
        <v>1333</v>
      </c>
      <c r="G12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4">
        <v>4.9009</v>
      </c>
      <c r="J1274" t="str">
        <f>IF(ISBLANK(Table13[[#This Row],[Rating]]), "No", "Yes")</f>
        <v>Yes</v>
      </c>
      <c r="K1274" t="str">
        <f>IF(ISBLANK(Table13[[#This Row],[Rating]]), "Not Rated", IF(Table13[[#This Row],[Rating]] &lt; 3, "Low", IF(Table13[[#This Row],[Rating]] &lt; 4, "Medium", "High")))</f>
        <v>High</v>
      </c>
      <c r="L1274">
        <v>111</v>
      </c>
      <c r="M1274">
        <v>40</v>
      </c>
      <c r="N1274" t="str">
        <f>IF(Table13[[#This Row],[Price USD]]&lt;20,"Budget",IF(Table13[[#This Row],[Price USD]]&lt;=50,"Mid-range","Premium"))</f>
        <v>Mid-range</v>
      </c>
      <c r="O1274">
        <v>1</v>
      </c>
      <c r="P1274">
        <v>0</v>
      </c>
    </row>
    <row r="1275" spans="1:16" x14ac:dyDescent="0.25">
      <c r="A1275" t="s">
        <v>4542</v>
      </c>
      <c r="B1275" t="s">
        <v>4543</v>
      </c>
      <c r="C1275">
        <v>6272</v>
      </c>
      <c r="D1275" t="s">
        <v>1711</v>
      </c>
      <c r="E1275" t="s">
        <v>220</v>
      </c>
      <c r="F1275">
        <v>1349</v>
      </c>
      <c r="G12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5">
        <v>3.5</v>
      </c>
      <c r="J1275" t="str">
        <f>IF(ISBLANK(Table13[[#This Row],[Rating]]), "No", "Yes")</f>
        <v>Yes</v>
      </c>
      <c r="K1275" t="str">
        <f>IF(ISBLANK(Table13[[#This Row],[Rating]]), "Not Rated", IF(Table13[[#This Row],[Rating]] &lt; 3, "Low", IF(Table13[[#This Row],[Rating]] &lt; 4, "Medium", "High")))</f>
        <v>Medium</v>
      </c>
      <c r="L1275">
        <v>2</v>
      </c>
      <c r="M1275">
        <v>249</v>
      </c>
      <c r="N1275" t="str">
        <f>IF(Table13[[#This Row],[Price USD]]&lt;20,"Budget",IF(Table13[[#This Row],[Price USD]]&lt;=50,"Mid-range","Premium"))</f>
        <v>Premium</v>
      </c>
      <c r="O1275">
        <v>0</v>
      </c>
      <c r="P1275">
        <v>0</v>
      </c>
    </row>
    <row r="1276" spans="1:16" x14ac:dyDescent="0.25">
      <c r="A1276" t="s">
        <v>4540</v>
      </c>
      <c r="B1276" t="s">
        <v>4541</v>
      </c>
      <c r="C1276">
        <v>6136</v>
      </c>
      <c r="D1276" t="s">
        <v>708</v>
      </c>
      <c r="E1276" t="s">
        <v>347</v>
      </c>
      <c r="F1276">
        <v>1352</v>
      </c>
      <c r="G12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276" t="str">
        <f>IF(ISBLANK(Table13[[#This Row],[Rating]]), "No", "Yes")</f>
        <v>No</v>
      </c>
      <c r="K1276" t="str">
        <f>IF(ISBLANK(Table13[[#This Row],[Rating]]), "Not Rated", IF(Table13[[#This Row],[Rating]] &lt; 3, "Low", IF(Table13[[#This Row],[Rating]] &lt; 4, "Medium", "High")))</f>
        <v>Not Rated</v>
      </c>
      <c r="L1276">
        <v>0</v>
      </c>
      <c r="M1276">
        <v>29</v>
      </c>
      <c r="N1276" t="str">
        <f>IF(Table13[[#This Row],[Price USD]]&lt;20,"Budget",IF(Table13[[#This Row],[Price USD]]&lt;=50,"Mid-range","Premium"))</f>
        <v>Mid-range</v>
      </c>
      <c r="O1276">
        <v>0</v>
      </c>
      <c r="P1276">
        <v>0</v>
      </c>
    </row>
    <row r="1277" spans="1:16" x14ac:dyDescent="0.25">
      <c r="A1277" t="s">
        <v>4538</v>
      </c>
      <c r="B1277" t="s">
        <v>4539</v>
      </c>
      <c r="C1277">
        <v>6371</v>
      </c>
      <c r="D1277" t="s">
        <v>2583</v>
      </c>
      <c r="E1277" t="s">
        <v>13</v>
      </c>
      <c r="F1277">
        <v>1360</v>
      </c>
      <c r="G12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7">
        <v>4.4249000000000001</v>
      </c>
      <c r="J1277" t="str">
        <f>IF(ISBLANK(Table13[[#This Row],[Rating]]), "No", "Yes")</f>
        <v>Yes</v>
      </c>
      <c r="K1277" t="str">
        <f>IF(ISBLANK(Table13[[#This Row],[Rating]]), "Not Rated", IF(Table13[[#This Row],[Rating]] &lt; 3, "Low", IF(Table13[[#This Row],[Rating]] &lt; 4, "Medium", "High")))</f>
        <v>High</v>
      </c>
      <c r="L1277">
        <v>506</v>
      </c>
      <c r="M1277">
        <v>28</v>
      </c>
      <c r="N1277" t="str">
        <f>IF(Table13[[#This Row],[Price USD]]&lt;20,"Budget",IF(Table13[[#This Row],[Price USD]]&lt;=50,"Mid-range","Premium"))</f>
        <v>Mid-range</v>
      </c>
      <c r="O1277">
        <v>0</v>
      </c>
      <c r="P1277">
        <v>0</v>
      </c>
    </row>
    <row r="1278" spans="1:16" x14ac:dyDescent="0.25">
      <c r="A1278" t="s">
        <v>4536</v>
      </c>
      <c r="B1278" t="s">
        <v>4537</v>
      </c>
      <c r="C1278">
        <v>6334</v>
      </c>
      <c r="D1278" t="s">
        <v>2819</v>
      </c>
      <c r="E1278" t="s">
        <v>149</v>
      </c>
      <c r="F1278">
        <v>1366</v>
      </c>
      <c r="G12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8">
        <v>3.8812000000000002</v>
      </c>
      <c r="J1278" t="str">
        <f>IF(ISBLANK(Table13[[#This Row],[Rating]]), "No", "Yes")</f>
        <v>Yes</v>
      </c>
      <c r="K1278" t="str">
        <f>IF(ISBLANK(Table13[[#This Row],[Rating]]), "Not Rated", IF(Table13[[#This Row],[Rating]] &lt; 3, "Low", IF(Table13[[#This Row],[Rating]] &lt; 4, "Medium", "High")))</f>
        <v>Medium</v>
      </c>
      <c r="L1278">
        <v>101</v>
      </c>
      <c r="M1278">
        <v>64</v>
      </c>
      <c r="N1278" t="str">
        <f>IF(Table13[[#This Row],[Price USD]]&lt;20,"Budget",IF(Table13[[#This Row],[Price USD]]&lt;=50,"Mid-range","Premium"))</f>
        <v>Premium</v>
      </c>
      <c r="O1278">
        <v>0</v>
      </c>
      <c r="P1278">
        <v>0</v>
      </c>
    </row>
    <row r="1279" spans="1:16" x14ac:dyDescent="0.25">
      <c r="A1279" t="s">
        <v>4534</v>
      </c>
      <c r="B1279" t="s">
        <v>4535</v>
      </c>
      <c r="C1279">
        <v>7050</v>
      </c>
      <c r="D1279" t="s">
        <v>721</v>
      </c>
      <c r="E1279" t="s">
        <v>201</v>
      </c>
      <c r="F1279">
        <v>1375</v>
      </c>
      <c r="G12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79">
        <v>4.2643000000000004</v>
      </c>
      <c r="J1279" t="str">
        <f>IF(ISBLANK(Table13[[#This Row],[Rating]]), "No", "Yes")</f>
        <v>Yes</v>
      </c>
      <c r="K1279" t="str">
        <f>IF(ISBLANK(Table13[[#This Row],[Rating]]), "Not Rated", IF(Table13[[#This Row],[Rating]] &lt; 3, "Low", IF(Table13[[#This Row],[Rating]] &lt; 4, "Medium", "High")))</f>
        <v>High</v>
      </c>
      <c r="L1279">
        <v>401</v>
      </c>
      <c r="M1279">
        <v>15</v>
      </c>
      <c r="N1279" t="str">
        <f>IF(Table13[[#This Row],[Price USD]]&lt;20,"Budget",IF(Table13[[#This Row],[Price USD]]&lt;=50,"Mid-range","Premium"))</f>
        <v>Budget</v>
      </c>
      <c r="O1279">
        <v>0</v>
      </c>
      <c r="P1279">
        <v>0</v>
      </c>
    </row>
    <row r="1280" spans="1:16" x14ac:dyDescent="0.25">
      <c r="A1280" t="s">
        <v>4532</v>
      </c>
      <c r="B1280" t="s">
        <v>4533</v>
      </c>
      <c r="C1280">
        <v>6750</v>
      </c>
      <c r="D1280" t="s">
        <v>4351</v>
      </c>
      <c r="E1280" t="s">
        <v>21</v>
      </c>
      <c r="F1280">
        <v>1375</v>
      </c>
      <c r="G12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0">
        <v>3.8</v>
      </c>
      <c r="J1280" t="str">
        <f>IF(ISBLANK(Table13[[#This Row],[Rating]]), "No", "Yes")</f>
        <v>Yes</v>
      </c>
      <c r="K1280" t="str">
        <f>IF(ISBLANK(Table13[[#This Row],[Rating]]), "Not Rated", IF(Table13[[#This Row],[Rating]] &lt; 3, "Low", IF(Table13[[#This Row],[Rating]] &lt; 4, "Medium", "High")))</f>
        <v>Medium</v>
      </c>
      <c r="L1280">
        <v>10</v>
      </c>
      <c r="M1280">
        <v>58</v>
      </c>
      <c r="N1280" t="str">
        <f>IF(Table13[[#This Row],[Price USD]]&lt;20,"Budget",IF(Table13[[#This Row],[Price USD]]&lt;=50,"Mid-range","Premium"))</f>
        <v>Premium</v>
      </c>
      <c r="O1280">
        <v>1</v>
      </c>
      <c r="P1280">
        <v>0</v>
      </c>
    </row>
    <row r="1281" spans="1:16" x14ac:dyDescent="0.25">
      <c r="A1281" t="s">
        <v>4530</v>
      </c>
      <c r="B1281" t="s">
        <v>4531</v>
      </c>
      <c r="C1281">
        <v>6356</v>
      </c>
      <c r="D1281" t="s">
        <v>1885</v>
      </c>
      <c r="E1281" t="s">
        <v>21</v>
      </c>
      <c r="F1281">
        <v>1389</v>
      </c>
      <c r="G12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1">
        <v>4.3196000000000003</v>
      </c>
      <c r="J1281" t="str">
        <f>IF(ISBLANK(Table13[[#This Row],[Rating]]), "No", "Yes")</f>
        <v>Yes</v>
      </c>
      <c r="K1281" t="str">
        <f>IF(ISBLANK(Table13[[#This Row],[Rating]]), "Not Rated", IF(Table13[[#This Row],[Rating]] &lt; 3, "Low", IF(Table13[[#This Row],[Rating]] &lt; 4, "Medium", "High")))</f>
        <v>High</v>
      </c>
      <c r="L1281">
        <v>194</v>
      </c>
      <c r="M1281">
        <v>180</v>
      </c>
      <c r="N1281" t="str">
        <f>IF(Table13[[#This Row],[Price USD]]&lt;20,"Budget",IF(Table13[[#This Row],[Price USD]]&lt;=50,"Mid-range","Premium"))</f>
        <v>Premium</v>
      </c>
      <c r="O1281">
        <v>0</v>
      </c>
      <c r="P1281">
        <v>0</v>
      </c>
    </row>
    <row r="1282" spans="1:16" x14ac:dyDescent="0.25">
      <c r="A1282" t="s">
        <v>4528</v>
      </c>
      <c r="B1282" t="s">
        <v>4529</v>
      </c>
      <c r="C1282">
        <v>7020</v>
      </c>
      <c r="D1282" t="s">
        <v>657</v>
      </c>
      <c r="E1282" t="s">
        <v>220</v>
      </c>
      <c r="F1282">
        <v>1395</v>
      </c>
      <c r="G12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2">
        <v>4</v>
      </c>
      <c r="J1282" t="str">
        <f>IF(ISBLANK(Table13[[#This Row],[Rating]]), "No", "Yes")</f>
        <v>Yes</v>
      </c>
      <c r="K1282" t="str">
        <f>IF(ISBLANK(Table13[[#This Row],[Rating]]), "Not Rated", IF(Table13[[#This Row],[Rating]] &lt; 3, "Low", IF(Table13[[#This Row],[Rating]] &lt; 4, "Medium", "High")))</f>
        <v>High</v>
      </c>
      <c r="L1282">
        <v>3</v>
      </c>
      <c r="M1282">
        <v>75</v>
      </c>
      <c r="N1282" t="str">
        <f>IF(Table13[[#This Row],[Price USD]]&lt;20,"Budget",IF(Table13[[#This Row],[Price USD]]&lt;=50,"Mid-range","Premium"))</f>
        <v>Premium</v>
      </c>
      <c r="O1282">
        <v>0</v>
      </c>
      <c r="P1282">
        <v>0</v>
      </c>
    </row>
    <row r="1283" spans="1:16" x14ac:dyDescent="0.25">
      <c r="A1283" t="s">
        <v>4526</v>
      </c>
      <c r="B1283" t="s">
        <v>4527</v>
      </c>
      <c r="C1283">
        <v>5626</v>
      </c>
      <c r="D1283" t="s">
        <v>1069</v>
      </c>
      <c r="E1283" t="s">
        <v>106</v>
      </c>
      <c r="F1283">
        <v>1397</v>
      </c>
      <c r="G12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3">
        <v>2.75</v>
      </c>
      <c r="J1283" t="str">
        <f>IF(ISBLANK(Table13[[#This Row],[Rating]]), "No", "Yes")</f>
        <v>Yes</v>
      </c>
      <c r="K1283" t="str">
        <f>IF(ISBLANK(Table13[[#This Row],[Rating]]), "Not Rated", IF(Table13[[#This Row],[Rating]] &lt; 3, "Low", IF(Table13[[#This Row],[Rating]] &lt; 4, "Medium", "High")))</f>
        <v>Low</v>
      </c>
      <c r="L1283">
        <v>16</v>
      </c>
      <c r="M1283">
        <v>29</v>
      </c>
      <c r="N1283" t="str">
        <f>IF(Table13[[#This Row],[Price USD]]&lt;20,"Budget",IF(Table13[[#This Row],[Price USD]]&lt;=50,"Mid-range","Premium"))</f>
        <v>Mid-range</v>
      </c>
      <c r="O1283">
        <v>0</v>
      </c>
      <c r="P1283">
        <v>0</v>
      </c>
    </row>
    <row r="1284" spans="1:16" x14ac:dyDescent="0.25">
      <c r="A1284" t="s">
        <v>4524</v>
      </c>
      <c r="B1284" t="s">
        <v>4525</v>
      </c>
      <c r="C1284">
        <v>6371</v>
      </c>
      <c r="D1284" t="s">
        <v>2583</v>
      </c>
      <c r="E1284" t="s">
        <v>8</v>
      </c>
      <c r="F1284">
        <v>1403</v>
      </c>
      <c r="G12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4">
        <v>4.4206000000000003</v>
      </c>
      <c r="J1284" t="str">
        <f>IF(ISBLANK(Table13[[#This Row],[Rating]]), "No", "Yes")</f>
        <v>Yes</v>
      </c>
      <c r="K1284" t="str">
        <f>IF(ISBLANK(Table13[[#This Row],[Rating]]), "Not Rated", IF(Table13[[#This Row],[Rating]] &lt; 3, "Low", IF(Table13[[#This Row],[Rating]] &lt; 4, "Medium", "High")))</f>
        <v>High</v>
      </c>
      <c r="L1284">
        <v>359</v>
      </c>
      <c r="M1284">
        <v>45</v>
      </c>
      <c r="N1284" t="str">
        <f>IF(Table13[[#This Row],[Price USD]]&lt;20,"Budget",IF(Table13[[#This Row],[Price USD]]&lt;=50,"Mid-range","Premium"))</f>
        <v>Mid-range</v>
      </c>
      <c r="O1284">
        <v>0</v>
      </c>
      <c r="P1284">
        <v>0</v>
      </c>
    </row>
    <row r="1285" spans="1:16" x14ac:dyDescent="0.25">
      <c r="A1285" t="s">
        <v>4522</v>
      </c>
      <c r="B1285" t="s">
        <v>4523</v>
      </c>
      <c r="C1285">
        <v>6309</v>
      </c>
      <c r="D1285" t="s">
        <v>1735</v>
      </c>
      <c r="E1285" t="s">
        <v>21</v>
      </c>
      <c r="F1285">
        <v>1403</v>
      </c>
      <c r="G12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5">
        <v>3.8260999999999998</v>
      </c>
      <c r="J1285" t="str">
        <f>IF(ISBLANK(Table13[[#This Row],[Rating]]), "No", "Yes")</f>
        <v>Yes</v>
      </c>
      <c r="K1285" t="str">
        <f>IF(ISBLANK(Table13[[#This Row],[Rating]]), "Not Rated", IF(Table13[[#This Row],[Rating]] &lt; 3, "Low", IF(Table13[[#This Row],[Rating]] &lt; 4, "Medium", "High")))</f>
        <v>Medium</v>
      </c>
      <c r="L1285">
        <v>23</v>
      </c>
      <c r="M1285">
        <v>65</v>
      </c>
      <c r="N1285" t="str">
        <f>IF(Table13[[#This Row],[Price USD]]&lt;20,"Budget",IF(Table13[[#This Row],[Price USD]]&lt;=50,"Mid-range","Premium"))</f>
        <v>Premium</v>
      </c>
      <c r="O1285">
        <v>0</v>
      </c>
      <c r="P1285">
        <v>0</v>
      </c>
    </row>
    <row r="1286" spans="1:16" x14ac:dyDescent="0.25">
      <c r="A1286" t="s">
        <v>4520</v>
      </c>
      <c r="B1286" t="s">
        <v>4521</v>
      </c>
      <c r="C1286">
        <v>1254</v>
      </c>
      <c r="D1286" t="s">
        <v>136</v>
      </c>
      <c r="E1286" t="s">
        <v>21</v>
      </c>
      <c r="F1286">
        <v>1410</v>
      </c>
      <c r="G12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6">
        <v>3.6875</v>
      </c>
      <c r="J1286" t="str">
        <f>IF(ISBLANK(Table13[[#This Row],[Rating]]), "No", "Yes")</f>
        <v>Yes</v>
      </c>
      <c r="K1286" t="str">
        <f>IF(ISBLANK(Table13[[#This Row],[Rating]]), "Not Rated", IF(Table13[[#This Row],[Rating]] &lt; 3, "Low", IF(Table13[[#This Row],[Rating]] &lt; 4, "Medium", "High")))</f>
        <v>Medium</v>
      </c>
      <c r="L1286">
        <v>16</v>
      </c>
      <c r="M1286">
        <v>74</v>
      </c>
      <c r="N1286" t="str">
        <f>IF(Table13[[#This Row],[Price USD]]&lt;20,"Budget",IF(Table13[[#This Row],[Price USD]]&lt;=50,"Mid-range","Premium"))</f>
        <v>Premium</v>
      </c>
      <c r="O1286">
        <v>0</v>
      </c>
      <c r="P1286">
        <v>0</v>
      </c>
    </row>
    <row r="1287" spans="1:16" x14ac:dyDescent="0.25">
      <c r="A1287" t="s">
        <v>4518</v>
      </c>
      <c r="B1287" t="s">
        <v>4519</v>
      </c>
      <c r="C1287">
        <v>6743</v>
      </c>
      <c r="D1287" t="s">
        <v>3942</v>
      </c>
      <c r="E1287" t="s">
        <v>13</v>
      </c>
      <c r="F1287">
        <v>1413</v>
      </c>
      <c r="G12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7">
        <v>4.75</v>
      </c>
      <c r="J1287" t="str">
        <f>IF(ISBLANK(Table13[[#This Row],[Rating]]), "No", "Yes")</f>
        <v>Yes</v>
      </c>
      <c r="K1287" t="str">
        <f>IF(ISBLANK(Table13[[#This Row],[Rating]]), "Not Rated", IF(Table13[[#This Row],[Rating]] &lt; 3, "Low", IF(Table13[[#This Row],[Rating]] &lt; 4, "Medium", "High")))</f>
        <v>High</v>
      </c>
      <c r="L1287">
        <v>8</v>
      </c>
      <c r="M1287">
        <v>16</v>
      </c>
      <c r="N1287" t="str">
        <f>IF(Table13[[#This Row],[Price USD]]&lt;20,"Budget",IF(Table13[[#This Row],[Price USD]]&lt;=50,"Mid-range","Premium"))</f>
        <v>Budget</v>
      </c>
      <c r="O1287">
        <v>0</v>
      </c>
      <c r="P1287">
        <v>0</v>
      </c>
    </row>
    <row r="1288" spans="1:16" x14ac:dyDescent="0.25">
      <c r="A1288" t="s">
        <v>4516</v>
      </c>
      <c r="B1288" t="s">
        <v>4517</v>
      </c>
      <c r="C1288">
        <v>4164</v>
      </c>
      <c r="D1288" t="s">
        <v>623</v>
      </c>
      <c r="E1288" t="s">
        <v>21</v>
      </c>
      <c r="F1288">
        <v>1415</v>
      </c>
      <c r="G12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8">
        <v>3</v>
      </c>
      <c r="J1288" t="str">
        <f>IF(ISBLANK(Table13[[#This Row],[Rating]]), "No", "Yes")</f>
        <v>Yes</v>
      </c>
      <c r="K1288" t="str">
        <f>IF(ISBLANK(Table13[[#This Row],[Rating]]), "Not Rated", IF(Table13[[#This Row],[Rating]] &lt; 3, "Low", IF(Table13[[#This Row],[Rating]] &lt; 4, "Medium", "High")))</f>
        <v>Medium</v>
      </c>
      <c r="L1288">
        <v>8</v>
      </c>
      <c r="M1288">
        <v>49</v>
      </c>
      <c r="N1288" t="str">
        <f>IF(Table13[[#This Row],[Price USD]]&lt;20,"Budget",IF(Table13[[#This Row],[Price USD]]&lt;=50,"Mid-range","Premium"))</f>
        <v>Mid-range</v>
      </c>
      <c r="O1288">
        <v>0</v>
      </c>
      <c r="P1288">
        <v>0</v>
      </c>
    </row>
    <row r="1289" spans="1:16" x14ac:dyDescent="0.25">
      <c r="A1289" t="s">
        <v>4514</v>
      </c>
      <c r="B1289" t="s">
        <v>4515</v>
      </c>
      <c r="C1289">
        <v>6750</v>
      </c>
      <c r="D1289" t="s">
        <v>4351</v>
      </c>
      <c r="E1289" t="s">
        <v>4</v>
      </c>
      <c r="F1289">
        <v>1420</v>
      </c>
      <c r="G12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89">
        <v>4.6666999999999996</v>
      </c>
      <c r="J1289" t="str">
        <f>IF(ISBLANK(Table13[[#This Row],[Rating]]), "No", "Yes")</f>
        <v>Yes</v>
      </c>
      <c r="K1289" t="str">
        <f>IF(ISBLANK(Table13[[#This Row],[Rating]]), "Not Rated", IF(Table13[[#This Row],[Rating]] &lt; 3, "Low", IF(Table13[[#This Row],[Rating]] &lt; 4, "Medium", "High")))</f>
        <v>High</v>
      </c>
      <c r="L1289">
        <v>12</v>
      </c>
      <c r="M1289">
        <v>26</v>
      </c>
      <c r="N1289" t="str">
        <f>IF(Table13[[#This Row],[Price USD]]&lt;20,"Budget",IF(Table13[[#This Row],[Price USD]]&lt;=50,"Mid-range","Premium"))</f>
        <v>Mid-range</v>
      </c>
      <c r="O1289">
        <v>1</v>
      </c>
      <c r="P1289">
        <v>0</v>
      </c>
    </row>
    <row r="1290" spans="1:16" x14ac:dyDescent="0.25">
      <c r="A1290" t="s">
        <v>4512</v>
      </c>
      <c r="B1290" t="s">
        <v>4513</v>
      </c>
      <c r="C1290">
        <v>6302</v>
      </c>
      <c r="D1290" t="s">
        <v>2721</v>
      </c>
      <c r="E1290" t="s">
        <v>21</v>
      </c>
      <c r="F1290">
        <v>1420</v>
      </c>
      <c r="G12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0">
        <v>3.9333</v>
      </c>
      <c r="J1290" t="str">
        <f>IF(ISBLANK(Table13[[#This Row],[Rating]]), "No", "Yes")</f>
        <v>Yes</v>
      </c>
      <c r="K1290" t="str">
        <f>IF(ISBLANK(Table13[[#This Row],[Rating]]), "Not Rated", IF(Table13[[#This Row],[Rating]] &lt; 3, "Low", IF(Table13[[#This Row],[Rating]] &lt; 4, "Medium", "High")))</f>
        <v>Medium</v>
      </c>
      <c r="L1290">
        <v>15</v>
      </c>
      <c r="M1290">
        <v>215</v>
      </c>
      <c r="N1290" t="str">
        <f>IF(Table13[[#This Row],[Price USD]]&lt;20,"Budget",IF(Table13[[#This Row],[Price USD]]&lt;=50,"Mid-range","Premium"))</f>
        <v>Premium</v>
      </c>
      <c r="O1290">
        <v>0</v>
      </c>
      <c r="P1290">
        <v>0</v>
      </c>
    </row>
    <row r="1291" spans="1:16" x14ac:dyDescent="0.25">
      <c r="A1291" t="s">
        <v>4510</v>
      </c>
      <c r="B1291" t="s">
        <v>4511</v>
      </c>
      <c r="C1291">
        <v>1254</v>
      </c>
      <c r="D1291" t="s">
        <v>136</v>
      </c>
      <c r="E1291" t="s">
        <v>21</v>
      </c>
      <c r="F1291">
        <v>1423</v>
      </c>
      <c r="G12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1">
        <v>3.3264999999999998</v>
      </c>
      <c r="J1291" t="str">
        <f>IF(ISBLANK(Table13[[#This Row],[Rating]]), "No", "Yes")</f>
        <v>Yes</v>
      </c>
      <c r="K1291" t="str">
        <f>IF(ISBLANK(Table13[[#This Row],[Rating]]), "Not Rated", IF(Table13[[#This Row],[Rating]] &lt; 3, "Low", IF(Table13[[#This Row],[Rating]] &lt; 4, "Medium", "High")))</f>
        <v>Medium</v>
      </c>
      <c r="L1291">
        <v>49</v>
      </c>
      <c r="M1291">
        <v>74</v>
      </c>
      <c r="N1291" t="str">
        <f>IF(Table13[[#This Row],[Price USD]]&lt;20,"Budget",IF(Table13[[#This Row],[Price USD]]&lt;=50,"Mid-range","Premium"))</f>
        <v>Premium</v>
      </c>
      <c r="O1291">
        <v>0</v>
      </c>
      <c r="P1291">
        <v>0</v>
      </c>
    </row>
    <row r="1292" spans="1:16" x14ac:dyDescent="0.25">
      <c r="A1292" t="s">
        <v>4508</v>
      </c>
      <c r="B1292" t="s">
        <v>4509</v>
      </c>
      <c r="C1292">
        <v>1254</v>
      </c>
      <c r="D1292" t="s">
        <v>136</v>
      </c>
      <c r="E1292" t="s">
        <v>21</v>
      </c>
      <c r="F1292">
        <v>1428</v>
      </c>
      <c r="G12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2">
        <v>4.5</v>
      </c>
      <c r="J1292" t="str">
        <f>IF(ISBLANK(Table13[[#This Row],[Rating]]), "No", "Yes")</f>
        <v>Yes</v>
      </c>
      <c r="K1292" t="str">
        <f>IF(ISBLANK(Table13[[#This Row],[Rating]]), "Not Rated", IF(Table13[[#This Row],[Rating]] &lt; 3, "Low", IF(Table13[[#This Row],[Rating]] &lt; 4, "Medium", "High")))</f>
        <v>High</v>
      </c>
      <c r="L1292">
        <v>6</v>
      </c>
      <c r="M1292">
        <v>64</v>
      </c>
      <c r="N1292" t="str">
        <f>IF(Table13[[#This Row],[Price USD]]&lt;20,"Budget",IF(Table13[[#This Row],[Price USD]]&lt;=50,"Mid-range","Premium"))</f>
        <v>Premium</v>
      </c>
      <c r="O1292">
        <v>0</v>
      </c>
      <c r="P1292">
        <v>0</v>
      </c>
    </row>
    <row r="1293" spans="1:16" x14ac:dyDescent="0.25">
      <c r="A1293" t="s">
        <v>4506</v>
      </c>
      <c r="B1293" t="s">
        <v>4507</v>
      </c>
      <c r="C1293">
        <v>6743</v>
      </c>
      <c r="D1293" t="s">
        <v>3942</v>
      </c>
      <c r="E1293" t="s">
        <v>21</v>
      </c>
      <c r="F1293">
        <v>1442</v>
      </c>
      <c r="G12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3">
        <v>4.0658000000000003</v>
      </c>
      <c r="J1293" t="str">
        <f>IF(ISBLANK(Table13[[#This Row],[Rating]]), "No", "Yes")</f>
        <v>Yes</v>
      </c>
      <c r="K1293" t="str">
        <f>IF(ISBLANK(Table13[[#This Row],[Rating]]), "Not Rated", IF(Table13[[#This Row],[Rating]] &lt; 3, "Low", IF(Table13[[#This Row],[Rating]] &lt; 4, "Medium", "High")))</f>
        <v>High</v>
      </c>
      <c r="L1293">
        <v>243</v>
      </c>
      <c r="M1293">
        <v>35</v>
      </c>
      <c r="N1293" t="str">
        <f>IF(Table13[[#This Row],[Price USD]]&lt;20,"Budget",IF(Table13[[#This Row],[Price USD]]&lt;=50,"Mid-range","Premium"))</f>
        <v>Mid-range</v>
      </c>
      <c r="O1293">
        <v>0</v>
      </c>
      <c r="P1293">
        <v>0</v>
      </c>
    </row>
    <row r="1294" spans="1:16" x14ac:dyDescent="0.25">
      <c r="A1294" t="s">
        <v>4504</v>
      </c>
      <c r="B1294" t="s">
        <v>4505</v>
      </c>
      <c r="C1294">
        <v>5648</v>
      </c>
      <c r="D1294" t="s">
        <v>408</v>
      </c>
      <c r="E1294" t="s">
        <v>8</v>
      </c>
      <c r="F1294">
        <v>1445</v>
      </c>
      <c r="G12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4">
        <v>5</v>
      </c>
      <c r="J1294" t="str">
        <f>IF(ISBLANK(Table13[[#This Row],[Rating]]), "No", "Yes")</f>
        <v>Yes</v>
      </c>
      <c r="K1294" t="str">
        <f>IF(ISBLANK(Table13[[#This Row],[Rating]]), "Not Rated", IF(Table13[[#This Row],[Rating]] &lt; 3, "Low", IF(Table13[[#This Row],[Rating]] &lt; 4, "Medium", "High")))</f>
        <v>High</v>
      </c>
      <c r="L1294">
        <v>3</v>
      </c>
      <c r="M1294">
        <v>39</v>
      </c>
      <c r="N1294" t="str">
        <f>IF(Table13[[#This Row],[Price USD]]&lt;20,"Budget",IF(Table13[[#This Row],[Price USD]]&lt;=50,"Mid-range","Premium"))</f>
        <v>Mid-range</v>
      </c>
      <c r="O1294">
        <v>0</v>
      </c>
      <c r="P1294">
        <v>0</v>
      </c>
    </row>
    <row r="1295" spans="1:16" x14ac:dyDescent="0.25">
      <c r="A1295" t="s">
        <v>4502</v>
      </c>
      <c r="B1295" t="s">
        <v>4503</v>
      </c>
      <c r="C1295">
        <v>5857</v>
      </c>
      <c r="D1295" t="s">
        <v>433</v>
      </c>
      <c r="E1295" t="s">
        <v>220</v>
      </c>
      <c r="F1295">
        <v>1448</v>
      </c>
      <c r="G12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5">
        <v>4.5</v>
      </c>
      <c r="J1295" t="str">
        <f>IF(ISBLANK(Table13[[#This Row],[Rating]]), "No", "Yes")</f>
        <v>Yes</v>
      </c>
      <c r="K1295" t="str">
        <f>IF(ISBLANK(Table13[[#This Row],[Rating]]), "Not Rated", IF(Table13[[#This Row],[Rating]] &lt; 3, "Low", IF(Table13[[#This Row],[Rating]] &lt; 4, "Medium", "High")))</f>
        <v>High</v>
      </c>
      <c r="L1295">
        <v>2</v>
      </c>
      <c r="M1295">
        <v>66</v>
      </c>
      <c r="N1295" t="str">
        <f>IF(Table13[[#This Row],[Price USD]]&lt;20,"Budget",IF(Table13[[#This Row],[Price USD]]&lt;=50,"Mid-range","Premium"))</f>
        <v>Premium</v>
      </c>
      <c r="O1295">
        <v>0</v>
      </c>
      <c r="P1295">
        <v>0</v>
      </c>
    </row>
    <row r="1296" spans="1:16" x14ac:dyDescent="0.25">
      <c r="A1296" t="s">
        <v>4500</v>
      </c>
      <c r="B1296" t="s">
        <v>4501</v>
      </c>
      <c r="C1296">
        <v>6089</v>
      </c>
      <c r="D1296" t="s">
        <v>605</v>
      </c>
      <c r="E1296" t="s">
        <v>21</v>
      </c>
      <c r="F1296">
        <v>1449</v>
      </c>
      <c r="G12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6">
        <v>4.3201999999999998</v>
      </c>
      <c r="J1296" t="str">
        <f>IF(ISBLANK(Table13[[#This Row],[Rating]]), "No", "Yes")</f>
        <v>Yes</v>
      </c>
      <c r="K1296" t="str">
        <f>IF(ISBLANK(Table13[[#This Row],[Rating]]), "Not Rated", IF(Table13[[#This Row],[Rating]] &lt; 3, "Low", IF(Table13[[#This Row],[Rating]] &lt; 4, "Medium", "High")))</f>
        <v>High</v>
      </c>
      <c r="L1296">
        <v>2783</v>
      </c>
      <c r="M1296">
        <v>64</v>
      </c>
      <c r="N1296" t="str">
        <f>IF(Table13[[#This Row],[Price USD]]&lt;20,"Budget",IF(Table13[[#This Row],[Price USD]]&lt;=50,"Mid-range","Premium"))</f>
        <v>Premium</v>
      </c>
      <c r="O1296">
        <v>0</v>
      </c>
      <c r="P1296">
        <v>0</v>
      </c>
    </row>
    <row r="1297" spans="1:16" x14ac:dyDescent="0.25">
      <c r="A1297" t="s">
        <v>4498</v>
      </c>
      <c r="B1297" t="s">
        <v>4499</v>
      </c>
      <c r="C1297">
        <v>1741</v>
      </c>
      <c r="D1297" t="s">
        <v>388</v>
      </c>
      <c r="E1297" t="s">
        <v>21</v>
      </c>
      <c r="F1297">
        <v>1453</v>
      </c>
      <c r="G12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7">
        <v>4.8030999999999997</v>
      </c>
      <c r="J1297" t="str">
        <f>IF(ISBLANK(Table13[[#This Row],[Rating]]), "No", "Yes")</f>
        <v>Yes</v>
      </c>
      <c r="K1297" t="str">
        <f>IF(ISBLANK(Table13[[#This Row],[Rating]]), "Not Rated", IF(Table13[[#This Row],[Rating]] &lt; 3, "Low", IF(Table13[[#This Row],[Rating]] &lt; 4, "Medium", "High")))</f>
        <v>High</v>
      </c>
      <c r="L1297">
        <v>127</v>
      </c>
      <c r="M1297">
        <v>270</v>
      </c>
      <c r="N1297" t="str">
        <f>IF(Table13[[#This Row],[Price USD]]&lt;20,"Budget",IF(Table13[[#This Row],[Price USD]]&lt;=50,"Mid-range","Premium"))</f>
        <v>Premium</v>
      </c>
      <c r="O1297">
        <v>0</v>
      </c>
      <c r="P1297">
        <v>0</v>
      </c>
    </row>
    <row r="1298" spans="1:16" x14ac:dyDescent="0.25">
      <c r="A1298" t="s">
        <v>4496</v>
      </c>
      <c r="B1298" t="s">
        <v>4497</v>
      </c>
      <c r="C1298">
        <v>6373</v>
      </c>
      <c r="D1298" t="s">
        <v>1652</v>
      </c>
      <c r="E1298" t="s">
        <v>69</v>
      </c>
      <c r="F1298">
        <v>1460</v>
      </c>
      <c r="G12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8">
        <v>4.3333000000000004</v>
      </c>
      <c r="J1298" t="str">
        <f>IF(ISBLANK(Table13[[#This Row],[Rating]]), "No", "Yes")</f>
        <v>Yes</v>
      </c>
      <c r="K1298" t="str">
        <f>IF(ISBLANK(Table13[[#This Row],[Rating]]), "Not Rated", IF(Table13[[#This Row],[Rating]] &lt; 3, "Low", IF(Table13[[#This Row],[Rating]] &lt; 4, "Medium", "High")))</f>
        <v>High</v>
      </c>
      <c r="L1298">
        <v>36</v>
      </c>
      <c r="M1298">
        <v>36</v>
      </c>
      <c r="N1298" t="str">
        <f>IF(Table13[[#This Row],[Price USD]]&lt;20,"Budget",IF(Table13[[#This Row],[Price USD]]&lt;=50,"Mid-range","Premium"))</f>
        <v>Mid-range</v>
      </c>
      <c r="O1298">
        <v>0</v>
      </c>
      <c r="P1298">
        <v>0</v>
      </c>
    </row>
    <row r="1299" spans="1:16" x14ac:dyDescent="0.25">
      <c r="A1299" t="s">
        <v>4494</v>
      </c>
      <c r="B1299" t="s">
        <v>4495</v>
      </c>
      <c r="C1299">
        <v>4372</v>
      </c>
      <c r="D1299" t="s">
        <v>1513</v>
      </c>
      <c r="E1299" t="s">
        <v>21</v>
      </c>
      <c r="F1299">
        <v>1466</v>
      </c>
      <c r="G12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2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299">
        <v>3.7273000000000001</v>
      </c>
      <c r="J1299" t="str">
        <f>IF(ISBLANK(Table13[[#This Row],[Rating]]), "No", "Yes")</f>
        <v>Yes</v>
      </c>
      <c r="K1299" t="str">
        <f>IF(ISBLANK(Table13[[#This Row],[Rating]]), "Not Rated", IF(Table13[[#This Row],[Rating]] &lt; 3, "Low", IF(Table13[[#This Row],[Rating]] &lt; 4, "Medium", "High")))</f>
        <v>Medium</v>
      </c>
      <c r="L1299">
        <v>11</v>
      </c>
      <c r="M1299">
        <v>75</v>
      </c>
      <c r="N1299" t="str">
        <f>IF(Table13[[#This Row],[Price USD]]&lt;20,"Budget",IF(Table13[[#This Row],[Price USD]]&lt;=50,"Mid-range","Premium"))</f>
        <v>Premium</v>
      </c>
      <c r="O1299">
        <v>0</v>
      </c>
      <c r="P1299">
        <v>0</v>
      </c>
    </row>
    <row r="1300" spans="1:16" x14ac:dyDescent="0.25">
      <c r="A1300" t="s">
        <v>4492</v>
      </c>
      <c r="B1300" t="s">
        <v>4493</v>
      </c>
      <c r="C1300">
        <v>8012</v>
      </c>
      <c r="D1300" t="s">
        <v>2864</v>
      </c>
      <c r="E1300" t="s">
        <v>8</v>
      </c>
      <c r="F1300">
        <v>1467</v>
      </c>
      <c r="G13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0">
        <v>4.5999999999999996</v>
      </c>
      <c r="J1300" t="str">
        <f>IF(ISBLANK(Table13[[#This Row],[Rating]]), "No", "Yes")</f>
        <v>Yes</v>
      </c>
      <c r="K1300" t="str">
        <f>IF(ISBLANK(Table13[[#This Row],[Rating]]), "Not Rated", IF(Table13[[#This Row],[Rating]] &lt; 3, "Low", IF(Table13[[#This Row],[Rating]] &lt; 4, "Medium", "High")))</f>
        <v>High</v>
      </c>
      <c r="L1300">
        <v>195</v>
      </c>
      <c r="M1300">
        <v>27</v>
      </c>
      <c r="N1300" t="str">
        <f>IF(Table13[[#This Row],[Price USD]]&lt;20,"Budget",IF(Table13[[#This Row],[Price USD]]&lt;=50,"Mid-range","Premium"))</f>
        <v>Mid-range</v>
      </c>
      <c r="O1300">
        <v>0</v>
      </c>
      <c r="P1300">
        <v>0</v>
      </c>
    </row>
    <row r="1301" spans="1:16" x14ac:dyDescent="0.25">
      <c r="A1301" t="s">
        <v>4490</v>
      </c>
      <c r="B1301" t="s">
        <v>4491</v>
      </c>
      <c r="C1301">
        <v>7020</v>
      </c>
      <c r="D1301" t="s">
        <v>657</v>
      </c>
      <c r="E1301" t="s">
        <v>220</v>
      </c>
      <c r="F1301">
        <v>1476</v>
      </c>
      <c r="G13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1">
        <v>3</v>
      </c>
      <c r="J1301" t="str">
        <f>IF(ISBLANK(Table13[[#This Row],[Rating]]), "No", "Yes")</f>
        <v>Yes</v>
      </c>
      <c r="K1301" t="str">
        <f>IF(ISBLANK(Table13[[#This Row],[Rating]]), "Not Rated", IF(Table13[[#This Row],[Rating]] &lt; 3, "Low", IF(Table13[[#This Row],[Rating]] &lt; 4, "Medium", "High")))</f>
        <v>Medium</v>
      </c>
      <c r="L1301">
        <v>1</v>
      </c>
      <c r="M1301">
        <v>98</v>
      </c>
      <c r="N1301" t="str">
        <f>IF(Table13[[#This Row],[Price USD]]&lt;20,"Budget",IF(Table13[[#This Row],[Price USD]]&lt;=50,"Mid-range","Premium"))</f>
        <v>Premium</v>
      </c>
      <c r="O1301">
        <v>0</v>
      </c>
      <c r="P1301">
        <v>0</v>
      </c>
    </row>
    <row r="1302" spans="1:16" x14ac:dyDescent="0.25">
      <c r="A1302" t="s">
        <v>4488</v>
      </c>
      <c r="B1302" t="s">
        <v>4489</v>
      </c>
      <c r="C1302">
        <v>6334</v>
      </c>
      <c r="D1302" t="s">
        <v>2819</v>
      </c>
      <c r="E1302" t="s">
        <v>8</v>
      </c>
      <c r="F1302">
        <v>1478</v>
      </c>
      <c r="G13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2">
        <v>4.4768999999999997</v>
      </c>
      <c r="J1302" t="str">
        <f>IF(ISBLANK(Table13[[#This Row],[Rating]]), "No", "Yes")</f>
        <v>Yes</v>
      </c>
      <c r="K1302" t="str">
        <f>IF(ISBLANK(Table13[[#This Row],[Rating]]), "Not Rated", IF(Table13[[#This Row],[Rating]] &lt; 3, "Low", IF(Table13[[#This Row],[Rating]] &lt; 4, "Medium", "High")))</f>
        <v>High</v>
      </c>
      <c r="L1302">
        <v>260</v>
      </c>
      <c r="M1302">
        <v>72</v>
      </c>
      <c r="N1302" t="str">
        <f>IF(Table13[[#This Row],[Price USD]]&lt;20,"Budget",IF(Table13[[#This Row],[Price USD]]&lt;=50,"Mid-range","Premium"))</f>
        <v>Premium</v>
      </c>
      <c r="O1302">
        <v>0</v>
      </c>
      <c r="P1302">
        <v>0</v>
      </c>
    </row>
    <row r="1303" spans="1:16" x14ac:dyDescent="0.25">
      <c r="A1303" t="s">
        <v>4486</v>
      </c>
      <c r="B1303" t="s">
        <v>4487</v>
      </c>
      <c r="C1303">
        <v>6373</v>
      </c>
      <c r="D1303" t="s">
        <v>1652</v>
      </c>
      <c r="E1303" t="s">
        <v>21</v>
      </c>
      <c r="F1303">
        <v>1482</v>
      </c>
      <c r="G13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3">
        <v>4.4181999999999997</v>
      </c>
      <c r="J1303" t="str">
        <f>IF(ISBLANK(Table13[[#This Row],[Rating]]), "No", "Yes")</f>
        <v>Yes</v>
      </c>
      <c r="K1303" t="str">
        <f>IF(ISBLANK(Table13[[#This Row],[Rating]]), "Not Rated", IF(Table13[[#This Row],[Rating]] &lt; 3, "Low", IF(Table13[[#This Row],[Rating]] &lt; 4, "Medium", "High")))</f>
        <v>High</v>
      </c>
      <c r="L1303">
        <v>110</v>
      </c>
      <c r="M1303">
        <v>58</v>
      </c>
      <c r="N1303" t="str">
        <f>IF(Table13[[#This Row],[Price USD]]&lt;20,"Budget",IF(Table13[[#This Row],[Price USD]]&lt;=50,"Mid-range","Premium"))</f>
        <v>Premium</v>
      </c>
      <c r="O1303">
        <v>1</v>
      </c>
      <c r="P1303">
        <v>0</v>
      </c>
    </row>
    <row r="1304" spans="1:16" x14ac:dyDescent="0.25">
      <c r="A1304" t="s">
        <v>4484</v>
      </c>
      <c r="B1304" t="s">
        <v>4485</v>
      </c>
      <c r="C1304">
        <v>2082</v>
      </c>
      <c r="D1304" t="s">
        <v>594</v>
      </c>
      <c r="E1304" t="s">
        <v>13</v>
      </c>
      <c r="F1304">
        <v>1484</v>
      </c>
      <c r="G13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4">
        <v>3.375</v>
      </c>
      <c r="J1304" t="str">
        <f>IF(ISBLANK(Table13[[#This Row],[Rating]]), "No", "Yes")</f>
        <v>Yes</v>
      </c>
      <c r="K1304" t="str">
        <f>IF(ISBLANK(Table13[[#This Row],[Rating]]), "Not Rated", IF(Table13[[#This Row],[Rating]] &lt; 3, "Low", IF(Table13[[#This Row],[Rating]] &lt; 4, "Medium", "High")))</f>
        <v>Medium</v>
      </c>
      <c r="L1304">
        <v>8</v>
      </c>
      <c r="M1304">
        <v>30</v>
      </c>
      <c r="N1304" t="str">
        <f>IF(Table13[[#This Row],[Price USD]]&lt;20,"Budget",IF(Table13[[#This Row],[Price USD]]&lt;=50,"Mid-range","Premium"))</f>
        <v>Mid-range</v>
      </c>
      <c r="O1304">
        <v>0</v>
      </c>
      <c r="P1304">
        <v>0</v>
      </c>
    </row>
    <row r="1305" spans="1:16" x14ac:dyDescent="0.25">
      <c r="A1305" t="s">
        <v>4482</v>
      </c>
      <c r="B1305" t="s">
        <v>4483</v>
      </c>
      <c r="C1305">
        <v>6367</v>
      </c>
      <c r="D1305" t="s">
        <v>2766</v>
      </c>
      <c r="E1305" t="s">
        <v>8</v>
      </c>
      <c r="F1305">
        <v>1484</v>
      </c>
      <c r="G13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5">
        <v>4.4603999999999999</v>
      </c>
      <c r="J1305" t="str">
        <f>IF(ISBLANK(Table13[[#This Row],[Rating]]), "No", "Yes")</f>
        <v>Yes</v>
      </c>
      <c r="K1305" t="str">
        <f>IF(ISBLANK(Table13[[#This Row],[Rating]]), "Not Rated", IF(Table13[[#This Row],[Rating]] &lt; 3, "Low", IF(Table13[[#This Row],[Rating]] &lt; 4, "Medium", "High")))</f>
        <v>High</v>
      </c>
      <c r="L1305">
        <v>265</v>
      </c>
      <c r="M1305">
        <v>46</v>
      </c>
      <c r="N1305" t="str">
        <f>IF(Table13[[#This Row],[Price USD]]&lt;20,"Budget",IF(Table13[[#This Row],[Price USD]]&lt;=50,"Mid-range","Premium"))</f>
        <v>Mid-range</v>
      </c>
      <c r="O1305">
        <v>1</v>
      </c>
      <c r="P1305">
        <v>0</v>
      </c>
    </row>
    <row r="1306" spans="1:16" x14ac:dyDescent="0.25">
      <c r="A1306" t="s">
        <v>4480</v>
      </c>
      <c r="B1306" t="s">
        <v>4481</v>
      </c>
      <c r="C1306">
        <v>6302</v>
      </c>
      <c r="D1306" t="s">
        <v>2721</v>
      </c>
      <c r="E1306" t="s">
        <v>21</v>
      </c>
      <c r="F1306">
        <v>1490</v>
      </c>
      <c r="G13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6">
        <v>4.4286000000000003</v>
      </c>
      <c r="J1306" t="str">
        <f>IF(ISBLANK(Table13[[#This Row],[Rating]]), "No", "Yes")</f>
        <v>Yes</v>
      </c>
      <c r="K1306" t="str">
        <f>IF(ISBLANK(Table13[[#This Row],[Rating]]), "Not Rated", IF(Table13[[#This Row],[Rating]] &lt; 3, "Low", IF(Table13[[#This Row],[Rating]] &lt; 4, "Medium", "High")))</f>
        <v>High</v>
      </c>
      <c r="L1306">
        <v>7</v>
      </c>
      <c r="M1306">
        <v>205</v>
      </c>
      <c r="N1306" t="str">
        <f>IF(Table13[[#This Row],[Price USD]]&lt;20,"Budget",IF(Table13[[#This Row],[Price USD]]&lt;=50,"Mid-range","Premium"))</f>
        <v>Premium</v>
      </c>
      <c r="O1306">
        <v>0</v>
      </c>
      <c r="P1306">
        <v>0</v>
      </c>
    </row>
    <row r="1307" spans="1:16" x14ac:dyDescent="0.25">
      <c r="A1307" t="s">
        <v>4478</v>
      </c>
      <c r="B1307" t="s">
        <v>4479</v>
      </c>
      <c r="C1307">
        <v>6371</v>
      </c>
      <c r="D1307" t="s">
        <v>2583</v>
      </c>
      <c r="E1307" t="s">
        <v>8</v>
      </c>
      <c r="F1307">
        <v>1501</v>
      </c>
      <c r="G13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7">
        <v>4.2211999999999996</v>
      </c>
      <c r="J1307" t="str">
        <f>IF(ISBLANK(Table13[[#This Row],[Rating]]), "No", "Yes")</f>
        <v>Yes</v>
      </c>
      <c r="K1307" t="str">
        <f>IF(ISBLANK(Table13[[#This Row],[Rating]]), "Not Rated", IF(Table13[[#This Row],[Rating]] &lt; 3, "Low", IF(Table13[[#This Row],[Rating]] &lt; 4, "Medium", "High")))</f>
        <v>High</v>
      </c>
      <c r="L1307">
        <v>443</v>
      </c>
      <c r="M1307">
        <v>25</v>
      </c>
      <c r="N1307" t="str">
        <f>IF(Table13[[#This Row],[Price USD]]&lt;20,"Budget",IF(Table13[[#This Row],[Price USD]]&lt;=50,"Mid-range","Premium"))</f>
        <v>Mid-range</v>
      </c>
      <c r="O1307">
        <v>0</v>
      </c>
      <c r="P1307">
        <v>0</v>
      </c>
    </row>
    <row r="1308" spans="1:16" x14ac:dyDescent="0.25">
      <c r="A1308" t="s">
        <v>4476</v>
      </c>
      <c r="B1308" t="s">
        <v>4477</v>
      </c>
      <c r="C1308">
        <v>7055</v>
      </c>
      <c r="D1308" t="s">
        <v>3361</v>
      </c>
      <c r="E1308" t="s">
        <v>220</v>
      </c>
      <c r="F1308">
        <v>1520</v>
      </c>
      <c r="G13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8">
        <v>3.7639</v>
      </c>
      <c r="J1308" t="str">
        <f>IF(ISBLANK(Table13[[#This Row],[Rating]]), "No", "Yes")</f>
        <v>Yes</v>
      </c>
      <c r="K1308" t="str">
        <f>IF(ISBLANK(Table13[[#This Row],[Rating]]), "Not Rated", IF(Table13[[#This Row],[Rating]] &lt; 3, "Low", IF(Table13[[#This Row],[Rating]] &lt; 4, "Medium", "High")))</f>
        <v>Medium</v>
      </c>
      <c r="L1308">
        <v>72</v>
      </c>
      <c r="M1308">
        <v>29</v>
      </c>
      <c r="N1308" t="str">
        <f>IF(Table13[[#This Row],[Price USD]]&lt;20,"Budget",IF(Table13[[#This Row],[Price USD]]&lt;=50,"Mid-range","Premium"))</f>
        <v>Mid-range</v>
      </c>
      <c r="O1308">
        <v>0</v>
      </c>
      <c r="P1308">
        <v>0</v>
      </c>
    </row>
    <row r="1309" spans="1:16" x14ac:dyDescent="0.25">
      <c r="A1309" t="s">
        <v>4474</v>
      </c>
      <c r="B1309" t="s">
        <v>4475</v>
      </c>
      <c r="C1309">
        <v>1254</v>
      </c>
      <c r="D1309" t="s">
        <v>136</v>
      </c>
      <c r="E1309" t="s">
        <v>21</v>
      </c>
      <c r="F1309">
        <v>1535</v>
      </c>
      <c r="G13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09">
        <v>4.125</v>
      </c>
      <c r="J1309" t="str">
        <f>IF(ISBLANK(Table13[[#This Row],[Rating]]), "No", "Yes")</f>
        <v>Yes</v>
      </c>
      <c r="K1309" t="str">
        <f>IF(ISBLANK(Table13[[#This Row],[Rating]]), "Not Rated", IF(Table13[[#This Row],[Rating]] &lt; 3, "Low", IF(Table13[[#This Row],[Rating]] &lt; 4, "Medium", "High")))</f>
        <v>High</v>
      </c>
      <c r="L1309">
        <v>8</v>
      </c>
      <c r="M1309">
        <v>61</v>
      </c>
      <c r="N1309" t="str">
        <f>IF(Table13[[#This Row],[Price USD]]&lt;20,"Budget",IF(Table13[[#This Row],[Price USD]]&lt;=50,"Mid-range","Premium"))</f>
        <v>Premium</v>
      </c>
      <c r="O1309">
        <v>0</v>
      </c>
      <c r="P1309">
        <v>0</v>
      </c>
    </row>
    <row r="1310" spans="1:16" x14ac:dyDescent="0.25">
      <c r="A1310" t="s">
        <v>4472</v>
      </c>
      <c r="B1310" t="s">
        <v>4473</v>
      </c>
      <c r="C1310">
        <v>7037</v>
      </c>
      <c r="D1310" t="s">
        <v>1718</v>
      </c>
      <c r="E1310" t="s">
        <v>347</v>
      </c>
      <c r="F1310">
        <v>1536</v>
      </c>
      <c r="G13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0">
        <v>4.9230999999999998</v>
      </c>
      <c r="J1310" t="str">
        <f>IF(ISBLANK(Table13[[#This Row],[Rating]]), "No", "Yes")</f>
        <v>Yes</v>
      </c>
      <c r="K1310" t="str">
        <f>IF(ISBLANK(Table13[[#This Row],[Rating]]), "Not Rated", IF(Table13[[#This Row],[Rating]] &lt; 3, "Low", IF(Table13[[#This Row],[Rating]] &lt; 4, "Medium", "High")))</f>
        <v>High</v>
      </c>
      <c r="L1310">
        <v>13</v>
      </c>
      <c r="M1310">
        <v>279</v>
      </c>
      <c r="N1310" t="str">
        <f>IF(Table13[[#This Row],[Price USD]]&lt;20,"Budget",IF(Table13[[#This Row],[Price USD]]&lt;=50,"Mid-range","Premium"))</f>
        <v>Premium</v>
      </c>
      <c r="O1310">
        <v>0</v>
      </c>
      <c r="P1310">
        <v>0</v>
      </c>
    </row>
    <row r="1311" spans="1:16" x14ac:dyDescent="0.25">
      <c r="A1311" t="s">
        <v>4470</v>
      </c>
      <c r="B1311" t="s">
        <v>4471</v>
      </c>
      <c r="C1311">
        <v>6743</v>
      </c>
      <c r="D1311" t="s">
        <v>3942</v>
      </c>
      <c r="E1311" t="s">
        <v>21</v>
      </c>
      <c r="F1311">
        <v>1550</v>
      </c>
      <c r="G13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1">
        <v>3.75</v>
      </c>
      <c r="J1311" t="str">
        <f>IF(ISBLANK(Table13[[#This Row],[Rating]]), "No", "Yes")</f>
        <v>Yes</v>
      </c>
      <c r="K1311" t="str">
        <f>IF(ISBLANK(Table13[[#This Row],[Rating]]), "Not Rated", IF(Table13[[#This Row],[Rating]] &lt; 3, "Low", IF(Table13[[#This Row],[Rating]] &lt; 4, "Medium", "High")))</f>
        <v>Medium</v>
      </c>
      <c r="L1311">
        <v>20</v>
      </c>
      <c r="M1311">
        <v>25</v>
      </c>
      <c r="N1311" t="str">
        <f>IF(Table13[[#This Row],[Price USD]]&lt;20,"Budget",IF(Table13[[#This Row],[Price USD]]&lt;=50,"Mid-range","Premium"))</f>
        <v>Mid-range</v>
      </c>
      <c r="O1311">
        <v>0</v>
      </c>
      <c r="P1311">
        <v>0</v>
      </c>
    </row>
    <row r="1312" spans="1:16" x14ac:dyDescent="0.25">
      <c r="A1312" t="s">
        <v>4468</v>
      </c>
      <c r="B1312" t="s">
        <v>4469</v>
      </c>
      <c r="C1312">
        <v>6749</v>
      </c>
      <c r="D1312" t="s">
        <v>3173</v>
      </c>
      <c r="E1312" t="s">
        <v>8</v>
      </c>
      <c r="F1312">
        <v>1554</v>
      </c>
      <c r="G13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2">
        <v>4.9032</v>
      </c>
      <c r="J1312" t="str">
        <f>IF(ISBLANK(Table13[[#This Row],[Rating]]), "No", "Yes")</f>
        <v>Yes</v>
      </c>
      <c r="K1312" t="str">
        <f>IF(ISBLANK(Table13[[#This Row],[Rating]]), "Not Rated", IF(Table13[[#This Row],[Rating]] &lt; 3, "Low", IF(Table13[[#This Row],[Rating]] &lt; 4, "Medium", "High")))</f>
        <v>High</v>
      </c>
      <c r="L1312">
        <v>62</v>
      </c>
      <c r="M1312">
        <v>96</v>
      </c>
      <c r="N1312" t="str">
        <f>IF(Table13[[#This Row],[Price USD]]&lt;20,"Budget",IF(Table13[[#This Row],[Price USD]]&lt;=50,"Mid-range","Premium"))</f>
        <v>Premium</v>
      </c>
      <c r="O1312">
        <v>1</v>
      </c>
      <c r="P1312">
        <v>0</v>
      </c>
    </row>
    <row r="1313" spans="1:16" x14ac:dyDescent="0.25">
      <c r="A1313" t="s">
        <v>4466</v>
      </c>
      <c r="B1313" t="s">
        <v>4467</v>
      </c>
      <c r="C1313">
        <v>6218</v>
      </c>
      <c r="D1313" t="s">
        <v>116</v>
      </c>
      <c r="E1313" t="s">
        <v>13</v>
      </c>
      <c r="F1313">
        <v>1558</v>
      </c>
      <c r="G13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3">
        <v>4.3333000000000004</v>
      </c>
      <c r="J1313" t="str">
        <f>IF(ISBLANK(Table13[[#This Row],[Rating]]), "No", "Yes")</f>
        <v>Yes</v>
      </c>
      <c r="K1313" t="str">
        <f>IF(ISBLANK(Table13[[#This Row],[Rating]]), "Not Rated", IF(Table13[[#This Row],[Rating]] &lt; 3, "Low", IF(Table13[[#This Row],[Rating]] &lt; 4, "Medium", "High")))</f>
        <v>High</v>
      </c>
      <c r="L1313">
        <v>6</v>
      </c>
      <c r="M1313">
        <v>20</v>
      </c>
      <c r="N1313" t="str">
        <f>IF(Table13[[#This Row],[Price USD]]&lt;20,"Budget",IF(Table13[[#This Row],[Price USD]]&lt;=50,"Mid-range","Premium"))</f>
        <v>Mid-range</v>
      </c>
      <c r="O1313">
        <v>0</v>
      </c>
      <c r="P1313">
        <v>0</v>
      </c>
    </row>
    <row r="1314" spans="1:16" x14ac:dyDescent="0.25">
      <c r="A1314" t="s">
        <v>4464</v>
      </c>
      <c r="B1314" t="s">
        <v>4465</v>
      </c>
      <c r="C1314">
        <v>6375</v>
      </c>
      <c r="D1314" t="s">
        <v>3234</v>
      </c>
      <c r="E1314" t="s">
        <v>201</v>
      </c>
      <c r="F1314">
        <v>1560</v>
      </c>
      <c r="G13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4">
        <v>4.1882999999999999</v>
      </c>
      <c r="J1314" t="str">
        <f>IF(ISBLANK(Table13[[#This Row],[Rating]]), "No", "Yes")</f>
        <v>Yes</v>
      </c>
      <c r="K1314" t="str">
        <f>IF(ISBLANK(Table13[[#This Row],[Rating]]), "Not Rated", IF(Table13[[#This Row],[Rating]] &lt; 3, "Low", IF(Table13[[#This Row],[Rating]] &lt; 4, "Medium", "High")))</f>
        <v>High</v>
      </c>
      <c r="L1314">
        <v>154</v>
      </c>
      <c r="M1314">
        <v>45</v>
      </c>
      <c r="N1314" t="str">
        <f>IF(Table13[[#This Row],[Price USD]]&lt;20,"Budget",IF(Table13[[#This Row],[Price USD]]&lt;=50,"Mid-range","Premium"))</f>
        <v>Mid-range</v>
      </c>
      <c r="O1314">
        <v>0</v>
      </c>
      <c r="P1314">
        <v>0</v>
      </c>
    </row>
    <row r="1315" spans="1:16" x14ac:dyDescent="0.25">
      <c r="A1315" t="s">
        <v>4462</v>
      </c>
      <c r="B1315" t="s">
        <v>4463</v>
      </c>
      <c r="C1315">
        <v>2082</v>
      </c>
      <c r="D1315" t="s">
        <v>594</v>
      </c>
      <c r="E1315" t="s">
        <v>13</v>
      </c>
      <c r="F1315">
        <v>1562</v>
      </c>
      <c r="G13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5">
        <v>3.3332999999999999</v>
      </c>
      <c r="J1315" t="str">
        <f>IF(ISBLANK(Table13[[#This Row],[Rating]]), "No", "Yes")</f>
        <v>Yes</v>
      </c>
      <c r="K1315" t="str">
        <f>IF(ISBLANK(Table13[[#This Row],[Rating]]), "Not Rated", IF(Table13[[#This Row],[Rating]] &lt; 3, "Low", IF(Table13[[#This Row],[Rating]] &lt; 4, "Medium", "High")))</f>
        <v>Medium</v>
      </c>
      <c r="L1315">
        <v>24</v>
      </c>
      <c r="M1315">
        <v>30</v>
      </c>
      <c r="N1315" t="str">
        <f>IF(Table13[[#This Row],[Price USD]]&lt;20,"Budget",IF(Table13[[#This Row],[Price USD]]&lt;=50,"Mid-range","Premium"))</f>
        <v>Mid-range</v>
      </c>
      <c r="O1315">
        <v>0</v>
      </c>
      <c r="P1315">
        <v>0</v>
      </c>
    </row>
    <row r="1316" spans="1:16" x14ac:dyDescent="0.25">
      <c r="A1316" t="s">
        <v>4460</v>
      </c>
      <c r="B1316" t="s">
        <v>4461</v>
      </c>
      <c r="C1316">
        <v>6309</v>
      </c>
      <c r="D1316" t="s">
        <v>1735</v>
      </c>
      <c r="E1316" t="s">
        <v>220</v>
      </c>
      <c r="F1316">
        <v>1575</v>
      </c>
      <c r="G13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6">
        <v>4.5</v>
      </c>
      <c r="J1316" t="str">
        <f>IF(ISBLANK(Table13[[#This Row],[Rating]]), "No", "Yes")</f>
        <v>Yes</v>
      </c>
      <c r="K1316" t="str">
        <f>IF(ISBLANK(Table13[[#This Row],[Rating]]), "Not Rated", IF(Table13[[#This Row],[Rating]] &lt; 3, "Low", IF(Table13[[#This Row],[Rating]] &lt; 4, "Medium", "High")))</f>
        <v>High</v>
      </c>
      <c r="L1316">
        <v>2</v>
      </c>
      <c r="M1316">
        <v>85</v>
      </c>
      <c r="N1316" t="str">
        <f>IF(Table13[[#This Row],[Price USD]]&lt;20,"Budget",IF(Table13[[#This Row],[Price USD]]&lt;=50,"Mid-range","Premium"))</f>
        <v>Premium</v>
      </c>
      <c r="O1316">
        <v>0</v>
      </c>
      <c r="P1316">
        <v>0</v>
      </c>
    </row>
    <row r="1317" spans="1:16" x14ac:dyDescent="0.25">
      <c r="A1317" t="s">
        <v>4458</v>
      </c>
      <c r="B1317" t="s">
        <v>4459</v>
      </c>
      <c r="C1317">
        <v>6234</v>
      </c>
      <c r="D1317" t="s">
        <v>7</v>
      </c>
      <c r="E1317" t="s">
        <v>13</v>
      </c>
      <c r="F1317">
        <v>1580</v>
      </c>
      <c r="G13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7">
        <v>4.3333000000000004</v>
      </c>
      <c r="J1317" t="str">
        <f>IF(ISBLANK(Table13[[#This Row],[Rating]]), "No", "Yes")</f>
        <v>Yes</v>
      </c>
      <c r="K1317" t="str">
        <f>IF(ISBLANK(Table13[[#This Row],[Rating]]), "Not Rated", IF(Table13[[#This Row],[Rating]] &lt; 3, "Low", IF(Table13[[#This Row],[Rating]] &lt; 4, "Medium", "High")))</f>
        <v>High</v>
      </c>
      <c r="L1317">
        <v>6</v>
      </c>
      <c r="M1317">
        <v>12.5</v>
      </c>
      <c r="N1317" t="str">
        <f>IF(Table13[[#This Row],[Price USD]]&lt;20,"Budget",IF(Table13[[#This Row],[Price USD]]&lt;=50,"Mid-range","Premium"))</f>
        <v>Budget</v>
      </c>
      <c r="O1317">
        <v>1</v>
      </c>
      <c r="P1317">
        <v>0</v>
      </c>
    </row>
    <row r="1318" spans="1:16" x14ac:dyDescent="0.25">
      <c r="A1318" t="s">
        <v>4456</v>
      </c>
      <c r="B1318" t="s">
        <v>4457</v>
      </c>
      <c r="C1318">
        <v>6476</v>
      </c>
      <c r="D1318" t="s">
        <v>3462</v>
      </c>
      <c r="E1318" t="s">
        <v>347</v>
      </c>
      <c r="F1318">
        <v>1586</v>
      </c>
      <c r="G13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8">
        <v>3.6667000000000001</v>
      </c>
      <c r="J1318" t="str">
        <f>IF(ISBLANK(Table13[[#This Row],[Rating]]), "No", "Yes")</f>
        <v>Yes</v>
      </c>
      <c r="K1318" t="str">
        <f>IF(ISBLANK(Table13[[#This Row],[Rating]]), "Not Rated", IF(Table13[[#This Row],[Rating]] &lt; 3, "Low", IF(Table13[[#This Row],[Rating]] &lt; 4, "Medium", "High")))</f>
        <v>Medium</v>
      </c>
      <c r="L1318">
        <v>3</v>
      </c>
      <c r="M1318">
        <v>6</v>
      </c>
      <c r="N1318" t="str">
        <f>IF(Table13[[#This Row],[Price USD]]&lt;20,"Budget",IF(Table13[[#This Row],[Price USD]]&lt;=50,"Mid-range","Premium"))</f>
        <v>Budget</v>
      </c>
      <c r="O1318">
        <v>0</v>
      </c>
      <c r="P1318">
        <v>0</v>
      </c>
    </row>
    <row r="1319" spans="1:16" x14ac:dyDescent="0.25">
      <c r="A1319" t="s">
        <v>4454</v>
      </c>
      <c r="B1319" t="s">
        <v>4455</v>
      </c>
      <c r="C1319">
        <v>6295</v>
      </c>
      <c r="D1319" t="s">
        <v>184</v>
      </c>
      <c r="E1319" t="s">
        <v>220</v>
      </c>
      <c r="F1319">
        <v>1592</v>
      </c>
      <c r="G13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19">
        <v>3.25</v>
      </c>
      <c r="J1319" t="str">
        <f>IF(ISBLANK(Table13[[#This Row],[Rating]]), "No", "Yes")</f>
        <v>Yes</v>
      </c>
      <c r="K1319" t="str">
        <f>IF(ISBLANK(Table13[[#This Row],[Rating]]), "Not Rated", IF(Table13[[#This Row],[Rating]] &lt; 3, "Low", IF(Table13[[#This Row],[Rating]] &lt; 4, "Medium", "High")))</f>
        <v>Medium</v>
      </c>
      <c r="L1319">
        <v>4</v>
      </c>
      <c r="M1319">
        <v>18</v>
      </c>
      <c r="N1319" t="str">
        <f>IF(Table13[[#This Row],[Price USD]]&lt;20,"Budget",IF(Table13[[#This Row],[Price USD]]&lt;=50,"Mid-range","Premium"))</f>
        <v>Budget</v>
      </c>
      <c r="O1319">
        <v>0</v>
      </c>
      <c r="P1319">
        <v>0</v>
      </c>
    </row>
    <row r="1320" spans="1:16" x14ac:dyDescent="0.25">
      <c r="A1320" t="s">
        <v>4452</v>
      </c>
      <c r="B1320" t="s">
        <v>4453</v>
      </c>
      <c r="C1320">
        <v>6749</v>
      </c>
      <c r="D1320" t="s">
        <v>3173</v>
      </c>
      <c r="E1320" t="s">
        <v>21</v>
      </c>
      <c r="F1320">
        <v>1595</v>
      </c>
      <c r="G13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0">
        <v>4.9009</v>
      </c>
      <c r="J1320" t="str">
        <f>IF(ISBLANK(Table13[[#This Row],[Rating]]), "No", "Yes")</f>
        <v>Yes</v>
      </c>
      <c r="K1320" t="str">
        <f>IF(ISBLANK(Table13[[#This Row],[Rating]]), "Not Rated", IF(Table13[[#This Row],[Rating]] &lt; 3, "Low", IF(Table13[[#This Row],[Rating]] &lt; 4, "Medium", "High")))</f>
        <v>High</v>
      </c>
      <c r="L1320">
        <v>111</v>
      </c>
      <c r="M1320">
        <v>72</v>
      </c>
      <c r="N1320" t="str">
        <f>IF(Table13[[#This Row],[Price USD]]&lt;20,"Budget",IF(Table13[[#This Row],[Price USD]]&lt;=50,"Mid-range","Premium"))</f>
        <v>Premium</v>
      </c>
      <c r="O1320">
        <v>1</v>
      </c>
      <c r="P1320">
        <v>0</v>
      </c>
    </row>
    <row r="1321" spans="1:16" x14ac:dyDescent="0.25">
      <c r="A1321" t="s">
        <v>4450</v>
      </c>
      <c r="B1321" t="s">
        <v>4451</v>
      </c>
      <c r="C1321">
        <v>2082</v>
      </c>
      <c r="D1321" t="s">
        <v>594</v>
      </c>
      <c r="E1321" t="s">
        <v>106</v>
      </c>
      <c r="F1321">
        <v>1606</v>
      </c>
      <c r="G13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1">
        <v>5</v>
      </c>
      <c r="J1321" t="str">
        <f>IF(ISBLANK(Table13[[#This Row],[Rating]]), "No", "Yes")</f>
        <v>Yes</v>
      </c>
      <c r="K1321" t="str">
        <f>IF(ISBLANK(Table13[[#This Row],[Rating]]), "Not Rated", IF(Table13[[#This Row],[Rating]] &lt; 3, "Low", IF(Table13[[#This Row],[Rating]] &lt; 4, "Medium", "High")))</f>
        <v>High</v>
      </c>
      <c r="L1321">
        <v>4</v>
      </c>
      <c r="M1321">
        <v>42</v>
      </c>
      <c r="N1321" t="str">
        <f>IF(Table13[[#This Row],[Price USD]]&lt;20,"Budget",IF(Table13[[#This Row],[Price USD]]&lt;=50,"Mid-range","Premium"))</f>
        <v>Mid-range</v>
      </c>
      <c r="O1321">
        <v>0</v>
      </c>
      <c r="P1321">
        <v>1</v>
      </c>
    </row>
    <row r="1322" spans="1:16" x14ac:dyDescent="0.25">
      <c r="A1322" t="s">
        <v>4448</v>
      </c>
      <c r="B1322" t="s">
        <v>4449</v>
      </c>
      <c r="C1322">
        <v>6272</v>
      </c>
      <c r="D1322" t="s">
        <v>1711</v>
      </c>
      <c r="E1322" t="s">
        <v>149</v>
      </c>
      <c r="F1322">
        <v>1607</v>
      </c>
      <c r="G13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2">
        <v>4</v>
      </c>
      <c r="J1322" t="str">
        <f>IF(ISBLANK(Table13[[#This Row],[Rating]]), "No", "Yes")</f>
        <v>Yes</v>
      </c>
      <c r="K1322" t="str">
        <f>IF(ISBLANK(Table13[[#This Row],[Rating]]), "Not Rated", IF(Table13[[#This Row],[Rating]] &lt; 3, "Low", IF(Table13[[#This Row],[Rating]] &lt; 4, "Medium", "High")))</f>
        <v>High</v>
      </c>
      <c r="L1322">
        <v>5</v>
      </c>
      <c r="M1322">
        <v>99</v>
      </c>
      <c r="N1322" t="str">
        <f>IF(Table13[[#This Row],[Price USD]]&lt;20,"Budget",IF(Table13[[#This Row],[Price USD]]&lt;=50,"Mid-range","Premium"))</f>
        <v>Premium</v>
      </c>
      <c r="O1322">
        <v>0</v>
      </c>
      <c r="P1322">
        <v>0</v>
      </c>
    </row>
    <row r="1323" spans="1:16" x14ac:dyDescent="0.25">
      <c r="A1323" t="s">
        <v>4446</v>
      </c>
      <c r="B1323" t="s">
        <v>4447</v>
      </c>
      <c r="C1323">
        <v>6329</v>
      </c>
      <c r="D1323" t="s">
        <v>3435</v>
      </c>
      <c r="E1323" t="s">
        <v>21</v>
      </c>
      <c r="F1323">
        <v>1609</v>
      </c>
      <c r="G13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3">
        <v>4.4400000000000004</v>
      </c>
      <c r="J1323" t="str">
        <f>IF(ISBLANK(Table13[[#This Row],[Rating]]), "No", "Yes")</f>
        <v>Yes</v>
      </c>
      <c r="K1323" t="str">
        <f>IF(ISBLANK(Table13[[#This Row],[Rating]]), "Not Rated", IF(Table13[[#This Row],[Rating]] &lt; 3, "Low", IF(Table13[[#This Row],[Rating]] &lt; 4, "Medium", "High")))</f>
        <v>High</v>
      </c>
      <c r="L1323">
        <v>25</v>
      </c>
      <c r="M1323">
        <v>120</v>
      </c>
      <c r="N1323" t="str">
        <f>IF(Table13[[#This Row],[Price USD]]&lt;20,"Budget",IF(Table13[[#This Row],[Price USD]]&lt;=50,"Mid-range","Premium"))</f>
        <v>Premium</v>
      </c>
      <c r="O1323">
        <v>0</v>
      </c>
      <c r="P1323">
        <v>0</v>
      </c>
    </row>
    <row r="1324" spans="1:16" x14ac:dyDescent="0.25">
      <c r="A1324" t="s">
        <v>4444</v>
      </c>
      <c r="B1324" t="s">
        <v>4445</v>
      </c>
      <c r="C1324">
        <v>6226</v>
      </c>
      <c r="D1324" t="s">
        <v>843</v>
      </c>
      <c r="E1324" t="s">
        <v>201</v>
      </c>
      <c r="F1324">
        <v>1614</v>
      </c>
      <c r="G13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4">
        <v>1.25</v>
      </c>
      <c r="J1324" t="str">
        <f>IF(ISBLANK(Table13[[#This Row],[Rating]]), "No", "Yes")</f>
        <v>Yes</v>
      </c>
      <c r="K1324" t="str">
        <f>IF(ISBLANK(Table13[[#This Row],[Rating]]), "Not Rated", IF(Table13[[#This Row],[Rating]] &lt; 3, "Low", IF(Table13[[#This Row],[Rating]] &lt; 4, "Medium", "High")))</f>
        <v>Low</v>
      </c>
      <c r="L1324">
        <v>4</v>
      </c>
      <c r="M1324">
        <v>75</v>
      </c>
      <c r="N1324" t="str">
        <f>IF(Table13[[#This Row],[Price USD]]&lt;20,"Budget",IF(Table13[[#This Row],[Price USD]]&lt;=50,"Mid-range","Premium"))</f>
        <v>Premium</v>
      </c>
      <c r="O1324">
        <v>0</v>
      </c>
      <c r="P1324">
        <v>0</v>
      </c>
    </row>
    <row r="1325" spans="1:16" x14ac:dyDescent="0.25">
      <c r="A1325" t="s">
        <v>4442</v>
      </c>
      <c r="B1325" t="s">
        <v>4443</v>
      </c>
      <c r="C1325">
        <v>6307</v>
      </c>
      <c r="D1325" t="s">
        <v>1132</v>
      </c>
      <c r="E1325" t="s">
        <v>21</v>
      </c>
      <c r="F1325">
        <v>1615</v>
      </c>
      <c r="G13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5">
        <v>4.8</v>
      </c>
      <c r="J1325" t="str">
        <f>IF(ISBLANK(Table13[[#This Row],[Rating]]), "No", "Yes")</f>
        <v>Yes</v>
      </c>
      <c r="K1325" t="str">
        <f>IF(ISBLANK(Table13[[#This Row],[Rating]]), "Not Rated", IF(Table13[[#This Row],[Rating]] &lt; 3, "Low", IF(Table13[[#This Row],[Rating]] &lt; 4, "Medium", "High")))</f>
        <v>High</v>
      </c>
      <c r="L1325">
        <v>60</v>
      </c>
      <c r="M1325">
        <v>260</v>
      </c>
      <c r="N1325" t="str">
        <f>IF(Table13[[#This Row],[Price USD]]&lt;20,"Budget",IF(Table13[[#This Row],[Price USD]]&lt;=50,"Mid-range","Premium"))</f>
        <v>Premium</v>
      </c>
      <c r="O1325">
        <v>0</v>
      </c>
      <c r="P1325">
        <v>0</v>
      </c>
    </row>
    <row r="1326" spans="1:16" x14ac:dyDescent="0.25">
      <c r="A1326" t="s">
        <v>4440</v>
      </c>
      <c r="B1326" t="s">
        <v>4441</v>
      </c>
      <c r="C1326">
        <v>8017</v>
      </c>
      <c r="D1326" t="s">
        <v>620</v>
      </c>
      <c r="E1326" t="s">
        <v>8</v>
      </c>
      <c r="F1326">
        <v>1635</v>
      </c>
      <c r="G13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6">
        <v>3.75</v>
      </c>
      <c r="J1326" t="str">
        <f>IF(ISBLANK(Table13[[#This Row],[Rating]]), "No", "Yes")</f>
        <v>Yes</v>
      </c>
      <c r="K1326" t="str">
        <f>IF(ISBLANK(Table13[[#This Row],[Rating]]), "Not Rated", IF(Table13[[#This Row],[Rating]] &lt; 3, "Low", IF(Table13[[#This Row],[Rating]] &lt; 4, "Medium", "High")))</f>
        <v>Medium</v>
      </c>
      <c r="L1326">
        <v>4</v>
      </c>
      <c r="M1326">
        <v>17</v>
      </c>
      <c r="N1326" t="str">
        <f>IF(Table13[[#This Row],[Price USD]]&lt;20,"Budget",IF(Table13[[#This Row],[Price USD]]&lt;=50,"Mid-range","Premium"))</f>
        <v>Budget</v>
      </c>
      <c r="O1326">
        <v>0</v>
      </c>
      <c r="P1326">
        <v>0</v>
      </c>
    </row>
    <row r="1327" spans="1:16" x14ac:dyDescent="0.25">
      <c r="A1327" t="s">
        <v>4438</v>
      </c>
      <c r="B1327" t="s">
        <v>4439</v>
      </c>
      <c r="C1327">
        <v>6307</v>
      </c>
      <c r="D1327" t="s">
        <v>1132</v>
      </c>
      <c r="E1327" t="s">
        <v>8</v>
      </c>
      <c r="F1327">
        <v>1645</v>
      </c>
      <c r="G13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7">
        <v>4.6971999999999996</v>
      </c>
      <c r="J1327" t="str">
        <f>IF(ISBLANK(Table13[[#This Row],[Rating]]), "No", "Yes")</f>
        <v>Yes</v>
      </c>
      <c r="K1327" t="str">
        <f>IF(ISBLANK(Table13[[#This Row],[Rating]]), "Not Rated", IF(Table13[[#This Row],[Rating]] &lt; 3, "Low", IF(Table13[[#This Row],[Rating]] &lt; 4, "Medium", "High")))</f>
        <v>High</v>
      </c>
      <c r="L1327">
        <v>142</v>
      </c>
      <c r="M1327">
        <v>210</v>
      </c>
      <c r="N1327" t="str">
        <f>IF(Table13[[#This Row],[Price USD]]&lt;20,"Budget",IF(Table13[[#This Row],[Price USD]]&lt;=50,"Mid-range","Premium"))</f>
        <v>Premium</v>
      </c>
      <c r="O1327">
        <v>0</v>
      </c>
      <c r="P1327">
        <v>0</v>
      </c>
    </row>
    <row r="1328" spans="1:16" x14ac:dyDescent="0.25">
      <c r="A1328" t="s">
        <v>4436</v>
      </c>
      <c r="B1328" t="s">
        <v>4437</v>
      </c>
      <c r="C1328">
        <v>8017</v>
      </c>
      <c r="D1328" t="s">
        <v>620</v>
      </c>
      <c r="E1328" t="s">
        <v>21</v>
      </c>
      <c r="F1328">
        <v>1647</v>
      </c>
      <c r="G13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8">
        <v>3.2</v>
      </c>
      <c r="J1328" t="str">
        <f>IF(ISBLANK(Table13[[#This Row],[Rating]]), "No", "Yes")</f>
        <v>Yes</v>
      </c>
      <c r="K1328" t="str">
        <f>IF(ISBLANK(Table13[[#This Row],[Rating]]), "Not Rated", IF(Table13[[#This Row],[Rating]] &lt; 3, "Low", IF(Table13[[#This Row],[Rating]] &lt; 4, "Medium", "High")))</f>
        <v>Medium</v>
      </c>
      <c r="L1328">
        <v>15</v>
      </c>
      <c r="M1328">
        <v>26</v>
      </c>
      <c r="N1328" t="str">
        <f>IF(Table13[[#This Row],[Price USD]]&lt;20,"Budget",IF(Table13[[#This Row],[Price USD]]&lt;=50,"Mid-range","Premium"))</f>
        <v>Mid-range</v>
      </c>
      <c r="O1328">
        <v>0</v>
      </c>
      <c r="P1328">
        <v>0</v>
      </c>
    </row>
    <row r="1329" spans="1:16" x14ac:dyDescent="0.25">
      <c r="A1329" t="s">
        <v>4434</v>
      </c>
      <c r="B1329" t="s">
        <v>4435</v>
      </c>
      <c r="C1329">
        <v>2082</v>
      </c>
      <c r="D1329" t="s">
        <v>594</v>
      </c>
      <c r="E1329" t="s">
        <v>21</v>
      </c>
      <c r="F1329">
        <v>1652</v>
      </c>
      <c r="G13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29">
        <v>4.8571</v>
      </c>
      <c r="J1329" t="str">
        <f>IF(ISBLANK(Table13[[#This Row],[Rating]]), "No", "Yes")</f>
        <v>Yes</v>
      </c>
      <c r="K1329" t="str">
        <f>IF(ISBLANK(Table13[[#This Row],[Rating]]), "Not Rated", IF(Table13[[#This Row],[Rating]] &lt; 3, "Low", IF(Table13[[#This Row],[Rating]] &lt; 4, "Medium", "High")))</f>
        <v>High</v>
      </c>
      <c r="L1329">
        <v>7</v>
      </c>
      <c r="M1329">
        <v>58</v>
      </c>
      <c r="N1329" t="str">
        <f>IF(Table13[[#This Row],[Price USD]]&lt;20,"Budget",IF(Table13[[#This Row],[Price USD]]&lt;=50,"Mid-range","Premium"))</f>
        <v>Premium</v>
      </c>
      <c r="O1329">
        <v>0</v>
      </c>
      <c r="P1329">
        <v>0</v>
      </c>
    </row>
    <row r="1330" spans="1:16" x14ac:dyDescent="0.25">
      <c r="A1330" t="s">
        <v>4431</v>
      </c>
      <c r="B1330" t="s">
        <v>4432</v>
      </c>
      <c r="C1330">
        <v>6756</v>
      </c>
      <c r="D1330" t="s">
        <v>4433</v>
      </c>
      <c r="E1330" t="s">
        <v>220</v>
      </c>
      <c r="F1330">
        <v>1660</v>
      </c>
      <c r="G13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0">
        <v>4.3396999999999997</v>
      </c>
      <c r="J1330" t="str">
        <f>IF(ISBLANK(Table13[[#This Row],[Rating]]), "No", "Yes")</f>
        <v>Yes</v>
      </c>
      <c r="K1330" t="str">
        <f>IF(ISBLANK(Table13[[#This Row],[Rating]]), "Not Rated", IF(Table13[[#This Row],[Rating]] &lt; 3, "Low", IF(Table13[[#This Row],[Rating]] &lt; 4, "Medium", "High")))</f>
        <v>High</v>
      </c>
      <c r="L1330">
        <v>209</v>
      </c>
      <c r="M1330">
        <v>169.99</v>
      </c>
      <c r="N1330" t="str">
        <f>IF(Table13[[#This Row],[Price USD]]&lt;20,"Budget",IF(Table13[[#This Row],[Price USD]]&lt;=50,"Mid-range","Premium"))</f>
        <v>Premium</v>
      </c>
      <c r="O1330">
        <v>1</v>
      </c>
      <c r="P1330">
        <v>0</v>
      </c>
    </row>
    <row r="1331" spans="1:16" x14ac:dyDescent="0.25">
      <c r="A1331" t="s">
        <v>4429</v>
      </c>
      <c r="B1331" t="s">
        <v>4430</v>
      </c>
      <c r="C1331">
        <v>6371</v>
      </c>
      <c r="D1331" t="s">
        <v>2583</v>
      </c>
      <c r="E1331" t="s">
        <v>69</v>
      </c>
      <c r="F1331">
        <v>1673</v>
      </c>
      <c r="G13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1">
        <v>4.5728999999999997</v>
      </c>
      <c r="J1331" t="str">
        <f>IF(ISBLANK(Table13[[#This Row],[Rating]]), "No", "Yes")</f>
        <v>Yes</v>
      </c>
      <c r="K1331" t="str">
        <f>IF(ISBLANK(Table13[[#This Row],[Rating]]), "Not Rated", IF(Table13[[#This Row],[Rating]] &lt; 3, "Low", IF(Table13[[#This Row],[Rating]] &lt; 4, "Medium", "High")))</f>
        <v>High</v>
      </c>
      <c r="L1331">
        <v>494</v>
      </c>
      <c r="M1331">
        <v>38</v>
      </c>
      <c r="N1331" t="str">
        <f>IF(Table13[[#This Row],[Price USD]]&lt;20,"Budget",IF(Table13[[#This Row],[Price USD]]&lt;=50,"Mid-range","Premium"))</f>
        <v>Mid-range</v>
      </c>
      <c r="O1331">
        <v>0</v>
      </c>
      <c r="P1331">
        <v>0</v>
      </c>
    </row>
    <row r="1332" spans="1:16" x14ac:dyDescent="0.25">
      <c r="A1332" t="s">
        <v>4427</v>
      </c>
      <c r="B1332" t="s">
        <v>4428</v>
      </c>
      <c r="C1332">
        <v>6302</v>
      </c>
      <c r="D1332" t="s">
        <v>2721</v>
      </c>
      <c r="E1332" t="s">
        <v>21</v>
      </c>
      <c r="F1332">
        <v>1685</v>
      </c>
      <c r="G13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2">
        <v>5</v>
      </c>
      <c r="J1332" t="str">
        <f>IF(ISBLANK(Table13[[#This Row],[Rating]]), "No", "Yes")</f>
        <v>Yes</v>
      </c>
      <c r="K1332" t="str">
        <f>IF(ISBLANK(Table13[[#This Row],[Rating]]), "Not Rated", IF(Table13[[#This Row],[Rating]] &lt; 3, "Low", IF(Table13[[#This Row],[Rating]] &lt; 4, "Medium", "High")))</f>
        <v>High</v>
      </c>
      <c r="L1332">
        <v>9</v>
      </c>
      <c r="M1332">
        <v>225</v>
      </c>
      <c r="N1332" t="str">
        <f>IF(Table13[[#This Row],[Price USD]]&lt;20,"Budget",IF(Table13[[#This Row],[Price USD]]&lt;=50,"Mid-range","Premium"))</f>
        <v>Premium</v>
      </c>
      <c r="O1332">
        <v>0</v>
      </c>
      <c r="P1332">
        <v>0</v>
      </c>
    </row>
    <row r="1333" spans="1:16" x14ac:dyDescent="0.25">
      <c r="A1333" t="s">
        <v>4425</v>
      </c>
      <c r="B1333" t="s">
        <v>4426</v>
      </c>
      <c r="C1333">
        <v>6329</v>
      </c>
      <c r="D1333" t="s">
        <v>3435</v>
      </c>
      <c r="E1333" t="s">
        <v>8</v>
      </c>
      <c r="F1333">
        <v>1695</v>
      </c>
      <c r="G13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3">
        <v>4.6832000000000003</v>
      </c>
      <c r="J1333" t="str">
        <f>IF(ISBLANK(Table13[[#This Row],[Rating]]), "No", "Yes")</f>
        <v>Yes</v>
      </c>
      <c r="K1333" t="str">
        <f>IF(ISBLANK(Table13[[#This Row],[Rating]]), "Not Rated", IF(Table13[[#This Row],[Rating]] &lt; 3, "Low", IF(Table13[[#This Row],[Rating]] &lt; 4, "Medium", "High")))</f>
        <v>High</v>
      </c>
      <c r="L1333">
        <v>101</v>
      </c>
      <c r="M1333">
        <v>65</v>
      </c>
      <c r="N1333" t="str">
        <f>IF(Table13[[#This Row],[Price USD]]&lt;20,"Budget",IF(Table13[[#This Row],[Price USD]]&lt;=50,"Mid-range","Premium"))</f>
        <v>Premium</v>
      </c>
      <c r="O1333">
        <v>0</v>
      </c>
      <c r="P1333">
        <v>0</v>
      </c>
    </row>
    <row r="1334" spans="1:16" x14ac:dyDescent="0.25">
      <c r="A1334" t="s">
        <v>4421</v>
      </c>
      <c r="B1334" t="s">
        <v>4422</v>
      </c>
      <c r="C1334">
        <v>5987</v>
      </c>
      <c r="D1334" t="s">
        <v>48</v>
      </c>
      <c r="E1334" t="s">
        <v>220</v>
      </c>
      <c r="F1334">
        <v>1702</v>
      </c>
      <c r="G13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4">
        <v>5</v>
      </c>
      <c r="J1334" t="str">
        <f>IF(ISBLANK(Table13[[#This Row],[Rating]]), "No", "Yes")</f>
        <v>Yes</v>
      </c>
      <c r="K1334" t="str">
        <f>IF(ISBLANK(Table13[[#This Row],[Rating]]), "Not Rated", IF(Table13[[#This Row],[Rating]] &lt; 3, "Low", IF(Table13[[#This Row],[Rating]] &lt; 4, "Medium", "High")))</f>
        <v>High</v>
      </c>
      <c r="L1334">
        <v>1</v>
      </c>
      <c r="M1334">
        <v>30</v>
      </c>
      <c r="N1334" t="str">
        <f>IF(Table13[[#This Row],[Price USD]]&lt;20,"Budget",IF(Table13[[#This Row],[Price USD]]&lt;=50,"Mid-range","Premium"))</f>
        <v>Mid-range</v>
      </c>
      <c r="O1334">
        <v>1</v>
      </c>
      <c r="P1334">
        <v>0</v>
      </c>
    </row>
    <row r="1335" spans="1:16" x14ac:dyDescent="0.25">
      <c r="A1335" t="s">
        <v>4423</v>
      </c>
      <c r="B1335" t="s">
        <v>4424</v>
      </c>
      <c r="C1335">
        <v>6303</v>
      </c>
      <c r="D1335" t="s">
        <v>3247</v>
      </c>
      <c r="E1335" t="s">
        <v>8</v>
      </c>
      <c r="F1335">
        <v>1702</v>
      </c>
      <c r="G13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5">
        <v>4.1590999999999996</v>
      </c>
      <c r="J1335" t="str">
        <f>IF(ISBLANK(Table13[[#This Row],[Rating]]), "No", "Yes")</f>
        <v>Yes</v>
      </c>
      <c r="K1335" t="str">
        <f>IF(ISBLANK(Table13[[#This Row],[Rating]]), "Not Rated", IF(Table13[[#This Row],[Rating]] &lt; 3, "Low", IF(Table13[[#This Row],[Rating]] &lt; 4, "Medium", "High")))</f>
        <v>High</v>
      </c>
      <c r="L1335">
        <v>132</v>
      </c>
      <c r="M1335">
        <v>75</v>
      </c>
      <c r="N1335" t="str">
        <f>IF(Table13[[#This Row],[Price USD]]&lt;20,"Budget",IF(Table13[[#This Row],[Price USD]]&lt;=50,"Mid-range","Premium"))</f>
        <v>Premium</v>
      </c>
      <c r="O1335">
        <v>0</v>
      </c>
      <c r="P1335">
        <v>0</v>
      </c>
    </row>
    <row r="1336" spans="1:16" x14ac:dyDescent="0.25">
      <c r="A1336" t="s">
        <v>4419</v>
      </c>
      <c r="B1336" t="s">
        <v>4420</v>
      </c>
      <c r="C1336">
        <v>6302</v>
      </c>
      <c r="D1336" t="s">
        <v>2721</v>
      </c>
      <c r="E1336" t="s">
        <v>8</v>
      </c>
      <c r="F1336">
        <v>1709</v>
      </c>
      <c r="G13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6">
        <v>3.5556000000000001</v>
      </c>
      <c r="J1336" t="str">
        <f>IF(ISBLANK(Table13[[#This Row],[Rating]]), "No", "Yes")</f>
        <v>Yes</v>
      </c>
      <c r="K1336" t="str">
        <f>IF(ISBLANK(Table13[[#This Row],[Rating]]), "Not Rated", IF(Table13[[#This Row],[Rating]] &lt; 3, "Low", IF(Table13[[#This Row],[Rating]] &lt; 4, "Medium", "High")))</f>
        <v>Medium</v>
      </c>
      <c r="L1336">
        <v>9</v>
      </c>
      <c r="M1336">
        <v>310</v>
      </c>
      <c r="N1336" t="str">
        <f>IF(Table13[[#This Row],[Price USD]]&lt;20,"Budget",IF(Table13[[#This Row],[Price USD]]&lt;=50,"Mid-range","Premium"))</f>
        <v>Premium</v>
      </c>
      <c r="O1336">
        <v>0</v>
      </c>
      <c r="P1336">
        <v>0</v>
      </c>
    </row>
    <row r="1337" spans="1:16" x14ac:dyDescent="0.25">
      <c r="A1337" t="s">
        <v>4417</v>
      </c>
      <c r="B1337" t="s">
        <v>4418</v>
      </c>
      <c r="C1337">
        <v>6749</v>
      </c>
      <c r="D1337" t="s">
        <v>3173</v>
      </c>
      <c r="E1337" t="s">
        <v>69</v>
      </c>
      <c r="F1337">
        <v>1713</v>
      </c>
      <c r="G13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7">
        <v>4.8518999999999997</v>
      </c>
      <c r="J1337" t="str">
        <f>IF(ISBLANK(Table13[[#This Row],[Rating]]), "No", "Yes")</f>
        <v>Yes</v>
      </c>
      <c r="K1337" t="str">
        <f>IF(ISBLANK(Table13[[#This Row],[Rating]]), "Not Rated", IF(Table13[[#This Row],[Rating]] &lt; 3, "Low", IF(Table13[[#This Row],[Rating]] &lt; 4, "Medium", "High")))</f>
        <v>High</v>
      </c>
      <c r="L1337">
        <v>27</v>
      </c>
      <c r="M1337">
        <v>54</v>
      </c>
      <c r="N1337" t="str">
        <f>IF(Table13[[#This Row],[Price USD]]&lt;20,"Budget",IF(Table13[[#This Row],[Price USD]]&lt;=50,"Mid-range","Premium"))</f>
        <v>Premium</v>
      </c>
      <c r="O1337">
        <v>1</v>
      </c>
      <c r="P1337">
        <v>0</v>
      </c>
    </row>
    <row r="1338" spans="1:16" x14ac:dyDescent="0.25">
      <c r="A1338" t="s">
        <v>4415</v>
      </c>
      <c r="B1338" t="s">
        <v>4416</v>
      </c>
      <c r="C1338">
        <v>6272</v>
      </c>
      <c r="D1338" t="s">
        <v>1711</v>
      </c>
      <c r="E1338" t="s">
        <v>8</v>
      </c>
      <c r="F1338">
        <v>1715</v>
      </c>
      <c r="G13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8">
        <v>5</v>
      </c>
      <c r="J1338" t="str">
        <f>IF(ISBLANK(Table13[[#This Row],[Rating]]), "No", "Yes")</f>
        <v>Yes</v>
      </c>
      <c r="K1338" t="str">
        <f>IF(ISBLANK(Table13[[#This Row],[Rating]]), "Not Rated", IF(Table13[[#This Row],[Rating]] &lt; 3, "Low", IF(Table13[[#This Row],[Rating]] &lt; 4, "Medium", "High")))</f>
        <v>High</v>
      </c>
      <c r="L1338">
        <v>8</v>
      </c>
      <c r="M1338">
        <v>45</v>
      </c>
      <c r="N1338" t="str">
        <f>IF(Table13[[#This Row],[Price USD]]&lt;20,"Budget",IF(Table13[[#This Row],[Price USD]]&lt;=50,"Mid-range","Premium"))</f>
        <v>Mid-range</v>
      </c>
      <c r="O1338">
        <v>0</v>
      </c>
      <c r="P1338">
        <v>0</v>
      </c>
    </row>
    <row r="1339" spans="1:16" x14ac:dyDescent="0.25">
      <c r="A1339" t="s">
        <v>4413</v>
      </c>
      <c r="B1339" t="s">
        <v>4414</v>
      </c>
      <c r="C1339">
        <v>6302</v>
      </c>
      <c r="D1339" t="s">
        <v>2721</v>
      </c>
      <c r="E1339" t="s">
        <v>8</v>
      </c>
      <c r="F1339">
        <v>1720</v>
      </c>
      <c r="G13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39">
        <v>3.5</v>
      </c>
      <c r="J1339" t="str">
        <f>IF(ISBLANK(Table13[[#This Row],[Rating]]), "No", "Yes")</f>
        <v>Yes</v>
      </c>
      <c r="K1339" t="str">
        <f>IF(ISBLANK(Table13[[#This Row],[Rating]]), "Not Rated", IF(Table13[[#This Row],[Rating]] &lt; 3, "Low", IF(Table13[[#This Row],[Rating]] &lt; 4, "Medium", "High")))</f>
        <v>Medium</v>
      </c>
      <c r="L1339">
        <v>14</v>
      </c>
      <c r="M1339">
        <v>55</v>
      </c>
      <c r="N1339" t="str">
        <f>IF(Table13[[#This Row],[Price USD]]&lt;20,"Budget",IF(Table13[[#This Row],[Price USD]]&lt;=50,"Mid-range","Premium"))</f>
        <v>Premium</v>
      </c>
      <c r="O1339">
        <v>0</v>
      </c>
      <c r="P1339">
        <v>0</v>
      </c>
    </row>
    <row r="1340" spans="1:16" x14ac:dyDescent="0.25">
      <c r="A1340" t="s">
        <v>4411</v>
      </c>
      <c r="B1340" t="s">
        <v>4412</v>
      </c>
      <c r="C1340">
        <v>6084</v>
      </c>
      <c r="D1340" t="s">
        <v>269</v>
      </c>
      <c r="E1340" t="s">
        <v>21</v>
      </c>
      <c r="F1340">
        <v>1721</v>
      </c>
      <c r="G13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0">
        <v>4</v>
      </c>
      <c r="J1340" t="str">
        <f>IF(ISBLANK(Table13[[#This Row],[Rating]]), "No", "Yes")</f>
        <v>Yes</v>
      </c>
      <c r="K1340" t="str">
        <f>IF(ISBLANK(Table13[[#This Row],[Rating]]), "Not Rated", IF(Table13[[#This Row],[Rating]] &lt; 3, "Low", IF(Table13[[#This Row],[Rating]] &lt; 4, "Medium", "High")))</f>
        <v>High</v>
      </c>
      <c r="L1340">
        <v>6</v>
      </c>
      <c r="M1340">
        <v>205</v>
      </c>
      <c r="N1340" t="str">
        <f>IF(Table13[[#This Row],[Price USD]]&lt;20,"Budget",IF(Table13[[#This Row],[Price USD]]&lt;=50,"Mid-range","Premium"))</f>
        <v>Premium</v>
      </c>
      <c r="O1340">
        <v>0</v>
      </c>
      <c r="P1340">
        <v>0</v>
      </c>
    </row>
    <row r="1341" spans="1:16" x14ac:dyDescent="0.25">
      <c r="A1341" t="s">
        <v>4409</v>
      </c>
      <c r="B1341" t="s">
        <v>4410</v>
      </c>
      <c r="C1341">
        <v>6219</v>
      </c>
      <c r="D1341" t="s">
        <v>277</v>
      </c>
      <c r="E1341" t="s">
        <v>220</v>
      </c>
      <c r="F1341">
        <v>1723</v>
      </c>
      <c r="G13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1">
        <v>4.8333000000000004</v>
      </c>
      <c r="J1341" t="str">
        <f>IF(ISBLANK(Table13[[#This Row],[Rating]]), "No", "Yes")</f>
        <v>Yes</v>
      </c>
      <c r="K1341" t="str">
        <f>IF(ISBLANK(Table13[[#This Row],[Rating]]), "Not Rated", IF(Table13[[#This Row],[Rating]] &lt; 3, "Low", IF(Table13[[#This Row],[Rating]] &lt; 4, "Medium", "High")))</f>
        <v>High</v>
      </c>
      <c r="L1341">
        <v>30</v>
      </c>
      <c r="M1341">
        <v>49.5</v>
      </c>
      <c r="N1341" t="str">
        <f>IF(Table13[[#This Row],[Price USD]]&lt;20,"Budget",IF(Table13[[#This Row],[Price USD]]&lt;=50,"Mid-range","Premium"))</f>
        <v>Mid-range</v>
      </c>
      <c r="O1341">
        <v>0</v>
      </c>
      <c r="P1341">
        <v>0</v>
      </c>
    </row>
    <row r="1342" spans="1:16" x14ac:dyDescent="0.25">
      <c r="A1342" t="s">
        <v>4407</v>
      </c>
      <c r="B1342" t="s">
        <v>4408</v>
      </c>
      <c r="C1342">
        <v>1254</v>
      </c>
      <c r="D1342" t="s">
        <v>136</v>
      </c>
      <c r="E1342" t="s">
        <v>8</v>
      </c>
      <c r="F1342">
        <v>1728</v>
      </c>
      <c r="G13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2">
        <v>3.5823999999999998</v>
      </c>
      <c r="J1342" t="str">
        <f>IF(ISBLANK(Table13[[#This Row],[Rating]]), "No", "Yes")</f>
        <v>Yes</v>
      </c>
      <c r="K1342" t="str">
        <f>IF(ISBLANK(Table13[[#This Row],[Rating]]), "Not Rated", IF(Table13[[#This Row],[Rating]] &lt; 3, "Low", IF(Table13[[#This Row],[Rating]] &lt; 4, "Medium", "High")))</f>
        <v>Medium</v>
      </c>
      <c r="L1342">
        <v>91</v>
      </c>
      <c r="M1342">
        <v>21</v>
      </c>
      <c r="N1342" t="str">
        <f>IF(Table13[[#This Row],[Price USD]]&lt;20,"Budget",IF(Table13[[#This Row],[Price USD]]&lt;=50,"Mid-range","Premium"))</f>
        <v>Mid-range</v>
      </c>
      <c r="O1342">
        <v>0</v>
      </c>
      <c r="P1342">
        <v>0</v>
      </c>
    </row>
    <row r="1343" spans="1:16" x14ac:dyDescent="0.25">
      <c r="A1343" t="s">
        <v>4405</v>
      </c>
      <c r="B1343" t="s">
        <v>4406</v>
      </c>
      <c r="C1343">
        <v>6743</v>
      </c>
      <c r="D1343" t="s">
        <v>3942</v>
      </c>
      <c r="E1343" t="s">
        <v>21</v>
      </c>
      <c r="F1343">
        <v>1733</v>
      </c>
      <c r="G13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3">
        <v>4</v>
      </c>
      <c r="J1343" t="str">
        <f>IF(ISBLANK(Table13[[#This Row],[Rating]]), "No", "Yes")</f>
        <v>Yes</v>
      </c>
      <c r="K1343" t="str">
        <f>IF(ISBLANK(Table13[[#This Row],[Rating]]), "Not Rated", IF(Table13[[#This Row],[Rating]] &lt; 3, "Low", IF(Table13[[#This Row],[Rating]] &lt; 4, "Medium", "High")))</f>
        <v>High</v>
      </c>
      <c r="L1343">
        <v>13</v>
      </c>
      <c r="M1343">
        <v>30</v>
      </c>
      <c r="N1343" t="str">
        <f>IF(Table13[[#This Row],[Price USD]]&lt;20,"Budget",IF(Table13[[#This Row],[Price USD]]&lt;=50,"Mid-range","Premium"))</f>
        <v>Mid-range</v>
      </c>
      <c r="O1343">
        <v>0</v>
      </c>
      <c r="P1343">
        <v>0</v>
      </c>
    </row>
    <row r="1344" spans="1:16" x14ac:dyDescent="0.25">
      <c r="A1344" t="s">
        <v>4403</v>
      </c>
      <c r="B1344" t="s">
        <v>4404</v>
      </c>
      <c r="C1344">
        <v>6302</v>
      </c>
      <c r="D1344" t="s">
        <v>2721</v>
      </c>
      <c r="E1344" t="s">
        <v>149</v>
      </c>
      <c r="F1344">
        <v>1735</v>
      </c>
      <c r="G13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4">
        <v>4.3333000000000004</v>
      </c>
      <c r="J1344" t="str">
        <f>IF(ISBLANK(Table13[[#This Row],[Rating]]), "No", "Yes")</f>
        <v>Yes</v>
      </c>
      <c r="K1344" t="str">
        <f>IF(ISBLANK(Table13[[#This Row],[Rating]]), "Not Rated", IF(Table13[[#This Row],[Rating]] &lt; 3, "Low", IF(Table13[[#This Row],[Rating]] &lt; 4, "Medium", "High")))</f>
        <v>High</v>
      </c>
      <c r="L1344">
        <v>6</v>
      </c>
      <c r="M1344">
        <v>210</v>
      </c>
      <c r="N1344" t="str">
        <f>IF(Table13[[#This Row],[Price USD]]&lt;20,"Budget",IF(Table13[[#This Row],[Price USD]]&lt;=50,"Mid-range","Premium"))</f>
        <v>Premium</v>
      </c>
      <c r="O1344">
        <v>0</v>
      </c>
      <c r="P1344">
        <v>0</v>
      </c>
    </row>
    <row r="1345" spans="1:16" x14ac:dyDescent="0.25">
      <c r="A1345" t="s">
        <v>4401</v>
      </c>
      <c r="B1345" t="s">
        <v>4402</v>
      </c>
      <c r="C1345">
        <v>7075</v>
      </c>
      <c r="D1345" t="s">
        <v>75</v>
      </c>
      <c r="E1345" t="s">
        <v>220</v>
      </c>
      <c r="F1345">
        <v>1736</v>
      </c>
      <c r="G13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345" t="str">
        <f>IF(ISBLANK(Table13[[#This Row],[Rating]]), "No", "Yes")</f>
        <v>No</v>
      </c>
      <c r="K1345" t="str">
        <f>IF(ISBLANK(Table13[[#This Row],[Rating]]), "Not Rated", IF(Table13[[#This Row],[Rating]] &lt; 3, "Low", IF(Table13[[#This Row],[Rating]] &lt; 4, "Medium", "High")))</f>
        <v>Not Rated</v>
      </c>
      <c r="L1345">
        <v>0</v>
      </c>
      <c r="M1345">
        <v>38</v>
      </c>
      <c r="N1345" t="str">
        <f>IF(Table13[[#This Row],[Price USD]]&lt;20,"Budget",IF(Table13[[#This Row],[Price USD]]&lt;=50,"Mid-range","Premium"))</f>
        <v>Mid-range</v>
      </c>
      <c r="O1345">
        <v>1</v>
      </c>
      <c r="P1345">
        <v>0</v>
      </c>
    </row>
    <row r="1346" spans="1:16" x14ac:dyDescent="0.25">
      <c r="A1346" t="s">
        <v>4399</v>
      </c>
      <c r="B1346" t="s">
        <v>4400</v>
      </c>
      <c r="C1346">
        <v>5626</v>
      </c>
      <c r="D1346" t="s">
        <v>1069</v>
      </c>
      <c r="E1346" t="s">
        <v>106</v>
      </c>
      <c r="F1346">
        <v>1740</v>
      </c>
      <c r="G13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6">
        <v>5</v>
      </c>
      <c r="J1346" t="str">
        <f>IF(ISBLANK(Table13[[#This Row],[Rating]]), "No", "Yes")</f>
        <v>Yes</v>
      </c>
      <c r="K1346" t="str">
        <f>IF(ISBLANK(Table13[[#This Row],[Rating]]), "Not Rated", IF(Table13[[#This Row],[Rating]] &lt; 3, "Low", IF(Table13[[#This Row],[Rating]] &lt; 4, "Medium", "High")))</f>
        <v>High</v>
      </c>
      <c r="L1346">
        <v>1</v>
      </c>
      <c r="M1346">
        <v>29</v>
      </c>
      <c r="N1346" t="str">
        <f>IF(Table13[[#This Row],[Price USD]]&lt;20,"Budget",IF(Table13[[#This Row],[Price USD]]&lt;=50,"Mid-range","Premium"))</f>
        <v>Mid-range</v>
      </c>
      <c r="O1346">
        <v>0</v>
      </c>
      <c r="P1346">
        <v>0</v>
      </c>
    </row>
    <row r="1347" spans="1:16" x14ac:dyDescent="0.25">
      <c r="A1347" t="s">
        <v>4397</v>
      </c>
      <c r="B1347" t="s">
        <v>4398</v>
      </c>
      <c r="C1347">
        <v>1254</v>
      </c>
      <c r="D1347" t="s">
        <v>136</v>
      </c>
      <c r="E1347" t="s">
        <v>69</v>
      </c>
      <c r="F1347">
        <v>1746</v>
      </c>
      <c r="G13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7">
        <v>3.75</v>
      </c>
      <c r="J1347" t="str">
        <f>IF(ISBLANK(Table13[[#This Row],[Rating]]), "No", "Yes")</f>
        <v>Yes</v>
      </c>
      <c r="K1347" t="str">
        <f>IF(ISBLANK(Table13[[#This Row],[Rating]]), "Not Rated", IF(Table13[[#This Row],[Rating]] &lt; 3, "Low", IF(Table13[[#This Row],[Rating]] &lt; 4, "Medium", "High")))</f>
        <v>Medium</v>
      </c>
      <c r="L1347">
        <v>8</v>
      </c>
      <c r="M1347">
        <v>33</v>
      </c>
      <c r="N1347" t="str">
        <f>IF(Table13[[#This Row],[Price USD]]&lt;20,"Budget",IF(Table13[[#This Row],[Price USD]]&lt;=50,"Mid-range","Premium"))</f>
        <v>Mid-range</v>
      </c>
      <c r="O1347">
        <v>0</v>
      </c>
      <c r="P1347">
        <v>0</v>
      </c>
    </row>
    <row r="1348" spans="1:16" x14ac:dyDescent="0.25">
      <c r="A1348" t="s">
        <v>4395</v>
      </c>
      <c r="B1348" t="s">
        <v>4396</v>
      </c>
      <c r="C1348">
        <v>7050</v>
      </c>
      <c r="D1348" t="s">
        <v>721</v>
      </c>
      <c r="E1348" t="s">
        <v>201</v>
      </c>
      <c r="F1348">
        <v>1748</v>
      </c>
      <c r="G13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8">
        <v>4.8635999999999999</v>
      </c>
      <c r="J1348" t="str">
        <f>IF(ISBLANK(Table13[[#This Row],[Rating]]), "No", "Yes")</f>
        <v>Yes</v>
      </c>
      <c r="K1348" t="str">
        <f>IF(ISBLANK(Table13[[#This Row],[Rating]]), "Not Rated", IF(Table13[[#This Row],[Rating]] &lt; 3, "Low", IF(Table13[[#This Row],[Rating]] &lt; 4, "Medium", "High")))</f>
        <v>High</v>
      </c>
      <c r="L1348">
        <v>88</v>
      </c>
      <c r="M1348">
        <v>26</v>
      </c>
      <c r="N1348" t="str">
        <f>IF(Table13[[#This Row],[Price USD]]&lt;20,"Budget",IF(Table13[[#This Row],[Price USD]]&lt;=50,"Mid-range","Premium"))</f>
        <v>Mid-range</v>
      </c>
      <c r="O1348">
        <v>0</v>
      </c>
      <c r="P1348">
        <v>0</v>
      </c>
    </row>
    <row r="1349" spans="1:16" x14ac:dyDescent="0.25">
      <c r="A1349" t="s">
        <v>4393</v>
      </c>
      <c r="B1349" t="s">
        <v>4394</v>
      </c>
      <c r="C1349">
        <v>2082</v>
      </c>
      <c r="D1349" t="s">
        <v>594</v>
      </c>
      <c r="E1349" t="s">
        <v>21</v>
      </c>
      <c r="F1349">
        <v>1758</v>
      </c>
      <c r="G13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49">
        <v>4.3414999999999999</v>
      </c>
      <c r="J1349" t="str">
        <f>IF(ISBLANK(Table13[[#This Row],[Rating]]), "No", "Yes")</f>
        <v>Yes</v>
      </c>
      <c r="K1349" t="str">
        <f>IF(ISBLANK(Table13[[#This Row],[Rating]]), "Not Rated", IF(Table13[[#This Row],[Rating]] &lt; 3, "Low", IF(Table13[[#This Row],[Rating]] &lt; 4, "Medium", "High")))</f>
        <v>High</v>
      </c>
      <c r="L1349">
        <v>205</v>
      </c>
      <c r="M1349">
        <v>93</v>
      </c>
      <c r="N1349" t="str">
        <f>IF(Table13[[#This Row],[Price USD]]&lt;20,"Budget",IF(Table13[[#This Row],[Price USD]]&lt;=50,"Mid-range","Premium"))</f>
        <v>Premium</v>
      </c>
      <c r="O1349">
        <v>0</v>
      </c>
      <c r="P1349">
        <v>0</v>
      </c>
    </row>
    <row r="1350" spans="1:16" x14ac:dyDescent="0.25">
      <c r="A1350" t="s">
        <v>4391</v>
      </c>
      <c r="B1350" t="s">
        <v>4392</v>
      </c>
      <c r="C1350">
        <v>6307</v>
      </c>
      <c r="D1350" t="s">
        <v>1132</v>
      </c>
      <c r="E1350" t="s">
        <v>69</v>
      </c>
      <c r="F1350">
        <v>1769</v>
      </c>
      <c r="G13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0">
        <v>5</v>
      </c>
      <c r="J1350" t="str">
        <f>IF(ISBLANK(Table13[[#This Row],[Rating]]), "No", "Yes")</f>
        <v>Yes</v>
      </c>
      <c r="K1350" t="str">
        <f>IF(ISBLANK(Table13[[#This Row],[Rating]]), "Not Rated", IF(Table13[[#This Row],[Rating]] &lt; 3, "Low", IF(Table13[[#This Row],[Rating]] &lt; 4, "Medium", "High")))</f>
        <v>High</v>
      </c>
      <c r="L1350">
        <v>1</v>
      </c>
      <c r="M1350">
        <v>68</v>
      </c>
      <c r="N1350" t="str">
        <f>IF(Table13[[#This Row],[Price USD]]&lt;20,"Budget",IF(Table13[[#This Row],[Price USD]]&lt;=50,"Mid-range","Premium"))</f>
        <v>Premium</v>
      </c>
      <c r="O1350">
        <v>0</v>
      </c>
      <c r="P1350">
        <v>0</v>
      </c>
    </row>
    <row r="1351" spans="1:16" x14ac:dyDescent="0.25">
      <c r="A1351" t="s">
        <v>4389</v>
      </c>
      <c r="B1351" t="s">
        <v>4390</v>
      </c>
      <c r="C1351">
        <v>7037</v>
      </c>
      <c r="D1351" t="s">
        <v>1718</v>
      </c>
      <c r="E1351" t="s">
        <v>347</v>
      </c>
      <c r="F1351">
        <v>1769</v>
      </c>
      <c r="G13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1">
        <v>4.8</v>
      </c>
      <c r="J1351" t="str">
        <f>IF(ISBLANK(Table13[[#This Row],[Rating]]), "No", "Yes")</f>
        <v>Yes</v>
      </c>
      <c r="K1351" t="str">
        <f>IF(ISBLANK(Table13[[#This Row],[Rating]]), "Not Rated", IF(Table13[[#This Row],[Rating]] &lt; 3, "Low", IF(Table13[[#This Row],[Rating]] &lt; 4, "Medium", "High")))</f>
        <v>High</v>
      </c>
      <c r="L1351">
        <v>15</v>
      </c>
      <c r="M1351">
        <v>279</v>
      </c>
      <c r="N1351" t="str">
        <f>IF(Table13[[#This Row],[Price USD]]&lt;20,"Budget",IF(Table13[[#This Row],[Price USD]]&lt;=50,"Mid-range","Premium"))</f>
        <v>Premium</v>
      </c>
      <c r="O1351">
        <v>0</v>
      </c>
      <c r="P1351">
        <v>0</v>
      </c>
    </row>
    <row r="1352" spans="1:16" x14ac:dyDescent="0.25">
      <c r="A1352" t="s">
        <v>4386</v>
      </c>
      <c r="B1352" t="s">
        <v>4387</v>
      </c>
      <c r="C1352">
        <v>5333</v>
      </c>
      <c r="D1352" t="s">
        <v>4388</v>
      </c>
      <c r="E1352" t="s">
        <v>69</v>
      </c>
      <c r="F1352">
        <v>1773</v>
      </c>
      <c r="G13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2">
        <v>4.766</v>
      </c>
      <c r="J1352" t="str">
        <f>IF(ISBLANK(Table13[[#This Row],[Rating]]), "No", "Yes")</f>
        <v>Yes</v>
      </c>
      <c r="K1352" t="str">
        <f>IF(ISBLANK(Table13[[#This Row],[Rating]]), "Not Rated", IF(Table13[[#This Row],[Rating]] &lt; 3, "Low", IF(Table13[[#This Row],[Rating]] &lt; 4, "Medium", "High")))</f>
        <v>High</v>
      </c>
      <c r="L1352">
        <v>705</v>
      </c>
      <c r="M1352">
        <v>39</v>
      </c>
      <c r="N1352" t="str">
        <f>IF(Table13[[#This Row],[Price USD]]&lt;20,"Budget",IF(Table13[[#This Row],[Price USD]]&lt;=50,"Mid-range","Premium"))</f>
        <v>Mid-range</v>
      </c>
      <c r="O1352">
        <v>1</v>
      </c>
      <c r="P1352">
        <v>0</v>
      </c>
    </row>
    <row r="1353" spans="1:16" x14ac:dyDescent="0.25">
      <c r="A1353" t="s">
        <v>4384</v>
      </c>
      <c r="B1353" t="s">
        <v>4385</v>
      </c>
      <c r="C1353">
        <v>6295</v>
      </c>
      <c r="D1353" t="s">
        <v>184</v>
      </c>
      <c r="E1353" t="s">
        <v>149</v>
      </c>
      <c r="F1353">
        <v>1784</v>
      </c>
      <c r="G13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3">
        <v>3.5</v>
      </c>
      <c r="J1353" t="str">
        <f>IF(ISBLANK(Table13[[#This Row],[Rating]]), "No", "Yes")</f>
        <v>Yes</v>
      </c>
      <c r="K1353" t="str">
        <f>IF(ISBLANK(Table13[[#This Row],[Rating]]), "Not Rated", IF(Table13[[#This Row],[Rating]] &lt; 3, "Low", IF(Table13[[#This Row],[Rating]] &lt; 4, "Medium", "High")))</f>
        <v>Medium</v>
      </c>
      <c r="L1353">
        <v>4</v>
      </c>
      <c r="M1353">
        <v>26</v>
      </c>
      <c r="N1353" t="str">
        <f>IF(Table13[[#This Row],[Price USD]]&lt;20,"Budget",IF(Table13[[#This Row],[Price USD]]&lt;=50,"Mid-range","Premium"))</f>
        <v>Mid-range</v>
      </c>
      <c r="O1353">
        <v>0</v>
      </c>
      <c r="P1353">
        <v>0</v>
      </c>
    </row>
    <row r="1354" spans="1:16" x14ac:dyDescent="0.25">
      <c r="A1354" t="s">
        <v>4382</v>
      </c>
      <c r="B1354" t="s">
        <v>4383</v>
      </c>
      <c r="C1354">
        <v>6334</v>
      </c>
      <c r="D1354" t="s">
        <v>2819</v>
      </c>
      <c r="E1354" t="s">
        <v>13</v>
      </c>
      <c r="F1354">
        <v>1784</v>
      </c>
      <c r="G13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4">
        <v>4.4983000000000004</v>
      </c>
      <c r="J1354" t="str">
        <f>IF(ISBLANK(Table13[[#This Row],[Rating]]), "No", "Yes")</f>
        <v>Yes</v>
      </c>
      <c r="K1354" t="str">
        <f>IF(ISBLANK(Table13[[#This Row],[Rating]]), "Not Rated", IF(Table13[[#This Row],[Rating]] &lt; 3, "Low", IF(Table13[[#This Row],[Rating]] &lt; 4, "Medium", "High")))</f>
        <v>High</v>
      </c>
      <c r="L1354">
        <v>301</v>
      </c>
      <c r="M1354">
        <v>42</v>
      </c>
      <c r="N1354" t="str">
        <f>IF(Table13[[#This Row],[Price USD]]&lt;20,"Budget",IF(Table13[[#This Row],[Price USD]]&lt;=50,"Mid-range","Premium"))</f>
        <v>Mid-range</v>
      </c>
      <c r="O1354">
        <v>0</v>
      </c>
      <c r="P1354">
        <v>0</v>
      </c>
    </row>
    <row r="1355" spans="1:16" x14ac:dyDescent="0.25">
      <c r="A1355" t="s">
        <v>4380</v>
      </c>
      <c r="B1355" t="s">
        <v>4381</v>
      </c>
      <c r="C1355">
        <v>6309</v>
      </c>
      <c r="D1355" t="s">
        <v>1735</v>
      </c>
      <c r="E1355" t="s">
        <v>13</v>
      </c>
      <c r="F1355">
        <v>1797</v>
      </c>
      <c r="G13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5">
        <v>4.6666999999999996</v>
      </c>
      <c r="J1355" t="str">
        <f>IF(ISBLANK(Table13[[#This Row],[Rating]]), "No", "Yes")</f>
        <v>Yes</v>
      </c>
      <c r="K1355" t="str">
        <f>IF(ISBLANK(Table13[[#This Row],[Rating]]), "Not Rated", IF(Table13[[#This Row],[Rating]] &lt; 3, "Low", IF(Table13[[#This Row],[Rating]] &lt; 4, "Medium", "High")))</f>
        <v>High</v>
      </c>
      <c r="L1355">
        <v>6</v>
      </c>
      <c r="M1355">
        <v>45</v>
      </c>
      <c r="N1355" t="str">
        <f>IF(Table13[[#This Row],[Price USD]]&lt;20,"Budget",IF(Table13[[#This Row],[Price USD]]&lt;=50,"Mid-range","Premium"))</f>
        <v>Mid-range</v>
      </c>
      <c r="O1355">
        <v>0</v>
      </c>
      <c r="P1355">
        <v>0</v>
      </c>
    </row>
    <row r="1356" spans="1:16" x14ac:dyDescent="0.25">
      <c r="A1356" t="s">
        <v>4378</v>
      </c>
      <c r="B1356" t="s">
        <v>4379</v>
      </c>
      <c r="C1356">
        <v>5946</v>
      </c>
      <c r="D1356" t="s">
        <v>341</v>
      </c>
      <c r="E1356" t="s">
        <v>8</v>
      </c>
      <c r="F1356">
        <v>1808</v>
      </c>
      <c r="G13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6">
        <v>4.7640000000000002</v>
      </c>
      <c r="J1356" t="str">
        <f>IF(ISBLANK(Table13[[#This Row],[Rating]]), "No", "Yes")</f>
        <v>Yes</v>
      </c>
      <c r="K1356" t="str">
        <f>IF(ISBLANK(Table13[[#This Row],[Rating]]), "Not Rated", IF(Table13[[#This Row],[Rating]] &lt; 3, "Low", IF(Table13[[#This Row],[Rating]] &lt; 4, "Medium", "High")))</f>
        <v>High</v>
      </c>
      <c r="L1356">
        <v>89</v>
      </c>
      <c r="M1356">
        <v>78</v>
      </c>
      <c r="N1356" t="str">
        <f>IF(Table13[[#This Row],[Price USD]]&lt;20,"Budget",IF(Table13[[#This Row],[Price USD]]&lt;=50,"Mid-range","Premium"))</f>
        <v>Premium</v>
      </c>
      <c r="O1356">
        <v>0</v>
      </c>
      <c r="P1356">
        <v>0</v>
      </c>
    </row>
    <row r="1357" spans="1:16" x14ac:dyDescent="0.25">
      <c r="A1357" t="s">
        <v>4376</v>
      </c>
      <c r="B1357" t="s">
        <v>4377</v>
      </c>
      <c r="C1357">
        <v>5879</v>
      </c>
      <c r="D1357" t="s">
        <v>3589</v>
      </c>
      <c r="E1357" t="s">
        <v>13</v>
      </c>
      <c r="F1357">
        <v>1812</v>
      </c>
      <c r="G13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7">
        <v>4.4000000000000004</v>
      </c>
      <c r="J1357" t="str">
        <f>IF(ISBLANK(Table13[[#This Row],[Rating]]), "No", "Yes")</f>
        <v>Yes</v>
      </c>
      <c r="K1357" t="str">
        <f>IF(ISBLANK(Table13[[#This Row],[Rating]]), "Not Rated", IF(Table13[[#This Row],[Rating]] &lt; 3, "Low", IF(Table13[[#This Row],[Rating]] &lt; 4, "Medium", "High")))</f>
        <v>High</v>
      </c>
      <c r="L1357">
        <v>55</v>
      </c>
      <c r="M1357">
        <v>52</v>
      </c>
      <c r="N1357" t="str">
        <f>IF(Table13[[#This Row],[Price USD]]&lt;20,"Budget",IF(Table13[[#This Row],[Price USD]]&lt;=50,"Mid-range","Premium"))</f>
        <v>Premium</v>
      </c>
      <c r="O1357">
        <v>0</v>
      </c>
      <c r="P1357">
        <v>0</v>
      </c>
    </row>
    <row r="1358" spans="1:16" x14ac:dyDescent="0.25">
      <c r="A1358" t="s">
        <v>4374</v>
      </c>
      <c r="B1358" t="s">
        <v>4375</v>
      </c>
      <c r="C1358">
        <v>6373</v>
      </c>
      <c r="D1358" t="s">
        <v>1652</v>
      </c>
      <c r="E1358" t="s">
        <v>21</v>
      </c>
      <c r="F1358">
        <v>1817</v>
      </c>
      <c r="G13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8">
        <v>4.0416999999999996</v>
      </c>
      <c r="J1358" t="str">
        <f>IF(ISBLANK(Table13[[#This Row],[Rating]]), "No", "Yes")</f>
        <v>Yes</v>
      </c>
      <c r="K1358" t="str">
        <f>IF(ISBLANK(Table13[[#This Row],[Rating]]), "Not Rated", IF(Table13[[#This Row],[Rating]] &lt; 3, "Low", IF(Table13[[#This Row],[Rating]] &lt; 4, "Medium", "High")))</f>
        <v>High</v>
      </c>
      <c r="L1358">
        <v>72</v>
      </c>
      <c r="M1358">
        <v>68</v>
      </c>
      <c r="N1358" t="str">
        <f>IF(Table13[[#This Row],[Price USD]]&lt;20,"Budget",IF(Table13[[#This Row],[Price USD]]&lt;=50,"Mid-range","Premium"))</f>
        <v>Premium</v>
      </c>
      <c r="O1358">
        <v>0</v>
      </c>
      <c r="P1358">
        <v>0</v>
      </c>
    </row>
    <row r="1359" spans="1:16" x14ac:dyDescent="0.25">
      <c r="A1359" t="s">
        <v>4372</v>
      </c>
      <c r="B1359" t="s">
        <v>4373</v>
      </c>
      <c r="C1359">
        <v>6375</v>
      </c>
      <c r="D1359" t="s">
        <v>3234</v>
      </c>
      <c r="E1359" t="s">
        <v>201</v>
      </c>
      <c r="F1359">
        <v>1820</v>
      </c>
      <c r="G13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59">
        <v>4.4356</v>
      </c>
      <c r="J1359" t="str">
        <f>IF(ISBLANK(Table13[[#This Row],[Rating]]), "No", "Yes")</f>
        <v>Yes</v>
      </c>
      <c r="K1359" t="str">
        <f>IF(ISBLANK(Table13[[#This Row],[Rating]]), "Not Rated", IF(Table13[[#This Row],[Rating]] &lt; 3, "Low", IF(Table13[[#This Row],[Rating]] &lt; 4, "Medium", "High")))</f>
        <v>High</v>
      </c>
      <c r="L1359">
        <v>163</v>
      </c>
      <c r="M1359">
        <v>55</v>
      </c>
      <c r="N1359" t="str">
        <f>IF(Table13[[#This Row],[Price USD]]&lt;20,"Budget",IF(Table13[[#This Row],[Price USD]]&lt;=50,"Mid-range","Premium"))</f>
        <v>Premium</v>
      </c>
      <c r="O1359">
        <v>0</v>
      </c>
      <c r="P1359">
        <v>0</v>
      </c>
    </row>
    <row r="1360" spans="1:16" x14ac:dyDescent="0.25">
      <c r="A1360" t="s">
        <v>4370</v>
      </c>
      <c r="B1360" t="s">
        <v>4371</v>
      </c>
      <c r="C1360">
        <v>5626</v>
      </c>
      <c r="D1360" t="s">
        <v>1069</v>
      </c>
      <c r="E1360" t="s">
        <v>106</v>
      </c>
      <c r="F1360">
        <v>1821</v>
      </c>
      <c r="G13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0">
        <v>3.3102999999999998</v>
      </c>
      <c r="J1360" t="str">
        <f>IF(ISBLANK(Table13[[#This Row],[Rating]]), "No", "Yes")</f>
        <v>Yes</v>
      </c>
      <c r="K1360" t="str">
        <f>IF(ISBLANK(Table13[[#This Row],[Rating]]), "Not Rated", IF(Table13[[#This Row],[Rating]] &lt; 3, "Low", IF(Table13[[#This Row],[Rating]] &lt; 4, "Medium", "High")))</f>
        <v>Medium</v>
      </c>
      <c r="L1360">
        <v>58</v>
      </c>
      <c r="M1360">
        <v>44</v>
      </c>
      <c r="N1360" t="str">
        <f>IF(Table13[[#This Row],[Price USD]]&lt;20,"Budget",IF(Table13[[#This Row],[Price USD]]&lt;=50,"Mid-range","Premium"))</f>
        <v>Mid-range</v>
      </c>
      <c r="O1360">
        <v>0</v>
      </c>
      <c r="P1360">
        <v>0</v>
      </c>
    </row>
    <row r="1361" spans="1:16" x14ac:dyDescent="0.25">
      <c r="A1361" t="s">
        <v>4368</v>
      </c>
      <c r="B1361" t="s">
        <v>4369</v>
      </c>
      <c r="C1361">
        <v>7100</v>
      </c>
      <c r="D1361" t="s">
        <v>3756</v>
      </c>
      <c r="E1361" t="s">
        <v>13</v>
      </c>
      <c r="F1361">
        <v>1826</v>
      </c>
      <c r="G13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1">
        <v>4.8571</v>
      </c>
      <c r="J1361" t="str">
        <f>IF(ISBLANK(Table13[[#This Row],[Rating]]), "No", "Yes")</f>
        <v>Yes</v>
      </c>
      <c r="K1361" t="str">
        <f>IF(ISBLANK(Table13[[#This Row],[Rating]]), "Not Rated", IF(Table13[[#This Row],[Rating]] &lt; 3, "Low", IF(Table13[[#This Row],[Rating]] &lt; 4, "Medium", "High")))</f>
        <v>High</v>
      </c>
      <c r="L1361">
        <v>7</v>
      </c>
      <c r="M1361">
        <v>48</v>
      </c>
      <c r="N1361" t="str">
        <f>IF(Table13[[#This Row],[Price USD]]&lt;20,"Budget",IF(Table13[[#This Row],[Price USD]]&lt;=50,"Mid-range","Premium"))</f>
        <v>Mid-range</v>
      </c>
      <c r="O1361">
        <v>0</v>
      </c>
      <c r="P1361">
        <v>0</v>
      </c>
    </row>
    <row r="1362" spans="1:16" x14ac:dyDescent="0.25">
      <c r="A1362" t="s">
        <v>4366</v>
      </c>
      <c r="B1362" t="s">
        <v>4367</v>
      </c>
      <c r="C1362">
        <v>6303</v>
      </c>
      <c r="D1362" t="s">
        <v>3247</v>
      </c>
      <c r="E1362" t="s">
        <v>149</v>
      </c>
      <c r="F1362">
        <v>1832</v>
      </c>
      <c r="G13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2">
        <v>4.5</v>
      </c>
      <c r="J1362" t="str">
        <f>IF(ISBLANK(Table13[[#This Row],[Rating]]), "No", "Yes")</f>
        <v>Yes</v>
      </c>
      <c r="K1362" t="str">
        <f>IF(ISBLANK(Table13[[#This Row],[Rating]]), "Not Rated", IF(Table13[[#This Row],[Rating]] &lt; 3, "Low", IF(Table13[[#This Row],[Rating]] &lt; 4, "Medium", "High")))</f>
        <v>High</v>
      </c>
      <c r="L1362">
        <v>6</v>
      </c>
      <c r="M1362">
        <v>65</v>
      </c>
      <c r="N1362" t="str">
        <f>IF(Table13[[#This Row],[Price USD]]&lt;20,"Budget",IF(Table13[[#This Row],[Price USD]]&lt;=50,"Mid-range","Premium"))</f>
        <v>Premium</v>
      </c>
      <c r="O1362">
        <v>0</v>
      </c>
      <c r="P1362">
        <v>0</v>
      </c>
    </row>
    <row r="1363" spans="1:16" x14ac:dyDescent="0.25">
      <c r="A1363" t="s">
        <v>4364</v>
      </c>
      <c r="B1363" t="s">
        <v>4365</v>
      </c>
      <c r="C1363">
        <v>6089</v>
      </c>
      <c r="D1363" t="s">
        <v>605</v>
      </c>
      <c r="E1363" t="s">
        <v>21</v>
      </c>
      <c r="F1363">
        <v>1834</v>
      </c>
      <c r="G13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3">
        <v>4.0556000000000001</v>
      </c>
      <c r="J1363" t="str">
        <f>IF(ISBLANK(Table13[[#This Row],[Rating]]), "No", "Yes")</f>
        <v>Yes</v>
      </c>
      <c r="K1363" t="str">
        <f>IF(ISBLANK(Table13[[#This Row],[Rating]]), "Not Rated", IF(Table13[[#This Row],[Rating]] &lt; 3, "Low", IF(Table13[[#This Row],[Rating]] &lt; 4, "Medium", "High")))</f>
        <v>High</v>
      </c>
      <c r="L1363">
        <v>216</v>
      </c>
      <c r="M1363">
        <v>130</v>
      </c>
      <c r="N1363" t="str">
        <f>IF(Table13[[#This Row],[Price USD]]&lt;20,"Budget",IF(Table13[[#This Row],[Price USD]]&lt;=50,"Mid-range","Premium"))</f>
        <v>Premium</v>
      </c>
      <c r="O1363">
        <v>0</v>
      </c>
      <c r="P1363">
        <v>0</v>
      </c>
    </row>
    <row r="1364" spans="1:16" x14ac:dyDescent="0.25">
      <c r="A1364" t="s">
        <v>4362</v>
      </c>
      <c r="B1364" t="s">
        <v>4363</v>
      </c>
      <c r="C1364">
        <v>7100</v>
      </c>
      <c r="D1364" t="s">
        <v>3756</v>
      </c>
      <c r="E1364" t="s">
        <v>8</v>
      </c>
      <c r="F1364">
        <v>1842</v>
      </c>
      <c r="G13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4">
        <v>4.5556000000000001</v>
      </c>
      <c r="J1364" t="str">
        <f>IF(ISBLANK(Table13[[#This Row],[Rating]]), "No", "Yes")</f>
        <v>Yes</v>
      </c>
      <c r="K1364" t="str">
        <f>IF(ISBLANK(Table13[[#This Row],[Rating]]), "Not Rated", IF(Table13[[#This Row],[Rating]] &lt; 3, "Low", IF(Table13[[#This Row],[Rating]] &lt; 4, "Medium", "High")))</f>
        <v>High</v>
      </c>
      <c r="L1364">
        <v>18</v>
      </c>
      <c r="M1364">
        <v>70</v>
      </c>
      <c r="N1364" t="str">
        <f>IF(Table13[[#This Row],[Price USD]]&lt;20,"Budget",IF(Table13[[#This Row],[Price USD]]&lt;=50,"Mid-range","Premium"))</f>
        <v>Premium</v>
      </c>
      <c r="O1364">
        <v>0</v>
      </c>
      <c r="P1364">
        <v>0</v>
      </c>
    </row>
    <row r="1365" spans="1:16" x14ac:dyDescent="0.25">
      <c r="A1365" t="s">
        <v>4360</v>
      </c>
      <c r="B1365" t="s">
        <v>4361</v>
      </c>
      <c r="C1365">
        <v>7037</v>
      </c>
      <c r="D1365" t="s">
        <v>1718</v>
      </c>
      <c r="E1365" t="s">
        <v>8</v>
      </c>
      <c r="F1365">
        <v>1850</v>
      </c>
      <c r="G13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5">
        <v>1.8462000000000001</v>
      </c>
      <c r="J1365" t="str">
        <f>IF(ISBLANK(Table13[[#This Row],[Rating]]), "No", "Yes")</f>
        <v>Yes</v>
      </c>
      <c r="K1365" t="str">
        <f>IF(ISBLANK(Table13[[#This Row],[Rating]]), "Not Rated", IF(Table13[[#This Row],[Rating]] &lt; 3, "Low", IF(Table13[[#This Row],[Rating]] &lt; 4, "Medium", "High")))</f>
        <v>Low</v>
      </c>
      <c r="L1365">
        <v>13</v>
      </c>
      <c r="M1365">
        <v>59</v>
      </c>
      <c r="N1365" t="str">
        <f>IF(Table13[[#This Row],[Price USD]]&lt;20,"Budget",IF(Table13[[#This Row],[Price USD]]&lt;=50,"Mid-range","Premium"))</f>
        <v>Premium</v>
      </c>
      <c r="O1365">
        <v>0</v>
      </c>
      <c r="P1365">
        <v>0</v>
      </c>
    </row>
    <row r="1366" spans="1:16" x14ac:dyDescent="0.25">
      <c r="A1366" t="s">
        <v>4358</v>
      </c>
      <c r="B1366" t="s">
        <v>4359</v>
      </c>
      <c r="C1366">
        <v>6089</v>
      </c>
      <c r="D1366" t="s">
        <v>605</v>
      </c>
      <c r="E1366" t="s">
        <v>220</v>
      </c>
      <c r="F1366">
        <v>1854</v>
      </c>
      <c r="G13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6">
        <v>4</v>
      </c>
      <c r="J1366" t="str">
        <f>IF(ISBLANK(Table13[[#This Row],[Rating]]), "No", "Yes")</f>
        <v>Yes</v>
      </c>
      <c r="K1366" t="str">
        <f>IF(ISBLANK(Table13[[#This Row],[Rating]]), "Not Rated", IF(Table13[[#This Row],[Rating]] &lt; 3, "Low", IF(Table13[[#This Row],[Rating]] &lt; 4, "Medium", "High")))</f>
        <v>High</v>
      </c>
      <c r="L1366">
        <v>1</v>
      </c>
      <c r="M1366">
        <v>72</v>
      </c>
      <c r="N1366" t="str">
        <f>IF(Table13[[#This Row],[Price USD]]&lt;20,"Budget",IF(Table13[[#This Row],[Price USD]]&lt;=50,"Mid-range","Premium"))</f>
        <v>Premium</v>
      </c>
      <c r="O1366">
        <v>0</v>
      </c>
      <c r="P1366">
        <v>0</v>
      </c>
    </row>
    <row r="1367" spans="1:16" x14ac:dyDescent="0.25">
      <c r="A1367" t="s">
        <v>4356</v>
      </c>
      <c r="B1367" t="s">
        <v>4357</v>
      </c>
      <c r="C1367">
        <v>6375</v>
      </c>
      <c r="D1367" t="s">
        <v>3234</v>
      </c>
      <c r="E1367" t="s">
        <v>201</v>
      </c>
      <c r="F1367">
        <v>1867</v>
      </c>
      <c r="G13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7">
        <v>4.2651000000000003</v>
      </c>
      <c r="J1367" t="str">
        <f>IF(ISBLANK(Table13[[#This Row],[Rating]]), "No", "Yes")</f>
        <v>Yes</v>
      </c>
      <c r="K1367" t="str">
        <f>IF(ISBLANK(Table13[[#This Row],[Rating]]), "Not Rated", IF(Table13[[#This Row],[Rating]] &lt; 3, "Low", IF(Table13[[#This Row],[Rating]] &lt; 4, "Medium", "High")))</f>
        <v>High</v>
      </c>
      <c r="L1367">
        <v>166</v>
      </c>
      <c r="M1367">
        <v>45</v>
      </c>
      <c r="N1367" t="str">
        <f>IF(Table13[[#This Row],[Price USD]]&lt;20,"Budget",IF(Table13[[#This Row],[Price USD]]&lt;=50,"Mid-range","Premium"))</f>
        <v>Mid-range</v>
      </c>
      <c r="O1367">
        <v>0</v>
      </c>
      <c r="P1367">
        <v>0</v>
      </c>
    </row>
    <row r="1368" spans="1:16" x14ac:dyDescent="0.25">
      <c r="A1368" t="s">
        <v>4354</v>
      </c>
      <c r="B1368" t="s">
        <v>4355</v>
      </c>
      <c r="C1368">
        <v>1254</v>
      </c>
      <c r="D1368" t="s">
        <v>136</v>
      </c>
      <c r="E1368" t="s">
        <v>13</v>
      </c>
      <c r="F1368">
        <v>1874</v>
      </c>
      <c r="G13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8">
        <v>4</v>
      </c>
      <c r="J1368" t="str">
        <f>IF(ISBLANK(Table13[[#This Row],[Rating]]), "No", "Yes")</f>
        <v>Yes</v>
      </c>
      <c r="K1368" t="str">
        <f>IF(ISBLANK(Table13[[#This Row],[Rating]]), "Not Rated", IF(Table13[[#This Row],[Rating]] &lt; 3, "Low", IF(Table13[[#This Row],[Rating]] &lt; 4, "Medium", "High")))</f>
        <v>High</v>
      </c>
      <c r="L1368">
        <v>5</v>
      </c>
      <c r="M1368">
        <v>11</v>
      </c>
      <c r="N1368" t="str">
        <f>IF(Table13[[#This Row],[Price USD]]&lt;20,"Budget",IF(Table13[[#This Row],[Price USD]]&lt;=50,"Mid-range","Premium"))</f>
        <v>Budget</v>
      </c>
      <c r="O1368">
        <v>0</v>
      </c>
      <c r="P1368">
        <v>0</v>
      </c>
    </row>
    <row r="1369" spans="1:16" x14ac:dyDescent="0.25">
      <c r="A1369" t="s">
        <v>4352</v>
      </c>
      <c r="B1369" t="s">
        <v>4353</v>
      </c>
      <c r="C1369">
        <v>5337</v>
      </c>
      <c r="D1369" t="s">
        <v>209</v>
      </c>
      <c r="E1369" t="s">
        <v>49</v>
      </c>
      <c r="F1369">
        <v>1874</v>
      </c>
      <c r="G13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69">
        <v>5</v>
      </c>
      <c r="J1369" t="str">
        <f>IF(ISBLANK(Table13[[#This Row],[Rating]]), "No", "Yes")</f>
        <v>Yes</v>
      </c>
      <c r="K1369" t="str">
        <f>IF(ISBLANK(Table13[[#This Row],[Rating]]), "Not Rated", IF(Table13[[#This Row],[Rating]] &lt; 3, "Low", IF(Table13[[#This Row],[Rating]] &lt; 4, "Medium", "High")))</f>
        <v>High</v>
      </c>
      <c r="L1369">
        <v>2</v>
      </c>
      <c r="M1369">
        <v>270</v>
      </c>
      <c r="N1369" t="str">
        <f>IF(Table13[[#This Row],[Price USD]]&lt;20,"Budget",IF(Table13[[#This Row],[Price USD]]&lt;=50,"Mid-range","Premium"))</f>
        <v>Premium</v>
      </c>
      <c r="O1369">
        <v>0</v>
      </c>
      <c r="P1369">
        <v>0</v>
      </c>
    </row>
    <row r="1370" spans="1:16" x14ac:dyDescent="0.25">
      <c r="A1370" t="s">
        <v>4349</v>
      </c>
      <c r="B1370" t="s">
        <v>4350</v>
      </c>
      <c r="C1370">
        <v>6750</v>
      </c>
      <c r="D1370" t="s">
        <v>4351</v>
      </c>
      <c r="E1370" t="s">
        <v>149</v>
      </c>
      <c r="F1370">
        <v>1880</v>
      </c>
      <c r="G13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0">
        <v>4.8666999999999998</v>
      </c>
      <c r="J1370" t="str">
        <f>IF(ISBLANK(Table13[[#This Row],[Rating]]), "No", "Yes")</f>
        <v>Yes</v>
      </c>
      <c r="K1370" t="str">
        <f>IF(ISBLANK(Table13[[#This Row],[Rating]]), "Not Rated", IF(Table13[[#This Row],[Rating]] &lt; 3, "Low", IF(Table13[[#This Row],[Rating]] &lt; 4, "Medium", "High")))</f>
        <v>High</v>
      </c>
      <c r="L1370">
        <v>15</v>
      </c>
      <c r="M1370">
        <v>68</v>
      </c>
      <c r="N1370" t="str">
        <f>IF(Table13[[#This Row],[Price USD]]&lt;20,"Budget",IF(Table13[[#This Row],[Price USD]]&lt;=50,"Mid-range","Premium"))</f>
        <v>Premium</v>
      </c>
      <c r="O1370">
        <v>1</v>
      </c>
      <c r="P1370">
        <v>0</v>
      </c>
    </row>
    <row r="1371" spans="1:16" x14ac:dyDescent="0.25">
      <c r="A1371" t="s">
        <v>4347</v>
      </c>
      <c r="B1371" t="s">
        <v>4348</v>
      </c>
      <c r="C1371">
        <v>6018</v>
      </c>
      <c r="D1371" t="s">
        <v>517</v>
      </c>
      <c r="E1371" t="s">
        <v>21</v>
      </c>
      <c r="F1371">
        <v>1897</v>
      </c>
      <c r="G13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1">
        <v>3.2</v>
      </c>
      <c r="J1371" t="str">
        <f>IF(ISBLANK(Table13[[#This Row],[Rating]]), "No", "Yes")</f>
        <v>Yes</v>
      </c>
      <c r="K1371" t="str">
        <f>IF(ISBLANK(Table13[[#This Row],[Rating]]), "Not Rated", IF(Table13[[#This Row],[Rating]] &lt; 3, "Low", IF(Table13[[#This Row],[Rating]] &lt; 4, "Medium", "High")))</f>
        <v>Medium</v>
      </c>
      <c r="L1371">
        <v>30</v>
      </c>
      <c r="M1371">
        <v>40</v>
      </c>
      <c r="N1371" t="str">
        <f>IF(Table13[[#This Row],[Price USD]]&lt;20,"Budget",IF(Table13[[#This Row],[Price USD]]&lt;=50,"Mid-range","Premium"))</f>
        <v>Mid-range</v>
      </c>
      <c r="O1371">
        <v>0</v>
      </c>
      <c r="P1371">
        <v>0</v>
      </c>
    </row>
    <row r="1372" spans="1:16" x14ac:dyDescent="0.25">
      <c r="A1372" t="s">
        <v>4345</v>
      </c>
      <c r="B1372" t="s">
        <v>4346</v>
      </c>
      <c r="C1372">
        <v>5337</v>
      </c>
      <c r="D1372" t="s">
        <v>209</v>
      </c>
      <c r="E1372" t="s">
        <v>8</v>
      </c>
      <c r="F1372">
        <v>1898</v>
      </c>
      <c r="G13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2">
        <v>4.4000000000000004</v>
      </c>
      <c r="J1372" t="str">
        <f>IF(ISBLANK(Table13[[#This Row],[Rating]]), "No", "Yes")</f>
        <v>Yes</v>
      </c>
      <c r="K1372" t="str">
        <f>IF(ISBLANK(Table13[[#This Row],[Rating]]), "Not Rated", IF(Table13[[#This Row],[Rating]] &lt; 3, "Low", IF(Table13[[#This Row],[Rating]] &lt; 4, "Medium", "High")))</f>
        <v>High</v>
      </c>
      <c r="L1372">
        <v>5</v>
      </c>
      <c r="M1372">
        <v>310</v>
      </c>
      <c r="N1372" t="str">
        <f>IF(Table13[[#This Row],[Price USD]]&lt;20,"Budget",IF(Table13[[#This Row],[Price USD]]&lt;=50,"Mid-range","Premium"))</f>
        <v>Premium</v>
      </c>
      <c r="O1372">
        <v>0</v>
      </c>
      <c r="P1372">
        <v>0</v>
      </c>
    </row>
    <row r="1373" spans="1:16" x14ac:dyDescent="0.25">
      <c r="A1373" t="s">
        <v>4343</v>
      </c>
      <c r="B1373" t="s">
        <v>4344</v>
      </c>
      <c r="C1373">
        <v>4372</v>
      </c>
      <c r="D1373" t="s">
        <v>1513</v>
      </c>
      <c r="E1373" t="s">
        <v>8</v>
      </c>
      <c r="F1373">
        <v>1903</v>
      </c>
      <c r="G13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3">
        <v>4.4478</v>
      </c>
      <c r="J1373" t="str">
        <f>IF(ISBLANK(Table13[[#This Row],[Rating]]), "No", "Yes")</f>
        <v>Yes</v>
      </c>
      <c r="K1373" t="str">
        <f>IF(ISBLANK(Table13[[#This Row],[Rating]]), "Not Rated", IF(Table13[[#This Row],[Rating]] &lt; 3, "Low", IF(Table13[[#This Row],[Rating]] &lt; 4, "Medium", "High")))</f>
        <v>High</v>
      </c>
      <c r="L1373">
        <v>297</v>
      </c>
      <c r="M1373">
        <v>72</v>
      </c>
      <c r="N1373" t="str">
        <f>IF(Table13[[#This Row],[Price USD]]&lt;20,"Budget",IF(Table13[[#This Row],[Price USD]]&lt;=50,"Mid-range","Premium"))</f>
        <v>Premium</v>
      </c>
      <c r="O1373">
        <v>0</v>
      </c>
      <c r="P1373">
        <v>0</v>
      </c>
    </row>
    <row r="1374" spans="1:16" x14ac:dyDescent="0.25">
      <c r="A1374" t="s">
        <v>4341</v>
      </c>
      <c r="B1374" t="s">
        <v>4342</v>
      </c>
      <c r="C1374">
        <v>6475</v>
      </c>
      <c r="D1374" t="s">
        <v>3011</v>
      </c>
      <c r="E1374" t="s">
        <v>201</v>
      </c>
      <c r="F1374">
        <v>1919</v>
      </c>
      <c r="G13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4">
        <v>4.6364000000000001</v>
      </c>
      <c r="J1374" t="str">
        <f>IF(ISBLANK(Table13[[#This Row],[Rating]]), "No", "Yes")</f>
        <v>Yes</v>
      </c>
      <c r="K1374" t="str">
        <f>IF(ISBLANK(Table13[[#This Row],[Rating]]), "Not Rated", IF(Table13[[#This Row],[Rating]] &lt; 3, "Low", IF(Table13[[#This Row],[Rating]] &lt; 4, "Medium", "High")))</f>
        <v>High</v>
      </c>
      <c r="L1374">
        <v>22</v>
      </c>
      <c r="M1374">
        <v>70</v>
      </c>
      <c r="N1374" t="str">
        <f>IF(Table13[[#This Row],[Price USD]]&lt;20,"Budget",IF(Table13[[#This Row],[Price USD]]&lt;=50,"Mid-range","Premium"))</f>
        <v>Premium</v>
      </c>
      <c r="O1374">
        <v>0</v>
      </c>
      <c r="P1374">
        <v>0</v>
      </c>
    </row>
    <row r="1375" spans="1:16" x14ac:dyDescent="0.25">
      <c r="A1375" t="s">
        <v>4339</v>
      </c>
      <c r="B1375" t="s">
        <v>4340</v>
      </c>
      <c r="C1375">
        <v>6373</v>
      </c>
      <c r="D1375" t="s">
        <v>1652</v>
      </c>
      <c r="E1375" t="s">
        <v>149</v>
      </c>
      <c r="F1375">
        <v>1921</v>
      </c>
      <c r="G13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5">
        <v>4.2390999999999996</v>
      </c>
      <c r="J1375" t="str">
        <f>IF(ISBLANK(Table13[[#This Row],[Rating]]), "No", "Yes")</f>
        <v>Yes</v>
      </c>
      <c r="K1375" t="str">
        <f>IF(ISBLANK(Table13[[#This Row],[Rating]]), "Not Rated", IF(Table13[[#This Row],[Rating]] &lt; 3, "Low", IF(Table13[[#This Row],[Rating]] &lt; 4, "Medium", "High")))</f>
        <v>High</v>
      </c>
      <c r="L1375">
        <v>46</v>
      </c>
      <c r="M1375">
        <v>52</v>
      </c>
      <c r="N1375" t="str">
        <f>IF(Table13[[#This Row],[Price USD]]&lt;20,"Budget",IF(Table13[[#This Row],[Price USD]]&lt;=50,"Mid-range","Premium"))</f>
        <v>Premium</v>
      </c>
      <c r="O1375">
        <v>0</v>
      </c>
      <c r="P1375">
        <v>0</v>
      </c>
    </row>
    <row r="1376" spans="1:16" x14ac:dyDescent="0.25">
      <c r="A1376" t="s">
        <v>4337</v>
      </c>
      <c r="B1376" t="s">
        <v>4338</v>
      </c>
      <c r="C1376">
        <v>4171</v>
      </c>
      <c r="D1376" t="s">
        <v>133</v>
      </c>
      <c r="E1376" t="s">
        <v>220</v>
      </c>
      <c r="F1376">
        <v>1926</v>
      </c>
      <c r="G13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6">
        <v>4</v>
      </c>
      <c r="J1376" t="str">
        <f>IF(ISBLANK(Table13[[#This Row],[Rating]]), "No", "Yes")</f>
        <v>Yes</v>
      </c>
      <c r="K1376" t="str">
        <f>IF(ISBLANK(Table13[[#This Row],[Rating]]), "Not Rated", IF(Table13[[#This Row],[Rating]] &lt; 3, "Low", IF(Table13[[#This Row],[Rating]] &lt; 4, "Medium", "High")))</f>
        <v>High</v>
      </c>
      <c r="L1376">
        <v>1</v>
      </c>
      <c r="M1376">
        <v>139</v>
      </c>
      <c r="N1376" t="str">
        <f>IF(Table13[[#This Row],[Price USD]]&lt;20,"Budget",IF(Table13[[#This Row],[Price USD]]&lt;=50,"Mid-range","Premium"))</f>
        <v>Premium</v>
      </c>
      <c r="O1376">
        <v>1</v>
      </c>
      <c r="P1376">
        <v>0</v>
      </c>
    </row>
    <row r="1377" spans="1:16" x14ac:dyDescent="0.25">
      <c r="A1377" t="s">
        <v>4335</v>
      </c>
      <c r="B1377" t="s">
        <v>4336</v>
      </c>
      <c r="C1377">
        <v>5674</v>
      </c>
      <c r="D1377" t="s">
        <v>141</v>
      </c>
      <c r="E1377" t="s">
        <v>220</v>
      </c>
      <c r="F1377">
        <v>1927</v>
      </c>
      <c r="G13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7">
        <v>3.4</v>
      </c>
      <c r="J1377" t="str">
        <f>IF(ISBLANK(Table13[[#This Row],[Rating]]), "No", "Yes")</f>
        <v>Yes</v>
      </c>
      <c r="K1377" t="str">
        <f>IF(ISBLANK(Table13[[#This Row],[Rating]]), "Not Rated", IF(Table13[[#This Row],[Rating]] &lt; 3, "Low", IF(Table13[[#This Row],[Rating]] &lt; 4, "Medium", "High")))</f>
        <v>Medium</v>
      </c>
      <c r="L1377">
        <v>5</v>
      </c>
      <c r="M1377">
        <v>65</v>
      </c>
      <c r="N1377" t="str">
        <f>IF(Table13[[#This Row],[Price USD]]&lt;20,"Budget",IF(Table13[[#This Row],[Price USD]]&lt;=50,"Mid-range","Premium"))</f>
        <v>Premium</v>
      </c>
      <c r="O1377">
        <v>0</v>
      </c>
      <c r="P1377">
        <v>0</v>
      </c>
    </row>
    <row r="1378" spans="1:16" x14ac:dyDescent="0.25">
      <c r="A1378" t="s">
        <v>4333</v>
      </c>
      <c r="B1378" t="s">
        <v>4334</v>
      </c>
      <c r="C1378">
        <v>6476</v>
      </c>
      <c r="D1378" t="s">
        <v>3462</v>
      </c>
      <c r="E1378" t="s">
        <v>347</v>
      </c>
      <c r="F1378">
        <v>1932</v>
      </c>
      <c r="G13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8">
        <v>5</v>
      </c>
      <c r="J1378" t="str">
        <f>IF(ISBLANK(Table13[[#This Row],[Rating]]), "No", "Yes")</f>
        <v>Yes</v>
      </c>
      <c r="K1378" t="str">
        <f>IF(ISBLANK(Table13[[#This Row],[Rating]]), "Not Rated", IF(Table13[[#This Row],[Rating]] &lt; 3, "Low", IF(Table13[[#This Row],[Rating]] &lt; 4, "Medium", "High")))</f>
        <v>High</v>
      </c>
      <c r="L1378">
        <v>2</v>
      </c>
      <c r="M1378">
        <v>12</v>
      </c>
      <c r="N1378" t="str">
        <f>IF(Table13[[#This Row],[Price USD]]&lt;20,"Budget",IF(Table13[[#This Row],[Price USD]]&lt;=50,"Mid-range","Premium"))</f>
        <v>Budget</v>
      </c>
      <c r="O1378">
        <v>0</v>
      </c>
      <c r="P1378">
        <v>0</v>
      </c>
    </row>
    <row r="1379" spans="1:16" x14ac:dyDescent="0.25">
      <c r="A1379" t="s">
        <v>4331</v>
      </c>
      <c r="B1379" t="s">
        <v>4332</v>
      </c>
      <c r="C1379">
        <v>6356</v>
      </c>
      <c r="D1379" t="s">
        <v>1885</v>
      </c>
      <c r="E1379" t="s">
        <v>21</v>
      </c>
      <c r="F1379">
        <v>1933</v>
      </c>
      <c r="G13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79">
        <v>4.6500000000000004</v>
      </c>
      <c r="J1379" t="str">
        <f>IF(ISBLANK(Table13[[#This Row],[Rating]]), "No", "Yes")</f>
        <v>Yes</v>
      </c>
      <c r="K1379" t="str">
        <f>IF(ISBLANK(Table13[[#This Row],[Rating]]), "Not Rated", IF(Table13[[#This Row],[Rating]] &lt; 3, "Low", IF(Table13[[#This Row],[Rating]] &lt; 4, "Medium", "High")))</f>
        <v>High</v>
      </c>
      <c r="L1379">
        <v>100</v>
      </c>
      <c r="M1379">
        <v>290</v>
      </c>
      <c r="N1379" t="str">
        <f>IF(Table13[[#This Row],[Price USD]]&lt;20,"Budget",IF(Table13[[#This Row],[Price USD]]&lt;=50,"Mid-range","Premium"))</f>
        <v>Premium</v>
      </c>
      <c r="O1379">
        <v>0</v>
      </c>
      <c r="P1379">
        <v>0</v>
      </c>
    </row>
    <row r="1380" spans="1:16" x14ac:dyDescent="0.25">
      <c r="A1380" t="s">
        <v>4329</v>
      </c>
      <c r="B1380" t="s">
        <v>4330</v>
      </c>
      <c r="C1380">
        <v>6367</v>
      </c>
      <c r="D1380" t="s">
        <v>2766</v>
      </c>
      <c r="E1380" t="s">
        <v>49</v>
      </c>
      <c r="F1380">
        <v>1939</v>
      </c>
      <c r="G13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0">
        <v>3</v>
      </c>
      <c r="J1380" t="str">
        <f>IF(ISBLANK(Table13[[#This Row],[Rating]]), "No", "Yes")</f>
        <v>Yes</v>
      </c>
      <c r="K1380" t="str">
        <f>IF(ISBLANK(Table13[[#This Row],[Rating]]), "Not Rated", IF(Table13[[#This Row],[Rating]] &lt; 3, "Low", IF(Table13[[#This Row],[Rating]] &lt; 4, "Medium", "High")))</f>
        <v>Medium</v>
      </c>
      <c r="L1380">
        <v>4</v>
      </c>
      <c r="M1380">
        <v>18</v>
      </c>
      <c r="N1380" t="str">
        <f>IF(Table13[[#This Row],[Price USD]]&lt;20,"Budget",IF(Table13[[#This Row],[Price USD]]&lt;=50,"Mid-range","Premium"))</f>
        <v>Budget</v>
      </c>
      <c r="O1380">
        <v>1</v>
      </c>
      <c r="P1380">
        <v>0</v>
      </c>
    </row>
    <row r="1381" spans="1:16" x14ac:dyDescent="0.25">
      <c r="A1381" t="s">
        <v>4327</v>
      </c>
      <c r="B1381" t="s">
        <v>4328</v>
      </c>
      <c r="C1381">
        <v>5857</v>
      </c>
      <c r="D1381" t="s">
        <v>433</v>
      </c>
      <c r="E1381" t="s">
        <v>21</v>
      </c>
      <c r="F1381">
        <v>1944</v>
      </c>
      <c r="G13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1">
        <v>4.7676999999999996</v>
      </c>
      <c r="J1381" t="str">
        <f>IF(ISBLANK(Table13[[#This Row],[Rating]]), "No", "Yes")</f>
        <v>Yes</v>
      </c>
      <c r="K1381" t="str">
        <f>IF(ISBLANK(Table13[[#This Row],[Rating]]), "Not Rated", IF(Table13[[#This Row],[Rating]] &lt; 3, "Low", IF(Table13[[#This Row],[Rating]] &lt; 4, "Medium", "High")))</f>
        <v>High</v>
      </c>
      <c r="L1381">
        <v>155</v>
      </c>
      <c r="M1381">
        <v>55</v>
      </c>
      <c r="N1381" t="str">
        <f>IF(Table13[[#This Row],[Price USD]]&lt;20,"Budget",IF(Table13[[#This Row],[Price USD]]&lt;=50,"Mid-range","Premium"))</f>
        <v>Premium</v>
      </c>
      <c r="O1381">
        <v>1</v>
      </c>
      <c r="P1381">
        <v>0</v>
      </c>
    </row>
    <row r="1382" spans="1:16" x14ac:dyDescent="0.25">
      <c r="A1382" t="s">
        <v>4325</v>
      </c>
      <c r="B1382" t="s">
        <v>4326</v>
      </c>
      <c r="C1382">
        <v>6488</v>
      </c>
      <c r="D1382" t="s">
        <v>2933</v>
      </c>
      <c r="E1382" t="s">
        <v>21</v>
      </c>
      <c r="F1382">
        <v>1949</v>
      </c>
      <c r="G13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2">
        <v>4.8360000000000003</v>
      </c>
      <c r="J1382" t="str">
        <f>IF(ISBLANK(Table13[[#This Row],[Rating]]), "No", "Yes")</f>
        <v>Yes</v>
      </c>
      <c r="K1382" t="str">
        <f>IF(ISBLANK(Table13[[#This Row],[Rating]]), "Not Rated", IF(Table13[[#This Row],[Rating]] &lt; 3, "Low", IF(Table13[[#This Row],[Rating]] &lt; 4, "Medium", "High")))</f>
        <v>High</v>
      </c>
      <c r="L1382">
        <v>189</v>
      </c>
      <c r="M1382">
        <v>44</v>
      </c>
      <c r="N1382" t="str">
        <f>IF(Table13[[#This Row],[Price USD]]&lt;20,"Budget",IF(Table13[[#This Row],[Price USD]]&lt;=50,"Mid-range","Premium"))</f>
        <v>Mid-range</v>
      </c>
      <c r="O1382">
        <v>1</v>
      </c>
      <c r="P1382">
        <v>0</v>
      </c>
    </row>
    <row r="1383" spans="1:16" x14ac:dyDescent="0.25">
      <c r="A1383" t="s">
        <v>4323</v>
      </c>
      <c r="B1383" t="s">
        <v>4324</v>
      </c>
      <c r="C1383">
        <v>5337</v>
      </c>
      <c r="D1383" t="s">
        <v>209</v>
      </c>
      <c r="E1383" t="s">
        <v>21</v>
      </c>
      <c r="F1383">
        <v>1957</v>
      </c>
      <c r="G13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3">
        <v>3.25</v>
      </c>
      <c r="J1383" t="str">
        <f>IF(ISBLANK(Table13[[#This Row],[Rating]]), "No", "Yes")</f>
        <v>Yes</v>
      </c>
      <c r="K1383" t="str">
        <f>IF(ISBLANK(Table13[[#This Row],[Rating]]), "Not Rated", IF(Table13[[#This Row],[Rating]] &lt; 3, "Low", IF(Table13[[#This Row],[Rating]] &lt; 4, "Medium", "High")))</f>
        <v>Medium</v>
      </c>
      <c r="L1383">
        <v>12</v>
      </c>
      <c r="M1383">
        <v>50</v>
      </c>
      <c r="N1383" t="str">
        <f>IF(Table13[[#This Row],[Price USD]]&lt;20,"Budget",IF(Table13[[#This Row],[Price USD]]&lt;=50,"Mid-range","Premium"))</f>
        <v>Mid-range</v>
      </c>
      <c r="O1383">
        <v>0</v>
      </c>
      <c r="P1383">
        <v>0</v>
      </c>
    </row>
    <row r="1384" spans="1:16" x14ac:dyDescent="0.25">
      <c r="A1384" t="s">
        <v>4321</v>
      </c>
      <c r="B1384" t="s">
        <v>4322</v>
      </c>
      <c r="C1384">
        <v>6018</v>
      </c>
      <c r="D1384" t="s">
        <v>517</v>
      </c>
      <c r="E1384" t="s">
        <v>149</v>
      </c>
      <c r="F1384">
        <v>1957</v>
      </c>
      <c r="G13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4">
        <v>3.2581000000000002</v>
      </c>
      <c r="J1384" t="str">
        <f>IF(ISBLANK(Table13[[#This Row],[Rating]]), "No", "Yes")</f>
        <v>Yes</v>
      </c>
      <c r="K1384" t="str">
        <f>IF(ISBLANK(Table13[[#This Row],[Rating]]), "Not Rated", IF(Table13[[#This Row],[Rating]] &lt; 3, "Low", IF(Table13[[#This Row],[Rating]] &lt; 4, "Medium", "High")))</f>
        <v>Medium</v>
      </c>
      <c r="L1384">
        <v>31</v>
      </c>
      <c r="M1384">
        <v>72</v>
      </c>
      <c r="N1384" t="str">
        <f>IF(Table13[[#This Row],[Price USD]]&lt;20,"Budget",IF(Table13[[#This Row],[Price USD]]&lt;=50,"Mid-range","Premium"))</f>
        <v>Premium</v>
      </c>
      <c r="O1384">
        <v>0</v>
      </c>
      <c r="P1384">
        <v>0</v>
      </c>
    </row>
    <row r="1385" spans="1:16" x14ac:dyDescent="0.25">
      <c r="A1385" t="s">
        <v>4317</v>
      </c>
      <c r="B1385" t="s">
        <v>4318</v>
      </c>
      <c r="C1385">
        <v>3733</v>
      </c>
      <c r="D1385" t="s">
        <v>124</v>
      </c>
      <c r="E1385" t="s">
        <v>13</v>
      </c>
      <c r="F1385">
        <v>1959</v>
      </c>
      <c r="G13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5">
        <v>3.5</v>
      </c>
      <c r="J1385" t="str">
        <f>IF(ISBLANK(Table13[[#This Row],[Rating]]), "No", "Yes")</f>
        <v>Yes</v>
      </c>
      <c r="K1385" t="str">
        <f>IF(ISBLANK(Table13[[#This Row],[Rating]]), "Not Rated", IF(Table13[[#This Row],[Rating]] &lt; 3, "Low", IF(Table13[[#This Row],[Rating]] &lt; 4, "Medium", "High")))</f>
        <v>Medium</v>
      </c>
      <c r="L1385">
        <v>8</v>
      </c>
      <c r="M1385">
        <v>27</v>
      </c>
      <c r="N1385" t="str">
        <f>IF(Table13[[#This Row],[Price USD]]&lt;20,"Budget",IF(Table13[[#This Row],[Price USD]]&lt;=50,"Mid-range","Premium"))</f>
        <v>Mid-range</v>
      </c>
      <c r="O1385">
        <v>0</v>
      </c>
      <c r="P1385">
        <v>0</v>
      </c>
    </row>
    <row r="1386" spans="1:16" x14ac:dyDescent="0.25">
      <c r="A1386" t="s">
        <v>4319</v>
      </c>
      <c r="B1386" t="s">
        <v>4320</v>
      </c>
      <c r="C1386">
        <v>5946</v>
      </c>
      <c r="D1386" t="s">
        <v>341</v>
      </c>
      <c r="E1386" t="s">
        <v>220</v>
      </c>
      <c r="F1386">
        <v>1959</v>
      </c>
      <c r="G13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6">
        <v>5</v>
      </c>
      <c r="J1386" t="str">
        <f>IF(ISBLANK(Table13[[#This Row],[Rating]]), "No", "Yes")</f>
        <v>Yes</v>
      </c>
      <c r="K1386" t="str">
        <f>IF(ISBLANK(Table13[[#This Row],[Rating]]), "Not Rated", IF(Table13[[#This Row],[Rating]] &lt; 3, "Low", IF(Table13[[#This Row],[Rating]] &lt; 4, "Medium", "High")))</f>
        <v>High</v>
      </c>
      <c r="L1386">
        <v>3</v>
      </c>
      <c r="M1386">
        <v>49</v>
      </c>
      <c r="N1386" t="str">
        <f>IF(Table13[[#This Row],[Price USD]]&lt;20,"Budget",IF(Table13[[#This Row],[Price USD]]&lt;=50,"Mid-range","Premium"))</f>
        <v>Mid-range</v>
      </c>
      <c r="O1386">
        <v>0</v>
      </c>
      <c r="P1386">
        <v>0</v>
      </c>
    </row>
    <row r="1387" spans="1:16" x14ac:dyDescent="0.25">
      <c r="A1387" t="s">
        <v>4315</v>
      </c>
      <c r="B1387" t="s">
        <v>4316</v>
      </c>
      <c r="C1387">
        <v>6272</v>
      </c>
      <c r="D1387" t="s">
        <v>1711</v>
      </c>
      <c r="E1387" t="s">
        <v>347</v>
      </c>
      <c r="F1387">
        <v>1960</v>
      </c>
      <c r="G13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7">
        <v>4.5</v>
      </c>
      <c r="J1387" t="str">
        <f>IF(ISBLANK(Table13[[#This Row],[Rating]]), "No", "Yes")</f>
        <v>Yes</v>
      </c>
      <c r="K1387" t="str">
        <f>IF(ISBLANK(Table13[[#This Row],[Rating]]), "Not Rated", IF(Table13[[#This Row],[Rating]] &lt; 3, "Low", IF(Table13[[#This Row],[Rating]] &lt; 4, "Medium", "High")))</f>
        <v>High</v>
      </c>
      <c r="L1387">
        <v>10</v>
      </c>
      <c r="M1387">
        <v>75</v>
      </c>
      <c r="N1387" t="str">
        <f>IF(Table13[[#This Row],[Price USD]]&lt;20,"Budget",IF(Table13[[#This Row],[Price USD]]&lt;=50,"Mid-range","Premium"))</f>
        <v>Premium</v>
      </c>
      <c r="O1387">
        <v>0</v>
      </c>
      <c r="P1387">
        <v>0</v>
      </c>
    </row>
    <row r="1388" spans="1:16" x14ac:dyDescent="0.25">
      <c r="A1388" t="s">
        <v>4313</v>
      </c>
      <c r="B1388" t="s">
        <v>4314</v>
      </c>
      <c r="C1388">
        <v>6367</v>
      </c>
      <c r="D1388" t="s">
        <v>2766</v>
      </c>
      <c r="E1388" t="s">
        <v>13</v>
      </c>
      <c r="F1388">
        <v>1962</v>
      </c>
      <c r="G13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8">
        <v>4.6848000000000001</v>
      </c>
      <c r="J1388" t="str">
        <f>IF(ISBLANK(Table13[[#This Row],[Rating]]), "No", "Yes")</f>
        <v>Yes</v>
      </c>
      <c r="K1388" t="str">
        <f>IF(ISBLANK(Table13[[#This Row],[Rating]]), "Not Rated", IF(Table13[[#This Row],[Rating]] &lt; 3, "Low", IF(Table13[[#This Row],[Rating]] &lt; 4, "Medium", "High")))</f>
        <v>High</v>
      </c>
      <c r="L1388">
        <v>184</v>
      </c>
      <c r="M1388">
        <v>15</v>
      </c>
      <c r="N1388" t="str">
        <f>IF(Table13[[#This Row],[Price USD]]&lt;20,"Budget",IF(Table13[[#This Row],[Price USD]]&lt;=50,"Mid-range","Premium"))</f>
        <v>Budget</v>
      </c>
      <c r="O1388">
        <v>0</v>
      </c>
      <c r="P1388">
        <v>0</v>
      </c>
    </row>
    <row r="1389" spans="1:16" x14ac:dyDescent="0.25">
      <c r="A1389" t="s">
        <v>4311</v>
      </c>
      <c r="B1389" t="s">
        <v>4312</v>
      </c>
      <c r="C1389">
        <v>1254</v>
      </c>
      <c r="D1389" t="s">
        <v>136</v>
      </c>
      <c r="E1389" t="s">
        <v>21</v>
      </c>
      <c r="F1389">
        <v>1968</v>
      </c>
      <c r="G13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89">
        <v>3</v>
      </c>
      <c r="J1389" t="str">
        <f>IF(ISBLANK(Table13[[#This Row],[Rating]]), "No", "Yes")</f>
        <v>Yes</v>
      </c>
      <c r="K1389" t="str">
        <f>IF(ISBLANK(Table13[[#This Row],[Rating]]), "Not Rated", IF(Table13[[#This Row],[Rating]] &lt; 3, "Low", IF(Table13[[#This Row],[Rating]] &lt; 4, "Medium", "High")))</f>
        <v>Medium</v>
      </c>
      <c r="L1389">
        <v>11</v>
      </c>
      <c r="M1389">
        <v>74</v>
      </c>
      <c r="N1389" t="str">
        <f>IF(Table13[[#This Row],[Price USD]]&lt;20,"Budget",IF(Table13[[#This Row],[Price USD]]&lt;=50,"Mid-range","Premium"))</f>
        <v>Premium</v>
      </c>
      <c r="O1389">
        <v>0</v>
      </c>
      <c r="P1389">
        <v>0</v>
      </c>
    </row>
    <row r="1390" spans="1:16" x14ac:dyDescent="0.25">
      <c r="A1390" t="s">
        <v>4309</v>
      </c>
      <c r="B1390" t="s">
        <v>4310</v>
      </c>
      <c r="C1390">
        <v>5987</v>
      </c>
      <c r="D1390" t="s">
        <v>48</v>
      </c>
      <c r="E1390" t="s">
        <v>49</v>
      </c>
      <c r="F1390">
        <v>1971</v>
      </c>
      <c r="G13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0">
        <v>2.5</v>
      </c>
      <c r="J1390" t="str">
        <f>IF(ISBLANK(Table13[[#This Row],[Rating]]), "No", "Yes")</f>
        <v>Yes</v>
      </c>
      <c r="K1390" t="str">
        <f>IF(ISBLANK(Table13[[#This Row],[Rating]]), "Not Rated", IF(Table13[[#This Row],[Rating]] &lt; 3, "Low", IF(Table13[[#This Row],[Rating]] &lt; 4, "Medium", "High")))</f>
        <v>Low</v>
      </c>
      <c r="L1390">
        <v>2</v>
      </c>
      <c r="M1390">
        <v>34</v>
      </c>
      <c r="N1390" t="str">
        <f>IF(Table13[[#This Row],[Price USD]]&lt;20,"Budget",IF(Table13[[#This Row],[Price USD]]&lt;=50,"Mid-range","Premium"))</f>
        <v>Mid-range</v>
      </c>
      <c r="O1390">
        <v>0</v>
      </c>
      <c r="P1390">
        <v>0</v>
      </c>
    </row>
    <row r="1391" spans="1:16" x14ac:dyDescent="0.25">
      <c r="A1391" t="s">
        <v>4307</v>
      </c>
      <c r="B1391" t="s">
        <v>4308</v>
      </c>
      <c r="C1391">
        <v>5674</v>
      </c>
      <c r="D1391" t="s">
        <v>141</v>
      </c>
      <c r="E1391" t="s">
        <v>220</v>
      </c>
      <c r="F1391">
        <v>1997</v>
      </c>
      <c r="G13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1">
        <v>3.75</v>
      </c>
      <c r="J1391" t="str">
        <f>IF(ISBLANK(Table13[[#This Row],[Rating]]), "No", "Yes")</f>
        <v>Yes</v>
      </c>
      <c r="K1391" t="str">
        <f>IF(ISBLANK(Table13[[#This Row],[Rating]]), "Not Rated", IF(Table13[[#This Row],[Rating]] &lt; 3, "Low", IF(Table13[[#This Row],[Rating]] &lt; 4, "Medium", "High")))</f>
        <v>Medium</v>
      </c>
      <c r="L1391">
        <v>4</v>
      </c>
      <c r="M1391">
        <v>62</v>
      </c>
      <c r="N1391" t="str">
        <f>IF(Table13[[#This Row],[Price USD]]&lt;20,"Budget",IF(Table13[[#This Row],[Price USD]]&lt;=50,"Mid-range","Premium"))</f>
        <v>Premium</v>
      </c>
      <c r="O1391">
        <v>1</v>
      </c>
      <c r="P1391">
        <v>0</v>
      </c>
    </row>
    <row r="1392" spans="1:16" x14ac:dyDescent="0.25">
      <c r="A1392" t="s">
        <v>4305</v>
      </c>
      <c r="B1392" t="s">
        <v>4306</v>
      </c>
      <c r="C1392">
        <v>6302</v>
      </c>
      <c r="D1392" t="s">
        <v>2721</v>
      </c>
      <c r="E1392" t="s">
        <v>21</v>
      </c>
      <c r="F1392">
        <v>2000</v>
      </c>
      <c r="G13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2">
        <v>5</v>
      </c>
      <c r="J1392" t="str">
        <f>IF(ISBLANK(Table13[[#This Row],[Rating]]), "No", "Yes")</f>
        <v>Yes</v>
      </c>
      <c r="K1392" t="str">
        <f>IF(ISBLANK(Table13[[#This Row],[Rating]]), "Not Rated", IF(Table13[[#This Row],[Rating]] &lt; 3, "Low", IF(Table13[[#This Row],[Rating]] &lt; 4, "Medium", "High")))</f>
        <v>High</v>
      </c>
      <c r="L1392">
        <v>5</v>
      </c>
      <c r="M1392">
        <v>240</v>
      </c>
      <c r="N1392" t="str">
        <f>IF(Table13[[#This Row],[Price USD]]&lt;20,"Budget",IF(Table13[[#This Row],[Price USD]]&lt;=50,"Mid-range","Premium"))</f>
        <v>Premium</v>
      </c>
      <c r="O1392">
        <v>0</v>
      </c>
      <c r="P1392">
        <v>0</v>
      </c>
    </row>
    <row r="1393" spans="1:16" x14ac:dyDescent="0.25">
      <c r="A1393" t="s">
        <v>4303</v>
      </c>
      <c r="B1393" t="s">
        <v>4304</v>
      </c>
      <c r="C1393">
        <v>7020</v>
      </c>
      <c r="D1393" t="s">
        <v>657</v>
      </c>
      <c r="E1393" t="s">
        <v>8</v>
      </c>
      <c r="F1393">
        <v>2010</v>
      </c>
      <c r="G13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3">
        <v>4.7272999999999996</v>
      </c>
      <c r="J1393" t="str">
        <f>IF(ISBLANK(Table13[[#This Row],[Rating]]), "No", "Yes")</f>
        <v>Yes</v>
      </c>
      <c r="K1393" t="str">
        <f>IF(ISBLANK(Table13[[#This Row],[Rating]]), "Not Rated", IF(Table13[[#This Row],[Rating]] &lt; 3, "Low", IF(Table13[[#This Row],[Rating]] &lt; 4, "Medium", "High")))</f>
        <v>High</v>
      </c>
      <c r="L1393">
        <v>44</v>
      </c>
      <c r="M1393">
        <v>146</v>
      </c>
      <c r="N1393" t="str">
        <f>IF(Table13[[#This Row],[Price USD]]&lt;20,"Budget",IF(Table13[[#This Row],[Price USD]]&lt;=50,"Mid-range","Premium"))</f>
        <v>Premium</v>
      </c>
      <c r="O1393">
        <v>0</v>
      </c>
      <c r="P1393">
        <v>0</v>
      </c>
    </row>
    <row r="1394" spans="1:16" x14ac:dyDescent="0.25">
      <c r="A1394" t="s">
        <v>4301</v>
      </c>
      <c r="B1394" t="s">
        <v>4302</v>
      </c>
      <c r="C1394">
        <v>8012</v>
      </c>
      <c r="D1394" t="s">
        <v>2864</v>
      </c>
      <c r="E1394" t="s">
        <v>13</v>
      </c>
      <c r="F1394">
        <v>2017</v>
      </c>
      <c r="G13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4">
        <v>4.5522</v>
      </c>
      <c r="J1394" t="str">
        <f>IF(ISBLANK(Table13[[#This Row],[Rating]]), "No", "Yes")</f>
        <v>Yes</v>
      </c>
      <c r="K1394" t="str">
        <f>IF(ISBLANK(Table13[[#This Row],[Rating]]), "Not Rated", IF(Table13[[#This Row],[Rating]] &lt; 3, "Low", IF(Table13[[#This Row],[Rating]] &lt; 4, "Medium", "High")))</f>
        <v>High</v>
      </c>
      <c r="L1394">
        <v>67</v>
      </c>
      <c r="M1394">
        <v>19</v>
      </c>
      <c r="N1394" t="str">
        <f>IF(Table13[[#This Row],[Price USD]]&lt;20,"Budget",IF(Table13[[#This Row],[Price USD]]&lt;=50,"Mid-range","Premium"))</f>
        <v>Budget</v>
      </c>
      <c r="O1394">
        <v>0</v>
      </c>
      <c r="P1394">
        <v>0</v>
      </c>
    </row>
    <row r="1395" spans="1:16" x14ac:dyDescent="0.25">
      <c r="A1395" t="s">
        <v>4299</v>
      </c>
      <c r="B1395" t="s">
        <v>4300</v>
      </c>
      <c r="C1395">
        <v>6309</v>
      </c>
      <c r="D1395" t="s">
        <v>1735</v>
      </c>
      <c r="E1395" t="s">
        <v>201</v>
      </c>
      <c r="F1395">
        <v>2036</v>
      </c>
      <c r="G13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5">
        <v>3.2381000000000002</v>
      </c>
      <c r="J1395" t="str">
        <f>IF(ISBLANK(Table13[[#This Row],[Rating]]), "No", "Yes")</f>
        <v>Yes</v>
      </c>
      <c r="K1395" t="str">
        <f>IF(ISBLANK(Table13[[#This Row],[Rating]]), "Not Rated", IF(Table13[[#This Row],[Rating]] &lt; 3, "Low", IF(Table13[[#This Row],[Rating]] &lt; 4, "Medium", "High")))</f>
        <v>Medium</v>
      </c>
      <c r="L1395">
        <v>21</v>
      </c>
      <c r="M1395">
        <v>30</v>
      </c>
      <c r="N1395" t="str">
        <f>IF(Table13[[#This Row],[Price USD]]&lt;20,"Budget",IF(Table13[[#This Row],[Price USD]]&lt;=50,"Mid-range","Premium"))</f>
        <v>Mid-range</v>
      </c>
      <c r="O1395">
        <v>0</v>
      </c>
      <c r="P1395">
        <v>1</v>
      </c>
    </row>
    <row r="1396" spans="1:16" x14ac:dyDescent="0.25">
      <c r="A1396" t="s">
        <v>4297</v>
      </c>
      <c r="B1396" t="s">
        <v>4298</v>
      </c>
      <c r="C1396">
        <v>6001</v>
      </c>
      <c r="D1396" t="s">
        <v>1836</v>
      </c>
      <c r="E1396" t="s">
        <v>347</v>
      </c>
      <c r="F1396">
        <v>2054</v>
      </c>
      <c r="G13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6">
        <v>2</v>
      </c>
      <c r="J1396" t="str">
        <f>IF(ISBLANK(Table13[[#This Row],[Rating]]), "No", "Yes")</f>
        <v>Yes</v>
      </c>
      <c r="K1396" t="str">
        <f>IF(ISBLANK(Table13[[#This Row],[Rating]]), "Not Rated", IF(Table13[[#This Row],[Rating]] &lt; 3, "Low", IF(Table13[[#This Row],[Rating]] &lt; 4, "Medium", "High")))</f>
        <v>Low</v>
      </c>
      <c r="L1396">
        <v>12</v>
      </c>
      <c r="M1396">
        <v>159</v>
      </c>
      <c r="N1396" t="str">
        <f>IF(Table13[[#This Row],[Price USD]]&lt;20,"Budget",IF(Table13[[#This Row],[Price USD]]&lt;=50,"Mid-range","Premium"))</f>
        <v>Premium</v>
      </c>
      <c r="O1396">
        <v>0</v>
      </c>
      <c r="P1396">
        <v>0</v>
      </c>
    </row>
    <row r="1397" spans="1:16" x14ac:dyDescent="0.25">
      <c r="A1397" t="s">
        <v>4295</v>
      </c>
      <c r="B1397" t="s">
        <v>4296</v>
      </c>
      <c r="C1397">
        <v>6289</v>
      </c>
      <c r="D1397" t="s">
        <v>111</v>
      </c>
      <c r="E1397" t="s">
        <v>149</v>
      </c>
      <c r="F1397">
        <v>2065</v>
      </c>
      <c r="G13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7">
        <v>4.7984</v>
      </c>
      <c r="J1397" t="str">
        <f>IF(ISBLANK(Table13[[#This Row],[Rating]]), "No", "Yes")</f>
        <v>Yes</v>
      </c>
      <c r="K1397" t="str">
        <f>IF(ISBLANK(Table13[[#This Row],[Rating]]), "Not Rated", IF(Table13[[#This Row],[Rating]] &lt; 3, "Low", IF(Table13[[#This Row],[Rating]] &lt; 4, "Medium", "High")))</f>
        <v>High</v>
      </c>
      <c r="L1397">
        <v>258</v>
      </c>
      <c r="M1397">
        <v>54</v>
      </c>
      <c r="N1397" t="str">
        <f>IF(Table13[[#This Row],[Price USD]]&lt;20,"Budget",IF(Table13[[#This Row],[Price USD]]&lt;=50,"Mid-range","Premium"))</f>
        <v>Premium</v>
      </c>
      <c r="O1397">
        <v>1</v>
      </c>
      <c r="P1397">
        <v>0</v>
      </c>
    </row>
    <row r="1398" spans="1:16" x14ac:dyDescent="0.25">
      <c r="A1398" t="s">
        <v>4293</v>
      </c>
      <c r="B1398" t="s">
        <v>4294</v>
      </c>
      <c r="C1398">
        <v>6356</v>
      </c>
      <c r="D1398" t="s">
        <v>1885</v>
      </c>
      <c r="E1398" t="s">
        <v>220</v>
      </c>
      <c r="F1398">
        <v>2080</v>
      </c>
      <c r="G13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8">
        <v>4</v>
      </c>
      <c r="J1398" t="str">
        <f>IF(ISBLANK(Table13[[#This Row],[Rating]]), "No", "Yes")</f>
        <v>Yes</v>
      </c>
      <c r="K1398" t="str">
        <f>IF(ISBLANK(Table13[[#This Row],[Rating]]), "Not Rated", IF(Table13[[#This Row],[Rating]] &lt; 3, "Low", IF(Table13[[#This Row],[Rating]] &lt; 4, "Medium", "High")))</f>
        <v>High</v>
      </c>
      <c r="L1398">
        <v>3</v>
      </c>
      <c r="M1398">
        <v>305</v>
      </c>
      <c r="N1398" t="str">
        <f>IF(Table13[[#This Row],[Price USD]]&lt;20,"Budget",IF(Table13[[#This Row],[Price USD]]&lt;=50,"Mid-range","Premium"))</f>
        <v>Premium</v>
      </c>
      <c r="O1398">
        <v>0</v>
      </c>
      <c r="P1398">
        <v>0</v>
      </c>
    </row>
    <row r="1399" spans="1:16" x14ac:dyDescent="0.25">
      <c r="A1399" t="s">
        <v>4291</v>
      </c>
      <c r="B1399" t="s">
        <v>4292</v>
      </c>
      <c r="C1399">
        <v>7091</v>
      </c>
      <c r="D1399" t="s">
        <v>879</v>
      </c>
      <c r="E1399" t="s">
        <v>106</v>
      </c>
      <c r="F1399">
        <v>2101</v>
      </c>
      <c r="G13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3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399">
        <v>4.3478000000000003</v>
      </c>
      <c r="J1399" t="str">
        <f>IF(ISBLANK(Table13[[#This Row],[Rating]]), "No", "Yes")</f>
        <v>Yes</v>
      </c>
      <c r="K1399" t="str">
        <f>IF(ISBLANK(Table13[[#This Row],[Rating]]), "Not Rated", IF(Table13[[#This Row],[Rating]] &lt; 3, "Low", IF(Table13[[#This Row],[Rating]] &lt; 4, "Medium", "High")))</f>
        <v>High</v>
      </c>
      <c r="L1399">
        <v>23</v>
      </c>
      <c r="M1399">
        <v>46</v>
      </c>
      <c r="N1399" t="str">
        <f>IF(Table13[[#This Row],[Price USD]]&lt;20,"Budget",IF(Table13[[#This Row],[Price USD]]&lt;=50,"Mid-range","Premium"))</f>
        <v>Mid-range</v>
      </c>
      <c r="O1399">
        <v>0</v>
      </c>
      <c r="P1399">
        <v>1</v>
      </c>
    </row>
    <row r="1400" spans="1:16" x14ac:dyDescent="0.25">
      <c r="A1400" t="s">
        <v>4289</v>
      </c>
      <c r="B1400" t="s">
        <v>4290</v>
      </c>
      <c r="C1400">
        <v>6475</v>
      </c>
      <c r="D1400" t="s">
        <v>3011</v>
      </c>
      <c r="E1400" t="s">
        <v>13</v>
      </c>
      <c r="F1400">
        <v>2102</v>
      </c>
      <c r="G14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0">
        <v>4.4682000000000004</v>
      </c>
      <c r="J1400" t="str">
        <f>IF(ISBLANK(Table13[[#This Row],[Rating]]), "No", "Yes")</f>
        <v>Yes</v>
      </c>
      <c r="K1400" t="str">
        <f>IF(ISBLANK(Table13[[#This Row],[Rating]]), "Not Rated", IF(Table13[[#This Row],[Rating]] &lt; 3, "Low", IF(Table13[[#This Row],[Rating]] &lt; 4, "Medium", "High")))</f>
        <v>High</v>
      </c>
      <c r="L1400">
        <v>173</v>
      </c>
      <c r="M1400">
        <v>45</v>
      </c>
      <c r="N1400" t="str">
        <f>IF(Table13[[#This Row],[Price USD]]&lt;20,"Budget",IF(Table13[[#This Row],[Price USD]]&lt;=50,"Mid-range","Premium"))</f>
        <v>Mid-range</v>
      </c>
      <c r="O1400">
        <v>0</v>
      </c>
      <c r="P1400">
        <v>0</v>
      </c>
    </row>
    <row r="1401" spans="1:16" x14ac:dyDescent="0.25">
      <c r="A1401" t="s">
        <v>4287</v>
      </c>
      <c r="B1401" t="s">
        <v>4288</v>
      </c>
      <c r="C1401">
        <v>1073</v>
      </c>
      <c r="D1401" t="s">
        <v>767</v>
      </c>
      <c r="E1401" t="s">
        <v>21</v>
      </c>
      <c r="F1401">
        <v>2108</v>
      </c>
      <c r="G14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1">
        <v>4</v>
      </c>
      <c r="J1401" t="str">
        <f>IF(ISBLANK(Table13[[#This Row],[Rating]]), "No", "Yes")</f>
        <v>Yes</v>
      </c>
      <c r="K1401" t="str">
        <f>IF(ISBLANK(Table13[[#This Row],[Rating]]), "Not Rated", IF(Table13[[#This Row],[Rating]] &lt; 3, "Low", IF(Table13[[#This Row],[Rating]] &lt; 4, "Medium", "High")))</f>
        <v>High</v>
      </c>
      <c r="L1401">
        <v>3</v>
      </c>
      <c r="M1401">
        <v>80</v>
      </c>
      <c r="N1401" t="str">
        <f>IF(Table13[[#This Row],[Price USD]]&lt;20,"Budget",IF(Table13[[#This Row],[Price USD]]&lt;=50,"Mid-range","Premium"))</f>
        <v>Premium</v>
      </c>
      <c r="O1401">
        <v>0</v>
      </c>
      <c r="P1401">
        <v>0</v>
      </c>
    </row>
    <row r="1402" spans="1:16" x14ac:dyDescent="0.25">
      <c r="A1402" t="s">
        <v>4284</v>
      </c>
      <c r="B1402" t="s">
        <v>4285</v>
      </c>
      <c r="C1402">
        <v>8017</v>
      </c>
      <c r="D1402" t="s">
        <v>620</v>
      </c>
      <c r="E1402" t="s">
        <v>8</v>
      </c>
      <c r="F1402">
        <v>2112</v>
      </c>
      <c r="G14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2">
        <v>3.5</v>
      </c>
      <c r="J1402" t="str">
        <f>IF(ISBLANK(Table13[[#This Row],[Rating]]), "No", "Yes")</f>
        <v>Yes</v>
      </c>
      <c r="K1402" t="str">
        <f>IF(ISBLANK(Table13[[#This Row],[Rating]]), "Not Rated", IF(Table13[[#This Row],[Rating]] &lt; 3, "Low", IF(Table13[[#This Row],[Rating]] &lt; 4, "Medium", "High")))</f>
        <v>Medium</v>
      </c>
      <c r="L1402">
        <v>6</v>
      </c>
      <c r="M1402">
        <v>30</v>
      </c>
      <c r="N1402" t="str">
        <f>IF(Table13[[#This Row],[Price USD]]&lt;20,"Budget",IF(Table13[[#This Row],[Price USD]]&lt;=50,"Mid-range","Premium"))</f>
        <v>Mid-range</v>
      </c>
      <c r="O1402">
        <v>0</v>
      </c>
      <c r="P1402">
        <v>0</v>
      </c>
    </row>
    <row r="1403" spans="1:16" x14ac:dyDescent="0.25">
      <c r="A1403" t="s">
        <v>4286</v>
      </c>
      <c r="B1403" t="s">
        <v>3332</v>
      </c>
      <c r="C1403">
        <v>6001</v>
      </c>
      <c r="D1403" t="s">
        <v>1836</v>
      </c>
      <c r="E1403" t="s">
        <v>347</v>
      </c>
      <c r="F1403">
        <v>2112</v>
      </c>
      <c r="G14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3">
        <v>3.6667000000000001</v>
      </c>
      <c r="J1403" t="str">
        <f>IF(ISBLANK(Table13[[#This Row],[Rating]]), "No", "Yes")</f>
        <v>Yes</v>
      </c>
      <c r="K1403" t="str">
        <f>IF(ISBLANK(Table13[[#This Row],[Rating]]), "Not Rated", IF(Table13[[#This Row],[Rating]] &lt; 3, "Low", IF(Table13[[#This Row],[Rating]] &lt; 4, "Medium", "High")))</f>
        <v>Medium</v>
      </c>
      <c r="L1403">
        <v>9</v>
      </c>
      <c r="M1403">
        <v>429</v>
      </c>
      <c r="N1403" t="str">
        <f>IF(Table13[[#This Row],[Price USD]]&lt;20,"Budget",IF(Table13[[#This Row],[Price USD]]&lt;=50,"Mid-range","Premium"))</f>
        <v>Premium</v>
      </c>
      <c r="O1403">
        <v>0</v>
      </c>
      <c r="P1403">
        <v>1</v>
      </c>
    </row>
    <row r="1404" spans="1:16" x14ac:dyDescent="0.25">
      <c r="A1404" t="s">
        <v>4282</v>
      </c>
      <c r="B1404" t="s">
        <v>4283</v>
      </c>
      <c r="C1404">
        <v>6084</v>
      </c>
      <c r="D1404" t="s">
        <v>269</v>
      </c>
      <c r="E1404" t="s">
        <v>21</v>
      </c>
      <c r="F1404">
        <v>2114</v>
      </c>
      <c r="G14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4">
        <v>4.2647000000000004</v>
      </c>
      <c r="J1404" t="str">
        <f>IF(ISBLANK(Table13[[#This Row],[Rating]]), "No", "Yes")</f>
        <v>Yes</v>
      </c>
      <c r="K1404" t="str">
        <f>IF(ISBLANK(Table13[[#This Row],[Rating]]), "Not Rated", IF(Table13[[#This Row],[Rating]] &lt; 3, "Low", IF(Table13[[#This Row],[Rating]] &lt; 4, "Medium", "High")))</f>
        <v>High</v>
      </c>
      <c r="L1404">
        <v>831</v>
      </c>
      <c r="M1404">
        <v>170</v>
      </c>
      <c r="N1404" t="str">
        <f>IF(Table13[[#This Row],[Price USD]]&lt;20,"Budget",IF(Table13[[#This Row],[Price USD]]&lt;=50,"Mid-range","Premium"))</f>
        <v>Premium</v>
      </c>
      <c r="O1404">
        <v>0</v>
      </c>
      <c r="P1404">
        <v>0</v>
      </c>
    </row>
    <row r="1405" spans="1:16" x14ac:dyDescent="0.25">
      <c r="A1405" t="s">
        <v>4280</v>
      </c>
      <c r="B1405" t="s">
        <v>4281</v>
      </c>
      <c r="C1405">
        <v>8017</v>
      </c>
      <c r="D1405" t="s">
        <v>620</v>
      </c>
      <c r="E1405" t="s">
        <v>220</v>
      </c>
      <c r="F1405">
        <v>2124</v>
      </c>
      <c r="G14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405" t="str">
        <f>IF(ISBLANK(Table13[[#This Row],[Rating]]), "No", "Yes")</f>
        <v>No</v>
      </c>
      <c r="K1405" t="str">
        <f>IF(ISBLANK(Table13[[#This Row],[Rating]]), "Not Rated", IF(Table13[[#This Row],[Rating]] &lt; 3, "Low", IF(Table13[[#This Row],[Rating]] &lt; 4, "Medium", "High")))</f>
        <v>Not Rated</v>
      </c>
      <c r="L1405">
        <v>0</v>
      </c>
      <c r="M1405">
        <v>46</v>
      </c>
      <c r="N1405" t="str">
        <f>IF(Table13[[#This Row],[Price USD]]&lt;20,"Budget",IF(Table13[[#This Row],[Price USD]]&lt;=50,"Mid-range","Premium"))</f>
        <v>Mid-range</v>
      </c>
      <c r="O1405">
        <v>0</v>
      </c>
      <c r="P1405">
        <v>0</v>
      </c>
    </row>
    <row r="1406" spans="1:16" x14ac:dyDescent="0.25">
      <c r="A1406" t="s">
        <v>4278</v>
      </c>
      <c r="B1406" t="s">
        <v>4279</v>
      </c>
      <c r="C1406">
        <v>5946</v>
      </c>
      <c r="D1406" t="s">
        <v>341</v>
      </c>
      <c r="E1406" t="s">
        <v>21</v>
      </c>
      <c r="F1406">
        <v>2129</v>
      </c>
      <c r="G14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6">
        <v>4.7142999999999997</v>
      </c>
      <c r="J1406" t="str">
        <f>IF(ISBLANK(Table13[[#This Row],[Rating]]), "No", "Yes")</f>
        <v>Yes</v>
      </c>
      <c r="K1406" t="str">
        <f>IF(ISBLANK(Table13[[#This Row],[Rating]]), "Not Rated", IF(Table13[[#This Row],[Rating]] &lt; 3, "Low", IF(Table13[[#This Row],[Rating]] &lt; 4, "Medium", "High")))</f>
        <v>High</v>
      </c>
      <c r="L1406">
        <v>91</v>
      </c>
      <c r="M1406">
        <v>140</v>
      </c>
      <c r="N1406" t="str">
        <f>IF(Table13[[#This Row],[Price USD]]&lt;20,"Budget",IF(Table13[[#This Row],[Price USD]]&lt;=50,"Mid-range","Premium"))</f>
        <v>Premium</v>
      </c>
      <c r="O1406">
        <v>0</v>
      </c>
      <c r="P1406">
        <v>0</v>
      </c>
    </row>
    <row r="1407" spans="1:16" x14ac:dyDescent="0.25">
      <c r="A1407" t="s">
        <v>4276</v>
      </c>
      <c r="B1407" t="s">
        <v>4277</v>
      </c>
      <c r="C1407">
        <v>6373</v>
      </c>
      <c r="D1407" t="s">
        <v>1652</v>
      </c>
      <c r="E1407" t="s">
        <v>8</v>
      </c>
      <c r="F1407">
        <v>2136</v>
      </c>
      <c r="G14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7">
        <v>4.2979000000000003</v>
      </c>
      <c r="J1407" t="str">
        <f>IF(ISBLANK(Table13[[#This Row],[Rating]]), "No", "Yes")</f>
        <v>Yes</v>
      </c>
      <c r="K1407" t="str">
        <f>IF(ISBLANK(Table13[[#This Row],[Rating]]), "Not Rated", IF(Table13[[#This Row],[Rating]] &lt; 3, "Low", IF(Table13[[#This Row],[Rating]] &lt; 4, "Medium", "High")))</f>
        <v>High</v>
      </c>
      <c r="L1407">
        <v>47</v>
      </c>
      <c r="M1407">
        <v>68</v>
      </c>
      <c r="N1407" t="str">
        <f>IF(Table13[[#This Row],[Price USD]]&lt;20,"Budget",IF(Table13[[#This Row],[Price USD]]&lt;=50,"Mid-range","Premium"))</f>
        <v>Premium</v>
      </c>
      <c r="O1407">
        <v>0</v>
      </c>
      <c r="P1407">
        <v>0</v>
      </c>
    </row>
    <row r="1408" spans="1:16" x14ac:dyDescent="0.25">
      <c r="A1408" t="s">
        <v>4274</v>
      </c>
      <c r="B1408" t="s">
        <v>4275</v>
      </c>
      <c r="C1408">
        <v>6373</v>
      </c>
      <c r="D1408" t="s">
        <v>1652</v>
      </c>
      <c r="E1408" t="s">
        <v>8</v>
      </c>
      <c r="F1408">
        <v>2137</v>
      </c>
      <c r="G14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8">
        <v>4.1489000000000003</v>
      </c>
      <c r="J1408" t="str">
        <f>IF(ISBLANK(Table13[[#This Row],[Rating]]), "No", "Yes")</f>
        <v>Yes</v>
      </c>
      <c r="K1408" t="str">
        <f>IF(ISBLANK(Table13[[#This Row],[Rating]]), "Not Rated", IF(Table13[[#This Row],[Rating]] &lt; 3, "Low", IF(Table13[[#This Row],[Rating]] &lt; 4, "Medium", "High")))</f>
        <v>High</v>
      </c>
      <c r="L1408">
        <v>47</v>
      </c>
      <c r="M1408">
        <v>48</v>
      </c>
      <c r="N1408" t="str">
        <f>IF(Table13[[#This Row],[Price USD]]&lt;20,"Budget",IF(Table13[[#This Row],[Price USD]]&lt;=50,"Mid-range","Premium"))</f>
        <v>Mid-range</v>
      </c>
      <c r="O1408">
        <v>0</v>
      </c>
      <c r="P1408">
        <v>0</v>
      </c>
    </row>
    <row r="1409" spans="1:16" x14ac:dyDescent="0.25">
      <c r="A1409" t="s">
        <v>4272</v>
      </c>
      <c r="B1409" t="s">
        <v>4273</v>
      </c>
      <c r="C1409">
        <v>8017</v>
      </c>
      <c r="D1409" t="s">
        <v>620</v>
      </c>
      <c r="E1409" t="s">
        <v>13</v>
      </c>
      <c r="F1409">
        <v>2138</v>
      </c>
      <c r="G14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09">
        <v>4</v>
      </c>
      <c r="J1409" t="str">
        <f>IF(ISBLANK(Table13[[#This Row],[Rating]]), "No", "Yes")</f>
        <v>Yes</v>
      </c>
      <c r="K1409" t="str">
        <f>IF(ISBLANK(Table13[[#This Row],[Rating]]), "Not Rated", IF(Table13[[#This Row],[Rating]] &lt; 3, "Low", IF(Table13[[#This Row],[Rating]] &lt; 4, "Medium", "High")))</f>
        <v>High</v>
      </c>
      <c r="L1409">
        <v>6</v>
      </c>
      <c r="M1409">
        <v>14</v>
      </c>
      <c r="N1409" t="str">
        <f>IF(Table13[[#This Row],[Price USD]]&lt;20,"Budget",IF(Table13[[#This Row],[Price USD]]&lt;=50,"Mid-range","Premium"))</f>
        <v>Budget</v>
      </c>
      <c r="O1409">
        <v>0</v>
      </c>
      <c r="P1409">
        <v>0</v>
      </c>
    </row>
    <row r="1410" spans="1:16" x14ac:dyDescent="0.25">
      <c r="A1410" t="s">
        <v>4270</v>
      </c>
      <c r="B1410" t="s">
        <v>4271</v>
      </c>
      <c r="C1410">
        <v>6283</v>
      </c>
      <c r="D1410" t="s">
        <v>1696</v>
      </c>
      <c r="E1410" t="s">
        <v>13</v>
      </c>
      <c r="F1410">
        <v>2138</v>
      </c>
      <c r="G14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0">
        <v>4.25</v>
      </c>
      <c r="J1410" t="str">
        <f>IF(ISBLANK(Table13[[#This Row],[Rating]]), "No", "Yes")</f>
        <v>Yes</v>
      </c>
      <c r="K1410" t="str">
        <f>IF(ISBLANK(Table13[[#This Row],[Rating]]), "Not Rated", IF(Table13[[#This Row],[Rating]] &lt; 3, "Low", IF(Table13[[#This Row],[Rating]] &lt; 4, "Medium", "High")))</f>
        <v>High</v>
      </c>
      <c r="L1410">
        <v>12</v>
      </c>
      <c r="M1410">
        <v>38</v>
      </c>
      <c r="N1410" t="str">
        <f>IF(Table13[[#This Row],[Price USD]]&lt;20,"Budget",IF(Table13[[#This Row],[Price USD]]&lt;=50,"Mid-range","Premium"))</f>
        <v>Mid-range</v>
      </c>
      <c r="O1410">
        <v>0</v>
      </c>
      <c r="P1410">
        <v>0</v>
      </c>
    </row>
    <row r="1411" spans="1:16" x14ac:dyDescent="0.25">
      <c r="A1411" t="s">
        <v>4268</v>
      </c>
      <c r="B1411" t="s">
        <v>4269</v>
      </c>
      <c r="C1411">
        <v>6309</v>
      </c>
      <c r="D1411" t="s">
        <v>1735</v>
      </c>
      <c r="E1411" t="s">
        <v>8</v>
      </c>
      <c r="F1411">
        <v>2143</v>
      </c>
      <c r="G14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1">
        <v>4.0598000000000001</v>
      </c>
      <c r="J1411" t="str">
        <f>IF(ISBLANK(Table13[[#This Row],[Rating]]), "No", "Yes")</f>
        <v>Yes</v>
      </c>
      <c r="K1411" t="str">
        <f>IF(ISBLANK(Table13[[#This Row],[Rating]]), "Not Rated", IF(Table13[[#This Row],[Rating]] &lt; 3, "Low", IF(Table13[[#This Row],[Rating]] &lt; 4, "Medium", "High")))</f>
        <v>High</v>
      </c>
      <c r="L1411">
        <v>251</v>
      </c>
      <c r="M1411">
        <v>98</v>
      </c>
      <c r="N1411" t="str">
        <f>IF(Table13[[#This Row],[Price USD]]&lt;20,"Budget",IF(Table13[[#This Row],[Price USD]]&lt;=50,"Mid-range","Premium"))</f>
        <v>Premium</v>
      </c>
      <c r="O1411">
        <v>0</v>
      </c>
      <c r="P1411">
        <v>0</v>
      </c>
    </row>
    <row r="1412" spans="1:16" x14ac:dyDescent="0.25">
      <c r="A1412" t="s">
        <v>4266</v>
      </c>
      <c r="B1412" t="s">
        <v>4267</v>
      </c>
      <c r="C1412">
        <v>6089</v>
      </c>
      <c r="D1412" t="s">
        <v>605</v>
      </c>
      <c r="E1412" t="s">
        <v>149</v>
      </c>
      <c r="F1412">
        <v>2157</v>
      </c>
      <c r="G14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2">
        <v>4.2727000000000004</v>
      </c>
      <c r="J1412" t="str">
        <f>IF(ISBLANK(Table13[[#This Row],[Rating]]), "No", "Yes")</f>
        <v>Yes</v>
      </c>
      <c r="K1412" t="str">
        <f>IF(ISBLANK(Table13[[#This Row],[Rating]]), "Not Rated", IF(Table13[[#This Row],[Rating]] &lt; 3, "Low", IF(Table13[[#This Row],[Rating]] &lt; 4, "Medium", "High")))</f>
        <v>High</v>
      </c>
      <c r="L1412">
        <v>11</v>
      </c>
      <c r="M1412">
        <v>46</v>
      </c>
      <c r="N1412" t="str">
        <f>IF(Table13[[#This Row],[Price USD]]&lt;20,"Budget",IF(Table13[[#This Row],[Price USD]]&lt;=50,"Mid-range","Premium"))</f>
        <v>Mid-range</v>
      </c>
      <c r="O1412">
        <v>0</v>
      </c>
      <c r="P1412">
        <v>0</v>
      </c>
    </row>
    <row r="1413" spans="1:16" x14ac:dyDescent="0.25">
      <c r="A1413" t="s">
        <v>4264</v>
      </c>
      <c r="B1413" t="s">
        <v>4265</v>
      </c>
      <c r="C1413">
        <v>6475</v>
      </c>
      <c r="D1413" t="s">
        <v>3011</v>
      </c>
      <c r="E1413" t="s">
        <v>21</v>
      </c>
      <c r="F1413">
        <v>2168</v>
      </c>
      <c r="G14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3">
        <v>4.3676000000000004</v>
      </c>
      <c r="J1413" t="str">
        <f>IF(ISBLANK(Table13[[#This Row],[Rating]]), "No", "Yes")</f>
        <v>Yes</v>
      </c>
      <c r="K1413" t="str">
        <f>IF(ISBLANK(Table13[[#This Row],[Rating]]), "Not Rated", IF(Table13[[#This Row],[Rating]] &lt; 3, "Low", IF(Table13[[#This Row],[Rating]] &lt; 4, "Medium", "High")))</f>
        <v>High</v>
      </c>
      <c r="L1413">
        <v>204</v>
      </c>
      <c r="M1413">
        <v>95</v>
      </c>
      <c r="N1413" t="str">
        <f>IF(Table13[[#This Row],[Price USD]]&lt;20,"Budget",IF(Table13[[#This Row],[Price USD]]&lt;=50,"Mid-range","Premium"))</f>
        <v>Premium</v>
      </c>
      <c r="O1413">
        <v>0</v>
      </c>
      <c r="P1413">
        <v>0</v>
      </c>
    </row>
    <row r="1414" spans="1:16" x14ac:dyDescent="0.25">
      <c r="A1414" t="s">
        <v>4262</v>
      </c>
      <c r="B1414" t="s">
        <v>4263</v>
      </c>
      <c r="C1414">
        <v>7100</v>
      </c>
      <c r="D1414" t="s">
        <v>3756</v>
      </c>
      <c r="E1414" t="s">
        <v>8</v>
      </c>
      <c r="F1414">
        <v>2170</v>
      </c>
      <c r="G14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4">
        <v>4.8182</v>
      </c>
      <c r="J1414" t="str">
        <f>IF(ISBLANK(Table13[[#This Row],[Rating]]), "No", "Yes")</f>
        <v>Yes</v>
      </c>
      <c r="K1414" t="str">
        <f>IF(ISBLANK(Table13[[#This Row],[Rating]]), "Not Rated", IF(Table13[[#This Row],[Rating]] &lt; 3, "Low", IF(Table13[[#This Row],[Rating]] &lt; 4, "Medium", "High")))</f>
        <v>High</v>
      </c>
      <c r="L1414">
        <v>33</v>
      </c>
      <c r="M1414">
        <v>70</v>
      </c>
      <c r="N1414" t="str">
        <f>IF(Table13[[#This Row],[Price USD]]&lt;20,"Budget",IF(Table13[[#This Row],[Price USD]]&lt;=50,"Mid-range","Premium"))</f>
        <v>Premium</v>
      </c>
      <c r="O1414">
        <v>0</v>
      </c>
      <c r="P1414">
        <v>0</v>
      </c>
    </row>
    <row r="1415" spans="1:16" x14ac:dyDescent="0.25">
      <c r="A1415" t="s">
        <v>4260</v>
      </c>
      <c r="B1415" t="s">
        <v>4261</v>
      </c>
      <c r="C1415">
        <v>6358</v>
      </c>
      <c r="D1415" t="s">
        <v>2301</v>
      </c>
      <c r="E1415" t="s">
        <v>21</v>
      </c>
      <c r="F1415">
        <v>2182</v>
      </c>
      <c r="G14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5">
        <v>4.6538000000000004</v>
      </c>
      <c r="J1415" t="str">
        <f>IF(ISBLANK(Table13[[#This Row],[Rating]]), "No", "Yes")</f>
        <v>Yes</v>
      </c>
      <c r="K1415" t="str">
        <f>IF(ISBLANK(Table13[[#This Row],[Rating]]), "Not Rated", IF(Table13[[#This Row],[Rating]] &lt; 3, "Low", IF(Table13[[#This Row],[Rating]] &lt; 4, "Medium", "High")))</f>
        <v>High</v>
      </c>
      <c r="L1415">
        <v>52</v>
      </c>
      <c r="M1415">
        <v>69</v>
      </c>
      <c r="N1415" t="str">
        <f>IF(Table13[[#This Row],[Price USD]]&lt;20,"Budget",IF(Table13[[#This Row],[Price USD]]&lt;=50,"Mid-range","Premium"))</f>
        <v>Premium</v>
      </c>
      <c r="O1415">
        <v>0</v>
      </c>
      <c r="P1415">
        <v>0</v>
      </c>
    </row>
    <row r="1416" spans="1:16" x14ac:dyDescent="0.25">
      <c r="A1416" t="s">
        <v>4258</v>
      </c>
      <c r="B1416" t="s">
        <v>4259</v>
      </c>
      <c r="C1416">
        <v>1132</v>
      </c>
      <c r="D1416" t="s">
        <v>1319</v>
      </c>
      <c r="E1416" t="s">
        <v>21</v>
      </c>
      <c r="F1416">
        <v>2188</v>
      </c>
      <c r="G14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6">
        <v>4.2857000000000003</v>
      </c>
      <c r="J1416" t="str">
        <f>IF(ISBLANK(Table13[[#This Row],[Rating]]), "No", "Yes")</f>
        <v>Yes</v>
      </c>
      <c r="K1416" t="str">
        <f>IF(ISBLANK(Table13[[#This Row],[Rating]]), "Not Rated", IF(Table13[[#This Row],[Rating]] &lt; 3, "Low", IF(Table13[[#This Row],[Rating]] &lt; 4, "Medium", "High")))</f>
        <v>High</v>
      </c>
      <c r="L1416">
        <v>14</v>
      </c>
      <c r="M1416">
        <v>170</v>
      </c>
      <c r="N1416" t="str">
        <f>IF(Table13[[#This Row],[Price USD]]&lt;20,"Budget",IF(Table13[[#This Row],[Price USD]]&lt;=50,"Mid-range","Premium"))</f>
        <v>Premium</v>
      </c>
      <c r="O1416">
        <v>0</v>
      </c>
      <c r="P1416">
        <v>0</v>
      </c>
    </row>
    <row r="1417" spans="1:16" x14ac:dyDescent="0.25">
      <c r="A1417" t="s">
        <v>4256</v>
      </c>
      <c r="B1417" t="s">
        <v>4257</v>
      </c>
      <c r="C1417">
        <v>7020</v>
      </c>
      <c r="D1417" t="s">
        <v>657</v>
      </c>
      <c r="E1417" t="s">
        <v>149</v>
      </c>
      <c r="F1417">
        <v>2191</v>
      </c>
      <c r="G14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7">
        <v>3.4167000000000001</v>
      </c>
      <c r="J1417" t="str">
        <f>IF(ISBLANK(Table13[[#This Row],[Rating]]), "No", "Yes")</f>
        <v>Yes</v>
      </c>
      <c r="K1417" t="str">
        <f>IF(ISBLANK(Table13[[#This Row],[Rating]]), "Not Rated", IF(Table13[[#This Row],[Rating]] &lt; 3, "Low", IF(Table13[[#This Row],[Rating]] &lt; 4, "Medium", "High")))</f>
        <v>Medium</v>
      </c>
      <c r="L1417">
        <v>12</v>
      </c>
      <c r="M1417">
        <v>260</v>
      </c>
      <c r="N1417" t="str">
        <f>IF(Table13[[#This Row],[Price USD]]&lt;20,"Budget",IF(Table13[[#This Row],[Price USD]]&lt;=50,"Mid-range","Premium"))</f>
        <v>Premium</v>
      </c>
      <c r="O1417">
        <v>0</v>
      </c>
      <c r="P1417">
        <v>0</v>
      </c>
    </row>
    <row r="1418" spans="1:16" x14ac:dyDescent="0.25">
      <c r="A1418" t="s">
        <v>4254</v>
      </c>
      <c r="B1418" t="s">
        <v>4255</v>
      </c>
      <c r="C1418">
        <v>6329</v>
      </c>
      <c r="D1418" t="s">
        <v>3435</v>
      </c>
      <c r="E1418" t="s">
        <v>13</v>
      </c>
      <c r="F1418">
        <v>2193</v>
      </c>
      <c r="G14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8">
        <v>4.7680999999999996</v>
      </c>
      <c r="J1418" t="str">
        <f>IF(ISBLANK(Table13[[#This Row],[Rating]]), "No", "Yes")</f>
        <v>Yes</v>
      </c>
      <c r="K1418" t="str">
        <f>IF(ISBLANK(Table13[[#This Row],[Rating]]), "Not Rated", IF(Table13[[#This Row],[Rating]] &lt; 3, "Low", IF(Table13[[#This Row],[Rating]] &lt; 4, "Medium", "High")))</f>
        <v>High</v>
      </c>
      <c r="L1418">
        <v>69</v>
      </c>
      <c r="M1418">
        <v>48</v>
      </c>
      <c r="N1418" t="str">
        <f>IF(Table13[[#This Row],[Price USD]]&lt;20,"Budget",IF(Table13[[#This Row],[Price USD]]&lt;=50,"Mid-range","Premium"))</f>
        <v>Mid-range</v>
      </c>
      <c r="O1418">
        <v>0</v>
      </c>
      <c r="P1418">
        <v>0</v>
      </c>
    </row>
    <row r="1419" spans="1:16" x14ac:dyDescent="0.25">
      <c r="A1419" t="s">
        <v>4252</v>
      </c>
      <c r="B1419" t="s">
        <v>4253</v>
      </c>
      <c r="C1419">
        <v>6175</v>
      </c>
      <c r="D1419" t="s">
        <v>338</v>
      </c>
      <c r="E1419" t="s">
        <v>144</v>
      </c>
      <c r="F1419">
        <v>2196</v>
      </c>
      <c r="G14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19">
        <v>4.1666999999999996</v>
      </c>
      <c r="J1419" t="str">
        <f>IF(ISBLANK(Table13[[#This Row],[Rating]]), "No", "Yes")</f>
        <v>Yes</v>
      </c>
      <c r="K1419" t="str">
        <f>IF(ISBLANK(Table13[[#This Row],[Rating]]), "Not Rated", IF(Table13[[#This Row],[Rating]] &lt; 3, "Low", IF(Table13[[#This Row],[Rating]] &lt; 4, "Medium", "High")))</f>
        <v>High</v>
      </c>
      <c r="L1419">
        <v>12</v>
      </c>
      <c r="M1419">
        <v>15</v>
      </c>
      <c r="N1419" t="str">
        <f>IF(Table13[[#This Row],[Price USD]]&lt;20,"Budget",IF(Table13[[#This Row],[Price USD]]&lt;=50,"Mid-range","Premium"))</f>
        <v>Budget</v>
      </c>
      <c r="O1419">
        <v>0</v>
      </c>
      <c r="P1419">
        <v>0</v>
      </c>
    </row>
    <row r="1420" spans="1:16" x14ac:dyDescent="0.25">
      <c r="A1420" t="s">
        <v>4250</v>
      </c>
      <c r="B1420" t="s">
        <v>4251</v>
      </c>
      <c r="C1420">
        <v>6175</v>
      </c>
      <c r="D1420" t="s">
        <v>338</v>
      </c>
      <c r="E1420" t="s">
        <v>8</v>
      </c>
      <c r="F1420">
        <v>2199</v>
      </c>
      <c r="G14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0">
        <v>4.5</v>
      </c>
      <c r="J1420" t="str">
        <f>IF(ISBLANK(Table13[[#This Row],[Rating]]), "No", "Yes")</f>
        <v>Yes</v>
      </c>
      <c r="K1420" t="str">
        <f>IF(ISBLANK(Table13[[#This Row],[Rating]]), "Not Rated", IF(Table13[[#This Row],[Rating]] &lt; 3, "Low", IF(Table13[[#This Row],[Rating]] &lt; 4, "Medium", "High")))</f>
        <v>High</v>
      </c>
      <c r="L1420">
        <v>6</v>
      </c>
      <c r="M1420">
        <v>59</v>
      </c>
      <c r="N1420" t="str">
        <f>IF(Table13[[#This Row],[Price USD]]&lt;20,"Budget",IF(Table13[[#This Row],[Price USD]]&lt;=50,"Mid-range","Premium"))</f>
        <v>Premium</v>
      </c>
      <c r="O1420">
        <v>0</v>
      </c>
      <c r="P1420">
        <v>0</v>
      </c>
    </row>
    <row r="1421" spans="1:16" x14ac:dyDescent="0.25">
      <c r="A1421" t="s">
        <v>4248</v>
      </c>
      <c r="B1421" t="s">
        <v>4249</v>
      </c>
      <c r="C1421">
        <v>8017</v>
      </c>
      <c r="D1421" t="s">
        <v>620</v>
      </c>
      <c r="E1421" t="s">
        <v>69</v>
      </c>
      <c r="F1421">
        <v>2200</v>
      </c>
      <c r="G14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1">
        <v>3.5</v>
      </c>
      <c r="J1421" t="str">
        <f>IF(ISBLANK(Table13[[#This Row],[Rating]]), "No", "Yes")</f>
        <v>Yes</v>
      </c>
      <c r="K1421" t="str">
        <f>IF(ISBLANK(Table13[[#This Row],[Rating]]), "Not Rated", IF(Table13[[#This Row],[Rating]] &lt; 3, "Low", IF(Table13[[#This Row],[Rating]] &lt; 4, "Medium", "High")))</f>
        <v>Medium</v>
      </c>
      <c r="L1421">
        <v>4</v>
      </c>
      <c r="M1421">
        <v>22</v>
      </c>
      <c r="N1421" t="str">
        <f>IF(Table13[[#This Row],[Price USD]]&lt;20,"Budget",IF(Table13[[#This Row],[Price USD]]&lt;=50,"Mid-range","Premium"))</f>
        <v>Mid-range</v>
      </c>
      <c r="O1421">
        <v>0</v>
      </c>
      <c r="P1421">
        <v>0</v>
      </c>
    </row>
    <row r="1422" spans="1:16" x14ac:dyDescent="0.25">
      <c r="A1422" t="s">
        <v>4246</v>
      </c>
      <c r="B1422" t="s">
        <v>4247</v>
      </c>
      <c r="C1422">
        <v>1073</v>
      </c>
      <c r="D1422" t="s">
        <v>767</v>
      </c>
      <c r="E1422" t="s">
        <v>21</v>
      </c>
      <c r="F1422">
        <v>2201</v>
      </c>
      <c r="G14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2">
        <v>5</v>
      </c>
      <c r="J1422" t="str">
        <f>IF(ISBLANK(Table13[[#This Row],[Rating]]), "No", "Yes")</f>
        <v>Yes</v>
      </c>
      <c r="K1422" t="str">
        <f>IF(ISBLANK(Table13[[#This Row],[Rating]]), "Not Rated", IF(Table13[[#This Row],[Rating]] &lt; 3, "Low", IF(Table13[[#This Row],[Rating]] &lt; 4, "Medium", "High")))</f>
        <v>High</v>
      </c>
      <c r="L1422">
        <v>3</v>
      </c>
      <c r="M1422">
        <v>85</v>
      </c>
      <c r="N1422" t="str">
        <f>IF(Table13[[#This Row],[Price USD]]&lt;20,"Budget",IF(Table13[[#This Row],[Price USD]]&lt;=50,"Mid-range","Premium"))</f>
        <v>Premium</v>
      </c>
      <c r="O1422">
        <v>0</v>
      </c>
      <c r="P1422">
        <v>0</v>
      </c>
    </row>
    <row r="1423" spans="1:16" x14ac:dyDescent="0.25">
      <c r="A1423" t="s">
        <v>4244</v>
      </c>
      <c r="B1423" t="s">
        <v>4245</v>
      </c>
      <c r="C1423">
        <v>6302</v>
      </c>
      <c r="D1423" t="s">
        <v>2721</v>
      </c>
      <c r="E1423" t="s">
        <v>21</v>
      </c>
      <c r="F1423">
        <v>2202</v>
      </c>
      <c r="G14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3">
        <v>4.2407000000000004</v>
      </c>
      <c r="J1423" t="str">
        <f>IF(ISBLANK(Table13[[#This Row],[Rating]]), "No", "Yes")</f>
        <v>Yes</v>
      </c>
      <c r="K1423" t="str">
        <f>IF(ISBLANK(Table13[[#This Row],[Rating]]), "Not Rated", IF(Table13[[#This Row],[Rating]] &lt; 3, "Low", IF(Table13[[#This Row],[Rating]] &lt; 4, "Medium", "High")))</f>
        <v>High</v>
      </c>
      <c r="L1423">
        <v>810</v>
      </c>
      <c r="M1423">
        <v>75</v>
      </c>
      <c r="N1423" t="str">
        <f>IF(Table13[[#This Row],[Price USD]]&lt;20,"Budget",IF(Table13[[#This Row],[Price USD]]&lt;=50,"Mid-range","Premium"))</f>
        <v>Premium</v>
      </c>
      <c r="O1423">
        <v>0</v>
      </c>
      <c r="P1423">
        <v>1</v>
      </c>
    </row>
    <row r="1424" spans="1:16" x14ac:dyDescent="0.25">
      <c r="A1424" t="s">
        <v>4242</v>
      </c>
      <c r="B1424" t="s">
        <v>4243</v>
      </c>
      <c r="C1424">
        <v>6349</v>
      </c>
      <c r="D1424" t="s">
        <v>2031</v>
      </c>
      <c r="E1424" t="s">
        <v>21</v>
      </c>
      <c r="F1424">
        <v>2203</v>
      </c>
      <c r="G14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4">
        <v>4.8548</v>
      </c>
      <c r="J1424" t="str">
        <f>IF(ISBLANK(Table13[[#This Row],[Rating]]), "No", "Yes")</f>
        <v>Yes</v>
      </c>
      <c r="K1424" t="str">
        <f>IF(ISBLANK(Table13[[#This Row],[Rating]]), "Not Rated", IF(Table13[[#This Row],[Rating]] &lt; 3, "Low", IF(Table13[[#This Row],[Rating]] &lt; 4, "Medium", "High")))</f>
        <v>High</v>
      </c>
      <c r="L1424">
        <v>186</v>
      </c>
      <c r="M1424">
        <v>68</v>
      </c>
      <c r="N1424" t="str">
        <f>IF(Table13[[#This Row],[Price USD]]&lt;20,"Budget",IF(Table13[[#This Row],[Price USD]]&lt;=50,"Mid-range","Premium"))</f>
        <v>Premium</v>
      </c>
      <c r="O1424">
        <v>0</v>
      </c>
      <c r="P1424">
        <v>0</v>
      </c>
    </row>
    <row r="1425" spans="1:16" x14ac:dyDescent="0.25">
      <c r="A1425" t="s">
        <v>4240</v>
      </c>
      <c r="B1425" t="s">
        <v>4241</v>
      </c>
      <c r="C1425">
        <v>6349</v>
      </c>
      <c r="D1425" t="s">
        <v>2031</v>
      </c>
      <c r="E1425" t="s">
        <v>220</v>
      </c>
      <c r="F1425">
        <v>2206</v>
      </c>
      <c r="G14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5">
        <v>5</v>
      </c>
      <c r="J1425" t="str">
        <f>IF(ISBLANK(Table13[[#This Row],[Rating]]), "No", "Yes")</f>
        <v>Yes</v>
      </c>
      <c r="K1425" t="str">
        <f>IF(ISBLANK(Table13[[#This Row],[Rating]]), "Not Rated", IF(Table13[[#This Row],[Rating]] &lt; 3, "Low", IF(Table13[[#This Row],[Rating]] &lt; 4, "Medium", "High")))</f>
        <v>High</v>
      </c>
      <c r="L1425">
        <v>2</v>
      </c>
      <c r="M1425">
        <v>42</v>
      </c>
      <c r="N1425" t="str">
        <f>IF(Table13[[#This Row],[Price USD]]&lt;20,"Budget",IF(Table13[[#This Row],[Price USD]]&lt;=50,"Mid-range","Premium"))</f>
        <v>Mid-range</v>
      </c>
      <c r="O1425">
        <v>0</v>
      </c>
      <c r="P1425">
        <v>0</v>
      </c>
    </row>
    <row r="1426" spans="1:16" x14ac:dyDescent="0.25">
      <c r="A1426" t="s">
        <v>4238</v>
      </c>
      <c r="B1426" t="s">
        <v>4239</v>
      </c>
      <c r="C1426">
        <v>5648</v>
      </c>
      <c r="D1426" t="s">
        <v>408</v>
      </c>
      <c r="E1426" t="s">
        <v>106</v>
      </c>
      <c r="F1426">
        <v>2207</v>
      </c>
      <c r="G14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6">
        <v>3.0417000000000001</v>
      </c>
      <c r="J1426" t="str">
        <f>IF(ISBLANK(Table13[[#This Row],[Rating]]), "No", "Yes")</f>
        <v>Yes</v>
      </c>
      <c r="K1426" t="str">
        <f>IF(ISBLANK(Table13[[#This Row],[Rating]]), "Not Rated", IF(Table13[[#This Row],[Rating]] &lt; 3, "Low", IF(Table13[[#This Row],[Rating]] &lt; 4, "Medium", "High")))</f>
        <v>Medium</v>
      </c>
      <c r="L1426">
        <v>24</v>
      </c>
      <c r="M1426">
        <v>39</v>
      </c>
      <c r="N1426" t="str">
        <f>IF(Table13[[#This Row],[Price USD]]&lt;20,"Budget",IF(Table13[[#This Row],[Price USD]]&lt;=50,"Mid-range","Premium"))</f>
        <v>Mid-range</v>
      </c>
      <c r="O1426">
        <v>0</v>
      </c>
      <c r="P1426">
        <v>0</v>
      </c>
    </row>
    <row r="1427" spans="1:16" x14ac:dyDescent="0.25">
      <c r="A1427" t="s">
        <v>4236</v>
      </c>
      <c r="B1427" t="s">
        <v>4237</v>
      </c>
      <c r="C1427">
        <v>6187</v>
      </c>
      <c r="D1427" t="s">
        <v>3064</v>
      </c>
      <c r="E1427" t="s">
        <v>69</v>
      </c>
      <c r="F1427">
        <v>2226</v>
      </c>
      <c r="G14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7">
        <v>3.25</v>
      </c>
      <c r="J1427" t="str">
        <f>IF(ISBLANK(Table13[[#This Row],[Rating]]), "No", "Yes")</f>
        <v>Yes</v>
      </c>
      <c r="K1427" t="str">
        <f>IF(ISBLANK(Table13[[#This Row],[Rating]]), "Not Rated", IF(Table13[[#This Row],[Rating]] &lt; 3, "Low", IF(Table13[[#This Row],[Rating]] &lt; 4, "Medium", "High")))</f>
        <v>Medium</v>
      </c>
      <c r="L1427">
        <v>4</v>
      </c>
      <c r="M1427">
        <v>15</v>
      </c>
      <c r="N1427" t="str">
        <f>IF(Table13[[#This Row],[Price USD]]&lt;20,"Budget",IF(Table13[[#This Row],[Price USD]]&lt;=50,"Mid-range","Premium"))</f>
        <v>Budget</v>
      </c>
      <c r="O1427">
        <v>0</v>
      </c>
      <c r="P1427">
        <v>1</v>
      </c>
    </row>
    <row r="1428" spans="1:16" x14ac:dyDescent="0.25">
      <c r="A1428" t="s">
        <v>4234</v>
      </c>
      <c r="B1428" t="s">
        <v>4235</v>
      </c>
      <c r="C1428">
        <v>1132</v>
      </c>
      <c r="D1428" t="s">
        <v>1319</v>
      </c>
      <c r="E1428" t="s">
        <v>21</v>
      </c>
      <c r="F1428">
        <v>2226</v>
      </c>
      <c r="G14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8">
        <v>3.6667000000000001</v>
      </c>
      <c r="J1428" t="str">
        <f>IF(ISBLANK(Table13[[#This Row],[Rating]]), "No", "Yes")</f>
        <v>Yes</v>
      </c>
      <c r="K1428" t="str">
        <f>IF(ISBLANK(Table13[[#This Row],[Rating]]), "Not Rated", IF(Table13[[#This Row],[Rating]] &lt; 3, "Low", IF(Table13[[#This Row],[Rating]] &lt; 4, "Medium", "High")))</f>
        <v>Medium</v>
      </c>
      <c r="L1428">
        <v>3</v>
      </c>
      <c r="M1428">
        <v>200</v>
      </c>
      <c r="N1428" t="str">
        <f>IF(Table13[[#This Row],[Price USD]]&lt;20,"Budget",IF(Table13[[#This Row],[Price USD]]&lt;=50,"Mid-range","Premium"))</f>
        <v>Premium</v>
      </c>
      <c r="O1428">
        <v>0</v>
      </c>
      <c r="P1428">
        <v>0</v>
      </c>
    </row>
    <row r="1429" spans="1:16" x14ac:dyDescent="0.25">
      <c r="A1429" t="s">
        <v>4232</v>
      </c>
      <c r="B1429" t="s">
        <v>4233</v>
      </c>
      <c r="C1429">
        <v>6373</v>
      </c>
      <c r="D1429" t="s">
        <v>1652</v>
      </c>
      <c r="E1429" t="s">
        <v>21</v>
      </c>
      <c r="F1429">
        <v>2230</v>
      </c>
      <c r="G14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29">
        <v>3.9630000000000001</v>
      </c>
      <c r="J1429" t="str">
        <f>IF(ISBLANK(Table13[[#This Row],[Rating]]), "No", "Yes")</f>
        <v>Yes</v>
      </c>
      <c r="K1429" t="str">
        <f>IF(ISBLANK(Table13[[#This Row],[Rating]]), "Not Rated", IF(Table13[[#This Row],[Rating]] &lt; 3, "Low", IF(Table13[[#This Row],[Rating]] &lt; 4, "Medium", "High")))</f>
        <v>Medium</v>
      </c>
      <c r="L1429">
        <v>54</v>
      </c>
      <c r="M1429">
        <v>64</v>
      </c>
      <c r="N1429" t="str">
        <f>IF(Table13[[#This Row],[Price USD]]&lt;20,"Budget",IF(Table13[[#This Row],[Price USD]]&lt;=50,"Mid-range","Premium"))</f>
        <v>Premium</v>
      </c>
      <c r="O1429">
        <v>0</v>
      </c>
      <c r="P1429">
        <v>0</v>
      </c>
    </row>
    <row r="1430" spans="1:16" x14ac:dyDescent="0.25">
      <c r="A1430" t="s">
        <v>4230</v>
      </c>
      <c r="B1430" t="s">
        <v>4231</v>
      </c>
      <c r="C1430">
        <v>6302</v>
      </c>
      <c r="D1430" t="s">
        <v>2721</v>
      </c>
      <c r="E1430" t="s">
        <v>8</v>
      </c>
      <c r="F1430">
        <v>2233</v>
      </c>
      <c r="G14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0">
        <v>4.3635999999999999</v>
      </c>
      <c r="J1430" t="str">
        <f>IF(ISBLANK(Table13[[#This Row],[Rating]]), "No", "Yes")</f>
        <v>Yes</v>
      </c>
      <c r="K1430" t="str">
        <f>IF(ISBLANK(Table13[[#This Row],[Rating]]), "Not Rated", IF(Table13[[#This Row],[Rating]] &lt; 3, "Low", IF(Table13[[#This Row],[Rating]] &lt; 4, "Medium", "High")))</f>
        <v>High</v>
      </c>
      <c r="L1430">
        <v>11</v>
      </c>
      <c r="M1430">
        <v>300</v>
      </c>
      <c r="N1430" t="str">
        <f>IF(Table13[[#This Row],[Price USD]]&lt;20,"Budget",IF(Table13[[#This Row],[Price USD]]&lt;=50,"Mid-range","Premium"))</f>
        <v>Premium</v>
      </c>
      <c r="O1430">
        <v>0</v>
      </c>
      <c r="P1430">
        <v>0</v>
      </c>
    </row>
    <row r="1431" spans="1:16" x14ac:dyDescent="0.25">
      <c r="A1431" t="s">
        <v>4228</v>
      </c>
      <c r="B1431" t="s">
        <v>4229</v>
      </c>
      <c r="C1431">
        <v>3728</v>
      </c>
      <c r="D1431" t="s">
        <v>458</v>
      </c>
      <c r="E1431" t="s">
        <v>49</v>
      </c>
      <c r="F1431">
        <v>2240</v>
      </c>
      <c r="G14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1">
        <v>2.4864999999999999</v>
      </c>
      <c r="J1431" t="str">
        <f>IF(ISBLANK(Table13[[#This Row],[Rating]]), "No", "Yes")</f>
        <v>Yes</v>
      </c>
      <c r="K1431" t="str">
        <f>IF(ISBLANK(Table13[[#This Row],[Rating]]), "Not Rated", IF(Table13[[#This Row],[Rating]] &lt; 3, "Low", IF(Table13[[#This Row],[Rating]] &lt; 4, "Medium", "High")))</f>
        <v>Low</v>
      </c>
      <c r="L1431">
        <v>37</v>
      </c>
      <c r="M1431">
        <v>38</v>
      </c>
      <c r="N1431" t="str">
        <f>IF(Table13[[#This Row],[Price USD]]&lt;20,"Budget",IF(Table13[[#This Row],[Price USD]]&lt;=50,"Mid-range","Premium"))</f>
        <v>Mid-range</v>
      </c>
      <c r="O1431">
        <v>0</v>
      </c>
      <c r="P1431">
        <v>0</v>
      </c>
    </row>
    <row r="1432" spans="1:16" x14ac:dyDescent="0.25">
      <c r="A1432" t="s">
        <v>4226</v>
      </c>
      <c r="B1432" t="s">
        <v>4227</v>
      </c>
      <c r="C1432">
        <v>5337</v>
      </c>
      <c r="D1432" t="s">
        <v>209</v>
      </c>
      <c r="E1432" t="s">
        <v>8</v>
      </c>
      <c r="F1432">
        <v>2248</v>
      </c>
      <c r="G14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432" t="str">
        <f>IF(ISBLANK(Table13[[#This Row],[Rating]]), "No", "Yes")</f>
        <v>No</v>
      </c>
      <c r="K1432" t="str">
        <f>IF(ISBLANK(Table13[[#This Row],[Rating]]), "Not Rated", IF(Table13[[#This Row],[Rating]] &lt; 3, "Low", IF(Table13[[#This Row],[Rating]] &lt; 4, "Medium", "High")))</f>
        <v>Not Rated</v>
      </c>
      <c r="L1432">
        <v>0</v>
      </c>
      <c r="M1432">
        <v>100</v>
      </c>
      <c r="N1432" t="str">
        <f>IF(Table13[[#This Row],[Price USD]]&lt;20,"Budget",IF(Table13[[#This Row],[Price USD]]&lt;=50,"Mid-range","Premium"))</f>
        <v>Premium</v>
      </c>
      <c r="O1432">
        <v>0</v>
      </c>
      <c r="P1432">
        <v>0</v>
      </c>
    </row>
    <row r="1433" spans="1:16" x14ac:dyDescent="0.25">
      <c r="A1433" t="s">
        <v>4224</v>
      </c>
      <c r="B1433" t="s">
        <v>4225</v>
      </c>
      <c r="C1433">
        <v>3902</v>
      </c>
      <c r="D1433" t="s">
        <v>72</v>
      </c>
      <c r="E1433" t="s">
        <v>8</v>
      </c>
      <c r="F1433">
        <v>2254</v>
      </c>
      <c r="G14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3">
        <v>5</v>
      </c>
      <c r="J1433" t="str">
        <f>IF(ISBLANK(Table13[[#This Row],[Rating]]), "No", "Yes")</f>
        <v>Yes</v>
      </c>
      <c r="K1433" t="str">
        <f>IF(ISBLANK(Table13[[#This Row],[Rating]]), "Not Rated", IF(Table13[[#This Row],[Rating]] &lt; 3, "Low", IF(Table13[[#This Row],[Rating]] &lt; 4, "Medium", "High")))</f>
        <v>High</v>
      </c>
      <c r="L1433">
        <v>1</v>
      </c>
      <c r="M1433">
        <v>17</v>
      </c>
      <c r="N1433" t="str">
        <f>IF(Table13[[#This Row],[Price USD]]&lt;20,"Budget",IF(Table13[[#This Row],[Price USD]]&lt;=50,"Mid-range","Premium"))</f>
        <v>Budget</v>
      </c>
      <c r="O1433">
        <v>1</v>
      </c>
      <c r="P1433">
        <v>0</v>
      </c>
    </row>
    <row r="1434" spans="1:16" x14ac:dyDescent="0.25">
      <c r="A1434" t="s">
        <v>4222</v>
      </c>
      <c r="B1434" t="s">
        <v>4223</v>
      </c>
      <c r="C1434">
        <v>3728</v>
      </c>
      <c r="D1434" t="s">
        <v>458</v>
      </c>
      <c r="E1434" t="s">
        <v>13</v>
      </c>
      <c r="F1434">
        <v>2272</v>
      </c>
      <c r="G14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4">
        <v>4</v>
      </c>
      <c r="J1434" t="str">
        <f>IF(ISBLANK(Table13[[#This Row],[Rating]]), "No", "Yes")</f>
        <v>Yes</v>
      </c>
      <c r="K1434" t="str">
        <f>IF(ISBLANK(Table13[[#This Row],[Rating]]), "Not Rated", IF(Table13[[#This Row],[Rating]] &lt; 3, "Low", IF(Table13[[#This Row],[Rating]] &lt; 4, "Medium", "High")))</f>
        <v>High</v>
      </c>
      <c r="L1434">
        <v>14</v>
      </c>
      <c r="M1434">
        <v>32</v>
      </c>
      <c r="N1434" t="str">
        <f>IF(Table13[[#This Row],[Price USD]]&lt;20,"Budget",IF(Table13[[#This Row],[Price USD]]&lt;=50,"Mid-range","Premium"))</f>
        <v>Mid-range</v>
      </c>
      <c r="O1434">
        <v>0</v>
      </c>
      <c r="P1434">
        <v>0</v>
      </c>
    </row>
    <row r="1435" spans="1:16" x14ac:dyDescent="0.25">
      <c r="A1435" t="s">
        <v>4220</v>
      </c>
      <c r="B1435" t="s">
        <v>4221</v>
      </c>
      <c r="C1435">
        <v>1073</v>
      </c>
      <c r="D1435" t="s">
        <v>767</v>
      </c>
      <c r="E1435" t="s">
        <v>8</v>
      </c>
      <c r="F1435">
        <v>2275</v>
      </c>
      <c r="G14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5">
        <v>4.4286000000000003</v>
      </c>
      <c r="J1435" t="str">
        <f>IF(ISBLANK(Table13[[#This Row],[Rating]]), "No", "Yes")</f>
        <v>Yes</v>
      </c>
      <c r="K1435" t="str">
        <f>IF(ISBLANK(Table13[[#This Row],[Rating]]), "Not Rated", IF(Table13[[#This Row],[Rating]] &lt; 3, "Low", IF(Table13[[#This Row],[Rating]] &lt; 4, "Medium", "High")))</f>
        <v>High</v>
      </c>
      <c r="L1435">
        <v>7</v>
      </c>
      <c r="M1435">
        <v>110</v>
      </c>
      <c r="N1435" t="str">
        <f>IF(Table13[[#This Row],[Price USD]]&lt;20,"Budget",IF(Table13[[#This Row],[Price USD]]&lt;=50,"Mid-range","Premium"))</f>
        <v>Premium</v>
      </c>
      <c r="O1435">
        <v>0</v>
      </c>
      <c r="P1435">
        <v>0</v>
      </c>
    </row>
    <row r="1436" spans="1:16" x14ac:dyDescent="0.25">
      <c r="A1436" t="s">
        <v>4218</v>
      </c>
      <c r="B1436" t="s">
        <v>4219</v>
      </c>
      <c r="C1436">
        <v>6309</v>
      </c>
      <c r="D1436" t="s">
        <v>1735</v>
      </c>
      <c r="E1436" t="s">
        <v>144</v>
      </c>
      <c r="F1436">
        <v>2276</v>
      </c>
      <c r="G14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6">
        <v>3.9910000000000001</v>
      </c>
      <c r="J1436" t="str">
        <f>IF(ISBLANK(Table13[[#This Row],[Rating]]), "No", "Yes")</f>
        <v>Yes</v>
      </c>
      <c r="K1436" t="str">
        <f>IF(ISBLANK(Table13[[#This Row],[Rating]]), "Not Rated", IF(Table13[[#This Row],[Rating]] &lt; 3, "Low", IF(Table13[[#This Row],[Rating]] &lt; 4, "Medium", "High")))</f>
        <v>Medium</v>
      </c>
      <c r="L1436">
        <v>1110</v>
      </c>
      <c r="M1436">
        <v>12</v>
      </c>
      <c r="N1436" t="str">
        <f>IF(Table13[[#This Row],[Price USD]]&lt;20,"Budget",IF(Table13[[#This Row],[Price USD]]&lt;=50,"Mid-range","Premium"))</f>
        <v>Budget</v>
      </c>
      <c r="O1436">
        <v>0</v>
      </c>
      <c r="P1436">
        <v>0</v>
      </c>
    </row>
    <row r="1437" spans="1:16" x14ac:dyDescent="0.25">
      <c r="A1437" t="s">
        <v>4216</v>
      </c>
      <c r="B1437" t="s">
        <v>4217</v>
      </c>
      <c r="C1437">
        <v>6302</v>
      </c>
      <c r="D1437" t="s">
        <v>2721</v>
      </c>
      <c r="E1437" t="s">
        <v>21</v>
      </c>
      <c r="F1437">
        <v>2288</v>
      </c>
      <c r="G14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7">
        <v>3.3182</v>
      </c>
      <c r="J1437" t="str">
        <f>IF(ISBLANK(Table13[[#This Row],[Rating]]), "No", "Yes")</f>
        <v>Yes</v>
      </c>
      <c r="K1437" t="str">
        <f>IF(ISBLANK(Table13[[#This Row],[Rating]]), "Not Rated", IF(Table13[[#This Row],[Rating]] &lt; 3, "Low", IF(Table13[[#This Row],[Rating]] &lt; 4, "Medium", "High")))</f>
        <v>Medium</v>
      </c>
      <c r="L1437">
        <v>22</v>
      </c>
      <c r="M1437">
        <v>225</v>
      </c>
      <c r="N1437" t="str">
        <f>IF(Table13[[#This Row],[Price USD]]&lt;20,"Budget",IF(Table13[[#This Row],[Price USD]]&lt;=50,"Mid-range","Premium"))</f>
        <v>Premium</v>
      </c>
      <c r="O1437">
        <v>0</v>
      </c>
      <c r="P1437">
        <v>0</v>
      </c>
    </row>
    <row r="1438" spans="1:16" x14ac:dyDescent="0.25">
      <c r="A1438" t="s">
        <v>4214</v>
      </c>
      <c r="B1438" t="s">
        <v>4215</v>
      </c>
      <c r="C1438">
        <v>6001</v>
      </c>
      <c r="D1438" t="s">
        <v>1836</v>
      </c>
      <c r="E1438" t="s">
        <v>21</v>
      </c>
      <c r="F1438">
        <v>2299</v>
      </c>
      <c r="G14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8">
        <v>4.5625</v>
      </c>
      <c r="J1438" t="str">
        <f>IF(ISBLANK(Table13[[#This Row],[Rating]]), "No", "Yes")</f>
        <v>Yes</v>
      </c>
      <c r="K1438" t="str">
        <f>IF(ISBLANK(Table13[[#This Row],[Rating]]), "Not Rated", IF(Table13[[#This Row],[Rating]] &lt; 3, "Low", IF(Table13[[#This Row],[Rating]] &lt; 4, "Medium", "High")))</f>
        <v>High</v>
      </c>
      <c r="L1438">
        <v>16</v>
      </c>
      <c r="M1438">
        <v>69</v>
      </c>
      <c r="N1438" t="str">
        <f>IF(Table13[[#This Row],[Price USD]]&lt;20,"Budget",IF(Table13[[#This Row],[Price USD]]&lt;=50,"Mid-range","Premium"))</f>
        <v>Premium</v>
      </c>
      <c r="O1438">
        <v>0</v>
      </c>
      <c r="P1438">
        <v>0</v>
      </c>
    </row>
    <row r="1439" spans="1:16" x14ac:dyDescent="0.25">
      <c r="A1439" t="s">
        <v>4212</v>
      </c>
      <c r="B1439" t="s">
        <v>4213</v>
      </c>
      <c r="C1439">
        <v>4372</v>
      </c>
      <c r="D1439" t="s">
        <v>1513</v>
      </c>
      <c r="E1439" t="s">
        <v>13</v>
      </c>
      <c r="F1439">
        <v>2309</v>
      </c>
      <c r="G14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39">
        <v>4.8620999999999999</v>
      </c>
      <c r="J1439" t="str">
        <f>IF(ISBLANK(Table13[[#This Row],[Rating]]), "No", "Yes")</f>
        <v>Yes</v>
      </c>
      <c r="K1439" t="str">
        <f>IF(ISBLANK(Table13[[#This Row],[Rating]]), "Not Rated", IF(Table13[[#This Row],[Rating]] &lt; 3, "Low", IF(Table13[[#This Row],[Rating]] &lt; 4, "Medium", "High")))</f>
        <v>High</v>
      </c>
      <c r="L1439">
        <v>58</v>
      </c>
      <c r="M1439">
        <v>79</v>
      </c>
      <c r="N1439" t="str">
        <f>IF(Table13[[#This Row],[Price USD]]&lt;20,"Budget",IF(Table13[[#This Row],[Price USD]]&lt;=50,"Mid-range","Premium"))</f>
        <v>Premium</v>
      </c>
      <c r="O1439">
        <v>0</v>
      </c>
      <c r="P1439">
        <v>0</v>
      </c>
    </row>
    <row r="1440" spans="1:16" x14ac:dyDescent="0.25">
      <c r="A1440" t="s">
        <v>4210</v>
      </c>
      <c r="B1440" t="s">
        <v>4211</v>
      </c>
      <c r="C1440">
        <v>6307</v>
      </c>
      <c r="D1440" t="s">
        <v>1132</v>
      </c>
      <c r="E1440" t="s">
        <v>21</v>
      </c>
      <c r="F1440">
        <v>2324</v>
      </c>
      <c r="G14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0">
        <v>5</v>
      </c>
      <c r="J1440" t="str">
        <f>IF(ISBLANK(Table13[[#This Row],[Rating]]), "No", "Yes")</f>
        <v>Yes</v>
      </c>
      <c r="K1440" t="str">
        <f>IF(ISBLANK(Table13[[#This Row],[Rating]]), "Not Rated", IF(Table13[[#This Row],[Rating]] &lt; 3, "Low", IF(Table13[[#This Row],[Rating]] &lt; 4, "Medium", "High")))</f>
        <v>High</v>
      </c>
      <c r="L1440">
        <v>3</v>
      </c>
      <c r="M1440">
        <v>80</v>
      </c>
      <c r="N1440" t="str">
        <f>IF(Table13[[#This Row],[Price USD]]&lt;20,"Budget",IF(Table13[[#This Row],[Price USD]]&lt;=50,"Mid-range","Premium"))</f>
        <v>Premium</v>
      </c>
      <c r="O1440">
        <v>0</v>
      </c>
      <c r="P1440">
        <v>0</v>
      </c>
    </row>
    <row r="1441" spans="1:16" x14ac:dyDescent="0.25">
      <c r="A1441" t="s">
        <v>4208</v>
      </c>
      <c r="B1441" t="s">
        <v>4209</v>
      </c>
      <c r="C1441">
        <v>6356</v>
      </c>
      <c r="D1441" t="s">
        <v>1885</v>
      </c>
      <c r="E1441" t="s">
        <v>220</v>
      </c>
      <c r="F1441">
        <v>2331</v>
      </c>
      <c r="G14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1">
        <v>5</v>
      </c>
      <c r="J1441" t="str">
        <f>IF(ISBLANK(Table13[[#This Row],[Rating]]), "No", "Yes")</f>
        <v>Yes</v>
      </c>
      <c r="K1441" t="str">
        <f>IF(ISBLANK(Table13[[#This Row],[Rating]]), "Not Rated", IF(Table13[[#This Row],[Rating]] &lt; 3, "Low", IF(Table13[[#This Row],[Rating]] &lt; 4, "Medium", "High")))</f>
        <v>High</v>
      </c>
      <c r="L1441">
        <v>2</v>
      </c>
      <c r="M1441">
        <v>185</v>
      </c>
      <c r="N1441" t="str">
        <f>IF(Table13[[#This Row],[Price USD]]&lt;20,"Budget",IF(Table13[[#This Row],[Price USD]]&lt;=50,"Mid-range","Premium"))</f>
        <v>Premium</v>
      </c>
      <c r="O1441">
        <v>1</v>
      </c>
      <c r="P1441">
        <v>0</v>
      </c>
    </row>
    <row r="1442" spans="1:16" x14ac:dyDescent="0.25">
      <c r="A1442" t="s">
        <v>4206</v>
      </c>
      <c r="B1442" t="s">
        <v>4207</v>
      </c>
      <c r="C1442">
        <v>8017</v>
      </c>
      <c r="D1442" t="s">
        <v>620</v>
      </c>
      <c r="E1442" t="s">
        <v>69</v>
      </c>
      <c r="F1442">
        <v>2333</v>
      </c>
      <c r="G14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2">
        <v>4.5</v>
      </c>
      <c r="J1442" t="str">
        <f>IF(ISBLANK(Table13[[#This Row],[Rating]]), "No", "Yes")</f>
        <v>Yes</v>
      </c>
      <c r="K1442" t="str">
        <f>IF(ISBLANK(Table13[[#This Row],[Rating]]), "Not Rated", IF(Table13[[#This Row],[Rating]] &lt; 3, "Low", IF(Table13[[#This Row],[Rating]] &lt; 4, "Medium", "High")))</f>
        <v>High</v>
      </c>
      <c r="L1442">
        <v>4</v>
      </c>
      <c r="M1442">
        <v>18</v>
      </c>
      <c r="N1442" t="str">
        <f>IF(Table13[[#This Row],[Price USD]]&lt;20,"Budget",IF(Table13[[#This Row],[Price USD]]&lt;=50,"Mid-range","Premium"))</f>
        <v>Budget</v>
      </c>
      <c r="O1442">
        <v>0</v>
      </c>
      <c r="P1442">
        <v>1</v>
      </c>
    </row>
    <row r="1443" spans="1:16" x14ac:dyDescent="0.25">
      <c r="A1443" t="s">
        <v>4204</v>
      </c>
      <c r="B1443" t="s">
        <v>4205</v>
      </c>
      <c r="C1443">
        <v>1073</v>
      </c>
      <c r="D1443" t="s">
        <v>767</v>
      </c>
      <c r="E1443" t="s">
        <v>13</v>
      </c>
      <c r="F1443">
        <v>2344</v>
      </c>
      <c r="G14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3">
        <v>4.4545000000000003</v>
      </c>
      <c r="J1443" t="str">
        <f>IF(ISBLANK(Table13[[#This Row],[Rating]]), "No", "Yes")</f>
        <v>Yes</v>
      </c>
      <c r="K1443" t="str">
        <f>IF(ISBLANK(Table13[[#This Row],[Rating]]), "Not Rated", IF(Table13[[#This Row],[Rating]] &lt; 3, "Low", IF(Table13[[#This Row],[Rating]] &lt; 4, "Medium", "High")))</f>
        <v>High</v>
      </c>
      <c r="L1443">
        <v>11</v>
      </c>
      <c r="M1443">
        <v>65</v>
      </c>
      <c r="N1443" t="str">
        <f>IF(Table13[[#This Row],[Price USD]]&lt;20,"Budget",IF(Table13[[#This Row],[Price USD]]&lt;=50,"Mid-range","Premium"))</f>
        <v>Premium</v>
      </c>
      <c r="O1443">
        <v>0</v>
      </c>
      <c r="P1443">
        <v>0</v>
      </c>
    </row>
    <row r="1444" spans="1:16" x14ac:dyDescent="0.25">
      <c r="A1444" t="s">
        <v>4202</v>
      </c>
      <c r="B1444" t="s">
        <v>4203</v>
      </c>
      <c r="C1444">
        <v>6089</v>
      </c>
      <c r="D1444" t="s">
        <v>605</v>
      </c>
      <c r="E1444" t="s">
        <v>21</v>
      </c>
      <c r="F1444">
        <v>2348</v>
      </c>
      <c r="G14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4">
        <v>4.2173999999999996</v>
      </c>
      <c r="J1444" t="str">
        <f>IF(ISBLANK(Table13[[#This Row],[Rating]]), "No", "Yes")</f>
        <v>Yes</v>
      </c>
      <c r="K1444" t="str">
        <f>IF(ISBLANK(Table13[[#This Row],[Rating]]), "Not Rated", IF(Table13[[#This Row],[Rating]] &lt; 3, "Low", IF(Table13[[#This Row],[Rating]] &lt; 4, "Medium", "High")))</f>
        <v>High</v>
      </c>
      <c r="L1444">
        <v>23</v>
      </c>
      <c r="M1444">
        <v>59</v>
      </c>
      <c r="N1444" t="str">
        <f>IF(Table13[[#This Row],[Price USD]]&lt;20,"Budget",IF(Table13[[#This Row],[Price USD]]&lt;=50,"Mid-range","Premium"))</f>
        <v>Premium</v>
      </c>
      <c r="O1444">
        <v>0</v>
      </c>
      <c r="P1444">
        <v>0</v>
      </c>
    </row>
    <row r="1445" spans="1:16" x14ac:dyDescent="0.25">
      <c r="A1445" t="s">
        <v>4200</v>
      </c>
      <c r="B1445" t="s">
        <v>4201</v>
      </c>
      <c r="C1445">
        <v>5987</v>
      </c>
      <c r="D1445" t="s">
        <v>48</v>
      </c>
      <c r="E1445" t="s">
        <v>49</v>
      </c>
      <c r="F1445">
        <v>2352</v>
      </c>
      <c r="G14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5">
        <v>4.4757999999999996</v>
      </c>
      <c r="J1445" t="str">
        <f>IF(ISBLANK(Table13[[#This Row],[Rating]]), "No", "Yes")</f>
        <v>Yes</v>
      </c>
      <c r="K1445" t="str">
        <f>IF(ISBLANK(Table13[[#This Row],[Rating]]), "Not Rated", IF(Table13[[#This Row],[Rating]] &lt; 3, "Low", IF(Table13[[#This Row],[Rating]] &lt; 4, "Medium", "High")))</f>
        <v>High</v>
      </c>
      <c r="L1445">
        <v>124</v>
      </c>
      <c r="M1445">
        <v>36</v>
      </c>
      <c r="N1445" t="str">
        <f>IF(Table13[[#This Row],[Price USD]]&lt;20,"Budget",IF(Table13[[#This Row],[Price USD]]&lt;=50,"Mid-range","Premium"))</f>
        <v>Mid-range</v>
      </c>
      <c r="O1445">
        <v>1</v>
      </c>
      <c r="P1445">
        <v>0</v>
      </c>
    </row>
    <row r="1446" spans="1:16" x14ac:dyDescent="0.25">
      <c r="A1446" t="s">
        <v>4198</v>
      </c>
      <c r="B1446" t="s">
        <v>4199</v>
      </c>
      <c r="C1446">
        <v>6309</v>
      </c>
      <c r="D1446" t="s">
        <v>1735</v>
      </c>
      <c r="E1446" t="s">
        <v>13</v>
      </c>
      <c r="F1446">
        <v>2373</v>
      </c>
      <c r="G14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6">
        <v>3.9333</v>
      </c>
      <c r="J1446" t="str">
        <f>IF(ISBLANK(Table13[[#This Row],[Rating]]), "No", "Yes")</f>
        <v>Yes</v>
      </c>
      <c r="K1446" t="str">
        <f>IF(ISBLANK(Table13[[#This Row],[Rating]]), "Not Rated", IF(Table13[[#This Row],[Rating]] &lt; 3, "Low", IF(Table13[[#This Row],[Rating]] &lt; 4, "Medium", "High")))</f>
        <v>Medium</v>
      </c>
      <c r="L1446">
        <v>15</v>
      </c>
      <c r="M1446">
        <v>75</v>
      </c>
      <c r="N1446" t="str">
        <f>IF(Table13[[#This Row],[Price USD]]&lt;20,"Budget",IF(Table13[[#This Row],[Price USD]]&lt;=50,"Mid-range","Premium"))</f>
        <v>Premium</v>
      </c>
      <c r="O1446">
        <v>0</v>
      </c>
      <c r="P1446">
        <v>0</v>
      </c>
    </row>
    <row r="1447" spans="1:16" x14ac:dyDescent="0.25">
      <c r="A1447" t="s">
        <v>4196</v>
      </c>
      <c r="B1447" t="s">
        <v>4197</v>
      </c>
      <c r="C1447">
        <v>7100</v>
      </c>
      <c r="D1447" t="s">
        <v>3756</v>
      </c>
      <c r="E1447" t="s">
        <v>8</v>
      </c>
      <c r="F1447">
        <v>2391</v>
      </c>
      <c r="G14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7">
        <v>4.7142999999999997</v>
      </c>
      <c r="J1447" t="str">
        <f>IF(ISBLANK(Table13[[#This Row],[Rating]]), "No", "Yes")</f>
        <v>Yes</v>
      </c>
      <c r="K1447" t="str">
        <f>IF(ISBLANK(Table13[[#This Row],[Rating]]), "Not Rated", IF(Table13[[#This Row],[Rating]] &lt; 3, "Low", IF(Table13[[#This Row],[Rating]] &lt; 4, "Medium", "High")))</f>
        <v>High</v>
      </c>
      <c r="L1447">
        <v>21</v>
      </c>
      <c r="M1447">
        <v>70</v>
      </c>
      <c r="N1447" t="str">
        <f>IF(Table13[[#This Row],[Price USD]]&lt;20,"Budget",IF(Table13[[#This Row],[Price USD]]&lt;=50,"Mid-range","Premium"))</f>
        <v>Premium</v>
      </c>
      <c r="O1447">
        <v>0</v>
      </c>
      <c r="P1447">
        <v>0</v>
      </c>
    </row>
    <row r="1448" spans="1:16" x14ac:dyDescent="0.25">
      <c r="A1448" t="s">
        <v>4194</v>
      </c>
      <c r="B1448" t="s">
        <v>4195</v>
      </c>
      <c r="C1448">
        <v>6329</v>
      </c>
      <c r="D1448" t="s">
        <v>3435</v>
      </c>
      <c r="E1448" t="s">
        <v>13</v>
      </c>
      <c r="F1448">
        <v>2393</v>
      </c>
      <c r="G14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8">
        <v>4.7887000000000004</v>
      </c>
      <c r="J1448" t="str">
        <f>IF(ISBLANK(Table13[[#This Row],[Rating]]), "No", "Yes")</f>
        <v>Yes</v>
      </c>
      <c r="K1448" t="str">
        <f>IF(ISBLANK(Table13[[#This Row],[Rating]]), "Not Rated", IF(Table13[[#This Row],[Rating]] &lt; 3, "Low", IF(Table13[[#This Row],[Rating]] &lt; 4, "Medium", "High")))</f>
        <v>High</v>
      </c>
      <c r="L1448">
        <v>71</v>
      </c>
      <c r="M1448">
        <v>38</v>
      </c>
      <c r="N1448" t="str">
        <f>IF(Table13[[#This Row],[Price USD]]&lt;20,"Budget",IF(Table13[[#This Row],[Price USD]]&lt;=50,"Mid-range","Premium"))</f>
        <v>Mid-range</v>
      </c>
      <c r="O1448">
        <v>0</v>
      </c>
      <c r="P1448">
        <v>0</v>
      </c>
    </row>
    <row r="1449" spans="1:16" x14ac:dyDescent="0.25">
      <c r="A1449" t="s">
        <v>4192</v>
      </c>
      <c r="B1449" t="s">
        <v>4193</v>
      </c>
      <c r="C1449">
        <v>6309</v>
      </c>
      <c r="D1449" t="s">
        <v>1735</v>
      </c>
      <c r="E1449" t="s">
        <v>13</v>
      </c>
      <c r="F1449">
        <v>2395</v>
      </c>
      <c r="G14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49">
        <v>4.3888999999999996</v>
      </c>
      <c r="J1449" t="str">
        <f>IF(ISBLANK(Table13[[#This Row],[Rating]]), "No", "Yes")</f>
        <v>Yes</v>
      </c>
      <c r="K1449" t="str">
        <f>IF(ISBLANK(Table13[[#This Row],[Rating]]), "Not Rated", IF(Table13[[#This Row],[Rating]] &lt; 3, "Low", IF(Table13[[#This Row],[Rating]] &lt; 4, "Medium", "High")))</f>
        <v>High</v>
      </c>
      <c r="L1449">
        <v>18</v>
      </c>
      <c r="M1449">
        <v>48</v>
      </c>
      <c r="N1449" t="str">
        <f>IF(Table13[[#This Row],[Price USD]]&lt;20,"Budget",IF(Table13[[#This Row],[Price USD]]&lt;=50,"Mid-range","Premium"))</f>
        <v>Mid-range</v>
      </c>
      <c r="O1449">
        <v>0</v>
      </c>
      <c r="P1449">
        <v>1</v>
      </c>
    </row>
    <row r="1450" spans="1:16" x14ac:dyDescent="0.25">
      <c r="A1450" t="s">
        <v>4190</v>
      </c>
      <c r="B1450" t="s">
        <v>4191</v>
      </c>
      <c r="C1450">
        <v>5648</v>
      </c>
      <c r="D1450" t="s">
        <v>408</v>
      </c>
      <c r="E1450" t="s">
        <v>21</v>
      </c>
      <c r="F1450">
        <v>2400</v>
      </c>
      <c r="G14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0">
        <v>4.25</v>
      </c>
      <c r="J1450" t="str">
        <f>IF(ISBLANK(Table13[[#This Row],[Rating]]), "No", "Yes")</f>
        <v>Yes</v>
      </c>
      <c r="K1450" t="str">
        <f>IF(ISBLANK(Table13[[#This Row],[Rating]]), "Not Rated", IF(Table13[[#This Row],[Rating]] &lt; 3, "Low", IF(Table13[[#This Row],[Rating]] &lt; 4, "Medium", "High")))</f>
        <v>High</v>
      </c>
      <c r="L1450">
        <v>8</v>
      </c>
      <c r="M1450">
        <v>14</v>
      </c>
      <c r="N1450" t="str">
        <f>IF(Table13[[#This Row],[Price USD]]&lt;20,"Budget",IF(Table13[[#This Row],[Price USD]]&lt;=50,"Mid-range","Premium"))</f>
        <v>Budget</v>
      </c>
      <c r="O1450">
        <v>0</v>
      </c>
      <c r="P1450">
        <v>0</v>
      </c>
    </row>
    <row r="1451" spans="1:16" x14ac:dyDescent="0.25">
      <c r="A1451" t="s">
        <v>4188</v>
      </c>
      <c r="B1451" t="s">
        <v>4189</v>
      </c>
      <c r="C1451">
        <v>6309</v>
      </c>
      <c r="D1451" t="s">
        <v>1735</v>
      </c>
      <c r="E1451" t="s">
        <v>13</v>
      </c>
      <c r="F1451">
        <v>2403</v>
      </c>
      <c r="G14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1">
        <v>4.0194000000000001</v>
      </c>
      <c r="J1451" t="str">
        <f>IF(ISBLANK(Table13[[#This Row],[Rating]]), "No", "Yes")</f>
        <v>Yes</v>
      </c>
      <c r="K1451" t="str">
        <f>IF(ISBLANK(Table13[[#This Row],[Rating]]), "Not Rated", IF(Table13[[#This Row],[Rating]] &lt; 3, "Low", IF(Table13[[#This Row],[Rating]] &lt; 4, "Medium", "High")))</f>
        <v>High</v>
      </c>
      <c r="L1451">
        <v>413</v>
      </c>
      <c r="M1451">
        <v>35</v>
      </c>
      <c r="N1451" t="str">
        <f>IF(Table13[[#This Row],[Price USD]]&lt;20,"Budget",IF(Table13[[#This Row],[Price USD]]&lt;=50,"Mid-range","Premium"))</f>
        <v>Mid-range</v>
      </c>
      <c r="O1451">
        <v>0</v>
      </c>
      <c r="P1451">
        <v>0</v>
      </c>
    </row>
    <row r="1452" spans="1:16" x14ac:dyDescent="0.25">
      <c r="A1452" t="s">
        <v>4186</v>
      </c>
      <c r="B1452" t="s">
        <v>4187</v>
      </c>
      <c r="C1452">
        <v>1254</v>
      </c>
      <c r="D1452" t="s">
        <v>136</v>
      </c>
      <c r="E1452" t="s">
        <v>21</v>
      </c>
      <c r="F1452">
        <v>2408</v>
      </c>
      <c r="G14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2">
        <v>3.7143000000000002</v>
      </c>
      <c r="J1452" t="str">
        <f>IF(ISBLANK(Table13[[#This Row],[Rating]]), "No", "Yes")</f>
        <v>Yes</v>
      </c>
      <c r="K1452" t="str">
        <f>IF(ISBLANK(Table13[[#This Row],[Rating]]), "Not Rated", IF(Table13[[#This Row],[Rating]] &lt; 3, "Low", IF(Table13[[#This Row],[Rating]] &lt; 4, "Medium", "High")))</f>
        <v>Medium</v>
      </c>
      <c r="L1452">
        <v>42</v>
      </c>
      <c r="M1452">
        <v>74</v>
      </c>
      <c r="N1452" t="str">
        <f>IF(Table13[[#This Row],[Price USD]]&lt;20,"Budget",IF(Table13[[#This Row],[Price USD]]&lt;=50,"Mid-range","Premium"))</f>
        <v>Premium</v>
      </c>
      <c r="O1452">
        <v>0</v>
      </c>
      <c r="P1452">
        <v>0</v>
      </c>
    </row>
    <row r="1453" spans="1:16" x14ac:dyDescent="0.25">
      <c r="A1453" t="s">
        <v>4184</v>
      </c>
      <c r="B1453" t="s">
        <v>4185</v>
      </c>
      <c r="C1453">
        <v>6272</v>
      </c>
      <c r="D1453" t="s">
        <v>1711</v>
      </c>
      <c r="E1453" t="s">
        <v>8</v>
      </c>
      <c r="F1453">
        <v>2415</v>
      </c>
      <c r="G14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3">
        <v>3.1175999999999999</v>
      </c>
      <c r="J1453" t="str">
        <f>IF(ISBLANK(Table13[[#This Row],[Rating]]), "No", "Yes")</f>
        <v>Yes</v>
      </c>
      <c r="K1453" t="str">
        <f>IF(ISBLANK(Table13[[#This Row],[Rating]]), "Not Rated", IF(Table13[[#This Row],[Rating]] &lt; 3, "Low", IF(Table13[[#This Row],[Rating]] &lt; 4, "Medium", "High")))</f>
        <v>Medium</v>
      </c>
      <c r="L1453">
        <v>17</v>
      </c>
      <c r="M1453">
        <v>75</v>
      </c>
      <c r="N1453" t="str">
        <f>IF(Table13[[#This Row],[Price USD]]&lt;20,"Budget",IF(Table13[[#This Row],[Price USD]]&lt;=50,"Mid-range","Premium"))</f>
        <v>Premium</v>
      </c>
      <c r="O1453">
        <v>0</v>
      </c>
      <c r="P1453">
        <v>0</v>
      </c>
    </row>
    <row r="1454" spans="1:16" x14ac:dyDescent="0.25">
      <c r="A1454" t="s">
        <v>4182</v>
      </c>
      <c r="B1454" t="s">
        <v>4183</v>
      </c>
      <c r="C1454">
        <v>7091</v>
      </c>
      <c r="D1454" t="s">
        <v>879</v>
      </c>
      <c r="E1454" t="s">
        <v>49</v>
      </c>
      <c r="F1454">
        <v>2419</v>
      </c>
      <c r="G14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4">
        <v>5</v>
      </c>
      <c r="J1454" t="str">
        <f>IF(ISBLANK(Table13[[#This Row],[Rating]]), "No", "Yes")</f>
        <v>Yes</v>
      </c>
      <c r="K1454" t="str">
        <f>IF(ISBLANK(Table13[[#This Row],[Rating]]), "Not Rated", IF(Table13[[#This Row],[Rating]] &lt; 3, "Low", IF(Table13[[#This Row],[Rating]] &lt; 4, "Medium", "High")))</f>
        <v>High</v>
      </c>
      <c r="L1454">
        <v>2</v>
      </c>
      <c r="M1454">
        <v>30</v>
      </c>
      <c r="N1454" t="str">
        <f>IF(Table13[[#This Row],[Price USD]]&lt;20,"Budget",IF(Table13[[#This Row],[Price USD]]&lt;=50,"Mid-range","Premium"))</f>
        <v>Mid-range</v>
      </c>
      <c r="O1454">
        <v>1</v>
      </c>
      <c r="P1454">
        <v>0</v>
      </c>
    </row>
    <row r="1455" spans="1:16" x14ac:dyDescent="0.25">
      <c r="A1455" t="s">
        <v>4180</v>
      </c>
      <c r="B1455" t="s">
        <v>4181</v>
      </c>
      <c r="C1455">
        <v>3733</v>
      </c>
      <c r="D1455" t="s">
        <v>124</v>
      </c>
      <c r="E1455" t="s">
        <v>21</v>
      </c>
      <c r="F1455">
        <v>2424</v>
      </c>
      <c r="G14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5">
        <v>4.0999999999999996</v>
      </c>
      <c r="J1455" t="str">
        <f>IF(ISBLANK(Table13[[#This Row],[Rating]]), "No", "Yes")</f>
        <v>Yes</v>
      </c>
      <c r="K1455" t="str">
        <f>IF(ISBLANK(Table13[[#This Row],[Rating]]), "Not Rated", IF(Table13[[#This Row],[Rating]] &lt; 3, "Low", IF(Table13[[#This Row],[Rating]] &lt; 4, "Medium", "High")))</f>
        <v>High</v>
      </c>
      <c r="L1455">
        <v>10</v>
      </c>
      <c r="M1455">
        <v>40</v>
      </c>
      <c r="N1455" t="str">
        <f>IF(Table13[[#This Row],[Price USD]]&lt;20,"Budget",IF(Table13[[#This Row],[Price USD]]&lt;=50,"Mid-range","Premium"))</f>
        <v>Mid-range</v>
      </c>
      <c r="O1455">
        <v>0</v>
      </c>
      <c r="P1455">
        <v>0</v>
      </c>
    </row>
    <row r="1456" spans="1:16" x14ac:dyDescent="0.25">
      <c r="A1456" t="s">
        <v>4178</v>
      </c>
      <c r="B1456" t="s">
        <v>4179</v>
      </c>
      <c r="C1456">
        <v>1073</v>
      </c>
      <c r="D1456" t="s">
        <v>767</v>
      </c>
      <c r="E1456" t="s">
        <v>8</v>
      </c>
      <c r="F1456">
        <v>2435</v>
      </c>
      <c r="G14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6">
        <v>4.4527000000000001</v>
      </c>
      <c r="J1456" t="str">
        <f>IF(ISBLANK(Table13[[#This Row],[Rating]]), "No", "Yes")</f>
        <v>Yes</v>
      </c>
      <c r="K1456" t="str">
        <f>IF(ISBLANK(Table13[[#This Row],[Rating]]), "Not Rated", IF(Table13[[#This Row],[Rating]] &lt; 3, "Low", IF(Table13[[#This Row],[Rating]] &lt; 4, "Medium", "High")))</f>
        <v>High</v>
      </c>
      <c r="L1456">
        <v>497</v>
      </c>
      <c r="M1456">
        <v>100</v>
      </c>
      <c r="N1456" t="str">
        <f>IF(Table13[[#This Row],[Price USD]]&lt;20,"Budget",IF(Table13[[#This Row],[Price USD]]&lt;=50,"Mid-range","Premium"))</f>
        <v>Premium</v>
      </c>
      <c r="O1456">
        <v>1</v>
      </c>
      <c r="P1456">
        <v>0</v>
      </c>
    </row>
    <row r="1457" spans="1:16" x14ac:dyDescent="0.25">
      <c r="A1457" t="s">
        <v>4176</v>
      </c>
      <c r="B1457" t="s">
        <v>4177</v>
      </c>
      <c r="C1457">
        <v>6329</v>
      </c>
      <c r="D1457" t="s">
        <v>3435</v>
      </c>
      <c r="E1457" t="s">
        <v>21</v>
      </c>
      <c r="F1457">
        <v>2438</v>
      </c>
      <c r="G14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7">
        <v>4.6052999999999997</v>
      </c>
      <c r="J1457" t="str">
        <f>IF(ISBLANK(Table13[[#This Row],[Rating]]), "No", "Yes")</f>
        <v>Yes</v>
      </c>
      <c r="K1457" t="str">
        <f>IF(ISBLANK(Table13[[#This Row],[Rating]]), "Not Rated", IF(Table13[[#This Row],[Rating]] &lt; 3, "Low", IF(Table13[[#This Row],[Rating]] &lt; 4, "Medium", "High")))</f>
        <v>High</v>
      </c>
      <c r="L1457">
        <v>76</v>
      </c>
      <c r="M1457">
        <v>70</v>
      </c>
      <c r="N1457" t="str">
        <f>IF(Table13[[#This Row],[Price USD]]&lt;20,"Budget",IF(Table13[[#This Row],[Price USD]]&lt;=50,"Mid-range","Premium"))</f>
        <v>Premium</v>
      </c>
      <c r="O1457">
        <v>0</v>
      </c>
      <c r="P1457">
        <v>0</v>
      </c>
    </row>
    <row r="1458" spans="1:16" x14ac:dyDescent="0.25">
      <c r="A1458" t="s">
        <v>4174</v>
      </c>
      <c r="B1458" t="s">
        <v>4175</v>
      </c>
      <c r="C1458">
        <v>1254</v>
      </c>
      <c r="D1458" t="s">
        <v>136</v>
      </c>
      <c r="E1458" t="s">
        <v>220</v>
      </c>
      <c r="F1458">
        <v>2441</v>
      </c>
      <c r="G14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8">
        <v>3</v>
      </c>
      <c r="J1458" t="str">
        <f>IF(ISBLANK(Table13[[#This Row],[Rating]]), "No", "Yes")</f>
        <v>Yes</v>
      </c>
      <c r="K1458" t="str">
        <f>IF(ISBLANK(Table13[[#This Row],[Rating]]), "Not Rated", IF(Table13[[#This Row],[Rating]] &lt; 3, "Low", IF(Table13[[#This Row],[Rating]] &lt; 4, "Medium", "High")))</f>
        <v>Medium</v>
      </c>
      <c r="L1458">
        <v>4</v>
      </c>
      <c r="M1458">
        <v>24.5</v>
      </c>
      <c r="N1458" t="str">
        <f>IF(Table13[[#This Row],[Price USD]]&lt;20,"Budget",IF(Table13[[#This Row],[Price USD]]&lt;=50,"Mid-range","Premium"))</f>
        <v>Mid-range</v>
      </c>
      <c r="O1458">
        <v>0</v>
      </c>
      <c r="P1458">
        <v>0</v>
      </c>
    </row>
    <row r="1459" spans="1:16" x14ac:dyDescent="0.25">
      <c r="A1459" t="s">
        <v>4172</v>
      </c>
      <c r="B1459" t="s">
        <v>4173</v>
      </c>
      <c r="C1459">
        <v>6302</v>
      </c>
      <c r="D1459" t="s">
        <v>2721</v>
      </c>
      <c r="E1459" t="s">
        <v>69</v>
      </c>
      <c r="F1459">
        <v>2446</v>
      </c>
      <c r="G14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59">
        <v>4.125</v>
      </c>
      <c r="J1459" t="str">
        <f>IF(ISBLANK(Table13[[#This Row],[Rating]]), "No", "Yes")</f>
        <v>Yes</v>
      </c>
      <c r="K1459" t="str">
        <f>IF(ISBLANK(Table13[[#This Row],[Rating]]), "Not Rated", IF(Table13[[#This Row],[Rating]] &lt; 3, "Low", IF(Table13[[#This Row],[Rating]] &lt; 4, "Medium", "High")))</f>
        <v>High</v>
      </c>
      <c r="L1459">
        <v>16</v>
      </c>
      <c r="M1459">
        <v>150</v>
      </c>
      <c r="N1459" t="str">
        <f>IF(Table13[[#This Row],[Price USD]]&lt;20,"Budget",IF(Table13[[#This Row],[Price USD]]&lt;=50,"Mid-range","Premium"))</f>
        <v>Premium</v>
      </c>
      <c r="O1459">
        <v>0</v>
      </c>
      <c r="P1459">
        <v>0</v>
      </c>
    </row>
    <row r="1460" spans="1:16" x14ac:dyDescent="0.25">
      <c r="A1460" t="s">
        <v>4170</v>
      </c>
      <c r="B1460" t="s">
        <v>4171</v>
      </c>
      <c r="C1460">
        <v>2082</v>
      </c>
      <c r="D1460" t="s">
        <v>594</v>
      </c>
      <c r="E1460" t="s">
        <v>21</v>
      </c>
      <c r="F1460">
        <v>2459</v>
      </c>
      <c r="G14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0">
        <v>3.7726999999999999</v>
      </c>
      <c r="J1460" t="str">
        <f>IF(ISBLANK(Table13[[#This Row],[Rating]]), "No", "Yes")</f>
        <v>Yes</v>
      </c>
      <c r="K1460" t="str">
        <f>IF(ISBLANK(Table13[[#This Row],[Rating]]), "Not Rated", IF(Table13[[#This Row],[Rating]] &lt; 3, "Low", IF(Table13[[#This Row],[Rating]] &lt; 4, "Medium", "High")))</f>
        <v>Medium</v>
      </c>
      <c r="L1460">
        <v>22</v>
      </c>
      <c r="M1460">
        <v>59</v>
      </c>
      <c r="N1460" t="str">
        <f>IF(Table13[[#This Row],[Price USD]]&lt;20,"Budget",IF(Table13[[#This Row],[Price USD]]&lt;=50,"Mid-range","Premium"))</f>
        <v>Premium</v>
      </c>
      <c r="O1460">
        <v>0</v>
      </c>
      <c r="P1460">
        <v>0</v>
      </c>
    </row>
    <row r="1461" spans="1:16" x14ac:dyDescent="0.25">
      <c r="A1461" t="s">
        <v>4168</v>
      </c>
      <c r="B1461" t="s">
        <v>4169</v>
      </c>
      <c r="C1461">
        <v>6373</v>
      </c>
      <c r="D1461" t="s">
        <v>1652</v>
      </c>
      <c r="E1461" t="s">
        <v>13</v>
      </c>
      <c r="F1461">
        <v>2470</v>
      </c>
      <c r="G14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1">
        <v>4.0545</v>
      </c>
      <c r="J1461" t="str">
        <f>IF(ISBLANK(Table13[[#This Row],[Rating]]), "No", "Yes")</f>
        <v>Yes</v>
      </c>
      <c r="K1461" t="str">
        <f>IF(ISBLANK(Table13[[#This Row],[Rating]]), "Not Rated", IF(Table13[[#This Row],[Rating]] &lt; 3, "Low", IF(Table13[[#This Row],[Rating]] &lt; 4, "Medium", "High")))</f>
        <v>High</v>
      </c>
      <c r="L1461">
        <v>55</v>
      </c>
      <c r="M1461">
        <v>36</v>
      </c>
      <c r="N1461" t="str">
        <f>IF(Table13[[#This Row],[Price USD]]&lt;20,"Budget",IF(Table13[[#This Row],[Price USD]]&lt;=50,"Mid-range","Premium"))</f>
        <v>Mid-range</v>
      </c>
      <c r="O1461">
        <v>0</v>
      </c>
      <c r="P1461">
        <v>0</v>
      </c>
    </row>
    <row r="1462" spans="1:16" x14ac:dyDescent="0.25">
      <c r="A1462" t="s">
        <v>4166</v>
      </c>
      <c r="B1462" t="s">
        <v>4167</v>
      </c>
      <c r="C1462">
        <v>6349</v>
      </c>
      <c r="D1462" t="s">
        <v>2031</v>
      </c>
      <c r="E1462" t="s">
        <v>69</v>
      </c>
      <c r="F1462">
        <v>2472</v>
      </c>
      <c r="G14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2">
        <v>4.7419000000000002</v>
      </c>
      <c r="J1462" t="str">
        <f>IF(ISBLANK(Table13[[#This Row],[Rating]]), "No", "Yes")</f>
        <v>Yes</v>
      </c>
      <c r="K1462" t="str">
        <f>IF(ISBLANK(Table13[[#This Row],[Rating]]), "Not Rated", IF(Table13[[#This Row],[Rating]] &lt; 3, "Low", IF(Table13[[#This Row],[Rating]] &lt; 4, "Medium", "High")))</f>
        <v>High</v>
      </c>
      <c r="L1462">
        <v>62</v>
      </c>
      <c r="M1462">
        <v>48</v>
      </c>
      <c r="N1462" t="str">
        <f>IF(Table13[[#This Row],[Price USD]]&lt;20,"Budget",IF(Table13[[#This Row],[Price USD]]&lt;=50,"Mid-range","Premium"))</f>
        <v>Mid-range</v>
      </c>
      <c r="O1462">
        <v>0</v>
      </c>
      <c r="P1462">
        <v>0</v>
      </c>
    </row>
    <row r="1463" spans="1:16" x14ac:dyDescent="0.25">
      <c r="A1463" t="s">
        <v>4164</v>
      </c>
      <c r="B1463" t="s">
        <v>4165</v>
      </c>
      <c r="C1463">
        <v>6334</v>
      </c>
      <c r="D1463" t="s">
        <v>2819</v>
      </c>
      <c r="E1463" t="s">
        <v>8</v>
      </c>
      <c r="F1463">
        <v>2472</v>
      </c>
      <c r="G14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3">
        <v>4.5082000000000004</v>
      </c>
      <c r="J1463" t="str">
        <f>IF(ISBLANK(Table13[[#This Row],[Rating]]), "No", "Yes")</f>
        <v>Yes</v>
      </c>
      <c r="K1463" t="str">
        <f>IF(ISBLANK(Table13[[#This Row],[Rating]]), "Not Rated", IF(Table13[[#This Row],[Rating]] &lt; 3, "Low", IF(Table13[[#This Row],[Rating]] &lt; 4, "Medium", "High")))</f>
        <v>High</v>
      </c>
      <c r="L1463">
        <v>122</v>
      </c>
      <c r="M1463">
        <v>72</v>
      </c>
      <c r="N1463" t="str">
        <f>IF(Table13[[#This Row],[Price USD]]&lt;20,"Budget",IF(Table13[[#This Row],[Price USD]]&lt;=50,"Mid-range","Premium"))</f>
        <v>Premium</v>
      </c>
      <c r="O1463">
        <v>0</v>
      </c>
      <c r="P1463">
        <v>0</v>
      </c>
    </row>
    <row r="1464" spans="1:16" x14ac:dyDescent="0.25">
      <c r="A1464" t="s">
        <v>4162</v>
      </c>
      <c r="B1464" t="s">
        <v>4163</v>
      </c>
      <c r="C1464">
        <v>7020</v>
      </c>
      <c r="D1464" t="s">
        <v>657</v>
      </c>
      <c r="E1464" t="s">
        <v>21</v>
      </c>
      <c r="F1464">
        <v>2480</v>
      </c>
      <c r="G14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4">
        <v>4.58</v>
      </c>
      <c r="J1464" t="str">
        <f>IF(ISBLANK(Table13[[#This Row],[Rating]]), "No", "Yes")</f>
        <v>Yes</v>
      </c>
      <c r="K1464" t="str">
        <f>IF(ISBLANK(Table13[[#This Row],[Rating]]), "Not Rated", IF(Table13[[#This Row],[Rating]] &lt; 3, "Low", IF(Table13[[#This Row],[Rating]] &lt; 4, "Medium", "High")))</f>
        <v>High</v>
      </c>
      <c r="L1464">
        <v>50</v>
      </c>
      <c r="M1464">
        <v>130</v>
      </c>
      <c r="N1464" t="str">
        <f>IF(Table13[[#This Row],[Price USD]]&lt;20,"Budget",IF(Table13[[#This Row],[Price USD]]&lt;=50,"Mid-range","Premium"))</f>
        <v>Premium</v>
      </c>
      <c r="O1464">
        <v>0</v>
      </c>
      <c r="P1464">
        <v>0</v>
      </c>
    </row>
    <row r="1465" spans="1:16" x14ac:dyDescent="0.25">
      <c r="A1465" t="s">
        <v>4160</v>
      </c>
      <c r="B1465" t="s">
        <v>4161</v>
      </c>
      <c r="C1465">
        <v>6302</v>
      </c>
      <c r="D1465" t="s">
        <v>2721</v>
      </c>
      <c r="E1465" t="s">
        <v>8</v>
      </c>
      <c r="F1465">
        <v>2487</v>
      </c>
      <c r="G14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5">
        <v>3.7778</v>
      </c>
      <c r="J1465" t="str">
        <f>IF(ISBLANK(Table13[[#This Row],[Rating]]), "No", "Yes")</f>
        <v>Yes</v>
      </c>
      <c r="K1465" t="str">
        <f>IF(ISBLANK(Table13[[#This Row],[Rating]]), "Not Rated", IF(Table13[[#This Row],[Rating]] &lt; 3, "Low", IF(Table13[[#This Row],[Rating]] &lt; 4, "Medium", "High")))</f>
        <v>Medium</v>
      </c>
      <c r="L1465">
        <v>18</v>
      </c>
      <c r="M1465">
        <v>255</v>
      </c>
      <c r="N1465" t="str">
        <f>IF(Table13[[#This Row],[Price USD]]&lt;20,"Budget",IF(Table13[[#This Row],[Price USD]]&lt;=50,"Mid-range","Premium"))</f>
        <v>Premium</v>
      </c>
      <c r="O1465">
        <v>0</v>
      </c>
      <c r="P1465">
        <v>1</v>
      </c>
    </row>
    <row r="1466" spans="1:16" x14ac:dyDescent="0.25">
      <c r="A1466" t="s">
        <v>4158</v>
      </c>
      <c r="B1466" t="s">
        <v>4159</v>
      </c>
      <c r="C1466">
        <v>5337</v>
      </c>
      <c r="D1466" t="s">
        <v>209</v>
      </c>
      <c r="E1466" t="s">
        <v>8</v>
      </c>
      <c r="F1466">
        <v>2501</v>
      </c>
      <c r="G14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6">
        <v>3</v>
      </c>
      <c r="J1466" t="str">
        <f>IF(ISBLANK(Table13[[#This Row],[Rating]]), "No", "Yes")</f>
        <v>Yes</v>
      </c>
      <c r="K1466" t="str">
        <f>IF(ISBLANK(Table13[[#This Row],[Rating]]), "Not Rated", IF(Table13[[#This Row],[Rating]] &lt; 3, "Low", IF(Table13[[#This Row],[Rating]] &lt; 4, "Medium", "High")))</f>
        <v>Medium</v>
      </c>
      <c r="L1466">
        <v>2</v>
      </c>
      <c r="M1466">
        <v>185</v>
      </c>
      <c r="N1466" t="str">
        <f>IF(Table13[[#This Row],[Price USD]]&lt;20,"Budget",IF(Table13[[#This Row],[Price USD]]&lt;=50,"Mid-range","Premium"))</f>
        <v>Premium</v>
      </c>
      <c r="O1466">
        <v>0</v>
      </c>
      <c r="P1466">
        <v>0</v>
      </c>
    </row>
    <row r="1467" spans="1:16" x14ac:dyDescent="0.25">
      <c r="A1467" t="s">
        <v>4156</v>
      </c>
      <c r="B1467" t="s">
        <v>4157</v>
      </c>
      <c r="C1467">
        <v>6226</v>
      </c>
      <c r="D1467" t="s">
        <v>843</v>
      </c>
      <c r="E1467" t="s">
        <v>201</v>
      </c>
      <c r="F1467">
        <v>2514</v>
      </c>
      <c r="G14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7">
        <v>5</v>
      </c>
      <c r="J1467" t="str">
        <f>IF(ISBLANK(Table13[[#This Row],[Rating]]), "No", "Yes")</f>
        <v>Yes</v>
      </c>
      <c r="K1467" t="str">
        <f>IF(ISBLANK(Table13[[#This Row],[Rating]]), "Not Rated", IF(Table13[[#This Row],[Rating]] &lt; 3, "Low", IF(Table13[[#This Row],[Rating]] &lt; 4, "Medium", "High")))</f>
        <v>High</v>
      </c>
      <c r="L1467">
        <v>3</v>
      </c>
      <c r="M1467">
        <v>38</v>
      </c>
      <c r="N1467" t="str">
        <f>IF(Table13[[#This Row],[Price USD]]&lt;20,"Budget",IF(Table13[[#This Row],[Price USD]]&lt;=50,"Mid-range","Premium"))</f>
        <v>Mid-range</v>
      </c>
      <c r="O1467">
        <v>0</v>
      </c>
      <c r="P1467">
        <v>0</v>
      </c>
    </row>
    <row r="1468" spans="1:16" x14ac:dyDescent="0.25">
      <c r="A1468" t="s">
        <v>4154</v>
      </c>
      <c r="B1468" t="s">
        <v>4155</v>
      </c>
      <c r="C1468">
        <v>6256</v>
      </c>
      <c r="D1468" t="s">
        <v>346</v>
      </c>
      <c r="E1468" t="s">
        <v>8</v>
      </c>
      <c r="F1468">
        <v>2516</v>
      </c>
      <c r="G14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8">
        <v>4.0875000000000004</v>
      </c>
      <c r="J1468" t="str">
        <f>IF(ISBLANK(Table13[[#This Row],[Rating]]), "No", "Yes")</f>
        <v>Yes</v>
      </c>
      <c r="K1468" t="str">
        <f>IF(ISBLANK(Table13[[#This Row],[Rating]]), "Not Rated", IF(Table13[[#This Row],[Rating]] &lt; 3, "Low", IF(Table13[[#This Row],[Rating]] &lt; 4, "Medium", "High")))</f>
        <v>High</v>
      </c>
      <c r="L1468">
        <v>160</v>
      </c>
      <c r="M1468">
        <v>60</v>
      </c>
      <c r="N1468" t="str">
        <f>IF(Table13[[#This Row],[Price USD]]&lt;20,"Budget",IF(Table13[[#This Row],[Price USD]]&lt;=50,"Mid-range","Premium"))</f>
        <v>Premium</v>
      </c>
      <c r="O1468">
        <v>0</v>
      </c>
      <c r="P1468">
        <v>0</v>
      </c>
    </row>
    <row r="1469" spans="1:16" x14ac:dyDescent="0.25">
      <c r="A1469" t="s">
        <v>4153</v>
      </c>
      <c r="B1469" t="s">
        <v>2447</v>
      </c>
      <c r="C1469">
        <v>6302</v>
      </c>
      <c r="D1469" t="s">
        <v>2721</v>
      </c>
      <c r="E1469" t="s">
        <v>8</v>
      </c>
      <c r="F1469">
        <v>2524</v>
      </c>
      <c r="G14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69">
        <v>4.125</v>
      </c>
      <c r="J1469" t="str">
        <f>IF(ISBLANK(Table13[[#This Row],[Rating]]), "No", "Yes")</f>
        <v>Yes</v>
      </c>
      <c r="K1469" t="str">
        <f>IF(ISBLANK(Table13[[#This Row],[Rating]]), "Not Rated", IF(Table13[[#This Row],[Rating]] &lt; 3, "Low", IF(Table13[[#This Row],[Rating]] &lt; 4, "Medium", "High")))</f>
        <v>High</v>
      </c>
      <c r="L1469">
        <v>16</v>
      </c>
      <c r="M1469">
        <v>255</v>
      </c>
      <c r="N1469" t="str">
        <f>IF(Table13[[#This Row],[Price USD]]&lt;20,"Budget",IF(Table13[[#This Row],[Price USD]]&lt;=50,"Mid-range","Premium"))</f>
        <v>Premium</v>
      </c>
      <c r="O1469">
        <v>0</v>
      </c>
      <c r="P1469">
        <v>0</v>
      </c>
    </row>
    <row r="1470" spans="1:16" x14ac:dyDescent="0.25">
      <c r="A1470" t="s">
        <v>4151</v>
      </c>
      <c r="B1470" t="s">
        <v>4152</v>
      </c>
      <c r="C1470">
        <v>8017</v>
      </c>
      <c r="D1470" t="s">
        <v>620</v>
      </c>
      <c r="E1470" t="s">
        <v>149</v>
      </c>
      <c r="F1470">
        <v>2532</v>
      </c>
      <c r="G14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0">
        <v>3.2856999999999998</v>
      </c>
      <c r="J1470" t="str">
        <f>IF(ISBLANK(Table13[[#This Row],[Rating]]), "No", "Yes")</f>
        <v>Yes</v>
      </c>
      <c r="K1470" t="str">
        <f>IF(ISBLANK(Table13[[#This Row],[Rating]]), "Not Rated", IF(Table13[[#This Row],[Rating]] &lt; 3, "Low", IF(Table13[[#This Row],[Rating]] &lt; 4, "Medium", "High")))</f>
        <v>Medium</v>
      </c>
      <c r="L1470">
        <v>7</v>
      </c>
      <c r="M1470">
        <v>24</v>
      </c>
      <c r="N1470" t="str">
        <f>IF(Table13[[#This Row],[Price USD]]&lt;20,"Budget",IF(Table13[[#This Row],[Price USD]]&lt;=50,"Mid-range","Premium"))</f>
        <v>Mid-range</v>
      </c>
      <c r="O1470">
        <v>0</v>
      </c>
      <c r="P1470">
        <v>0</v>
      </c>
    </row>
    <row r="1471" spans="1:16" x14ac:dyDescent="0.25">
      <c r="A1471" t="s">
        <v>4149</v>
      </c>
      <c r="B1471" t="s">
        <v>4150</v>
      </c>
      <c r="C1471">
        <v>6307</v>
      </c>
      <c r="D1471" t="s">
        <v>1132</v>
      </c>
      <c r="E1471" t="s">
        <v>21</v>
      </c>
      <c r="F1471">
        <v>2534</v>
      </c>
      <c r="G14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1">
        <v>4.5019</v>
      </c>
      <c r="J1471" t="str">
        <f>IF(ISBLANK(Table13[[#This Row],[Rating]]), "No", "Yes")</f>
        <v>Yes</v>
      </c>
      <c r="K1471" t="str">
        <f>IF(ISBLANK(Table13[[#This Row],[Rating]]), "Not Rated", IF(Table13[[#This Row],[Rating]] &lt; 3, "Low", IF(Table13[[#This Row],[Rating]] &lt; 4, "Medium", "High")))</f>
        <v>High</v>
      </c>
      <c r="L1471">
        <v>257</v>
      </c>
      <c r="M1471">
        <v>120</v>
      </c>
      <c r="N1471" t="str">
        <f>IF(Table13[[#This Row],[Price USD]]&lt;20,"Budget",IF(Table13[[#This Row],[Price USD]]&lt;=50,"Mid-range","Premium"))</f>
        <v>Premium</v>
      </c>
      <c r="O1471">
        <v>0</v>
      </c>
      <c r="P1471">
        <v>0</v>
      </c>
    </row>
    <row r="1472" spans="1:16" x14ac:dyDescent="0.25">
      <c r="A1472" t="s">
        <v>4147</v>
      </c>
      <c r="B1472" t="s">
        <v>4148</v>
      </c>
      <c r="C1472">
        <v>6302</v>
      </c>
      <c r="D1472" t="s">
        <v>2721</v>
      </c>
      <c r="E1472" t="s">
        <v>8</v>
      </c>
      <c r="F1472">
        <v>2538</v>
      </c>
      <c r="G14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2">
        <v>4.8666999999999998</v>
      </c>
      <c r="J1472" t="str">
        <f>IF(ISBLANK(Table13[[#This Row],[Rating]]), "No", "Yes")</f>
        <v>Yes</v>
      </c>
      <c r="K1472" t="str">
        <f>IF(ISBLANK(Table13[[#This Row],[Rating]]), "Not Rated", IF(Table13[[#This Row],[Rating]] &lt; 3, "Low", IF(Table13[[#This Row],[Rating]] &lt; 4, "Medium", "High")))</f>
        <v>High</v>
      </c>
      <c r="L1472">
        <v>30</v>
      </c>
      <c r="M1472">
        <v>145</v>
      </c>
      <c r="N1472" t="str">
        <f>IF(Table13[[#This Row],[Price USD]]&lt;20,"Budget",IF(Table13[[#This Row],[Price USD]]&lt;=50,"Mid-range","Premium"))</f>
        <v>Premium</v>
      </c>
      <c r="O1472">
        <v>0</v>
      </c>
      <c r="P1472">
        <v>0</v>
      </c>
    </row>
    <row r="1473" spans="1:16" x14ac:dyDescent="0.25">
      <c r="A1473" t="s">
        <v>4145</v>
      </c>
      <c r="B1473" t="s">
        <v>4146</v>
      </c>
      <c r="C1473">
        <v>6373</v>
      </c>
      <c r="D1473" t="s">
        <v>1652</v>
      </c>
      <c r="E1473" t="s">
        <v>220</v>
      </c>
      <c r="F1473">
        <v>2541</v>
      </c>
      <c r="G14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3">
        <v>3.8292999999999999</v>
      </c>
      <c r="J1473" t="str">
        <f>IF(ISBLANK(Table13[[#This Row],[Rating]]), "No", "Yes")</f>
        <v>Yes</v>
      </c>
      <c r="K1473" t="str">
        <f>IF(ISBLANK(Table13[[#This Row],[Rating]]), "Not Rated", IF(Table13[[#This Row],[Rating]] &lt; 3, "Low", IF(Table13[[#This Row],[Rating]] &lt; 4, "Medium", "High")))</f>
        <v>Medium</v>
      </c>
      <c r="L1473">
        <v>41</v>
      </c>
      <c r="M1473">
        <v>66</v>
      </c>
      <c r="N1473" t="str">
        <f>IF(Table13[[#This Row],[Price USD]]&lt;20,"Budget",IF(Table13[[#This Row],[Price USD]]&lt;=50,"Mid-range","Premium"))</f>
        <v>Premium</v>
      </c>
      <c r="O1473">
        <v>0</v>
      </c>
      <c r="P1473">
        <v>0</v>
      </c>
    </row>
    <row r="1474" spans="1:16" x14ac:dyDescent="0.25">
      <c r="A1474" t="s">
        <v>4143</v>
      </c>
      <c r="B1474" t="s">
        <v>4144</v>
      </c>
      <c r="C1474">
        <v>6356</v>
      </c>
      <c r="D1474" t="s">
        <v>1885</v>
      </c>
      <c r="E1474" t="s">
        <v>8</v>
      </c>
      <c r="F1474">
        <v>2556</v>
      </c>
      <c r="G14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4">
        <v>3.9876999999999998</v>
      </c>
      <c r="J1474" t="str">
        <f>IF(ISBLANK(Table13[[#This Row],[Rating]]), "No", "Yes")</f>
        <v>Yes</v>
      </c>
      <c r="K1474" t="str">
        <f>IF(ISBLANK(Table13[[#This Row],[Rating]]), "Not Rated", IF(Table13[[#This Row],[Rating]] &lt; 3, "Low", IF(Table13[[#This Row],[Rating]] &lt; 4, "Medium", "High")))</f>
        <v>Medium</v>
      </c>
      <c r="L1474">
        <v>81</v>
      </c>
      <c r="M1474">
        <v>390</v>
      </c>
      <c r="N1474" t="str">
        <f>IF(Table13[[#This Row],[Price USD]]&lt;20,"Budget",IF(Table13[[#This Row],[Price USD]]&lt;=50,"Mid-range","Premium"))</f>
        <v>Premium</v>
      </c>
      <c r="O1474">
        <v>0</v>
      </c>
      <c r="P1474">
        <v>0</v>
      </c>
    </row>
    <row r="1475" spans="1:16" x14ac:dyDescent="0.25">
      <c r="A1475" t="s">
        <v>4141</v>
      </c>
      <c r="B1475" t="s">
        <v>4142</v>
      </c>
      <c r="C1475">
        <v>1254</v>
      </c>
      <c r="D1475" t="s">
        <v>136</v>
      </c>
      <c r="E1475" t="s">
        <v>220</v>
      </c>
      <c r="F1475">
        <v>2557</v>
      </c>
      <c r="G14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475" t="str">
        <f>IF(ISBLANK(Table13[[#This Row],[Rating]]), "No", "Yes")</f>
        <v>No</v>
      </c>
      <c r="K1475" t="str">
        <f>IF(ISBLANK(Table13[[#This Row],[Rating]]), "Not Rated", IF(Table13[[#This Row],[Rating]] &lt; 3, "Low", IF(Table13[[#This Row],[Rating]] &lt; 4, "Medium", "High")))</f>
        <v>Not Rated</v>
      </c>
      <c r="L1475">
        <v>0</v>
      </c>
      <c r="M1475">
        <v>42</v>
      </c>
      <c r="N1475" t="str">
        <f>IF(Table13[[#This Row],[Price USD]]&lt;20,"Budget",IF(Table13[[#This Row],[Price USD]]&lt;=50,"Mid-range","Premium"))</f>
        <v>Mid-range</v>
      </c>
      <c r="O1475">
        <v>0</v>
      </c>
      <c r="P1475">
        <v>0</v>
      </c>
    </row>
    <row r="1476" spans="1:16" x14ac:dyDescent="0.25">
      <c r="A1476" t="s">
        <v>4139</v>
      </c>
      <c r="B1476" t="s">
        <v>4140</v>
      </c>
      <c r="C1476">
        <v>6356</v>
      </c>
      <c r="D1476" t="s">
        <v>1885</v>
      </c>
      <c r="E1476" t="s">
        <v>8</v>
      </c>
      <c r="F1476">
        <v>2564</v>
      </c>
      <c r="G14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6">
        <v>4.5</v>
      </c>
      <c r="J1476" t="str">
        <f>IF(ISBLANK(Table13[[#This Row],[Rating]]), "No", "Yes")</f>
        <v>Yes</v>
      </c>
      <c r="K1476" t="str">
        <f>IF(ISBLANK(Table13[[#This Row],[Rating]]), "Not Rated", IF(Table13[[#This Row],[Rating]] &lt; 3, "Low", IF(Table13[[#This Row],[Rating]] &lt; 4, "Medium", "High")))</f>
        <v>High</v>
      </c>
      <c r="L1476">
        <v>4</v>
      </c>
      <c r="M1476">
        <v>93</v>
      </c>
      <c r="N1476" t="str">
        <f>IF(Table13[[#This Row],[Price USD]]&lt;20,"Budget",IF(Table13[[#This Row],[Price USD]]&lt;=50,"Mid-range","Premium"))</f>
        <v>Premium</v>
      </c>
      <c r="O1476">
        <v>0</v>
      </c>
      <c r="P1476">
        <v>0</v>
      </c>
    </row>
    <row r="1477" spans="1:16" x14ac:dyDescent="0.25">
      <c r="A1477" t="s">
        <v>4137</v>
      </c>
      <c r="B1477" t="s">
        <v>4138</v>
      </c>
      <c r="C1477">
        <v>6219</v>
      </c>
      <c r="D1477" t="s">
        <v>277</v>
      </c>
      <c r="E1477" t="s">
        <v>13</v>
      </c>
      <c r="F1477">
        <v>2582</v>
      </c>
      <c r="G14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7">
        <v>4</v>
      </c>
      <c r="J1477" t="str">
        <f>IF(ISBLANK(Table13[[#This Row],[Rating]]), "No", "Yes")</f>
        <v>Yes</v>
      </c>
      <c r="K1477" t="str">
        <f>IF(ISBLANK(Table13[[#This Row],[Rating]]), "Not Rated", IF(Table13[[#This Row],[Rating]] &lt; 3, "Low", IF(Table13[[#This Row],[Rating]] &lt; 4, "Medium", "High")))</f>
        <v>High</v>
      </c>
      <c r="L1477">
        <v>11</v>
      </c>
      <c r="M1477">
        <v>42</v>
      </c>
      <c r="N1477" t="str">
        <f>IF(Table13[[#This Row],[Price USD]]&lt;20,"Budget",IF(Table13[[#This Row],[Price USD]]&lt;=50,"Mid-range","Premium"))</f>
        <v>Mid-range</v>
      </c>
      <c r="O1477">
        <v>0</v>
      </c>
      <c r="P1477">
        <v>0</v>
      </c>
    </row>
    <row r="1478" spans="1:16" x14ac:dyDescent="0.25">
      <c r="A1478" t="s">
        <v>4135</v>
      </c>
      <c r="B1478" t="s">
        <v>4136</v>
      </c>
      <c r="C1478">
        <v>6375</v>
      </c>
      <c r="D1478" t="s">
        <v>3234</v>
      </c>
      <c r="E1478" t="s">
        <v>201</v>
      </c>
      <c r="F1478">
        <v>2584</v>
      </c>
      <c r="G14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8">
        <v>4.1543999999999999</v>
      </c>
      <c r="J1478" t="str">
        <f>IF(ISBLANK(Table13[[#This Row],[Rating]]), "No", "Yes")</f>
        <v>Yes</v>
      </c>
      <c r="K1478" t="str">
        <f>IF(ISBLANK(Table13[[#This Row],[Rating]]), "Not Rated", IF(Table13[[#This Row],[Rating]] &lt; 3, "Low", IF(Table13[[#This Row],[Rating]] &lt; 4, "Medium", "High")))</f>
        <v>High</v>
      </c>
      <c r="L1478">
        <v>149</v>
      </c>
      <c r="M1478">
        <v>45</v>
      </c>
      <c r="N1478" t="str">
        <f>IF(Table13[[#This Row],[Price USD]]&lt;20,"Budget",IF(Table13[[#This Row],[Price USD]]&lt;=50,"Mid-range","Premium"))</f>
        <v>Mid-range</v>
      </c>
      <c r="O1478">
        <v>0</v>
      </c>
      <c r="P1478">
        <v>0</v>
      </c>
    </row>
    <row r="1479" spans="1:16" x14ac:dyDescent="0.25">
      <c r="A1479" t="s">
        <v>4133</v>
      </c>
      <c r="B1479" t="s">
        <v>4134</v>
      </c>
      <c r="C1479">
        <v>6041</v>
      </c>
      <c r="D1479" t="s">
        <v>33</v>
      </c>
      <c r="E1479" t="s">
        <v>8</v>
      </c>
      <c r="F1479">
        <v>2589</v>
      </c>
      <c r="G14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79">
        <v>4.8387000000000002</v>
      </c>
      <c r="J1479" t="str">
        <f>IF(ISBLANK(Table13[[#This Row],[Rating]]), "No", "Yes")</f>
        <v>Yes</v>
      </c>
      <c r="K1479" t="str">
        <f>IF(ISBLANK(Table13[[#This Row],[Rating]]), "Not Rated", IF(Table13[[#This Row],[Rating]] &lt; 3, "Low", IF(Table13[[#This Row],[Rating]] &lt; 4, "Medium", "High")))</f>
        <v>High</v>
      </c>
      <c r="L1479">
        <v>124</v>
      </c>
      <c r="M1479">
        <v>98</v>
      </c>
      <c r="N1479" t="str">
        <f>IF(Table13[[#This Row],[Price USD]]&lt;20,"Budget",IF(Table13[[#This Row],[Price USD]]&lt;=50,"Mid-range","Premium"))</f>
        <v>Premium</v>
      </c>
      <c r="O1479">
        <v>1</v>
      </c>
      <c r="P1479">
        <v>0</v>
      </c>
    </row>
    <row r="1480" spans="1:16" x14ac:dyDescent="0.25">
      <c r="A1480" t="s">
        <v>4131</v>
      </c>
      <c r="B1480" t="s">
        <v>4132</v>
      </c>
      <c r="C1480">
        <v>6373</v>
      </c>
      <c r="D1480" t="s">
        <v>1652</v>
      </c>
      <c r="E1480" t="s">
        <v>69</v>
      </c>
      <c r="F1480">
        <v>2603</v>
      </c>
      <c r="G14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0">
        <v>4.25</v>
      </c>
      <c r="J1480" t="str">
        <f>IF(ISBLANK(Table13[[#This Row],[Rating]]), "No", "Yes")</f>
        <v>Yes</v>
      </c>
      <c r="K1480" t="str">
        <f>IF(ISBLANK(Table13[[#This Row],[Rating]]), "Not Rated", IF(Table13[[#This Row],[Rating]] &lt; 3, "Low", IF(Table13[[#This Row],[Rating]] &lt; 4, "Medium", "High")))</f>
        <v>High</v>
      </c>
      <c r="L1480">
        <v>44</v>
      </c>
      <c r="M1480">
        <v>36</v>
      </c>
      <c r="N1480" t="str">
        <f>IF(Table13[[#This Row],[Price USD]]&lt;20,"Budget",IF(Table13[[#This Row],[Price USD]]&lt;=50,"Mid-range","Premium"))</f>
        <v>Mid-range</v>
      </c>
      <c r="O1480">
        <v>0</v>
      </c>
      <c r="P1480">
        <v>0</v>
      </c>
    </row>
    <row r="1481" spans="1:16" x14ac:dyDescent="0.25">
      <c r="A1481" t="s">
        <v>4129</v>
      </c>
      <c r="B1481" t="s">
        <v>4130</v>
      </c>
      <c r="C1481">
        <v>7100</v>
      </c>
      <c r="D1481" t="s">
        <v>3756</v>
      </c>
      <c r="E1481" t="s">
        <v>13</v>
      </c>
      <c r="F1481">
        <v>2610</v>
      </c>
      <c r="G14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1">
        <v>4.7142999999999997</v>
      </c>
      <c r="J1481" t="str">
        <f>IF(ISBLANK(Table13[[#This Row],[Rating]]), "No", "Yes")</f>
        <v>Yes</v>
      </c>
      <c r="K1481" t="str">
        <f>IF(ISBLANK(Table13[[#This Row],[Rating]]), "Not Rated", IF(Table13[[#This Row],[Rating]] &lt; 3, "Low", IF(Table13[[#This Row],[Rating]] &lt; 4, "Medium", "High")))</f>
        <v>High</v>
      </c>
      <c r="L1481">
        <v>14</v>
      </c>
      <c r="M1481">
        <v>38</v>
      </c>
      <c r="N1481" t="str">
        <f>IF(Table13[[#This Row],[Price USD]]&lt;20,"Budget",IF(Table13[[#This Row],[Price USD]]&lt;=50,"Mid-range","Premium"))</f>
        <v>Mid-range</v>
      </c>
      <c r="O1481">
        <v>0</v>
      </c>
      <c r="P1481">
        <v>0</v>
      </c>
    </row>
    <row r="1482" spans="1:16" x14ac:dyDescent="0.25">
      <c r="A1482" t="s">
        <v>4127</v>
      </c>
      <c r="B1482" t="s">
        <v>4128</v>
      </c>
      <c r="C1482">
        <v>6309</v>
      </c>
      <c r="D1482" t="s">
        <v>1735</v>
      </c>
      <c r="E1482" t="s">
        <v>8</v>
      </c>
      <c r="F1482">
        <v>2613</v>
      </c>
      <c r="G14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2">
        <v>3.5356999999999998</v>
      </c>
      <c r="J1482" t="str">
        <f>IF(ISBLANK(Table13[[#This Row],[Rating]]), "No", "Yes")</f>
        <v>Yes</v>
      </c>
      <c r="K1482" t="str">
        <f>IF(ISBLANK(Table13[[#This Row],[Rating]]), "Not Rated", IF(Table13[[#This Row],[Rating]] &lt; 3, "Low", IF(Table13[[#This Row],[Rating]] &lt; 4, "Medium", "High")))</f>
        <v>Medium</v>
      </c>
      <c r="L1482">
        <v>28</v>
      </c>
      <c r="M1482">
        <v>125</v>
      </c>
      <c r="N1482" t="str">
        <f>IF(Table13[[#This Row],[Price USD]]&lt;20,"Budget",IF(Table13[[#This Row],[Price USD]]&lt;=50,"Mid-range","Premium"))</f>
        <v>Premium</v>
      </c>
      <c r="O1482">
        <v>0</v>
      </c>
      <c r="P1482">
        <v>0</v>
      </c>
    </row>
    <row r="1483" spans="1:16" x14ac:dyDescent="0.25">
      <c r="A1483" t="s">
        <v>4125</v>
      </c>
      <c r="B1483" t="s">
        <v>4126</v>
      </c>
      <c r="C1483">
        <v>1254</v>
      </c>
      <c r="D1483" t="s">
        <v>136</v>
      </c>
      <c r="E1483" t="s">
        <v>13</v>
      </c>
      <c r="F1483">
        <v>2618</v>
      </c>
      <c r="G14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3">
        <v>4.5521000000000003</v>
      </c>
      <c r="J1483" t="str">
        <f>IF(ISBLANK(Table13[[#This Row],[Rating]]), "No", "Yes")</f>
        <v>Yes</v>
      </c>
      <c r="K1483" t="str">
        <f>IF(ISBLANK(Table13[[#This Row],[Rating]]), "Not Rated", IF(Table13[[#This Row],[Rating]] &lt; 3, "Low", IF(Table13[[#This Row],[Rating]] &lt; 4, "Medium", "High")))</f>
        <v>High</v>
      </c>
      <c r="L1483">
        <v>259</v>
      </c>
      <c r="M1483">
        <v>38</v>
      </c>
      <c r="N1483" t="str">
        <f>IF(Table13[[#This Row],[Price USD]]&lt;20,"Budget",IF(Table13[[#This Row],[Price USD]]&lt;=50,"Mid-range","Premium"))</f>
        <v>Mid-range</v>
      </c>
      <c r="O1483">
        <v>0</v>
      </c>
      <c r="P1483">
        <v>0</v>
      </c>
    </row>
    <row r="1484" spans="1:16" x14ac:dyDescent="0.25">
      <c r="A1484" t="s">
        <v>4123</v>
      </c>
      <c r="B1484" t="s">
        <v>4124</v>
      </c>
      <c r="C1484">
        <v>3902</v>
      </c>
      <c r="D1484" t="s">
        <v>72</v>
      </c>
      <c r="E1484" t="s">
        <v>201</v>
      </c>
      <c r="F1484">
        <v>2624</v>
      </c>
      <c r="G14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4">
        <v>4.0769000000000002</v>
      </c>
      <c r="J1484" t="str">
        <f>IF(ISBLANK(Table13[[#This Row],[Rating]]), "No", "Yes")</f>
        <v>Yes</v>
      </c>
      <c r="K1484" t="str">
        <f>IF(ISBLANK(Table13[[#This Row],[Rating]]), "Not Rated", IF(Table13[[#This Row],[Rating]] &lt; 3, "Low", IF(Table13[[#This Row],[Rating]] &lt; 4, "Medium", "High")))</f>
        <v>High</v>
      </c>
      <c r="L1484">
        <v>13</v>
      </c>
      <c r="M1484">
        <v>15</v>
      </c>
      <c r="N1484" t="str">
        <f>IF(Table13[[#This Row],[Price USD]]&lt;20,"Budget",IF(Table13[[#This Row],[Price USD]]&lt;=50,"Mid-range","Premium"))</f>
        <v>Budget</v>
      </c>
      <c r="O1484">
        <v>0</v>
      </c>
      <c r="P1484">
        <v>0</v>
      </c>
    </row>
    <row r="1485" spans="1:16" x14ac:dyDescent="0.25">
      <c r="A1485" t="s">
        <v>4121</v>
      </c>
      <c r="B1485" t="s">
        <v>4122</v>
      </c>
      <c r="C1485">
        <v>5337</v>
      </c>
      <c r="D1485" t="s">
        <v>209</v>
      </c>
      <c r="E1485" t="s">
        <v>21</v>
      </c>
      <c r="F1485">
        <v>2628</v>
      </c>
      <c r="G14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5">
        <v>4.5518000000000001</v>
      </c>
      <c r="J1485" t="str">
        <f>IF(ISBLANK(Table13[[#This Row],[Rating]]), "No", "Yes")</f>
        <v>Yes</v>
      </c>
      <c r="K1485" t="str">
        <f>IF(ISBLANK(Table13[[#This Row],[Rating]]), "Not Rated", IF(Table13[[#This Row],[Rating]] &lt; 3, "Low", IF(Table13[[#This Row],[Rating]] &lt; 4, "Medium", "High")))</f>
        <v>High</v>
      </c>
      <c r="L1485">
        <v>926</v>
      </c>
      <c r="M1485">
        <v>50</v>
      </c>
      <c r="N1485" t="str">
        <f>IF(Table13[[#This Row],[Price USD]]&lt;20,"Budget",IF(Table13[[#This Row],[Price USD]]&lt;=50,"Mid-range","Premium"))</f>
        <v>Mid-range</v>
      </c>
      <c r="O1485">
        <v>0</v>
      </c>
      <c r="P1485">
        <v>0</v>
      </c>
    </row>
    <row r="1486" spans="1:16" x14ac:dyDescent="0.25">
      <c r="A1486" t="s">
        <v>4119</v>
      </c>
      <c r="B1486" t="s">
        <v>4120</v>
      </c>
      <c r="C1486">
        <v>5337</v>
      </c>
      <c r="D1486" t="s">
        <v>209</v>
      </c>
      <c r="E1486" t="s">
        <v>21</v>
      </c>
      <c r="F1486">
        <v>2632</v>
      </c>
      <c r="G14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6">
        <v>3.75</v>
      </c>
      <c r="J1486" t="str">
        <f>IF(ISBLANK(Table13[[#This Row],[Rating]]), "No", "Yes")</f>
        <v>Yes</v>
      </c>
      <c r="K1486" t="str">
        <f>IF(ISBLANK(Table13[[#This Row],[Rating]]), "Not Rated", IF(Table13[[#This Row],[Rating]] &lt; 3, "Low", IF(Table13[[#This Row],[Rating]] &lt; 4, "Medium", "High")))</f>
        <v>Medium</v>
      </c>
      <c r="L1486">
        <v>12</v>
      </c>
      <c r="M1486">
        <v>290</v>
      </c>
      <c r="N1486" t="str">
        <f>IF(Table13[[#This Row],[Price USD]]&lt;20,"Budget",IF(Table13[[#This Row],[Price USD]]&lt;=50,"Mid-range","Premium"))</f>
        <v>Premium</v>
      </c>
      <c r="O1486">
        <v>0</v>
      </c>
      <c r="P1486">
        <v>0</v>
      </c>
    </row>
    <row r="1487" spans="1:16" x14ac:dyDescent="0.25">
      <c r="A1487" t="s">
        <v>4117</v>
      </c>
      <c r="B1487" t="s">
        <v>4118</v>
      </c>
      <c r="C1487">
        <v>6272</v>
      </c>
      <c r="D1487" t="s">
        <v>1711</v>
      </c>
      <c r="E1487" t="s">
        <v>220</v>
      </c>
      <c r="F1487">
        <v>2634</v>
      </c>
      <c r="G14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7">
        <v>4.3333000000000004</v>
      </c>
      <c r="J1487" t="str">
        <f>IF(ISBLANK(Table13[[#This Row],[Rating]]), "No", "Yes")</f>
        <v>Yes</v>
      </c>
      <c r="K1487" t="str">
        <f>IF(ISBLANK(Table13[[#This Row],[Rating]]), "Not Rated", IF(Table13[[#This Row],[Rating]] &lt; 3, "Low", IF(Table13[[#This Row],[Rating]] &lt; 4, "Medium", "High")))</f>
        <v>High</v>
      </c>
      <c r="L1487">
        <v>6</v>
      </c>
      <c r="M1487">
        <v>199</v>
      </c>
      <c r="N1487" t="str">
        <f>IF(Table13[[#This Row],[Price USD]]&lt;20,"Budget",IF(Table13[[#This Row],[Price USD]]&lt;=50,"Mid-range","Premium"))</f>
        <v>Premium</v>
      </c>
      <c r="O1487">
        <v>0</v>
      </c>
      <c r="P1487">
        <v>0</v>
      </c>
    </row>
    <row r="1488" spans="1:16" x14ac:dyDescent="0.25">
      <c r="A1488" t="s">
        <v>4115</v>
      </c>
      <c r="B1488" t="s">
        <v>4116</v>
      </c>
      <c r="C1488">
        <v>5337</v>
      </c>
      <c r="D1488" t="s">
        <v>209</v>
      </c>
      <c r="E1488" t="s">
        <v>149</v>
      </c>
      <c r="F1488">
        <v>2649</v>
      </c>
      <c r="G14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8">
        <v>4</v>
      </c>
      <c r="J1488" t="str">
        <f>IF(ISBLANK(Table13[[#This Row],[Rating]]), "No", "Yes")</f>
        <v>Yes</v>
      </c>
      <c r="K1488" t="str">
        <f>IF(ISBLANK(Table13[[#This Row],[Rating]]), "Not Rated", IF(Table13[[#This Row],[Rating]] &lt; 3, "Low", IF(Table13[[#This Row],[Rating]] &lt; 4, "Medium", "High")))</f>
        <v>High</v>
      </c>
      <c r="L1488">
        <v>5</v>
      </c>
      <c r="M1488">
        <v>85</v>
      </c>
      <c r="N1488" t="str">
        <f>IF(Table13[[#This Row],[Price USD]]&lt;20,"Budget",IF(Table13[[#This Row],[Price USD]]&lt;=50,"Mid-range","Premium"))</f>
        <v>Premium</v>
      </c>
      <c r="O1488">
        <v>0</v>
      </c>
      <c r="P1488">
        <v>0</v>
      </c>
    </row>
    <row r="1489" spans="1:16" x14ac:dyDescent="0.25">
      <c r="A1489" t="s">
        <v>4113</v>
      </c>
      <c r="B1489" t="s">
        <v>4114</v>
      </c>
      <c r="C1489">
        <v>5946</v>
      </c>
      <c r="D1489" t="s">
        <v>341</v>
      </c>
      <c r="E1489" t="s">
        <v>8</v>
      </c>
      <c r="F1489">
        <v>2655</v>
      </c>
      <c r="G14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89">
        <v>4.6708999999999996</v>
      </c>
      <c r="J1489" t="str">
        <f>IF(ISBLANK(Table13[[#This Row],[Rating]]), "No", "Yes")</f>
        <v>Yes</v>
      </c>
      <c r="K1489" t="str">
        <f>IF(ISBLANK(Table13[[#This Row],[Rating]]), "Not Rated", IF(Table13[[#This Row],[Rating]] &lt; 3, "Low", IF(Table13[[#This Row],[Rating]] &lt; 4, "Medium", "High")))</f>
        <v>High</v>
      </c>
      <c r="L1489">
        <v>79</v>
      </c>
      <c r="M1489">
        <v>44</v>
      </c>
      <c r="N1489" t="str">
        <f>IF(Table13[[#This Row],[Price USD]]&lt;20,"Budget",IF(Table13[[#This Row],[Price USD]]&lt;=50,"Mid-range","Premium"))</f>
        <v>Mid-range</v>
      </c>
      <c r="O1489">
        <v>0</v>
      </c>
      <c r="P1489">
        <v>0</v>
      </c>
    </row>
    <row r="1490" spans="1:16" x14ac:dyDescent="0.25">
      <c r="A1490" t="s">
        <v>4111</v>
      </c>
      <c r="B1490" t="s">
        <v>4112</v>
      </c>
      <c r="C1490">
        <v>3733</v>
      </c>
      <c r="D1490" t="s">
        <v>124</v>
      </c>
      <c r="E1490" t="s">
        <v>144</v>
      </c>
      <c r="F1490">
        <v>2661</v>
      </c>
      <c r="G14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0">
        <v>4.0713999999999997</v>
      </c>
      <c r="J1490" t="str">
        <f>IF(ISBLANK(Table13[[#This Row],[Rating]]), "No", "Yes")</f>
        <v>Yes</v>
      </c>
      <c r="K1490" t="str">
        <f>IF(ISBLANK(Table13[[#This Row],[Rating]]), "Not Rated", IF(Table13[[#This Row],[Rating]] &lt; 3, "Low", IF(Table13[[#This Row],[Rating]] &lt; 4, "Medium", "High")))</f>
        <v>High</v>
      </c>
      <c r="L1490">
        <v>14</v>
      </c>
      <c r="M1490">
        <v>24</v>
      </c>
      <c r="N1490" t="str">
        <f>IF(Table13[[#This Row],[Price USD]]&lt;20,"Budget",IF(Table13[[#This Row],[Price USD]]&lt;=50,"Mid-range","Premium"))</f>
        <v>Mid-range</v>
      </c>
      <c r="O1490">
        <v>0</v>
      </c>
      <c r="P1490">
        <v>0</v>
      </c>
    </row>
    <row r="1491" spans="1:16" x14ac:dyDescent="0.25">
      <c r="A1491" t="s">
        <v>4109</v>
      </c>
      <c r="B1491" t="s">
        <v>4110</v>
      </c>
      <c r="C1491">
        <v>6272</v>
      </c>
      <c r="D1491" t="s">
        <v>1711</v>
      </c>
      <c r="E1491" t="s">
        <v>8</v>
      </c>
      <c r="F1491">
        <v>2668</v>
      </c>
      <c r="G14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1">
        <v>3.1667000000000001</v>
      </c>
      <c r="J1491" t="str">
        <f>IF(ISBLANK(Table13[[#This Row],[Rating]]), "No", "Yes")</f>
        <v>Yes</v>
      </c>
      <c r="K1491" t="str">
        <f>IF(ISBLANK(Table13[[#This Row],[Rating]]), "Not Rated", IF(Table13[[#This Row],[Rating]] &lt; 3, "Low", IF(Table13[[#This Row],[Rating]] &lt; 4, "Medium", "High")))</f>
        <v>Medium</v>
      </c>
      <c r="L1491">
        <v>12</v>
      </c>
      <c r="M1491">
        <v>85</v>
      </c>
      <c r="N1491" t="str">
        <f>IF(Table13[[#This Row],[Price USD]]&lt;20,"Budget",IF(Table13[[#This Row],[Price USD]]&lt;=50,"Mid-range","Premium"))</f>
        <v>Premium</v>
      </c>
      <c r="O1491">
        <v>0</v>
      </c>
      <c r="P1491">
        <v>0</v>
      </c>
    </row>
    <row r="1492" spans="1:16" x14ac:dyDescent="0.25">
      <c r="A1492" t="s">
        <v>4107</v>
      </c>
      <c r="B1492" t="s">
        <v>4108</v>
      </c>
      <c r="C1492">
        <v>1254</v>
      </c>
      <c r="D1492" t="s">
        <v>136</v>
      </c>
      <c r="E1492" t="s">
        <v>8</v>
      </c>
      <c r="F1492">
        <v>2689</v>
      </c>
      <c r="G14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2">
        <v>4.75</v>
      </c>
      <c r="J1492" t="str">
        <f>IF(ISBLANK(Table13[[#This Row],[Rating]]), "No", "Yes")</f>
        <v>Yes</v>
      </c>
      <c r="K1492" t="str">
        <f>IF(ISBLANK(Table13[[#This Row],[Rating]]), "Not Rated", IF(Table13[[#This Row],[Rating]] &lt; 3, "Low", IF(Table13[[#This Row],[Rating]] &lt; 4, "Medium", "High")))</f>
        <v>High</v>
      </c>
      <c r="L1492">
        <v>8</v>
      </c>
      <c r="M1492">
        <v>74</v>
      </c>
      <c r="N1492" t="str">
        <f>IF(Table13[[#This Row],[Price USD]]&lt;20,"Budget",IF(Table13[[#This Row],[Price USD]]&lt;=50,"Mid-range","Premium"))</f>
        <v>Premium</v>
      </c>
      <c r="O1492">
        <v>0</v>
      </c>
      <c r="P1492">
        <v>0</v>
      </c>
    </row>
    <row r="1493" spans="1:16" x14ac:dyDescent="0.25">
      <c r="A1493" t="s">
        <v>4105</v>
      </c>
      <c r="B1493" t="s">
        <v>4106</v>
      </c>
      <c r="C1493">
        <v>1073</v>
      </c>
      <c r="D1493" t="s">
        <v>767</v>
      </c>
      <c r="E1493" t="s">
        <v>21</v>
      </c>
      <c r="F1493">
        <v>2700</v>
      </c>
      <c r="G14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3">
        <v>4.5457000000000001</v>
      </c>
      <c r="J1493" t="str">
        <f>IF(ISBLANK(Table13[[#This Row],[Rating]]), "No", "Yes")</f>
        <v>Yes</v>
      </c>
      <c r="K1493" t="str">
        <f>IF(ISBLANK(Table13[[#This Row],[Rating]]), "Not Rated", IF(Table13[[#This Row],[Rating]] &lt; 3, "Low", IF(Table13[[#This Row],[Rating]] &lt; 4, "Medium", "High")))</f>
        <v>High</v>
      </c>
      <c r="L1493">
        <v>678</v>
      </c>
      <c r="M1493">
        <v>130</v>
      </c>
      <c r="N1493" t="str">
        <f>IF(Table13[[#This Row],[Price USD]]&lt;20,"Budget",IF(Table13[[#This Row],[Price USD]]&lt;=50,"Mid-range","Premium"))</f>
        <v>Premium</v>
      </c>
      <c r="O1493">
        <v>0</v>
      </c>
      <c r="P1493">
        <v>0</v>
      </c>
    </row>
    <row r="1494" spans="1:16" x14ac:dyDescent="0.25">
      <c r="A1494" t="s">
        <v>4103</v>
      </c>
      <c r="B1494" t="s">
        <v>4104</v>
      </c>
      <c r="C1494">
        <v>8017</v>
      </c>
      <c r="D1494" t="s">
        <v>620</v>
      </c>
      <c r="E1494" t="s">
        <v>220</v>
      </c>
      <c r="F1494">
        <v>2710</v>
      </c>
      <c r="G14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4">
        <v>2.5</v>
      </c>
      <c r="J1494" t="str">
        <f>IF(ISBLANK(Table13[[#This Row],[Rating]]), "No", "Yes")</f>
        <v>Yes</v>
      </c>
      <c r="K1494" t="str">
        <f>IF(ISBLANK(Table13[[#This Row],[Rating]]), "Not Rated", IF(Table13[[#This Row],[Rating]] &lt; 3, "Low", IF(Table13[[#This Row],[Rating]] &lt; 4, "Medium", "High")))</f>
        <v>Low</v>
      </c>
      <c r="L1494">
        <v>4</v>
      </c>
      <c r="M1494">
        <v>49</v>
      </c>
      <c r="N1494" t="str">
        <f>IF(Table13[[#This Row],[Price USD]]&lt;20,"Budget",IF(Table13[[#This Row],[Price USD]]&lt;=50,"Mid-range","Premium"))</f>
        <v>Mid-range</v>
      </c>
      <c r="O1494">
        <v>0</v>
      </c>
      <c r="P1494">
        <v>0</v>
      </c>
    </row>
    <row r="1495" spans="1:16" x14ac:dyDescent="0.25">
      <c r="A1495" t="s">
        <v>4101</v>
      </c>
      <c r="B1495" t="s">
        <v>4102</v>
      </c>
      <c r="C1495">
        <v>5337</v>
      </c>
      <c r="D1495" t="s">
        <v>209</v>
      </c>
      <c r="E1495" t="s">
        <v>13</v>
      </c>
      <c r="F1495">
        <v>2716</v>
      </c>
      <c r="G14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5">
        <v>4.0869999999999997</v>
      </c>
      <c r="J1495" t="str">
        <f>IF(ISBLANK(Table13[[#This Row],[Rating]]), "No", "Yes")</f>
        <v>Yes</v>
      </c>
      <c r="K1495" t="str">
        <f>IF(ISBLANK(Table13[[#This Row],[Rating]]), "Not Rated", IF(Table13[[#This Row],[Rating]] &lt; 3, "Low", IF(Table13[[#This Row],[Rating]] &lt; 4, "Medium", "High")))</f>
        <v>High</v>
      </c>
      <c r="L1495">
        <v>23</v>
      </c>
      <c r="M1495">
        <v>36</v>
      </c>
      <c r="N1495" t="str">
        <f>IF(Table13[[#This Row],[Price USD]]&lt;20,"Budget",IF(Table13[[#This Row],[Price USD]]&lt;=50,"Mid-range","Premium"))</f>
        <v>Mid-range</v>
      </c>
      <c r="O1495">
        <v>0</v>
      </c>
      <c r="P1495">
        <v>0</v>
      </c>
    </row>
    <row r="1496" spans="1:16" x14ac:dyDescent="0.25">
      <c r="A1496" t="s">
        <v>4099</v>
      </c>
      <c r="B1496" t="s">
        <v>4100</v>
      </c>
      <c r="C1496">
        <v>4372</v>
      </c>
      <c r="D1496" t="s">
        <v>1513</v>
      </c>
      <c r="E1496" t="s">
        <v>21</v>
      </c>
      <c r="F1496">
        <v>2722</v>
      </c>
      <c r="G14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6">
        <v>4.0114000000000001</v>
      </c>
      <c r="J1496" t="str">
        <f>IF(ISBLANK(Table13[[#This Row],[Rating]]), "No", "Yes")</f>
        <v>Yes</v>
      </c>
      <c r="K1496" t="str">
        <f>IF(ISBLANK(Table13[[#This Row],[Rating]]), "Not Rated", IF(Table13[[#This Row],[Rating]] &lt; 3, "Low", IF(Table13[[#This Row],[Rating]] &lt; 4, "Medium", "High")))</f>
        <v>High</v>
      </c>
      <c r="L1496">
        <v>88</v>
      </c>
      <c r="M1496">
        <v>132</v>
      </c>
      <c r="N1496" t="str">
        <f>IF(Table13[[#This Row],[Price USD]]&lt;20,"Budget",IF(Table13[[#This Row],[Price USD]]&lt;=50,"Mid-range","Premium"))</f>
        <v>Premium</v>
      </c>
      <c r="O1496">
        <v>0</v>
      </c>
      <c r="P1496">
        <v>0</v>
      </c>
    </row>
    <row r="1497" spans="1:16" x14ac:dyDescent="0.25">
      <c r="A1497" t="s">
        <v>4097</v>
      </c>
      <c r="B1497" t="s">
        <v>4098</v>
      </c>
      <c r="C1497">
        <v>5946</v>
      </c>
      <c r="D1497" t="s">
        <v>341</v>
      </c>
      <c r="E1497" t="s">
        <v>8</v>
      </c>
      <c r="F1497">
        <v>2724</v>
      </c>
      <c r="G14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7">
        <v>4.8765000000000001</v>
      </c>
      <c r="J1497" t="str">
        <f>IF(ISBLANK(Table13[[#This Row],[Rating]]), "No", "Yes")</f>
        <v>Yes</v>
      </c>
      <c r="K1497" t="str">
        <f>IF(ISBLANK(Table13[[#This Row],[Rating]]), "Not Rated", IF(Table13[[#This Row],[Rating]] &lt; 3, "Low", IF(Table13[[#This Row],[Rating]] &lt; 4, "Medium", "High")))</f>
        <v>High</v>
      </c>
      <c r="L1497">
        <v>81</v>
      </c>
      <c r="M1497">
        <v>110</v>
      </c>
      <c r="N1497" t="str">
        <f>IF(Table13[[#This Row],[Price USD]]&lt;20,"Budget",IF(Table13[[#This Row],[Price USD]]&lt;=50,"Mid-range","Premium"))</f>
        <v>Premium</v>
      </c>
      <c r="O1497">
        <v>0</v>
      </c>
      <c r="P1497">
        <v>0</v>
      </c>
    </row>
    <row r="1498" spans="1:16" x14ac:dyDescent="0.25">
      <c r="A1498" t="s">
        <v>4095</v>
      </c>
      <c r="B1498" t="s">
        <v>4096</v>
      </c>
      <c r="C1498">
        <v>6302</v>
      </c>
      <c r="D1498" t="s">
        <v>2721</v>
      </c>
      <c r="E1498" t="s">
        <v>8</v>
      </c>
      <c r="F1498">
        <v>2729</v>
      </c>
      <c r="G14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8">
        <v>4.125</v>
      </c>
      <c r="J1498" t="str">
        <f>IF(ISBLANK(Table13[[#This Row],[Rating]]), "No", "Yes")</f>
        <v>Yes</v>
      </c>
      <c r="K1498" t="str">
        <f>IF(ISBLANK(Table13[[#This Row],[Rating]]), "Not Rated", IF(Table13[[#This Row],[Rating]] &lt; 3, "Low", IF(Table13[[#This Row],[Rating]] &lt; 4, "Medium", "High")))</f>
        <v>High</v>
      </c>
      <c r="L1498">
        <v>8</v>
      </c>
      <c r="M1498">
        <v>55</v>
      </c>
      <c r="N1498" t="str">
        <f>IF(Table13[[#This Row],[Price USD]]&lt;20,"Budget",IF(Table13[[#This Row],[Price USD]]&lt;=50,"Mid-range","Premium"))</f>
        <v>Premium</v>
      </c>
      <c r="O1498">
        <v>0</v>
      </c>
      <c r="P1498">
        <v>0</v>
      </c>
    </row>
    <row r="1499" spans="1:16" x14ac:dyDescent="0.25">
      <c r="A1499" t="s">
        <v>4093</v>
      </c>
      <c r="B1499" t="s">
        <v>4094</v>
      </c>
      <c r="C1499">
        <v>6309</v>
      </c>
      <c r="D1499" t="s">
        <v>1735</v>
      </c>
      <c r="E1499" t="s">
        <v>149</v>
      </c>
      <c r="F1499">
        <v>2741</v>
      </c>
      <c r="G14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4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499">
        <v>4.2026000000000003</v>
      </c>
      <c r="J1499" t="str">
        <f>IF(ISBLANK(Table13[[#This Row],[Rating]]), "No", "Yes")</f>
        <v>Yes</v>
      </c>
      <c r="K1499" t="str">
        <f>IF(ISBLANK(Table13[[#This Row],[Rating]]), "Not Rated", IF(Table13[[#This Row],[Rating]] &lt; 3, "Low", IF(Table13[[#This Row],[Rating]] &lt; 4, "Medium", "High")))</f>
        <v>High</v>
      </c>
      <c r="L1499">
        <v>627</v>
      </c>
      <c r="M1499">
        <v>55</v>
      </c>
      <c r="N1499" t="str">
        <f>IF(Table13[[#This Row],[Price USD]]&lt;20,"Budget",IF(Table13[[#This Row],[Price USD]]&lt;=50,"Mid-range","Premium"))</f>
        <v>Premium</v>
      </c>
      <c r="O1499">
        <v>0</v>
      </c>
      <c r="P1499">
        <v>0</v>
      </c>
    </row>
    <row r="1500" spans="1:16" x14ac:dyDescent="0.25">
      <c r="A1500" t="s">
        <v>4091</v>
      </c>
      <c r="B1500" t="s">
        <v>4092</v>
      </c>
      <c r="C1500">
        <v>6089</v>
      </c>
      <c r="D1500" t="s">
        <v>605</v>
      </c>
      <c r="E1500" t="s">
        <v>13</v>
      </c>
      <c r="F1500">
        <v>2742</v>
      </c>
      <c r="G15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0">
        <v>3.9230999999999998</v>
      </c>
      <c r="J1500" t="str">
        <f>IF(ISBLANK(Table13[[#This Row],[Rating]]), "No", "Yes")</f>
        <v>Yes</v>
      </c>
      <c r="K1500" t="str">
        <f>IF(ISBLANK(Table13[[#This Row],[Rating]]), "Not Rated", IF(Table13[[#This Row],[Rating]] &lt; 3, "Low", IF(Table13[[#This Row],[Rating]] &lt; 4, "Medium", "High")))</f>
        <v>Medium</v>
      </c>
      <c r="L1500">
        <v>26</v>
      </c>
      <c r="M1500">
        <v>33</v>
      </c>
      <c r="N1500" t="str">
        <f>IF(Table13[[#This Row],[Price USD]]&lt;20,"Budget",IF(Table13[[#This Row],[Price USD]]&lt;=50,"Mid-range","Premium"))</f>
        <v>Mid-range</v>
      </c>
      <c r="O1500">
        <v>0</v>
      </c>
      <c r="P1500">
        <v>0</v>
      </c>
    </row>
    <row r="1501" spans="1:16" x14ac:dyDescent="0.25">
      <c r="A1501" t="s">
        <v>4089</v>
      </c>
      <c r="B1501" t="s">
        <v>4090</v>
      </c>
      <c r="C1501">
        <v>6373</v>
      </c>
      <c r="D1501" t="s">
        <v>1652</v>
      </c>
      <c r="E1501" t="s">
        <v>13</v>
      </c>
      <c r="F1501">
        <v>2757</v>
      </c>
      <c r="G15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1">
        <v>4.1342999999999996</v>
      </c>
      <c r="J1501" t="str">
        <f>IF(ISBLANK(Table13[[#This Row],[Rating]]), "No", "Yes")</f>
        <v>Yes</v>
      </c>
      <c r="K1501" t="str">
        <f>IF(ISBLANK(Table13[[#This Row],[Rating]]), "Not Rated", IF(Table13[[#This Row],[Rating]] &lt; 3, "Low", IF(Table13[[#This Row],[Rating]] &lt; 4, "Medium", "High")))</f>
        <v>High</v>
      </c>
      <c r="L1501">
        <v>67</v>
      </c>
      <c r="M1501">
        <v>46</v>
      </c>
      <c r="N1501" t="str">
        <f>IF(Table13[[#This Row],[Price USD]]&lt;20,"Budget",IF(Table13[[#This Row],[Price USD]]&lt;=50,"Mid-range","Premium"))</f>
        <v>Mid-range</v>
      </c>
      <c r="O1501">
        <v>0</v>
      </c>
      <c r="P1501">
        <v>0</v>
      </c>
    </row>
    <row r="1502" spans="1:16" x14ac:dyDescent="0.25">
      <c r="A1502" t="s">
        <v>4087</v>
      </c>
      <c r="B1502" t="s">
        <v>4088</v>
      </c>
      <c r="C1502">
        <v>7037</v>
      </c>
      <c r="D1502" t="s">
        <v>1718</v>
      </c>
      <c r="E1502" t="s">
        <v>347</v>
      </c>
      <c r="F1502">
        <v>2761</v>
      </c>
      <c r="G15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2">
        <v>4.8113000000000001</v>
      </c>
      <c r="J1502" t="str">
        <f>IF(ISBLANK(Table13[[#This Row],[Rating]]), "No", "Yes")</f>
        <v>Yes</v>
      </c>
      <c r="K1502" t="str">
        <f>IF(ISBLANK(Table13[[#This Row],[Rating]]), "Not Rated", IF(Table13[[#This Row],[Rating]] &lt; 3, "Low", IF(Table13[[#This Row],[Rating]] &lt; 4, "Medium", "High")))</f>
        <v>High</v>
      </c>
      <c r="L1502">
        <v>53</v>
      </c>
      <c r="M1502">
        <v>129</v>
      </c>
      <c r="N1502" t="str">
        <f>IF(Table13[[#This Row],[Price USD]]&lt;20,"Budget",IF(Table13[[#This Row],[Price USD]]&lt;=50,"Mid-range","Premium"))</f>
        <v>Premium</v>
      </c>
      <c r="O1502">
        <v>0</v>
      </c>
      <c r="P1502">
        <v>0</v>
      </c>
    </row>
    <row r="1503" spans="1:16" x14ac:dyDescent="0.25">
      <c r="A1503" t="s">
        <v>4085</v>
      </c>
      <c r="B1503" t="s">
        <v>4086</v>
      </c>
      <c r="C1503">
        <v>5857</v>
      </c>
      <c r="D1503" t="s">
        <v>433</v>
      </c>
      <c r="E1503" t="s">
        <v>13</v>
      </c>
      <c r="F1503">
        <v>2764</v>
      </c>
      <c r="G15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3">
        <v>4.3208000000000002</v>
      </c>
      <c r="J1503" t="str">
        <f>IF(ISBLANK(Table13[[#This Row],[Rating]]), "No", "Yes")</f>
        <v>Yes</v>
      </c>
      <c r="K1503" t="str">
        <f>IF(ISBLANK(Table13[[#This Row],[Rating]]), "Not Rated", IF(Table13[[#This Row],[Rating]] &lt; 3, "Low", IF(Table13[[#This Row],[Rating]] &lt; 4, "Medium", "High")))</f>
        <v>High</v>
      </c>
      <c r="L1503">
        <v>159</v>
      </c>
      <c r="M1503">
        <v>38</v>
      </c>
      <c r="N1503" t="str">
        <f>IF(Table13[[#This Row],[Price USD]]&lt;20,"Budget",IF(Table13[[#This Row],[Price USD]]&lt;=50,"Mid-range","Premium"))</f>
        <v>Mid-range</v>
      </c>
      <c r="O1503">
        <v>0</v>
      </c>
      <c r="P1503">
        <v>0</v>
      </c>
    </row>
    <row r="1504" spans="1:16" x14ac:dyDescent="0.25">
      <c r="A1504" t="s">
        <v>4083</v>
      </c>
      <c r="B1504" t="s">
        <v>4084</v>
      </c>
      <c r="C1504">
        <v>8017</v>
      </c>
      <c r="D1504" t="s">
        <v>620</v>
      </c>
      <c r="E1504" t="s">
        <v>220</v>
      </c>
      <c r="F1504">
        <v>2768</v>
      </c>
      <c r="G15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4">
        <v>4.5</v>
      </c>
      <c r="J1504" t="str">
        <f>IF(ISBLANK(Table13[[#This Row],[Rating]]), "No", "Yes")</f>
        <v>Yes</v>
      </c>
      <c r="K1504" t="str">
        <f>IF(ISBLANK(Table13[[#This Row],[Rating]]), "Not Rated", IF(Table13[[#This Row],[Rating]] &lt; 3, "Low", IF(Table13[[#This Row],[Rating]] &lt; 4, "Medium", "High")))</f>
        <v>High</v>
      </c>
      <c r="L1504">
        <v>2</v>
      </c>
      <c r="M1504">
        <v>20</v>
      </c>
      <c r="N1504" t="str">
        <f>IF(Table13[[#This Row],[Price USD]]&lt;20,"Budget",IF(Table13[[#This Row],[Price USD]]&lt;=50,"Mid-range","Premium"))</f>
        <v>Mid-range</v>
      </c>
      <c r="O1504">
        <v>0</v>
      </c>
      <c r="P1504">
        <v>1</v>
      </c>
    </row>
    <row r="1505" spans="1:16" x14ac:dyDescent="0.25">
      <c r="A1505" t="s">
        <v>4081</v>
      </c>
      <c r="B1505" t="s">
        <v>4082</v>
      </c>
      <c r="C1505">
        <v>7091</v>
      </c>
      <c r="D1505" t="s">
        <v>879</v>
      </c>
      <c r="E1505" t="s">
        <v>49</v>
      </c>
      <c r="F1505">
        <v>2772</v>
      </c>
      <c r="G15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5">
        <v>5</v>
      </c>
      <c r="J1505" t="str">
        <f>IF(ISBLANK(Table13[[#This Row],[Rating]]), "No", "Yes")</f>
        <v>Yes</v>
      </c>
      <c r="K1505" t="str">
        <f>IF(ISBLANK(Table13[[#This Row],[Rating]]), "Not Rated", IF(Table13[[#This Row],[Rating]] &lt; 3, "Low", IF(Table13[[#This Row],[Rating]] &lt; 4, "Medium", "High")))</f>
        <v>High</v>
      </c>
      <c r="L1505">
        <v>4</v>
      </c>
      <c r="M1505">
        <v>32</v>
      </c>
      <c r="N1505" t="str">
        <f>IF(Table13[[#This Row],[Price USD]]&lt;20,"Budget",IF(Table13[[#This Row],[Price USD]]&lt;=50,"Mid-range","Premium"))</f>
        <v>Mid-range</v>
      </c>
      <c r="O1505">
        <v>0</v>
      </c>
      <c r="P1505">
        <v>0</v>
      </c>
    </row>
    <row r="1506" spans="1:16" x14ac:dyDescent="0.25">
      <c r="A1506" t="s">
        <v>4080</v>
      </c>
      <c r="B1506" t="s">
        <v>3015</v>
      </c>
      <c r="C1506">
        <v>6318</v>
      </c>
      <c r="D1506" t="s">
        <v>2040</v>
      </c>
      <c r="E1506" t="s">
        <v>8</v>
      </c>
      <c r="F1506">
        <v>2777</v>
      </c>
      <c r="G15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6">
        <v>4.7850000000000001</v>
      </c>
      <c r="J1506" t="str">
        <f>IF(ISBLANK(Table13[[#This Row],[Rating]]), "No", "Yes")</f>
        <v>Yes</v>
      </c>
      <c r="K1506" t="str">
        <f>IF(ISBLANK(Table13[[#This Row],[Rating]]), "Not Rated", IF(Table13[[#This Row],[Rating]] &lt; 3, "Low", IF(Table13[[#This Row],[Rating]] &lt; 4, "Medium", "High")))</f>
        <v>High</v>
      </c>
      <c r="L1506">
        <v>321</v>
      </c>
      <c r="M1506">
        <v>245</v>
      </c>
      <c r="N1506" t="str">
        <f>IF(Table13[[#This Row],[Price USD]]&lt;20,"Budget",IF(Table13[[#This Row],[Price USD]]&lt;=50,"Mid-range","Premium"))</f>
        <v>Premium</v>
      </c>
      <c r="O1506">
        <v>0</v>
      </c>
      <c r="P1506">
        <v>0</v>
      </c>
    </row>
    <row r="1507" spans="1:16" x14ac:dyDescent="0.25">
      <c r="A1507" t="s">
        <v>4078</v>
      </c>
      <c r="B1507" t="s">
        <v>4079</v>
      </c>
      <c r="C1507">
        <v>6371</v>
      </c>
      <c r="D1507" t="s">
        <v>2583</v>
      </c>
      <c r="E1507" t="s">
        <v>149</v>
      </c>
      <c r="F1507">
        <v>2784</v>
      </c>
      <c r="G15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7">
        <v>4.4301000000000004</v>
      </c>
      <c r="J1507" t="str">
        <f>IF(ISBLANK(Table13[[#This Row],[Rating]]), "No", "Yes")</f>
        <v>Yes</v>
      </c>
      <c r="K1507" t="str">
        <f>IF(ISBLANK(Table13[[#This Row],[Rating]]), "Not Rated", IF(Table13[[#This Row],[Rating]] &lt; 3, "Low", IF(Table13[[#This Row],[Rating]] &lt; 4, "Medium", "High")))</f>
        <v>High</v>
      </c>
      <c r="L1507">
        <v>365</v>
      </c>
      <c r="M1507">
        <v>30</v>
      </c>
      <c r="N1507" t="str">
        <f>IF(Table13[[#This Row],[Price USD]]&lt;20,"Budget",IF(Table13[[#This Row],[Price USD]]&lt;=50,"Mid-range","Premium"))</f>
        <v>Mid-range</v>
      </c>
      <c r="O1507">
        <v>0</v>
      </c>
      <c r="P1507">
        <v>1</v>
      </c>
    </row>
    <row r="1508" spans="1:16" x14ac:dyDescent="0.25">
      <c r="A1508" t="s">
        <v>4077</v>
      </c>
      <c r="B1508" t="s">
        <v>1848</v>
      </c>
      <c r="C1508">
        <v>6073</v>
      </c>
      <c r="D1508" t="s">
        <v>78</v>
      </c>
      <c r="E1508" t="s">
        <v>21</v>
      </c>
      <c r="F1508">
        <v>2817</v>
      </c>
      <c r="G15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8">
        <v>4.6660000000000004</v>
      </c>
      <c r="J1508" t="str">
        <f>IF(ISBLANK(Table13[[#This Row],[Rating]]), "No", "Yes")</f>
        <v>Yes</v>
      </c>
      <c r="K1508" t="str">
        <f>IF(ISBLANK(Table13[[#This Row],[Rating]]), "Not Rated", IF(Table13[[#This Row],[Rating]] &lt; 3, "Low", IF(Table13[[#This Row],[Rating]] &lt; 4, "Medium", "High")))</f>
        <v>High</v>
      </c>
      <c r="L1508">
        <v>527</v>
      </c>
      <c r="M1508">
        <v>22</v>
      </c>
      <c r="N1508" t="str">
        <f>IF(Table13[[#This Row],[Price USD]]&lt;20,"Budget",IF(Table13[[#This Row],[Price USD]]&lt;=50,"Mid-range","Premium"))</f>
        <v>Mid-range</v>
      </c>
      <c r="O1508">
        <v>1</v>
      </c>
      <c r="P1508">
        <v>0</v>
      </c>
    </row>
    <row r="1509" spans="1:16" x14ac:dyDescent="0.25">
      <c r="A1509" t="s">
        <v>4075</v>
      </c>
      <c r="B1509" t="s">
        <v>4076</v>
      </c>
      <c r="C1509">
        <v>6358</v>
      </c>
      <c r="D1509" t="s">
        <v>2301</v>
      </c>
      <c r="E1509" t="s">
        <v>220</v>
      </c>
      <c r="F1509">
        <v>2820</v>
      </c>
      <c r="G15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09">
        <v>4.68</v>
      </c>
      <c r="J1509" t="str">
        <f>IF(ISBLANK(Table13[[#This Row],[Rating]]), "No", "Yes")</f>
        <v>Yes</v>
      </c>
      <c r="K1509" t="str">
        <f>IF(ISBLANK(Table13[[#This Row],[Rating]]), "Not Rated", IF(Table13[[#This Row],[Rating]] &lt; 3, "Low", IF(Table13[[#This Row],[Rating]] &lt; 4, "Medium", "High")))</f>
        <v>High</v>
      </c>
      <c r="L1509">
        <v>25</v>
      </c>
      <c r="M1509">
        <v>79</v>
      </c>
      <c r="N1509" t="str">
        <f>IF(Table13[[#This Row],[Price USD]]&lt;20,"Budget",IF(Table13[[#This Row],[Price USD]]&lt;=50,"Mid-range","Premium"))</f>
        <v>Premium</v>
      </c>
      <c r="O1509">
        <v>0</v>
      </c>
      <c r="P1509">
        <v>0</v>
      </c>
    </row>
    <row r="1510" spans="1:16" x14ac:dyDescent="0.25">
      <c r="A1510" t="s">
        <v>4073</v>
      </c>
      <c r="B1510" t="s">
        <v>4074</v>
      </c>
      <c r="C1510">
        <v>6219</v>
      </c>
      <c r="D1510" t="s">
        <v>277</v>
      </c>
      <c r="E1510" t="s">
        <v>8</v>
      </c>
      <c r="F1510">
        <v>2823</v>
      </c>
      <c r="G15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0">
        <v>4.3311000000000002</v>
      </c>
      <c r="J1510" t="str">
        <f>IF(ISBLANK(Table13[[#This Row],[Rating]]), "No", "Yes")</f>
        <v>Yes</v>
      </c>
      <c r="K1510" t="str">
        <f>IF(ISBLANK(Table13[[#This Row],[Rating]]), "Not Rated", IF(Table13[[#This Row],[Rating]] &lt; 3, "Low", IF(Table13[[#This Row],[Rating]] &lt; 4, "Medium", "High")))</f>
        <v>High</v>
      </c>
      <c r="L1510">
        <v>148</v>
      </c>
      <c r="M1510">
        <v>155</v>
      </c>
      <c r="N1510" t="str">
        <f>IF(Table13[[#This Row],[Price USD]]&lt;20,"Budget",IF(Table13[[#This Row],[Price USD]]&lt;=50,"Mid-range","Premium"))</f>
        <v>Premium</v>
      </c>
      <c r="O1510">
        <v>0</v>
      </c>
      <c r="P1510">
        <v>0</v>
      </c>
    </row>
    <row r="1511" spans="1:16" x14ac:dyDescent="0.25">
      <c r="A1511" t="s">
        <v>4071</v>
      </c>
      <c r="B1511" t="s">
        <v>4072</v>
      </c>
      <c r="C1511">
        <v>6358</v>
      </c>
      <c r="D1511" t="s">
        <v>2301</v>
      </c>
      <c r="E1511" t="s">
        <v>21</v>
      </c>
      <c r="F1511">
        <v>2824</v>
      </c>
      <c r="G15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1">
        <v>4.7708000000000004</v>
      </c>
      <c r="J1511" t="str">
        <f>IF(ISBLANK(Table13[[#This Row],[Rating]]), "No", "Yes")</f>
        <v>Yes</v>
      </c>
      <c r="K1511" t="str">
        <f>IF(ISBLANK(Table13[[#This Row],[Rating]]), "Not Rated", IF(Table13[[#This Row],[Rating]] &lt; 3, "Low", IF(Table13[[#This Row],[Rating]] &lt; 4, "Medium", "High")))</f>
        <v>High</v>
      </c>
      <c r="L1511">
        <v>48</v>
      </c>
      <c r="M1511">
        <v>99</v>
      </c>
      <c r="N1511" t="str">
        <f>IF(Table13[[#This Row],[Price USD]]&lt;20,"Budget",IF(Table13[[#This Row],[Price USD]]&lt;=50,"Mid-range","Premium"))</f>
        <v>Premium</v>
      </c>
      <c r="O1511">
        <v>0</v>
      </c>
      <c r="P1511">
        <v>0</v>
      </c>
    </row>
    <row r="1512" spans="1:16" x14ac:dyDescent="0.25">
      <c r="A1512" t="s">
        <v>4069</v>
      </c>
      <c r="B1512" t="s">
        <v>4070</v>
      </c>
      <c r="C1512">
        <v>7020</v>
      </c>
      <c r="D1512" t="s">
        <v>657</v>
      </c>
      <c r="E1512" t="s">
        <v>21</v>
      </c>
      <c r="F1512">
        <v>2825</v>
      </c>
      <c r="G15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2">
        <v>4.1429</v>
      </c>
      <c r="J1512" t="str">
        <f>IF(ISBLANK(Table13[[#This Row],[Rating]]), "No", "Yes")</f>
        <v>Yes</v>
      </c>
      <c r="K1512" t="str">
        <f>IF(ISBLANK(Table13[[#This Row],[Rating]]), "Not Rated", IF(Table13[[#This Row],[Rating]] &lt; 3, "Low", IF(Table13[[#This Row],[Rating]] &lt; 4, "Medium", "High")))</f>
        <v>High</v>
      </c>
      <c r="L1512">
        <v>21</v>
      </c>
      <c r="M1512">
        <v>230</v>
      </c>
      <c r="N1512" t="str">
        <f>IF(Table13[[#This Row],[Price USD]]&lt;20,"Budget",IF(Table13[[#This Row],[Price USD]]&lt;=50,"Mid-range","Premium"))</f>
        <v>Premium</v>
      </c>
      <c r="O1512">
        <v>0</v>
      </c>
      <c r="P1512">
        <v>0</v>
      </c>
    </row>
    <row r="1513" spans="1:16" x14ac:dyDescent="0.25">
      <c r="A1513" t="s">
        <v>4067</v>
      </c>
      <c r="B1513" t="s">
        <v>4068</v>
      </c>
      <c r="C1513">
        <v>6329</v>
      </c>
      <c r="D1513" t="s">
        <v>3435</v>
      </c>
      <c r="E1513" t="s">
        <v>8</v>
      </c>
      <c r="F1513">
        <v>2833</v>
      </c>
      <c r="G15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3">
        <v>4.6376999999999997</v>
      </c>
      <c r="J1513" t="str">
        <f>IF(ISBLANK(Table13[[#This Row],[Rating]]), "No", "Yes")</f>
        <v>Yes</v>
      </c>
      <c r="K1513" t="str">
        <f>IF(ISBLANK(Table13[[#This Row],[Rating]]), "Not Rated", IF(Table13[[#This Row],[Rating]] &lt; 3, "Low", IF(Table13[[#This Row],[Rating]] &lt; 4, "Medium", "High")))</f>
        <v>High</v>
      </c>
      <c r="L1513">
        <v>69</v>
      </c>
      <c r="M1513">
        <v>68</v>
      </c>
      <c r="N1513" t="str">
        <f>IF(Table13[[#This Row],[Price USD]]&lt;20,"Budget",IF(Table13[[#This Row],[Price USD]]&lt;=50,"Mid-range","Premium"))</f>
        <v>Premium</v>
      </c>
      <c r="O1513">
        <v>0</v>
      </c>
      <c r="P1513">
        <v>0</v>
      </c>
    </row>
    <row r="1514" spans="1:16" x14ac:dyDescent="0.25">
      <c r="A1514" t="s">
        <v>4065</v>
      </c>
      <c r="B1514" t="s">
        <v>4066</v>
      </c>
      <c r="C1514">
        <v>3902</v>
      </c>
      <c r="D1514" t="s">
        <v>72</v>
      </c>
      <c r="E1514" t="s">
        <v>201</v>
      </c>
      <c r="F1514">
        <v>2842</v>
      </c>
      <c r="G15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4">
        <v>5</v>
      </c>
      <c r="J1514" t="str">
        <f>IF(ISBLANK(Table13[[#This Row],[Rating]]), "No", "Yes")</f>
        <v>Yes</v>
      </c>
      <c r="K1514" t="str">
        <f>IF(ISBLANK(Table13[[#This Row],[Rating]]), "Not Rated", IF(Table13[[#This Row],[Rating]] &lt; 3, "Low", IF(Table13[[#This Row],[Rating]] &lt; 4, "Medium", "High")))</f>
        <v>High</v>
      </c>
      <c r="L1514">
        <v>2</v>
      </c>
      <c r="M1514">
        <v>18</v>
      </c>
      <c r="N1514" t="str">
        <f>IF(Table13[[#This Row],[Price USD]]&lt;20,"Budget",IF(Table13[[#This Row],[Price USD]]&lt;=50,"Mid-range","Premium"))</f>
        <v>Budget</v>
      </c>
      <c r="O1514">
        <v>1</v>
      </c>
      <c r="P1514">
        <v>0</v>
      </c>
    </row>
    <row r="1515" spans="1:16" x14ac:dyDescent="0.25">
      <c r="A1515" t="s">
        <v>4063</v>
      </c>
      <c r="B1515" t="s">
        <v>4064</v>
      </c>
      <c r="C1515">
        <v>8012</v>
      </c>
      <c r="D1515" t="s">
        <v>2864</v>
      </c>
      <c r="E1515" t="s">
        <v>8</v>
      </c>
      <c r="F1515">
        <v>2843</v>
      </c>
      <c r="G15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5">
        <v>4.6704999999999997</v>
      </c>
      <c r="J1515" t="str">
        <f>IF(ISBLANK(Table13[[#This Row],[Rating]]), "No", "Yes")</f>
        <v>Yes</v>
      </c>
      <c r="K1515" t="str">
        <f>IF(ISBLANK(Table13[[#This Row],[Rating]]), "Not Rated", IF(Table13[[#This Row],[Rating]] &lt; 3, "Low", IF(Table13[[#This Row],[Rating]] &lt; 4, "Medium", "High")))</f>
        <v>High</v>
      </c>
      <c r="L1515">
        <v>88</v>
      </c>
      <c r="M1515">
        <v>39</v>
      </c>
      <c r="N1515" t="str">
        <f>IF(Table13[[#This Row],[Price USD]]&lt;20,"Budget",IF(Table13[[#This Row],[Price USD]]&lt;=50,"Mid-range","Premium"))</f>
        <v>Mid-range</v>
      </c>
      <c r="O1515">
        <v>0</v>
      </c>
      <c r="P1515">
        <v>0</v>
      </c>
    </row>
    <row r="1516" spans="1:16" x14ac:dyDescent="0.25">
      <c r="A1516" t="s">
        <v>4061</v>
      </c>
      <c r="B1516" t="s">
        <v>4062</v>
      </c>
      <c r="C1516">
        <v>5626</v>
      </c>
      <c r="D1516" t="s">
        <v>1069</v>
      </c>
      <c r="E1516" t="s">
        <v>106</v>
      </c>
      <c r="F1516">
        <v>2845</v>
      </c>
      <c r="G15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6">
        <v>3.4782999999999999</v>
      </c>
      <c r="J1516" t="str">
        <f>IF(ISBLANK(Table13[[#This Row],[Rating]]), "No", "Yes")</f>
        <v>Yes</v>
      </c>
      <c r="K1516" t="str">
        <f>IF(ISBLANK(Table13[[#This Row],[Rating]]), "Not Rated", IF(Table13[[#This Row],[Rating]] &lt; 3, "Low", IF(Table13[[#This Row],[Rating]] &lt; 4, "Medium", "High")))</f>
        <v>Medium</v>
      </c>
      <c r="L1516">
        <v>23</v>
      </c>
      <c r="M1516">
        <v>46</v>
      </c>
      <c r="N1516" t="str">
        <f>IF(Table13[[#This Row],[Price USD]]&lt;20,"Budget",IF(Table13[[#This Row],[Price USD]]&lt;=50,"Mid-range","Premium"))</f>
        <v>Mid-range</v>
      </c>
      <c r="O1516">
        <v>0</v>
      </c>
      <c r="P1516">
        <v>0</v>
      </c>
    </row>
    <row r="1517" spans="1:16" x14ac:dyDescent="0.25">
      <c r="A1517" t="s">
        <v>4059</v>
      </c>
      <c r="B1517" t="s">
        <v>4060</v>
      </c>
      <c r="C1517">
        <v>6329</v>
      </c>
      <c r="D1517" t="s">
        <v>3435</v>
      </c>
      <c r="E1517" t="s">
        <v>347</v>
      </c>
      <c r="F1517">
        <v>2856</v>
      </c>
      <c r="G15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7">
        <v>4.5208000000000004</v>
      </c>
      <c r="J1517" t="str">
        <f>IF(ISBLANK(Table13[[#This Row],[Rating]]), "No", "Yes")</f>
        <v>Yes</v>
      </c>
      <c r="K1517" t="str">
        <f>IF(ISBLANK(Table13[[#This Row],[Rating]]), "Not Rated", IF(Table13[[#This Row],[Rating]] &lt; 3, "Low", IF(Table13[[#This Row],[Rating]] &lt; 4, "Medium", "High")))</f>
        <v>High</v>
      </c>
      <c r="L1517">
        <v>48</v>
      </c>
      <c r="M1517">
        <v>35</v>
      </c>
      <c r="N1517" t="str">
        <f>IF(Table13[[#This Row],[Price USD]]&lt;20,"Budget",IF(Table13[[#This Row],[Price USD]]&lt;=50,"Mid-range","Premium"))</f>
        <v>Mid-range</v>
      </c>
      <c r="O1517">
        <v>0</v>
      </c>
      <c r="P1517">
        <v>0</v>
      </c>
    </row>
    <row r="1518" spans="1:16" x14ac:dyDescent="0.25">
      <c r="A1518" t="s">
        <v>4057</v>
      </c>
      <c r="B1518" t="s">
        <v>4058</v>
      </c>
      <c r="C1518">
        <v>6334</v>
      </c>
      <c r="D1518" t="s">
        <v>2819</v>
      </c>
      <c r="E1518" t="s">
        <v>8</v>
      </c>
      <c r="F1518">
        <v>2860</v>
      </c>
      <c r="G15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8">
        <v>4.5019</v>
      </c>
      <c r="J1518" t="str">
        <f>IF(ISBLANK(Table13[[#This Row],[Rating]]), "No", "Yes")</f>
        <v>Yes</v>
      </c>
      <c r="K1518" t="str">
        <f>IF(ISBLANK(Table13[[#This Row],[Rating]]), "Not Rated", IF(Table13[[#This Row],[Rating]] &lt; 3, "Low", IF(Table13[[#This Row],[Rating]] &lt; 4, "Medium", "High")))</f>
        <v>High</v>
      </c>
      <c r="L1518">
        <v>267</v>
      </c>
      <c r="M1518">
        <v>72</v>
      </c>
      <c r="N1518" t="str">
        <f>IF(Table13[[#This Row],[Price USD]]&lt;20,"Budget",IF(Table13[[#This Row],[Price USD]]&lt;=50,"Mid-range","Premium"))</f>
        <v>Premium</v>
      </c>
      <c r="O1518">
        <v>0</v>
      </c>
      <c r="P1518">
        <v>0</v>
      </c>
    </row>
    <row r="1519" spans="1:16" x14ac:dyDescent="0.25">
      <c r="A1519" t="s">
        <v>4055</v>
      </c>
      <c r="B1519" t="s">
        <v>4056</v>
      </c>
      <c r="C1519">
        <v>8017</v>
      </c>
      <c r="D1519" t="s">
        <v>620</v>
      </c>
      <c r="E1519" t="s">
        <v>13</v>
      </c>
      <c r="F1519">
        <v>2867</v>
      </c>
      <c r="G15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19">
        <v>4</v>
      </c>
      <c r="J1519" t="str">
        <f>IF(ISBLANK(Table13[[#This Row],[Rating]]), "No", "Yes")</f>
        <v>Yes</v>
      </c>
      <c r="K1519" t="str">
        <f>IF(ISBLANK(Table13[[#This Row],[Rating]]), "Not Rated", IF(Table13[[#This Row],[Rating]] &lt; 3, "Low", IF(Table13[[#This Row],[Rating]] &lt; 4, "Medium", "High")))</f>
        <v>High</v>
      </c>
      <c r="L1519">
        <v>3</v>
      </c>
      <c r="M1519">
        <v>14</v>
      </c>
      <c r="N1519" t="str">
        <f>IF(Table13[[#This Row],[Price USD]]&lt;20,"Budget",IF(Table13[[#This Row],[Price USD]]&lt;=50,"Mid-range","Premium"))</f>
        <v>Budget</v>
      </c>
      <c r="O1519">
        <v>0</v>
      </c>
      <c r="P1519">
        <v>1</v>
      </c>
    </row>
    <row r="1520" spans="1:16" x14ac:dyDescent="0.25">
      <c r="A1520" t="s">
        <v>4053</v>
      </c>
      <c r="B1520" t="s">
        <v>4054</v>
      </c>
      <c r="C1520">
        <v>3902</v>
      </c>
      <c r="D1520" t="s">
        <v>72</v>
      </c>
      <c r="E1520" t="s">
        <v>21</v>
      </c>
      <c r="F1520">
        <v>2887</v>
      </c>
      <c r="G15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0">
        <v>2.9375</v>
      </c>
      <c r="J1520" t="str">
        <f>IF(ISBLANK(Table13[[#This Row],[Rating]]), "No", "Yes")</f>
        <v>Yes</v>
      </c>
      <c r="K1520" t="str">
        <f>IF(ISBLANK(Table13[[#This Row],[Rating]]), "Not Rated", IF(Table13[[#This Row],[Rating]] &lt; 3, "Low", IF(Table13[[#This Row],[Rating]] &lt; 4, "Medium", "High")))</f>
        <v>Low</v>
      </c>
      <c r="L1520">
        <v>16</v>
      </c>
      <c r="M1520">
        <v>18</v>
      </c>
      <c r="N1520" t="str">
        <f>IF(Table13[[#This Row],[Price USD]]&lt;20,"Budget",IF(Table13[[#This Row],[Price USD]]&lt;=50,"Mid-range","Premium"))</f>
        <v>Budget</v>
      </c>
      <c r="O1520">
        <v>0</v>
      </c>
      <c r="P1520">
        <v>0</v>
      </c>
    </row>
    <row r="1521" spans="1:16" x14ac:dyDescent="0.25">
      <c r="A1521" t="s">
        <v>4051</v>
      </c>
      <c r="B1521" t="s">
        <v>4052</v>
      </c>
      <c r="C1521">
        <v>1741</v>
      </c>
      <c r="D1521" t="s">
        <v>388</v>
      </c>
      <c r="E1521" t="s">
        <v>21</v>
      </c>
      <c r="F1521">
        <v>2887</v>
      </c>
      <c r="G15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1">
        <v>4.7126999999999999</v>
      </c>
      <c r="J1521" t="str">
        <f>IF(ISBLANK(Table13[[#This Row],[Rating]]), "No", "Yes")</f>
        <v>Yes</v>
      </c>
      <c r="K1521" t="str">
        <f>IF(ISBLANK(Table13[[#This Row],[Rating]]), "Not Rated", IF(Table13[[#This Row],[Rating]] &lt; 3, "Low", IF(Table13[[#This Row],[Rating]] &lt; 4, "Medium", "High")))</f>
        <v>High</v>
      </c>
      <c r="L1521">
        <v>463</v>
      </c>
      <c r="M1521">
        <v>95</v>
      </c>
      <c r="N1521" t="str">
        <f>IF(Table13[[#This Row],[Price USD]]&lt;20,"Budget",IF(Table13[[#This Row],[Price USD]]&lt;=50,"Mid-range","Premium"))</f>
        <v>Premium</v>
      </c>
      <c r="O1521">
        <v>0</v>
      </c>
      <c r="P1521">
        <v>0</v>
      </c>
    </row>
    <row r="1522" spans="1:16" x14ac:dyDescent="0.25">
      <c r="A1522" t="s">
        <v>4049</v>
      </c>
      <c r="B1522" t="s">
        <v>4050</v>
      </c>
      <c r="C1522">
        <v>6247</v>
      </c>
      <c r="D1522" t="s">
        <v>38</v>
      </c>
      <c r="E1522" t="s">
        <v>69</v>
      </c>
      <c r="F1522">
        <v>2900</v>
      </c>
      <c r="G15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2">
        <v>4.0262000000000002</v>
      </c>
      <c r="J1522" t="str">
        <f>IF(ISBLANK(Table13[[#This Row],[Rating]]), "No", "Yes")</f>
        <v>Yes</v>
      </c>
      <c r="K1522" t="str">
        <f>IF(ISBLANK(Table13[[#This Row],[Rating]]), "Not Rated", IF(Table13[[#This Row],[Rating]] &lt; 3, "Low", IF(Table13[[#This Row],[Rating]] &lt; 4, "Medium", "High")))</f>
        <v>High</v>
      </c>
      <c r="L1522">
        <v>4427</v>
      </c>
      <c r="M1522">
        <v>26</v>
      </c>
      <c r="N1522" t="str">
        <f>IF(Table13[[#This Row],[Price USD]]&lt;20,"Budget",IF(Table13[[#This Row],[Price USD]]&lt;=50,"Mid-range","Premium"))</f>
        <v>Mid-range</v>
      </c>
      <c r="O1522">
        <v>0</v>
      </c>
      <c r="P1522">
        <v>0</v>
      </c>
    </row>
    <row r="1523" spans="1:16" x14ac:dyDescent="0.25">
      <c r="A1523" t="s">
        <v>4047</v>
      </c>
      <c r="B1523" t="s">
        <v>4048</v>
      </c>
      <c r="C1523">
        <v>6226</v>
      </c>
      <c r="D1523" t="s">
        <v>843</v>
      </c>
      <c r="E1523" t="s">
        <v>13</v>
      </c>
      <c r="F1523">
        <v>2902</v>
      </c>
      <c r="G15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3">
        <v>4.4043000000000001</v>
      </c>
      <c r="J1523" t="str">
        <f>IF(ISBLANK(Table13[[#This Row],[Rating]]), "No", "Yes")</f>
        <v>Yes</v>
      </c>
      <c r="K1523" t="str">
        <f>IF(ISBLANK(Table13[[#This Row],[Rating]]), "Not Rated", IF(Table13[[#This Row],[Rating]] &lt; 3, "Low", IF(Table13[[#This Row],[Rating]] &lt; 4, "Medium", "High")))</f>
        <v>High</v>
      </c>
      <c r="L1523">
        <v>47</v>
      </c>
      <c r="M1523">
        <v>32</v>
      </c>
      <c r="N1523" t="str">
        <f>IF(Table13[[#This Row],[Price USD]]&lt;20,"Budget",IF(Table13[[#This Row],[Price USD]]&lt;=50,"Mid-range","Premium"))</f>
        <v>Mid-range</v>
      </c>
      <c r="O1523">
        <v>0</v>
      </c>
      <c r="P1523">
        <v>0</v>
      </c>
    </row>
    <row r="1524" spans="1:16" x14ac:dyDescent="0.25">
      <c r="A1524" t="s">
        <v>4045</v>
      </c>
      <c r="B1524" t="s">
        <v>4046</v>
      </c>
      <c r="C1524">
        <v>6089</v>
      </c>
      <c r="D1524" t="s">
        <v>605</v>
      </c>
      <c r="E1524" t="s">
        <v>144</v>
      </c>
      <c r="F1524">
        <v>2904</v>
      </c>
      <c r="G15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4">
        <v>4.4545000000000003</v>
      </c>
      <c r="J1524" t="str">
        <f>IF(ISBLANK(Table13[[#This Row],[Rating]]), "No", "Yes")</f>
        <v>Yes</v>
      </c>
      <c r="K1524" t="str">
        <f>IF(ISBLANK(Table13[[#This Row],[Rating]]), "Not Rated", IF(Table13[[#This Row],[Rating]] &lt; 3, "Low", IF(Table13[[#This Row],[Rating]] &lt; 4, "Medium", "High")))</f>
        <v>High</v>
      </c>
      <c r="L1524">
        <v>11</v>
      </c>
      <c r="M1524">
        <v>36</v>
      </c>
      <c r="N1524" t="str">
        <f>IF(Table13[[#This Row],[Price USD]]&lt;20,"Budget",IF(Table13[[#This Row],[Price USD]]&lt;=50,"Mid-range","Premium"))</f>
        <v>Mid-range</v>
      </c>
      <c r="O1524">
        <v>0</v>
      </c>
      <c r="P1524">
        <v>0</v>
      </c>
    </row>
    <row r="1525" spans="1:16" x14ac:dyDescent="0.25">
      <c r="A1525" t="s">
        <v>4043</v>
      </c>
      <c r="B1525" t="s">
        <v>4044</v>
      </c>
      <c r="C1525">
        <v>6356</v>
      </c>
      <c r="D1525" t="s">
        <v>1885</v>
      </c>
      <c r="E1525" t="s">
        <v>149</v>
      </c>
      <c r="F1525">
        <v>2922</v>
      </c>
      <c r="G15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5">
        <v>4.2267000000000001</v>
      </c>
      <c r="J1525" t="str">
        <f>IF(ISBLANK(Table13[[#This Row],[Rating]]), "No", "Yes")</f>
        <v>Yes</v>
      </c>
      <c r="K1525" t="str">
        <f>IF(ISBLANK(Table13[[#This Row],[Rating]]), "Not Rated", IF(Table13[[#This Row],[Rating]] &lt; 3, "Low", IF(Table13[[#This Row],[Rating]] &lt; 4, "Medium", "High")))</f>
        <v>High</v>
      </c>
      <c r="L1525">
        <v>75</v>
      </c>
      <c r="M1525">
        <v>220</v>
      </c>
      <c r="N1525" t="str">
        <f>IF(Table13[[#This Row],[Price USD]]&lt;20,"Budget",IF(Table13[[#This Row],[Price USD]]&lt;=50,"Mid-range","Premium"))</f>
        <v>Premium</v>
      </c>
      <c r="O1525">
        <v>0</v>
      </c>
      <c r="P1525">
        <v>0</v>
      </c>
    </row>
    <row r="1526" spans="1:16" x14ac:dyDescent="0.25">
      <c r="A1526" t="s">
        <v>4041</v>
      </c>
      <c r="B1526" t="s">
        <v>4042</v>
      </c>
      <c r="C1526">
        <v>5946</v>
      </c>
      <c r="D1526" t="s">
        <v>341</v>
      </c>
      <c r="E1526" t="s">
        <v>49</v>
      </c>
      <c r="F1526">
        <v>2924</v>
      </c>
      <c r="G15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6">
        <v>4.4149000000000003</v>
      </c>
      <c r="J1526" t="str">
        <f>IF(ISBLANK(Table13[[#This Row],[Rating]]), "No", "Yes")</f>
        <v>Yes</v>
      </c>
      <c r="K1526" t="str">
        <f>IF(ISBLANK(Table13[[#This Row],[Rating]]), "Not Rated", IF(Table13[[#This Row],[Rating]] &lt; 3, "Low", IF(Table13[[#This Row],[Rating]] &lt; 4, "Medium", "High")))</f>
        <v>High</v>
      </c>
      <c r="L1526">
        <v>94</v>
      </c>
      <c r="M1526">
        <v>54</v>
      </c>
      <c r="N1526" t="str">
        <f>IF(Table13[[#This Row],[Price USD]]&lt;20,"Budget",IF(Table13[[#This Row],[Price USD]]&lt;=50,"Mid-range","Premium"))</f>
        <v>Premium</v>
      </c>
      <c r="O1526">
        <v>0</v>
      </c>
      <c r="P1526">
        <v>0</v>
      </c>
    </row>
    <row r="1527" spans="1:16" x14ac:dyDescent="0.25">
      <c r="A1527" t="s">
        <v>4039</v>
      </c>
      <c r="B1527" t="s">
        <v>4040</v>
      </c>
      <c r="C1527">
        <v>5987</v>
      </c>
      <c r="D1527" t="s">
        <v>48</v>
      </c>
      <c r="E1527" t="s">
        <v>49</v>
      </c>
      <c r="F1527">
        <v>2927</v>
      </c>
      <c r="G15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7">
        <v>4.0909000000000004</v>
      </c>
      <c r="J1527" t="str">
        <f>IF(ISBLANK(Table13[[#This Row],[Rating]]), "No", "Yes")</f>
        <v>Yes</v>
      </c>
      <c r="K1527" t="str">
        <f>IF(ISBLANK(Table13[[#This Row],[Rating]]), "Not Rated", IF(Table13[[#This Row],[Rating]] &lt; 3, "Low", IF(Table13[[#This Row],[Rating]] &lt; 4, "Medium", "High")))</f>
        <v>High</v>
      </c>
      <c r="L1527">
        <v>11</v>
      </c>
      <c r="M1527">
        <v>36</v>
      </c>
      <c r="N1527" t="str">
        <f>IF(Table13[[#This Row],[Price USD]]&lt;20,"Budget",IF(Table13[[#This Row],[Price USD]]&lt;=50,"Mid-range","Premium"))</f>
        <v>Mid-range</v>
      </c>
      <c r="O1527">
        <v>0</v>
      </c>
      <c r="P1527">
        <v>0</v>
      </c>
    </row>
    <row r="1528" spans="1:16" x14ac:dyDescent="0.25">
      <c r="A1528" t="s">
        <v>4037</v>
      </c>
      <c r="B1528" t="s">
        <v>4038</v>
      </c>
      <c r="C1528">
        <v>6187</v>
      </c>
      <c r="D1528" t="s">
        <v>3064</v>
      </c>
      <c r="E1528" t="s">
        <v>69</v>
      </c>
      <c r="F1528">
        <v>2931</v>
      </c>
      <c r="G15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8">
        <v>4.5</v>
      </c>
      <c r="J1528" t="str">
        <f>IF(ISBLANK(Table13[[#This Row],[Rating]]), "No", "Yes")</f>
        <v>Yes</v>
      </c>
      <c r="K1528" t="str">
        <f>IF(ISBLANK(Table13[[#This Row],[Rating]]), "Not Rated", IF(Table13[[#This Row],[Rating]] &lt; 3, "Low", IF(Table13[[#This Row],[Rating]] &lt; 4, "Medium", "High")))</f>
        <v>High</v>
      </c>
      <c r="L1528">
        <v>8</v>
      </c>
      <c r="M1528">
        <v>12</v>
      </c>
      <c r="N1528" t="str">
        <f>IF(Table13[[#This Row],[Price USD]]&lt;20,"Budget",IF(Table13[[#This Row],[Price USD]]&lt;=50,"Mid-range","Premium"))</f>
        <v>Budget</v>
      </c>
      <c r="O1528">
        <v>0</v>
      </c>
      <c r="P1528">
        <v>1</v>
      </c>
    </row>
    <row r="1529" spans="1:16" x14ac:dyDescent="0.25">
      <c r="A1529" t="s">
        <v>4035</v>
      </c>
      <c r="B1529" t="s">
        <v>4036</v>
      </c>
      <c r="C1529">
        <v>8017</v>
      </c>
      <c r="D1529" t="s">
        <v>620</v>
      </c>
      <c r="E1529" t="s">
        <v>149</v>
      </c>
      <c r="F1529">
        <v>2932</v>
      </c>
      <c r="G15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29">
        <v>4.1111000000000004</v>
      </c>
      <c r="J1529" t="str">
        <f>IF(ISBLANK(Table13[[#This Row],[Rating]]), "No", "Yes")</f>
        <v>Yes</v>
      </c>
      <c r="K1529" t="str">
        <f>IF(ISBLANK(Table13[[#This Row],[Rating]]), "Not Rated", IF(Table13[[#This Row],[Rating]] &lt; 3, "Low", IF(Table13[[#This Row],[Rating]] &lt; 4, "Medium", "High")))</f>
        <v>High</v>
      </c>
      <c r="L1529">
        <v>9</v>
      </c>
      <c r="M1529">
        <v>20</v>
      </c>
      <c r="N1529" t="str">
        <f>IF(Table13[[#This Row],[Price USD]]&lt;20,"Budget",IF(Table13[[#This Row],[Price USD]]&lt;=50,"Mid-range","Premium"))</f>
        <v>Mid-range</v>
      </c>
      <c r="O1529">
        <v>0</v>
      </c>
      <c r="P1529">
        <v>1</v>
      </c>
    </row>
    <row r="1530" spans="1:16" x14ac:dyDescent="0.25">
      <c r="A1530" t="s">
        <v>4033</v>
      </c>
      <c r="B1530" t="s">
        <v>4034</v>
      </c>
      <c r="C1530">
        <v>3902</v>
      </c>
      <c r="D1530" t="s">
        <v>72</v>
      </c>
      <c r="E1530" t="s">
        <v>69</v>
      </c>
      <c r="F1530">
        <v>2950</v>
      </c>
      <c r="G15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0">
        <v>1.8571</v>
      </c>
      <c r="J1530" t="str">
        <f>IF(ISBLANK(Table13[[#This Row],[Rating]]), "No", "Yes")</f>
        <v>Yes</v>
      </c>
      <c r="K1530" t="str">
        <f>IF(ISBLANK(Table13[[#This Row],[Rating]]), "Not Rated", IF(Table13[[#This Row],[Rating]] &lt; 3, "Low", IF(Table13[[#This Row],[Rating]] &lt; 4, "Medium", "High")))</f>
        <v>Low</v>
      </c>
      <c r="L1530">
        <v>7</v>
      </c>
      <c r="M1530">
        <v>12</v>
      </c>
      <c r="N1530" t="str">
        <f>IF(Table13[[#This Row],[Price USD]]&lt;20,"Budget",IF(Table13[[#This Row],[Price USD]]&lt;=50,"Mid-range","Premium"))</f>
        <v>Budget</v>
      </c>
      <c r="O1530">
        <v>0</v>
      </c>
      <c r="P1530">
        <v>0</v>
      </c>
    </row>
    <row r="1531" spans="1:16" x14ac:dyDescent="0.25">
      <c r="A1531" t="s">
        <v>4031</v>
      </c>
      <c r="B1531" t="s">
        <v>4032</v>
      </c>
      <c r="C1531">
        <v>5987</v>
      </c>
      <c r="D1531" t="s">
        <v>48</v>
      </c>
      <c r="E1531" t="s">
        <v>49</v>
      </c>
      <c r="F1531">
        <v>2951</v>
      </c>
      <c r="G15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1">
        <v>3</v>
      </c>
      <c r="J1531" t="str">
        <f>IF(ISBLANK(Table13[[#This Row],[Rating]]), "No", "Yes")</f>
        <v>Yes</v>
      </c>
      <c r="K1531" t="str">
        <f>IF(ISBLANK(Table13[[#This Row],[Rating]]), "Not Rated", IF(Table13[[#This Row],[Rating]] &lt; 3, "Low", IF(Table13[[#This Row],[Rating]] &lt; 4, "Medium", "High")))</f>
        <v>Medium</v>
      </c>
      <c r="L1531">
        <v>4</v>
      </c>
      <c r="M1531">
        <v>24</v>
      </c>
      <c r="N1531" t="str">
        <f>IF(Table13[[#This Row],[Price USD]]&lt;20,"Budget",IF(Table13[[#This Row],[Price USD]]&lt;=50,"Mid-range","Premium"))</f>
        <v>Mid-range</v>
      </c>
      <c r="O1531">
        <v>0</v>
      </c>
      <c r="P1531">
        <v>0</v>
      </c>
    </row>
    <row r="1532" spans="1:16" x14ac:dyDescent="0.25">
      <c r="A1532" t="s">
        <v>4029</v>
      </c>
      <c r="B1532" t="s">
        <v>4030</v>
      </c>
      <c r="C1532">
        <v>5337</v>
      </c>
      <c r="D1532" t="s">
        <v>209</v>
      </c>
      <c r="E1532" t="s">
        <v>21</v>
      </c>
      <c r="F1532">
        <v>2959</v>
      </c>
      <c r="G15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2">
        <v>4.5263</v>
      </c>
      <c r="J1532" t="str">
        <f>IF(ISBLANK(Table13[[#This Row],[Rating]]), "No", "Yes")</f>
        <v>Yes</v>
      </c>
      <c r="K1532" t="str">
        <f>IF(ISBLANK(Table13[[#This Row],[Rating]]), "Not Rated", IF(Table13[[#This Row],[Rating]] &lt; 3, "Low", IF(Table13[[#This Row],[Rating]] &lt; 4, "Medium", "High")))</f>
        <v>High</v>
      </c>
      <c r="L1532">
        <v>19</v>
      </c>
      <c r="M1532">
        <v>140</v>
      </c>
      <c r="N1532" t="str">
        <f>IF(Table13[[#This Row],[Price USD]]&lt;20,"Budget",IF(Table13[[#This Row],[Price USD]]&lt;=50,"Mid-range","Premium"))</f>
        <v>Premium</v>
      </c>
      <c r="O1532">
        <v>0</v>
      </c>
      <c r="P1532">
        <v>0</v>
      </c>
    </row>
    <row r="1533" spans="1:16" x14ac:dyDescent="0.25">
      <c r="A1533" t="s">
        <v>4027</v>
      </c>
      <c r="B1533" t="s">
        <v>4028</v>
      </c>
      <c r="C1533">
        <v>8017</v>
      </c>
      <c r="D1533" t="s">
        <v>620</v>
      </c>
      <c r="E1533" t="s">
        <v>220</v>
      </c>
      <c r="F1533">
        <v>2962</v>
      </c>
      <c r="G15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3">
        <v>4.3</v>
      </c>
      <c r="J1533" t="str">
        <f>IF(ISBLANK(Table13[[#This Row],[Rating]]), "No", "Yes")</f>
        <v>Yes</v>
      </c>
      <c r="K1533" t="str">
        <f>IF(ISBLANK(Table13[[#This Row],[Rating]]), "Not Rated", IF(Table13[[#This Row],[Rating]] &lt; 3, "Low", IF(Table13[[#This Row],[Rating]] &lt; 4, "Medium", "High")))</f>
        <v>High</v>
      </c>
      <c r="L1533">
        <v>10</v>
      </c>
      <c r="M1533">
        <v>30</v>
      </c>
      <c r="N1533" t="str">
        <f>IF(Table13[[#This Row],[Price USD]]&lt;20,"Budget",IF(Table13[[#This Row],[Price USD]]&lt;=50,"Mid-range","Premium"))</f>
        <v>Mid-range</v>
      </c>
      <c r="O1533">
        <v>0</v>
      </c>
      <c r="P1533">
        <v>0</v>
      </c>
    </row>
    <row r="1534" spans="1:16" x14ac:dyDescent="0.25">
      <c r="A1534" t="s">
        <v>4025</v>
      </c>
      <c r="B1534" t="s">
        <v>4026</v>
      </c>
      <c r="C1534">
        <v>6307</v>
      </c>
      <c r="D1534" t="s">
        <v>1132</v>
      </c>
      <c r="E1534" t="s">
        <v>69</v>
      </c>
      <c r="F1534">
        <v>2963</v>
      </c>
      <c r="G15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4">
        <v>4.5</v>
      </c>
      <c r="J1534" t="str">
        <f>IF(ISBLANK(Table13[[#This Row],[Rating]]), "No", "Yes")</f>
        <v>Yes</v>
      </c>
      <c r="K1534" t="str">
        <f>IF(ISBLANK(Table13[[#This Row],[Rating]]), "Not Rated", IF(Table13[[#This Row],[Rating]] &lt; 3, "Low", IF(Table13[[#This Row],[Rating]] &lt; 4, "Medium", "High")))</f>
        <v>High</v>
      </c>
      <c r="L1534">
        <v>10</v>
      </c>
      <c r="M1534">
        <v>45</v>
      </c>
      <c r="N1534" t="str">
        <f>IF(Table13[[#This Row],[Price USD]]&lt;20,"Budget",IF(Table13[[#This Row],[Price USD]]&lt;=50,"Mid-range","Premium"))</f>
        <v>Mid-range</v>
      </c>
      <c r="O1534">
        <v>0</v>
      </c>
      <c r="P1534">
        <v>0</v>
      </c>
    </row>
    <row r="1535" spans="1:16" x14ac:dyDescent="0.25">
      <c r="A1535" t="s">
        <v>4023</v>
      </c>
      <c r="B1535" t="s">
        <v>4024</v>
      </c>
      <c r="C1535">
        <v>1073</v>
      </c>
      <c r="D1535" t="s">
        <v>767</v>
      </c>
      <c r="E1535" t="s">
        <v>21</v>
      </c>
      <c r="F1535">
        <v>2966</v>
      </c>
      <c r="G15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5">
        <v>3.7692000000000001</v>
      </c>
      <c r="J1535" t="str">
        <f>IF(ISBLANK(Table13[[#This Row],[Rating]]), "No", "Yes")</f>
        <v>Yes</v>
      </c>
      <c r="K1535" t="str">
        <f>IF(ISBLANK(Table13[[#This Row],[Rating]]), "Not Rated", IF(Table13[[#This Row],[Rating]] &lt; 3, "Low", IF(Table13[[#This Row],[Rating]] &lt; 4, "Medium", "High")))</f>
        <v>Medium</v>
      </c>
      <c r="L1535">
        <v>13</v>
      </c>
      <c r="M1535">
        <v>45</v>
      </c>
      <c r="N1535" t="str">
        <f>IF(Table13[[#This Row],[Price USD]]&lt;20,"Budget",IF(Table13[[#This Row],[Price USD]]&lt;=50,"Mid-range","Premium"))</f>
        <v>Mid-range</v>
      </c>
      <c r="O1535">
        <v>0</v>
      </c>
      <c r="P1535">
        <v>0</v>
      </c>
    </row>
    <row r="1536" spans="1:16" x14ac:dyDescent="0.25">
      <c r="A1536" t="s">
        <v>4021</v>
      </c>
      <c r="B1536" t="s">
        <v>4022</v>
      </c>
      <c r="C1536">
        <v>3728</v>
      </c>
      <c r="D1536" t="s">
        <v>458</v>
      </c>
      <c r="E1536" t="s">
        <v>21</v>
      </c>
      <c r="F1536">
        <v>2975</v>
      </c>
      <c r="G15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6">
        <v>4.7488999999999999</v>
      </c>
      <c r="J1536" t="str">
        <f>IF(ISBLANK(Table13[[#This Row],[Rating]]), "No", "Yes")</f>
        <v>Yes</v>
      </c>
      <c r="K1536" t="str">
        <f>IF(ISBLANK(Table13[[#This Row],[Rating]]), "Not Rated", IF(Table13[[#This Row],[Rating]] &lt; 3, "Low", IF(Table13[[#This Row],[Rating]] &lt; 4, "Medium", "High")))</f>
        <v>High</v>
      </c>
      <c r="L1536">
        <v>219</v>
      </c>
      <c r="M1536">
        <v>58</v>
      </c>
      <c r="N1536" t="str">
        <f>IF(Table13[[#This Row],[Price USD]]&lt;20,"Budget",IF(Table13[[#This Row],[Price USD]]&lt;=50,"Mid-range","Premium"))</f>
        <v>Premium</v>
      </c>
      <c r="O1536">
        <v>0</v>
      </c>
      <c r="P1536">
        <v>0</v>
      </c>
    </row>
    <row r="1537" spans="1:16" x14ac:dyDescent="0.25">
      <c r="A1537" t="s">
        <v>4019</v>
      </c>
      <c r="B1537" t="s">
        <v>4020</v>
      </c>
      <c r="C1537">
        <v>2082</v>
      </c>
      <c r="D1537" t="s">
        <v>594</v>
      </c>
      <c r="E1537" t="s">
        <v>8</v>
      </c>
      <c r="F1537">
        <v>2986</v>
      </c>
      <c r="G15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7">
        <v>3</v>
      </c>
      <c r="J1537" t="str">
        <f>IF(ISBLANK(Table13[[#This Row],[Rating]]), "No", "Yes")</f>
        <v>Yes</v>
      </c>
      <c r="K1537" t="str">
        <f>IF(ISBLANK(Table13[[#This Row],[Rating]]), "Not Rated", IF(Table13[[#This Row],[Rating]] &lt; 3, "Low", IF(Table13[[#This Row],[Rating]] &lt; 4, "Medium", "High")))</f>
        <v>Medium</v>
      </c>
      <c r="L1537">
        <v>2</v>
      </c>
      <c r="M1537">
        <v>100</v>
      </c>
      <c r="N1537" t="str">
        <f>IF(Table13[[#This Row],[Price USD]]&lt;20,"Budget",IF(Table13[[#This Row],[Price USD]]&lt;=50,"Mid-range","Premium"))</f>
        <v>Premium</v>
      </c>
      <c r="O1537">
        <v>0</v>
      </c>
      <c r="P1537">
        <v>0</v>
      </c>
    </row>
    <row r="1538" spans="1:16" x14ac:dyDescent="0.25">
      <c r="A1538" t="s">
        <v>4017</v>
      </c>
      <c r="B1538" t="s">
        <v>4018</v>
      </c>
      <c r="C1538">
        <v>6309</v>
      </c>
      <c r="D1538" t="s">
        <v>1735</v>
      </c>
      <c r="E1538" t="s">
        <v>21</v>
      </c>
      <c r="F1538">
        <v>2987</v>
      </c>
      <c r="G15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8">
        <v>4.2846000000000002</v>
      </c>
      <c r="J1538" t="str">
        <f>IF(ISBLANK(Table13[[#This Row],[Rating]]), "No", "Yes")</f>
        <v>Yes</v>
      </c>
      <c r="K1538" t="str">
        <f>IF(ISBLANK(Table13[[#This Row],[Rating]]), "Not Rated", IF(Table13[[#This Row],[Rating]] &lt; 3, "Low", IF(Table13[[#This Row],[Rating]] &lt; 4, "Medium", "High")))</f>
        <v>High</v>
      </c>
      <c r="L1538">
        <v>738</v>
      </c>
      <c r="M1538">
        <v>98</v>
      </c>
      <c r="N1538" t="str">
        <f>IF(Table13[[#This Row],[Price USD]]&lt;20,"Budget",IF(Table13[[#This Row],[Price USD]]&lt;=50,"Mid-range","Premium"))</f>
        <v>Premium</v>
      </c>
      <c r="O1538">
        <v>0</v>
      </c>
      <c r="P1538">
        <v>0</v>
      </c>
    </row>
    <row r="1539" spans="1:16" x14ac:dyDescent="0.25">
      <c r="A1539" t="s">
        <v>4015</v>
      </c>
      <c r="B1539" t="s">
        <v>4016</v>
      </c>
      <c r="C1539">
        <v>3902</v>
      </c>
      <c r="D1539" t="s">
        <v>72</v>
      </c>
      <c r="E1539" t="s">
        <v>106</v>
      </c>
      <c r="F1539">
        <v>2988</v>
      </c>
      <c r="G15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39">
        <v>3.25</v>
      </c>
      <c r="J1539" t="str">
        <f>IF(ISBLANK(Table13[[#This Row],[Rating]]), "No", "Yes")</f>
        <v>Yes</v>
      </c>
      <c r="K1539" t="str">
        <f>IF(ISBLANK(Table13[[#This Row],[Rating]]), "Not Rated", IF(Table13[[#This Row],[Rating]] &lt; 3, "Low", IF(Table13[[#This Row],[Rating]] &lt; 4, "Medium", "High")))</f>
        <v>Medium</v>
      </c>
      <c r="L1539">
        <v>8</v>
      </c>
      <c r="M1539">
        <v>16</v>
      </c>
      <c r="N1539" t="str">
        <f>IF(Table13[[#This Row],[Price USD]]&lt;20,"Budget",IF(Table13[[#This Row],[Price USD]]&lt;=50,"Mid-range","Premium"))</f>
        <v>Budget</v>
      </c>
      <c r="O1539">
        <v>1</v>
      </c>
      <c r="P1539">
        <v>0</v>
      </c>
    </row>
    <row r="1540" spans="1:16" x14ac:dyDescent="0.25">
      <c r="A1540" t="s">
        <v>4013</v>
      </c>
      <c r="B1540" t="s">
        <v>4014</v>
      </c>
      <c r="C1540">
        <v>3733</v>
      </c>
      <c r="D1540" t="s">
        <v>124</v>
      </c>
      <c r="E1540" t="s">
        <v>21</v>
      </c>
      <c r="F1540">
        <v>3001</v>
      </c>
      <c r="G15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0">
        <v>4.0345000000000004</v>
      </c>
      <c r="J1540" t="str">
        <f>IF(ISBLANK(Table13[[#This Row],[Rating]]), "No", "Yes")</f>
        <v>Yes</v>
      </c>
      <c r="K1540" t="str">
        <f>IF(ISBLANK(Table13[[#This Row],[Rating]]), "Not Rated", IF(Table13[[#This Row],[Rating]] &lt; 3, "Low", IF(Table13[[#This Row],[Rating]] &lt; 4, "Medium", "High")))</f>
        <v>High</v>
      </c>
      <c r="L1540">
        <v>29</v>
      </c>
      <c r="M1540">
        <v>71</v>
      </c>
      <c r="N1540" t="str">
        <f>IF(Table13[[#This Row],[Price USD]]&lt;20,"Budget",IF(Table13[[#This Row],[Price USD]]&lt;=50,"Mid-range","Premium"))</f>
        <v>Premium</v>
      </c>
      <c r="O1540">
        <v>0</v>
      </c>
      <c r="P1540">
        <v>0</v>
      </c>
    </row>
    <row r="1541" spans="1:16" x14ac:dyDescent="0.25">
      <c r="A1541" t="s">
        <v>4011</v>
      </c>
      <c r="B1541" t="s">
        <v>4012</v>
      </c>
      <c r="C1541">
        <v>6307</v>
      </c>
      <c r="D1541" t="s">
        <v>1132</v>
      </c>
      <c r="E1541" t="s">
        <v>21</v>
      </c>
      <c r="F1541">
        <v>3008</v>
      </c>
      <c r="G15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1">
        <v>4.5019</v>
      </c>
      <c r="J1541" t="str">
        <f>IF(ISBLANK(Table13[[#This Row],[Rating]]), "No", "Yes")</f>
        <v>Yes</v>
      </c>
      <c r="K1541" t="str">
        <f>IF(ISBLANK(Table13[[#This Row],[Rating]]), "Not Rated", IF(Table13[[#This Row],[Rating]] &lt; 3, "Low", IF(Table13[[#This Row],[Rating]] &lt; 4, "Medium", "High")))</f>
        <v>High</v>
      </c>
      <c r="L1541">
        <v>257</v>
      </c>
      <c r="M1541">
        <v>28</v>
      </c>
      <c r="N1541" t="str">
        <f>IF(Table13[[#This Row],[Price USD]]&lt;20,"Budget",IF(Table13[[#This Row],[Price USD]]&lt;=50,"Mid-range","Premium"))</f>
        <v>Mid-range</v>
      </c>
      <c r="O1541">
        <v>0</v>
      </c>
      <c r="P1541">
        <v>0</v>
      </c>
    </row>
    <row r="1542" spans="1:16" x14ac:dyDescent="0.25">
      <c r="A1542" t="s">
        <v>4009</v>
      </c>
      <c r="B1542" t="s">
        <v>4010</v>
      </c>
      <c r="C1542">
        <v>6476</v>
      </c>
      <c r="D1542" t="s">
        <v>3462</v>
      </c>
      <c r="E1542" t="s">
        <v>21</v>
      </c>
      <c r="F1542">
        <v>3023</v>
      </c>
      <c r="G15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2">
        <v>4.6954000000000002</v>
      </c>
      <c r="J1542" t="str">
        <f>IF(ISBLANK(Table13[[#This Row],[Rating]]), "No", "Yes")</f>
        <v>Yes</v>
      </c>
      <c r="K1542" t="str">
        <f>IF(ISBLANK(Table13[[#This Row],[Rating]]), "Not Rated", IF(Table13[[#This Row],[Rating]] &lt; 3, "Low", IF(Table13[[#This Row],[Rating]] &lt; 4, "Medium", "High")))</f>
        <v>High</v>
      </c>
      <c r="L1542">
        <v>151</v>
      </c>
      <c r="M1542">
        <v>24</v>
      </c>
      <c r="N1542" t="str">
        <f>IF(Table13[[#This Row],[Price USD]]&lt;20,"Budget",IF(Table13[[#This Row],[Price USD]]&lt;=50,"Mid-range","Premium"))</f>
        <v>Mid-range</v>
      </c>
      <c r="O1542">
        <v>0</v>
      </c>
      <c r="P1542">
        <v>0</v>
      </c>
    </row>
    <row r="1543" spans="1:16" x14ac:dyDescent="0.25">
      <c r="A1543" t="s">
        <v>4007</v>
      </c>
      <c r="B1543" t="s">
        <v>4008</v>
      </c>
      <c r="C1543">
        <v>6084</v>
      </c>
      <c r="D1543" t="s">
        <v>269</v>
      </c>
      <c r="E1543" t="s">
        <v>21</v>
      </c>
      <c r="F1543">
        <v>3031</v>
      </c>
      <c r="G15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3">
        <v>4.4667000000000003</v>
      </c>
      <c r="J1543" t="str">
        <f>IF(ISBLANK(Table13[[#This Row],[Rating]]), "No", "Yes")</f>
        <v>Yes</v>
      </c>
      <c r="K1543" t="str">
        <f>IF(ISBLANK(Table13[[#This Row],[Rating]]), "Not Rated", IF(Table13[[#This Row],[Rating]] &lt; 3, "Low", IF(Table13[[#This Row],[Rating]] &lt; 4, "Medium", "High")))</f>
        <v>High</v>
      </c>
      <c r="L1543">
        <v>60</v>
      </c>
      <c r="M1543">
        <v>400</v>
      </c>
      <c r="N1543" t="str">
        <f>IF(Table13[[#This Row],[Price USD]]&lt;20,"Budget",IF(Table13[[#This Row],[Price USD]]&lt;=50,"Mid-range","Premium"))</f>
        <v>Premium</v>
      </c>
      <c r="O1543">
        <v>0</v>
      </c>
      <c r="P1543">
        <v>0</v>
      </c>
    </row>
    <row r="1544" spans="1:16" x14ac:dyDescent="0.25">
      <c r="A1544" t="s">
        <v>4005</v>
      </c>
      <c r="B1544" t="s">
        <v>4006</v>
      </c>
      <c r="C1544">
        <v>6358</v>
      </c>
      <c r="D1544" t="s">
        <v>2301</v>
      </c>
      <c r="E1544" t="s">
        <v>8</v>
      </c>
      <c r="F1544">
        <v>3033</v>
      </c>
      <c r="G15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4">
        <v>4.8085000000000004</v>
      </c>
      <c r="J1544" t="str">
        <f>IF(ISBLANK(Table13[[#This Row],[Rating]]), "No", "Yes")</f>
        <v>Yes</v>
      </c>
      <c r="K1544" t="str">
        <f>IF(ISBLANK(Table13[[#This Row],[Rating]]), "Not Rated", IF(Table13[[#This Row],[Rating]] &lt; 3, "Low", IF(Table13[[#This Row],[Rating]] &lt; 4, "Medium", "High")))</f>
        <v>High</v>
      </c>
      <c r="L1544">
        <v>47</v>
      </c>
      <c r="M1544">
        <v>99</v>
      </c>
      <c r="N1544" t="str">
        <f>IF(Table13[[#This Row],[Price USD]]&lt;20,"Budget",IF(Table13[[#This Row],[Price USD]]&lt;=50,"Mid-range","Premium"))</f>
        <v>Premium</v>
      </c>
      <c r="O1544">
        <v>0</v>
      </c>
      <c r="P1544">
        <v>0</v>
      </c>
    </row>
    <row r="1545" spans="1:16" x14ac:dyDescent="0.25">
      <c r="A1545" t="s">
        <v>4003</v>
      </c>
      <c r="B1545" t="s">
        <v>4004</v>
      </c>
      <c r="C1545">
        <v>6226</v>
      </c>
      <c r="D1545" t="s">
        <v>843</v>
      </c>
      <c r="E1545" t="s">
        <v>201</v>
      </c>
      <c r="F1545">
        <v>3042</v>
      </c>
      <c r="G15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5">
        <v>4.5932000000000004</v>
      </c>
      <c r="J1545" t="str">
        <f>IF(ISBLANK(Table13[[#This Row],[Rating]]), "No", "Yes")</f>
        <v>Yes</v>
      </c>
      <c r="K1545" t="str">
        <f>IF(ISBLANK(Table13[[#This Row],[Rating]]), "Not Rated", IF(Table13[[#This Row],[Rating]] &lt; 3, "Low", IF(Table13[[#This Row],[Rating]] &lt; 4, "Medium", "High")))</f>
        <v>High</v>
      </c>
      <c r="L1545">
        <v>59</v>
      </c>
      <c r="M1545">
        <v>42</v>
      </c>
      <c r="N1545" t="str">
        <f>IF(Table13[[#This Row],[Price USD]]&lt;20,"Budget",IF(Table13[[#This Row],[Price USD]]&lt;=50,"Mid-range","Premium"))</f>
        <v>Mid-range</v>
      </c>
      <c r="O1545">
        <v>0</v>
      </c>
      <c r="P1545">
        <v>0</v>
      </c>
    </row>
    <row r="1546" spans="1:16" x14ac:dyDescent="0.25">
      <c r="A1546" t="s">
        <v>4001</v>
      </c>
      <c r="B1546" t="s">
        <v>4002</v>
      </c>
      <c r="C1546">
        <v>6114</v>
      </c>
      <c r="D1546" t="s">
        <v>1355</v>
      </c>
      <c r="E1546" t="s">
        <v>347</v>
      </c>
      <c r="F1546">
        <v>3044</v>
      </c>
      <c r="G15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6">
        <v>4.2857000000000003</v>
      </c>
      <c r="J1546" t="str">
        <f>IF(ISBLANK(Table13[[#This Row],[Rating]]), "No", "Yes")</f>
        <v>Yes</v>
      </c>
      <c r="K1546" t="str">
        <f>IF(ISBLANK(Table13[[#This Row],[Rating]]), "Not Rated", IF(Table13[[#This Row],[Rating]] &lt; 3, "Low", IF(Table13[[#This Row],[Rating]] &lt; 4, "Medium", "High")))</f>
        <v>High</v>
      </c>
      <c r="L1546">
        <v>77</v>
      </c>
      <c r="M1546">
        <v>149</v>
      </c>
      <c r="N1546" t="str">
        <f>IF(Table13[[#This Row],[Price USD]]&lt;20,"Budget",IF(Table13[[#This Row],[Price USD]]&lt;=50,"Mid-range","Premium"))</f>
        <v>Premium</v>
      </c>
      <c r="O1546">
        <v>0</v>
      </c>
      <c r="P1546">
        <v>0</v>
      </c>
    </row>
    <row r="1547" spans="1:16" x14ac:dyDescent="0.25">
      <c r="A1547" t="s">
        <v>3999</v>
      </c>
      <c r="B1547" t="s">
        <v>4000</v>
      </c>
      <c r="C1547">
        <v>4372</v>
      </c>
      <c r="D1547" t="s">
        <v>1513</v>
      </c>
      <c r="E1547" t="s">
        <v>21</v>
      </c>
      <c r="F1547">
        <v>3056</v>
      </c>
      <c r="G15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7">
        <v>3.8140000000000001</v>
      </c>
      <c r="J1547" t="str">
        <f>IF(ISBLANK(Table13[[#This Row],[Rating]]), "No", "Yes")</f>
        <v>Yes</v>
      </c>
      <c r="K1547" t="str">
        <f>IF(ISBLANK(Table13[[#This Row],[Rating]]), "Not Rated", IF(Table13[[#This Row],[Rating]] &lt; 3, "Low", IF(Table13[[#This Row],[Rating]] &lt; 4, "Medium", "High")))</f>
        <v>Medium</v>
      </c>
      <c r="L1547">
        <v>43</v>
      </c>
      <c r="M1547">
        <v>72</v>
      </c>
      <c r="N1547" t="str">
        <f>IF(Table13[[#This Row],[Price USD]]&lt;20,"Budget",IF(Table13[[#This Row],[Price USD]]&lt;=50,"Mid-range","Premium"))</f>
        <v>Premium</v>
      </c>
      <c r="O1547">
        <v>0</v>
      </c>
      <c r="P1547">
        <v>0</v>
      </c>
    </row>
    <row r="1548" spans="1:16" x14ac:dyDescent="0.25">
      <c r="A1548" t="s">
        <v>3997</v>
      </c>
      <c r="B1548" t="s">
        <v>3998</v>
      </c>
      <c r="C1548">
        <v>3728</v>
      </c>
      <c r="D1548" t="s">
        <v>458</v>
      </c>
      <c r="E1548" t="s">
        <v>220</v>
      </c>
      <c r="F1548">
        <v>3080</v>
      </c>
      <c r="G15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48">
        <v>2.75</v>
      </c>
      <c r="J1548" t="str">
        <f>IF(ISBLANK(Table13[[#This Row],[Rating]]), "No", "Yes")</f>
        <v>Yes</v>
      </c>
      <c r="K1548" t="str">
        <f>IF(ISBLANK(Table13[[#This Row],[Rating]]), "Not Rated", IF(Table13[[#This Row],[Rating]] &lt; 3, "Low", IF(Table13[[#This Row],[Rating]] &lt; 4, "Medium", "High")))</f>
        <v>Low</v>
      </c>
      <c r="L1548">
        <v>4</v>
      </c>
      <c r="M1548">
        <v>35</v>
      </c>
      <c r="N1548" t="str">
        <f>IF(Table13[[#This Row],[Price USD]]&lt;20,"Budget",IF(Table13[[#This Row],[Price USD]]&lt;=50,"Mid-range","Premium"))</f>
        <v>Mid-range</v>
      </c>
      <c r="O1548">
        <v>0</v>
      </c>
      <c r="P1548">
        <v>0</v>
      </c>
    </row>
    <row r="1549" spans="1:16" x14ac:dyDescent="0.25">
      <c r="A1549" t="s">
        <v>3995</v>
      </c>
      <c r="B1549" t="s">
        <v>3996</v>
      </c>
      <c r="C1549">
        <v>6089</v>
      </c>
      <c r="D1549" t="s">
        <v>605</v>
      </c>
      <c r="E1549" t="s">
        <v>220</v>
      </c>
      <c r="F1549">
        <v>3091</v>
      </c>
      <c r="G15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549" t="str">
        <f>IF(ISBLANK(Table13[[#This Row],[Rating]]), "No", "Yes")</f>
        <v>No</v>
      </c>
      <c r="K1549" t="str">
        <f>IF(ISBLANK(Table13[[#This Row],[Rating]]), "Not Rated", IF(Table13[[#This Row],[Rating]] &lt; 3, "Low", IF(Table13[[#This Row],[Rating]] &lt; 4, "Medium", "High")))</f>
        <v>Not Rated</v>
      </c>
      <c r="L1549">
        <v>0</v>
      </c>
      <c r="M1549">
        <v>115</v>
      </c>
      <c r="N1549" t="str">
        <f>IF(Table13[[#This Row],[Price USD]]&lt;20,"Budget",IF(Table13[[#This Row],[Price USD]]&lt;=50,"Mid-range","Premium"))</f>
        <v>Premium</v>
      </c>
      <c r="O1549">
        <v>1</v>
      </c>
      <c r="P1549">
        <v>0</v>
      </c>
    </row>
    <row r="1550" spans="1:16" x14ac:dyDescent="0.25">
      <c r="A1550" t="s">
        <v>3993</v>
      </c>
      <c r="B1550" t="s">
        <v>3994</v>
      </c>
      <c r="C1550">
        <v>1254</v>
      </c>
      <c r="D1550" t="s">
        <v>136</v>
      </c>
      <c r="E1550" t="s">
        <v>347</v>
      </c>
      <c r="F1550">
        <v>3095</v>
      </c>
      <c r="G15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0">
        <v>4.5385</v>
      </c>
      <c r="J1550" t="str">
        <f>IF(ISBLANK(Table13[[#This Row],[Rating]]), "No", "Yes")</f>
        <v>Yes</v>
      </c>
      <c r="K1550" t="str">
        <f>IF(ISBLANK(Table13[[#This Row],[Rating]]), "Not Rated", IF(Table13[[#This Row],[Rating]] &lt; 3, "Low", IF(Table13[[#This Row],[Rating]] &lt; 4, "Medium", "High")))</f>
        <v>High</v>
      </c>
      <c r="L1550">
        <v>13</v>
      </c>
      <c r="M1550">
        <v>32</v>
      </c>
      <c r="N1550" t="str">
        <f>IF(Table13[[#This Row],[Price USD]]&lt;20,"Budget",IF(Table13[[#This Row],[Price USD]]&lt;=50,"Mid-range","Premium"))</f>
        <v>Mid-range</v>
      </c>
      <c r="O1550">
        <v>0</v>
      </c>
      <c r="P1550">
        <v>0</v>
      </c>
    </row>
    <row r="1551" spans="1:16" x14ac:dyDescent="0.25">
      <c r="A1551" t="s">
        <v>3991</v>
      </c>
      <c r="B1551" t="s">
        <v>3992</v>
      </c>
      <c r="C1551">
        <v>1254</v>
      </c>
      <c r="D1551" t="s">
        <v>136</v>
      </c>
      <c r="E1551" t="s">
        <v>21</v>
      </c>
      <c r="F1551">
        <v>3096</v>
      </c>
      <c r="G15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1">
        <v>3.8824000000000001</v>
      </c>
      <c r="J1551" t="str">
        <f>IF(ISBLANK(Table13[[#This Row],[Rating]]), "No", "Yes")</f>
        <v>Yes</v>
      </c>
      <c r="K1551" t="str">
        <f>IF(ISBLANK(Table13[[#This Row],[Rating]]), "Not Rated", IF(Table13[[#This Row],[Rating]] &lt; 3, "Low", IF(Table13[[#This Row],[Rating]] &lt; 4, "Medium", "High")))</f>
        <v>Medium</v>
      </c>
      <c r="L1551">
        <v>17</v>
      </c>
      <c r="M1551">
        <v>56</v>
      </c>
      <c r="N1551" t="str">
        <f>IF(Table13[[#This Row],[Price USD]]&lt;20,"Budget",IF(Table13[[#This Row],[Price USD]]&lt;=50,"Mid-range","Premium"))</f>
        <v>Premium</v>
      </c>
      <c r="O1551">
        <v>0</v>
      </c>
      <c r="P1551">
        <v>1</v>
      </c>
    </row>
    <row r="1552" spans="1:16" x14ac:dyDescent="0.25">
      <c r="A1552" t="s">
        <v>3987</v>
      </c>
      <c r="B1552" t="s">
        <v>3988</v>
      </c>
      <c r="C1552">
        <v>7020</v>
      </c>
      <c r="D1552" t="s">
        <v>657</v>
      </c>
      <c r="E1552" t="s">
        <v>144</v>
      </c>
      <c r="F1552">
        <v>3104</v>
      </c>
      <c r="G15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2">
        <v>4.2058999999999997</v>
      </c>
      <c r="J1552" t="str">
        <f>IF(ISBLANK(Table13[[#This Row],[Rating]]), "No", "Yes")</f>
        <v>Yes</v>
      </c>
      <c r="K1552" t="str">
        <f>IF(ISBLANK(Table13[[#This Row],[Rating]]), "Not Rated", IF(Table13[[#This Row],[Rating]] &lt; 3, "Low", IF(Table13[[#This Row],[Rating]] &lt; 4, "Medium", "High")))</f>
        <v>High</v>
      </c>
      <c r="L1552">
        <v>170</v>
      </c>
      <c r="M1552">
        <v>46</v>
      </c>
      <c r="N1552" t="str">
        <f>IF(Table13[[#This Row],[Price USD]]&lt;20,"Budget",IF(Table13[[#This Row],[Price USD]]&lt;=50,"Mid-range","Premium"))</f>
        <v>Mid-range</v>
      </c>
      <c r="O1552">
        <v>0</v>
      </c>
      <c r="P1552">
        <v>0</v>
      </c>
    </row>
    <row r="1553" spans="1:16" x14ac:dyDescent="0.25">
      <c r="A1553" t="s">
        <v>3989</v>
      </c>
      <c r="B1553" t="s">
        <v>3990</v>
      </c>
      <c r="C1553">
        <v>6329</v>
      </c>
      <c r="D1553" t="s">
        <v>3435</v>
      </c>
      <c r="E1553" t="s">
        <v>8</v>
      </c>
      <c r="F1553">
        <v>3104</v>
      </c>
      <c r="G15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3">
        <v>4.9622999999999999</v>
      </c>
      <c r="J1553" t="str">
        <f>IF(ISBLANK(Table13[[#This Row],[Rating]]), "No", "Yes")</f>
        <v>Yes</v>
      </c>
      <c r="K1553" t="str">
        <f>IF(ISBLANK(Table13[[#This Row],[Rating]]), "Not Rated", IF(Table13[[#This Row],[Rating]] &lt; 3, "Low", IF(Table13[[#This Row],[Rating]] &lt; 4, "Medium", "High")))</f>
        <v>High</v>
      </c>
      <c r="L1553">
        <v>53</v>
      </c>
      <c r="M1553">
        <v>110</v>
      </c>
      <c r="N1553" t="str">
        <f>IF(Table13[[#This Row],[Price USD]]&lt;20,"Budget",IF(Table13[[#This Row],[Price USD]]&lt;=50,"Mid-range","Premium"))</f>
        <v>Premium</v>
      </c>
      <c r="O1553">
        <v>0</v>
      </c>
      <c r="P1553">
        <v>0</v>
      </c>
    </row>
    <row r="1554" spans="1:16" x14ac:dyDescent="0.25">
      <c r="A1554" t="s">
        <v>3985</v>
      </c>
      <c r="B1554" t="s">
        <v>3986</v>
      </c>
      <c r="C1554">
        <v>6302</v>
      </c>
      <c r="D1554" t="s">
        <v>2721</v>
      </c>
      <c r="E1554" t="s">
        <v>8</v>
      </c>
      <c r="F1554">
        <v>3108</v>
      </c>
      <c r="G15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4">
        <v>3.5</v>
      </c>
      <c r="J1554" t="str">
        <f>IF(ISBLANK(Table13[[#This Row],[Rating]]), "No", "Yes")</f>
        <v>Yes</v>
      </c>
      <c r="K1554" t="str">
        <f>IF(ISBLANK(Table13[[#This Row],[Rating]]), "Not Rated", IF(Table13[[#This Row],[Rating]] &lt; 3, "Low", IF(Table13[[#This Row],[Rating]] &lt; 4, "Medium", "High")))</f>
        <v>Medium</v>
      </c>
      <c r="L1554">
        <v>24</v>
      </c>
      <c r="M1554">
        <v>145</v>
      </c>
      <c r="N1554" t="str">
        <f>IF(Table13[[#This Row],[Price USD]]&lt;20,"Budget",IF(Table13[[#This Row],[Price USD]]&lt;=50,"Mid-range","Premium"))</f>
        <v>Premium</v>
      </c>
      <c r="O1554">
        <v>0</v>
      </c>
      <c r="P1554">
        <v>0</v>
      </c>
    </row>
    <row r="1555" spans="1:16" x14ac:dyDescent="0.25">
      <c r="A1555" t="s">
        <v>3983</v>
      </c>
      <c r="B1555" t="s">
        <v>3984</v>
      </c>
      <c r="C1555">
        <v>1254</v>
      </c>
      <c r="D1555" t="s">
        <v>136</v>
      </c>
      <c r="E1555" t="s">
        <v>149</v>
      </c>
      <c r="F1555">
        <v>3109</v>
      </c>
      <c r="G15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5">
        <v>4.24</v>
      </c>
      <c r="J1555" t="str">
        <f>IF(ISBLANK(Table13[[#This Row],[Rating]]), "No", "Yes")</f>
        <v>Yes</v>
      </c>
      <c r="K1555" t="str">
        <f>IF(ISBLANK(Table13[[#This Row],[Rating]]), "Not Rated", IF(Table13[[#This Row],[Rating]] &lt; 3, "Low", IF(Table13[[#This Row],[Rating]] &lt; 4, "Medium", "High")))</f>
        <v>High</v>
      </c>
      <c r="L1555">
        <v>2017</v>
      </c>
      <c r="M1555">
        <v>57</v>
      </c>
      <c r="N1555" t="str">
        <f>IF(Table13[[#This Row],[Price USD]]&lt;20,"Budget",IF(Table13[[#This Row],[Price USD]]&lt;=50,"Mid-range","Premium"))</f>
        <v>Premium</v>
      </c>
      <c r="O1555">
        <v>0</v>
      </c>
      <c r="P1555">
        <v>0</v>
      </c>
    </row>
    <row r="1556" spans="1:16" x14ac:dyDescent="0.25">
      <c r="A1556" t="s">
        <v>3981</v>
      </c>
      <c r="B1556" t="s">
        <v>3982</v>
      </c>
      <c r="C1556">
        <v>2082</v>
      </c>
      <c r="D1556" t="s">
        <v>594</v>
      </c>
      <c r="E1556" t="s">
        <v>220</v>
      </c>
      <c r="F1556">
        <v>3113</v>
      </c>
      <c r="G15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J1556" t="str">
        <f>IF(ISBLANK(Table13[[#This Row],[Rating]]), "No", "Yes")</f>
        <v>No</v>
      </c>
      <c r="K1556" t="str">
        <f>IF(ISBLANK(Table13[[#This Row],[Rating]]), "Not Rated", IF(Table13[[#This Row],[Rating]] &lt; 3, "Low", IF(Table13[[#This Row],[Rating]] &lt; 4, "Medium", "High")))</f>
        <v>Not Rated</v>
      </c>
      <c r="L1556">
        <v>0</v>
      </c>
      <c r="M1556">
        <v>99</v>
      </c>
      <c r="N1556" t="str">
        <f>IF(Table13[[#This Row],[Price USD]]&lt;20,"Budget",IF(Table13[[#This Row],[Price USD]]&lt;=50,"Mid-range","Premium"))</f>
        <v>Premium</v>
      </c>
      <c r="O1556">
        <v>0</v>
      </c>
      <c r="P1556">
        <v>1</v>
      </c>
    </row>
    <row r="1557" spans="1:16" x14ac:dyDescent="0.25">
      <c r="A1557" t="s">
        <v>3979</v>
      </c>
      <c r="B1557" t="s">
        <v>3980</v>
      </c>
      <c r="C1557">
        <v>6117</v>
      </c>
      <c r="D1557" t="s">
        <v>229</v>
      </c>
      <c r="E1557" t="s">
        <v>21</v>
      </c>
      <c r="F1557">
        <v>3119</v>
      </c>
      <c r="G15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7">
        <v>4.4169</v>
      </c>
      <c r="J1557" t="str">
        <f>IF(ISBLANK(Table13[[#This Row],[Rating]]), "No", "Yes")</f>
        <v>Yes</v>
      </c>
      <c r="K1557" t="str">
        <f>IF(ISBLANK(Table13[[#This Row],[Rating]]), "Not Rated", IF(Table13[[#This Row],[Rating]] &lt; 3, "Low", IF(Table13[[#This Row],[Rating]] &lt; 4, "Medium", "High")))</f>
        <v>High</v>
      </c>
      <c r="L1557">
        <v>343</v>
      </c>
      <c r="M1557">
        <v>60</v>
      </c>
      <c r="N1557" t="str">
        <f>IF(Table13[[#This Row],[Price USD]]&lt;20,"Budget",IF(Table13[[#This Row],[Price USD]]&lt;=50,"Mid-range","Premium"))</f>
        <v>Premium</v>
      </c>
      <c r="O1557">
        <v>0</v>
      </c>
      <c r="P1557">
        <v>0</v>
      </c>
    </row>
    <row r="1558" spans="1:16" x14ac:dyDescent="0.25">
      <c r="A1558" t="s">
        <v>3977</v>
      </c>
      <c r="B1558" t="s">
        <v>3978</v>
      </c>
      <c r="C1558">
        <v>6307</v>
      </c>
      <c r="D1558" t="s">
        <v>1132</v>
      </c>
      <c r="E1558" t="s">
        <v>149</v>
      </c>
      <c r="F1558">
        <v>3126</v>
      </c>
      <c r="G15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8">
        <v>4.3333000000000004</v>
      </c>
      <c r="J1558" t="str">
        <f>IF(ISBLANK(Table13[[#This Row],[Rating]]), "No", "Yes")</f>
        <v>Yes</v>
      </c>
      <c r="K1558" t="str">
        <f>IF(ISBLANK(Table13[[#This Row],[Rating]]), "Not Rated", IF(Table13[[#This Row],[Rating]] &lt; 3, "Low", IF(Table13[[#This Row],[Rating]] &lt; 4, "Medium", "High")))</f>
        <v>High</v>
      </c>
      <c r="L1558">
        <v>3</v>
      </c>
      <c r="M1558">
        <v>140</v>
      </c>
      <c r="N1558" t="str">
        <f>IF(Table13[[#This Row],[Price USD]]&lt;20,"Budget",IF(Table13[[#This Row],[Price USD]]&lt;=50,"Mid-range","Premium"))</f>
        <v>Premium</v>
      </c>
      <c r="O1558">
        <v>0</v>
      </c>
      <c r="P1558">
        <v>0</v>
      </c>
    </row>
    <row r="1559" spans="1:16" x14ac:dyDescent="0.25">
      <c r="A1559" t="s">
        <v>3975</v>
      </c>
      <c r="B1559" t="s">
        <v>3976</v>
      </c>
      <c r="C1559">
        <v>5337</v>
      </c>
      <c r="D1559" t="s">
        <v>209</v>
      </c>
      <c r="E1559" t="s">
        <v>49</v>
      </c>
      <c r="F1559">
        <v>3128</v>
      </c>
      <c r="G15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59">
        <v>3.5</v>
      </c>
      <c r="J1559" t="str">
        <f>IF(ISBLANK(Table13[[#This Row],[Rating]]), "No", "Yes")</f>
        <v>Yes</v>
      </c>
      <c r="K1559" t="str">
        <f>IF(ISBLANK(Table13[[#This Row],[Rating]]), "Not Rated", IF(Table13[[#This Row],[Rating]] &lt; 3, "Low", IF(Table13[[#This Row],[Rating]] &lt; 4, "Medium", "High")))</f>
        <v>Medium</v>
      </c>
      <c r="L1559">
        <v>16</v>
      </c>
      <c r="M1559">
        <v>75</v>
      </c>
      <c r="N1559" t="str">
        <f>IF(Table13[[#This Row],[Price USD]]&lt;20,"Budget",IF(Table13[[#This Row],[Price USD]]&lt;=50,"Mid-range","Premium"))</f>
        <v>Premium</v>
      </c>
      <c r="O1559">
        <v>0</v>
      </c>
      <c r="P1559">
        <v>0</v>
      </c>
    </row>
    <row r="1560" spans="1:16" x14ac:dyDescent="0.25">
      <c r="A1560" t="s">
        <v>3973</v>
      </c>
      <c r="B1560" t="s">
        <v>3974</v>
      </c>
      <c r="C1560">
        <v>6295</v>
      </c>
      <c r="D1560" t="s">
        <v>184</v>
      </c>
      <c r="E1560" t="s">
        <v>8</v>
      </c>
      <c r="F1560">
        <v>3131</v>
      </c>
      <c r="G15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0">
        <v>4.5347</v>
      </c>
      <c r="J1560" t="str">
        <f>IF(ISBLANK(Table13[[#This Row],[Rating]]), "No", "Yes")</f>
        <v>Yes</v>
      </c>
      <c r="K1560" t="str">
        <f>IF(ISBLANK(Table13[[#This Row],[Rating]]), "Not Rated", IF(Table13[[#This Row],[Rating]] &lt; 3, "Low", IF(Table13[[#This Row],[Rating]] &lt; 4, "Medium", "High")))</f>
        <v>High</v>
      </c>
      <c r="L1560">
        <v>101</v>
      </c>
      <c r="M1560">
        <v>18</v>
      </c>
      <c r="N1560" t="str">
        <f>IF(Table13[[#This Row],[Price USD]]&lt;20,"Budget",IF(Table13[[#This Row],[Price USD]]&lt;=50,"Mid-range","Premium"))</f>
        <v>Budget</v>
      </c>
      <c r="O1560">
        <v>0</v>
      </c>
      <c r="P1560">
        <v>0</v>
      </c>
    </row>
    <row r="1561" spans="1:16" x14ac:dyDescent="0.25">
      <c r="A1561" t="s">
        <v>3971</v>
      </c>
      <c r="B1561" t="s">
        <v>3972</v>
      </c>
      <c r="C1561">
        <v>6475</v>
      </c>
      <c r="D1561" t="s">
        <v>3011</v>
      </c>
      <c r="E1561" t="s">
        <v>13</v>
      </c>
      <c r="F1561">
        <v>3144</v>
      </c>
      <c r="G15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1">
        <v>4.6364000000000001</v>
      </c>
      <c r="J1561" t="str">
        <f>IF(ISBLANK(Table13[[#This Row],[Rating]]), "No", "Yes")</f>
        <v>Yes</v>
      </c>
      <c r="K1561" t="str">
        <f>IF(ISBLANK(Table13[[#This Row],[Rating]]), "Not Rated", IF(Table13[[#This Row],[Rating]] &lt; 3, "Low", IF(Table13[[#This Row],[Rating]] &lt; 4, "Medium", "High")))</f>
        <v>High</v>
      </c>
      <c r="L1561">
        <v>176</v>
      </c>
      <c r="M1561">
        <v>45</v>
      </c>
      <c r="N1561" t="str">
        <f>IF(Table13[[#This Row],[Price USD]]&lt;20,"Budget",IF(Table13[[#This Row],[Price USD]]&lt;=50,"Mid-range","Premium"))</f>
        <v>Mid-range</v>
      </c>
      <c r="O1561">
        <v>0</v>
      </c>
      <c r="P1561">
        <v>0</v>
      </c>
    </row>
    <row r="1562" spans="1:16" x14ac:dyDescent="0.25">
      <c r="A1562" t="s">
        <v>3969</v>
      </c>
      <c r="B1562" t="s">
        <v>3970</v>
      </c>
      <c r="C1562">
        <v>6302</v>
      </c>
      <c r="D1562" t="s">
        <v>2721</v>
      </c>
      <c r="E1562" t="s">
        <v>13</v>
      </c>
      <c r="F1562">
        <v>3148</v>
      </c>
      <c r="G15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2">
        <v>4.7778</v>
      </c>
      <c r="J1562" t="str">
        <f>IF(ISBLANK(Table13[[#This Row],[Rating]]), "No", "Yes")</f>
        <v>Yes</v>
      </c>
      <c r="K1562" t="str">
        <f>IF(ISBLANK(Table13[[#This Row],[Rating]]), "Not Rated", IF(Table13[[#This Row],[Rating]] &lt; 3, "Low", IF(Table13[[#This Row],[Rating]] &lt; 4, "Medium", "High")))</f>
        <v>High</v>
      </c>
      <c r="L1562">
        <v>9</v>
      </c>
      <c r="M1562">
        <v>75</v>
      </c>
      <c r="N1562" t="str">
        <f>IF(Table13[[#This Row],[Price USD]]&lt;20,"Budget",IF(Table13[[#This Row],[Price USD]]&lt;=50,"Mid-range","Premium"))</f>
        <v>Premium</v>
      </c>
      <c r="O1562">
        <v>0</v>
      </c>
      <c r="P1562">
        <v>0</v>
      </c>
    </row>
    <row r="1563" spans="1:16" x14ac:dyDescent="0.25">
      <c r="A1563" t="s">
        <v>3967</v>
      </c>
      <c r="B1563" t="s">
        <v>3968</v>
      </c>
      <c r="C1563">
        <v>6309</v>
      </c>
      <c r="D1563" t="s">
        <v>1735</v>
      </c>
      <c r="E1563" t="s">
        <v>21</v>
      </c>
      <c r="F1563">
        <v>3159</v>
      </c>
      <c r="G15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3">
        <v>3.5676000000000001</v>
      </c>
      <c r="J1563" t="str">
        <f>IF(ISBLANK(Table13[[#This Row],[Rating]]), "No", "Yes")</f>
        <v>Yes</v>
      </c>
      <c r="K1563" t="str">
        <f>IF(ISBLANK(Table13[[#This Row],[Rating]]), "Not Rated", IF(Table13[[#This Row],[Rating]] &lt; 3, "Low", IF(Table13[[#This Row],[Rating]] &lt; 4, "Medium", "High")))</f>
        <v>Medium</v>
      </c>
      <c r="L1563">
        <v>37</v>
      </c>
      <c r="M1563">
        <v>98</v>
      </c>
      <c r="N1563" t="str">
        <f>IF(Table13[[#This Row],[Price USD]]&lt;20,"Budget",IF(Table13[[#This Row],[Price USD]]&lt;=50,"Mid-range","Premium"))</f>
        <v>Premium</v>
      </c>
      <c r="O1563">
        <v>0</v>
      </c>
      <c r="P1563">
        <v>0</v>
      </c>
    </row>
    <row r="1564" spans="1:16" x14ac:dyDescent="0.25">
      <c r="A1564" t="s">
        <v>3965</v>
      </c>
      <c r="B1564" t="s">
        <v>3966</v>
      </c>
      <c r="C1564">
        <v>1254</v>
      </c>
      <c r="D1564" t="s">
        <v>136</v>
      </c>
      <c r="E1564" t="s">
        <v>21</v>
      </c>
      <c r="F1564">
        <v>3174</v>
      </c>
      <c r="G15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4">
        <v>4.3143000000000002</v>
      </c>
      <c r="J1564" t="str">
        <f>IF(ISBLANK(Table13[[#This Row],[Rating]]), "No", "Yes")</f>
        <v>Yes</v>
      </c>
      <c r="K1564" t="str">
        <f>IF(ISBLANK(Table13[[#This Row],[Rating]]), "Not Rated", IF(Table13[[#This Row],[Rating]] &lt; 3, "Low", IF(Table13[[#This Row],[Rating]] &lt; 4, "Medium", "High")))</f>
        <v>High</v>
      </c>
      <c r="L1564">
        <v>35</v>
      </c>
      <c r="M1564">
        <v>64</v>
      </c>
      <c r="N1564" t="str">
        <f>IF(Table13[[#This Row],[Price USD]]&lt;20,"Budget",IF(Table13[[#This Row],[Price USD]]&lt;=50,"Mid-range","Premium"))</f>
        <v>Premium</v>
      </c>
      <c r="O1564">
        <v>0</v>
      </c>
      <c r="P1564">
        <v>0</v>
      </c>
    </row>
    <row r="1565" spans="1:16" x14ac:dyDescent="0.25">
      <c r="A1565" t="s">
        <v>3963</v>
      </c>
      <c r="B1565" t="s">
        <v>3964</v>
      </c>
      <c r="C1565">
        <v>6018</v>
      </c>
      <c r="D1565" t="s">
        <v>517</v>
      </c>
      <c r="E1565" t="s">
        <v>220</v>
      </c>
      <c r="F1565">
        <v>3206</v>
      </c>
      <c r="G15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5">
        <v>4.8022999999999998</v>
      </c>
      <c r="J1565" t="str">
        <f>IF(ISBLANK(Table13[[#This Row],[Rating]]), "No", "Yes")</f>
        <v>Yes</v>
      </c>
      <c r="K1565" t="str">
        <f>IF(ISBLANK(Table13[[#This Row],[Rating]]), "Not Rated", IF(Table13[[#This Row],[Rating]] &lt; 3, "Low", IF(Table13[[#This Row],[Rating]] &lt; 4, "Medium", "High")))</f>
        <v>High</v>
      </c>
      <c r="L1565">
        <v>258</v>
      </c>
      <c r="M1565">
        <v>88</v>
      </c>
      <c r="N1565" t="str">
        <f>IF(Table13[[#This Row],[Price USD]]&lt;20,"Budget",IF(Table13[[#This Row],[Price USD]]&lt;=50,"Mid-range","Premium"))</f>
        <v>Premium</v>
      </c>
      <c r="O1565">
        <v>0</v>
      </c>
      <c r="P1565">
        <v>0</v>
      </c>
    </row>
    <row r="1566" spans="1:16" x14ac:dyDescent="0.25">
      <c r="A1566" t="s">
        <v>3961</v>
      </c>
      <c r="B1566" t="s">
        <v>3962</v>
      </c>
      <c r="C1566">
        <v>8012</v>
      </c>
      <c r="D1566" t="s">
        <v>2864</v>
      </c>
      <c r="E1566" t="s">
        <v>21</v>
      </c>
      <c r="F1566">
        <v>3211</v>
      </c>
      <c r="G15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6">
        <v>4.1905000000000001</v>
      </c>
      <c r="J1566" t="str">
        <f>IF(ISBLANK(Table13[[#This Row],[Rating]]), "No", "Yes")</f>
        <v>Yes</v>
      </c>
      <c r="K1566" t="str">
        <f>IF(ISBLANK(Table13[[#This Row],[Rating]]), "Not Rated", IF(Table13[[#This Row],[Rating]] &lt; 3, "Low", IF(Table13[[#This Row],[Rating]] &lt; 4, "Medium", "High")))</f>
        <v>High</v>
      </c>
      <c r="L1566">
        <v>168</v>
      </c>
      <c r="M1566">
        <v>35</v>
      </c>
      <c r="N1566" t="str">
        <f>IF(Table13[[#This Row],[Price USD]]&lt;20,"Budget",IF(Table13[[#This Row],[Price USD]]&lt;=50,"Mid-range","Premium"))</f>
        <v>Mid-range</v>
      </c>
      <c r="O1566">
        <v>0</v>
      </c>
      <c r="P1566">
        <v>0</v>
      </c>
    </row>
    <row r="1567" spans="1:16" x14ac:dyDescent="0.25">
      <c r="A1567" t="s">
        <v>3959</v>
      </c>
      <c r="B1567" t="s">
        <v>3960</v>
      </c>
      <c r="C1567">
        <v>7100</v>
      </c>
      <c r="D1567" t="s">
        <v>3756</v>
      </c>
      <c r="E1567" t="s">
        <v>8</v>
      </c>
      <c r="F1567">
        <v>3223</v>
      </c>
      <c r="G15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7">
        <v>4.5</v>
      </c>
      <c r="J1567" t="str">
        <f>IF(ISBLANK(Table13[[#This Row],[Rating]]), "No", "Yes")</f>
        <v>Yes</v>
      </c>
      <c r="K1567" t="str">
        <f>IF(ISBLANK(Table13[[#This Row],[Rating]]), "Not Rated", IF(Table13[[#This Row],[Rating]] &lt; 3, "Low", IF(Table13[[#This Row],[Rating]] &lt; 4, "Medium", "High")))</f>
        <v>High</v>
      </c>
      <c r="L1567">
        <v>34</v>
      </c>
      <c r="M1567">
        <v>70</v>
      </c>
      <c r="N1567" t="str">
        <f>IF(Table13[[#This Row],[Price USD]]&lt;20,"Budget",IF(Table13[[#This Row],[Price USD]]&lt;=50,"Mid-range","Premium"))</f>
        <v>Premium</v>
      </c>
      <c r="O1567">
        <v>0</v>
      </c>
      <c r="P1567">
        <v>0</v>
      </c>
    </row>
    <row r="1568" spans="1:16" x14ac:dyDescent="0.25">
      <c r="A1568" t="s">
        <v>3957</v>
      </c>
      <c r="B1568" t="s">
        <v>3958</v>
      </c>
      <c r="C1568">
        <v>5946</v>
      </c>
      <c r="D1568" t="s">
        <v>341</v>
      </c>
      <c r="E1568" t="s">
        <v>21</v>
      </c>
      <c r="F1568">
        <v>3226</v>
      </c>
      <c r="G15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8">
        <v>4.8255999999999997</v>
      </c>
      <c r="J1568" t="str">
        <f>IF(ISBLANK(Table13[[#This Row],[Rating]]), "No", "Yes")</f>
        <v>Yes</v>
      </c>
      <c r="K1568" t="str">
        <f>IF(ISBLANK(Table13[[#This Row],[Rating]]), "Not Rated", IF(Table13[[#This Row],[Rating]] &lt; 3, "Low", IF(Table13[[#This Row],[Rating]] &lt; 4, "Medium", "High")))</f>
        <v>High</v>
      </c>
      <c r="L1568">
        <v>86</v>
      </c>
      <c r="M1568">
        <v>76</v>
      </c>
      <c r="N1568" t="str">
        <f>IF(Table13[[#This Row],[Price USD]]&lt;20,"Budget",IF(Table13[[#This Row],[Price USD]]&lt;=50,"Mid-range","Premium"))</f>
        <v>Premium</v>
      </c>
      <c r="O1568">
        <v>0</v>
      </c>
      <c r="P1568">
        <v>0</v>
      </c>
    </row>
    <row r="1569" spans="1:16" x14ac:dyDescent="0.25">
      <c r="A1569" t="s">
        <v>3955</v>
      </c>
      <c r="B1569" t="s">
        <v>3956</v>
      </c>
      <c r="C1569">
        <v>6309</v>
      </c>
      <c r="D1569" t="s">
        <v>1735</v>
      </c>
      <c r="E1569" t="s">
        <v>144</v>
      </c>
      <c r="F1569">
        <v>3228</v>
      </c>
      <c r="G15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69">
        <v>4.2549999999999999</v>
      </c>
      <c r="J1569" t="str">
        <f>IF(ISBLANK(Table13[[#This Row],[Rating]]), "No", "Yes")</f>
        <v>Yes</v>
      </c>
      <c r="K1569" t="str">
        <f>IF(ISBLANK(Table13[[#This Row],[Rating]]), "Not Rated", IF(Table13[[#This Row],[Rating]] &lt; 3, "Low", IF(Table13[[#This Row],[Rating]] &lt; 4, "Medium", "High")))</f>
        <v>High</v>
      </c>
      <c r="L1569">
        <v>1196</v>
      </c>
      <c r="M1569">
        <v>45</v>
      </c>
      <c r="N1569" t="str">
        <f>IF(Table13[[#This Row],[Price USD]]&lt;20,"Budget",IF(Table13[[#This Row],[Price USD]]&lt;=50,"Mid-range","Premium"))</f>
        <v>Mid-range</v>
      </c>
      <c r="O1569">
        <v>0</v>
      </c>
      <c r="P1569">
        <v>0</v>
      </c>
    </row>
    <row r="1570" spans="1:16" x14ac:dyDescent="0.25">
      <c r="A1570" t="s">
        <v>3953</v>
      </c>
      <c r="B1570" t="s">
        <v>3954</v>
      </c>
      <c r="C1570">
        <v>3902</v>
      </c>
      <c r="D1570" t="s">
        <v>72</v>
      </c>
      <c r="E1570" t="s">
        <v>8</v>
      </c>
      <c r="F1570">
        <v>3242</v>
      </c>
      <c r="G15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0">
        <v>4.8445</v>
      </c>
      <c r="J1570" t="str">
        <f>IF(ISBLANK(Table13[[#This Row],[Rating]]), "No", "Yes")</f>
        <v>Yes</v>
      </c>
      <c r="K1570" t="str">
        <f>IF(ISBLANK(Table13[[#This Row],[Rating]]), "Not Rated", IF(Table13[[#This Row],[Rating]] &lt; 3, "Low", IF(Table13[[#This Row],[Rating]] &lt; 4, "Medium", "High")))</f>
        <v>High</v>
      </c>
      <c r="L1570">
        <v>238</v>
      </c>
      <c r="M1570">
        <v>20</v>
      </c>
      <c r="N1570" t="str">
        <f>IF(Table13[[#This Row],[Price USD]]&lt;20,"Budget",IF(Table13[[#This Row],[Price USD]]&lt;=50,"Mid-range","Premium"))</f>
        <v>Mid-range</v>
      </c>
      <c r="O1570">
        <v>1</v>
      </c>
      <c r="P1570">
        <v>0</v>
      </c>
    </row>
    <row r="1571" spans="1:16" x14ac:dyDescent="0.25">
      <c r="A1571" t="s">
        <v>3951</v>
      </c>
      <c r="B1571" t="s">
        <v>3952</v>
      </c>
      <c r="C1571">
        <v>6084</v>
      </c>
      <c r="D1571" t="s">
        <v>269</v>
      </c>
      <c r="E1571" t="s">
        <v>149</v>
      </c>
      <c r="F1571">
        <v>3246</v>
      </c>
      <c r="G15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1">
        <v>4.3226000000000004</v>
      </c>
      <c r="J1571" t="str">
        <f>IF(ISBLANK(Table13[[#This Row],[Rating]]), "No", "Yes")</f>
        <v>Yes</v>
      </c>
      <c r="K1571" t="str">
        <f>IF(ISBLANK(Table13[[#This Row],[Rating]]), "Not Rated", IF(Table13[[#This Row],[Rating]] &lt; 3, "Low", IF(Table13[[#This Row],[Rating]] &lt; 4, "Medium", "High")))</f>
        <v>High</v>
      </c>
      <c r="L1571">
        <v>747</v>
      </c>
      <c r="M1571">
        <v>145</v>
      </c>
      <c r="N1571" t="str">
        <f>IF(Table13[[#This Row],[Price USD]]&lt;20,"Budget",IF(Table13[[#This Row],[Price USD]]&lt;=50,"Mid-range","Premium"))</f>
        <v>Premium</v>
      </c>
      <c r="O1571">
        <v>0</v>
      </c>
      <c r="P1571">
        <v>0</v>
      </c>
    </row>
    <row r="1572" spans="1:16" x14ac:dyDescent="0.25">
      <c r="A1572" t="s">
        <v>3949</v>
      </c>
      <c r="B1572" t="s">
        <v>3950</v>
      </c>
      <c r="C1572">
        <v>4372</v>
      </c>
      <c r="D1572" t="s">
        <v>1513</v>
      </c>
      <c r="E1572" t="s">
        <v>8</v>
      </c>
      <c r="F1572">
        <v>3259</v>
      </c>
      <c r="G15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2">
        <v>4.1852</v>
      </c>
      <c r="J1572" t="str">
        <f>IF(ISBLANK(Table13[[#This Row],[Rating]]), "No", "Yes")</f>
        <v>Yes</v>
      </c>
      <c r="K1572" t="str">
        <f>IF(ISBLANK(Table13[[#This Row],[Rating]]), "Not Rated", IF(Table13[[#This Row],[Rating]] &lt; 3, "Low", IF(Table13[[#This Row],[Rating]] &lt; 4, "Medium", "High")))</f>
        <v>High</v>
      </c>
      <c r="L1572">
        <v>54</v>
      </c>
      <c r="M1572">
        <v>152</v>
      </c>
      <c r="N1572" t="str">
        <f>IF(Table13[[#This Row],[Price USD]]&lt;20,"Budget",IF(Table13[[#This Row],[Price USD]]&lt;=50,"Mid-range","Premium"))</f>
        <v>Premium</v>
      </c>
      <c r="O1572">
        <v>0</v>
      </c>
      <c r="P1572">
        <v>0</v>
      </c>
    </row>
    <row r="1573" spans="1:16" x14ac:dyDescent="0.25">
      <c r="A1573" t="s">
        <v>3947</v>
      </c>
      <c r="B1573" t="s">
        <v>3948</v>
      </c>
      <c r="C1573">
        <v>6358</v>
      </c>
      <c r="D1573" t="s">
        <v>2301</v>
      </c>
      <c r="E1573" t="s">
        <v>149</v>
      </c>
      <c r="F1573">
        <v>3261</v>
      </c>
      <c r="G15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3">
        <v>4.6889000000000003</v>
      </c>
      <c r="J1573" t="str">
        <f>IF(ISBLANK(Table13[[#This Row],[Rating]]), "No", "Yes")</f>
        <v>Yes</v>
      </c>
      <c r="K1573" t="str">
        <f>IF(ISBLANK(Table13[[#This Row],[Rating]]), "Not Rated", IF(Table13[[#This Row],[Rating]] &lt; 3, "Low", IF(Table13[[#This Row],[Rating]] &lt; 4, "Medium", "High")))</f>
        <v>High</v>
      </c>
      <c r="L1573">
        <v>45</v>
      </c>
      <c r="M1573">
        <v>65</v>
      </c>
      <c r="N1573" t="str">
        <f>IF(Table13[[#This Row],[Price USD]]&lt;20,"Budget",IF(Table13[[#This Row],[Price USD]]&lt;=50,"Mid-range","Premium"))</f>
        <v>Premium</v>
      </c>
      <c r="O1573">
        <v>0</v>
      </c>
      <c r="P1573">
        <v>0</v>
      </c>
    </row>
    <row r="1574" spans="1:16" x14ac:dyDescent="0.25">
      <c r="A1574" t="s">
        <v>3945</v>
      </c>
      <c r="B1574" t="s">
        <v>3946</v>
      </c>
      <c r="C1574">
        <v>1741</v>
      </c>
      <c r="D1574" t="s">
        <v>388</v>
      </c>
      <c r="E1574" t="s">
        <v>220</v>
      </c>
      <c r="F1574">
        <v>3271</v>
      </c>
      <c r="G15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4">
        <v>4.2382999999999997</v>
      </c>
      <c r="J1574" t="str">
        <f>IF(ISBLANK(Table13[[#This Row],[Rating]]), "No", "Yes")</f>
        <v>Yes</v>
      </c>
      <c r="K1574" t="str">
        <f>IF(ISBLANK(Table13[[#This Row],[Rating]]), "Not Rated", IF(Table13[[#This Row],[Rating]] &lt; 3, "Low", IF(Table13[[#This Row],[Rating]] &lt; 4, "Medium", "High")))</f>
        <v>High</v>
      </c>
      <c r="L1574">
        <v>1045</v>
      </c>
      <c r="M1574">
        <v>65</v>
      </c>
      <c r="N1574" t="str">
        <f>IF(Table13[[#This Row],[Price USD]]&lt;20,"Budget",IF(Table13[[#This Row],[Price USD]]&lt;=50,"Mid-range","Premium"))</f>
        <v>Premium</v>
      </c>
      <c r="O1574">
        <v>0</v>
      </c>
      <c r="P1574">
        <v>0</v>
      </c>
    </row>
    <row r="1575" spans="1:16" x14ac:dyDescent="0.25">
      <c r="A1575" t="s">
        <v>3943</v>
      </c>
      <c r="B1575" t="s">
        <v>3944</v>
      </c>
      <c r="C1575">
        <v>6209</v>
      </c>
      <c r="D1575" t="s">
        <v>45</v>
      </c>
      <c r="E1575" t="s">
        <v>8</v>
      </c>
      <c r="F1575">
        <v>3297</v>
      </c>
      <c r="G15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5">
        <v>3.6667000000000001</v>
      </c>
      <c r="J1575" t="str">
        <f>IF(ISBLANK(Table13[[#This Row],[Rating]]), "No", "Yes")</f>
        <v>Yes</v>
      </c>
      <c r="K1575" t="str">
        <f>IF(ISBLANK(Table13[[#This Row],[Rating]]), "Not Rated", IF(Table13[[#This Row],[Rating]] &lt; 3, "Low", IF(Table13[[#This Row],[Rating]] &lt; 4, "Medium", "High")))</f>
        <v>Medium</v>
      </c>
      <c r="L1575">
        <v>120</v>
      </c>
      <c r="M1575">
        <v>34</v>
      </c>
      <c r="N1575" t="str">
        <f>IF(Table13[[#This Row],[Price USD]]&lt;20,"Budget",IF(Table13[[#This Row],[Price USD]]&lt;=50,"Mid-range","Premium"))</f>
        <v>Mid-range</v>
      </c>
      <c r="O1575">
        <v>0</v>
      </c>
      <c r="P1575">
        <v>0</v>
      </c>
    </row>
    <row r="1576" spans="1:16" x14ac:dyDescent="0.25">
      <c r="A1576" t="s">
        <v>3940</v>
      </c>
      <c r="B1576" t="s">
        <v>3941</v>
      </c>
      <c r="C1576">
        <v>6743</v>
      </c>
      <c r="D1576" t="s">
        <v>3942</v>
      </c>
      <c r="E1576" t="s">
        <v>149</v>
      </c>
      <c r="F1576">
        <v>3298</v>
      </c>
      <c r="G15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6">
        <v>4.1379000000000001</v>
      </c>
      <c r="J1576" t="str">
        <f>IF(ISBLANK(Table13[[#This Row],[Rating]]), "No", "Yes")</f>
        <v>Yes</v>
      </c>
      <c r="K1576" t="str">
        <f>IF(ISBLANK(Table13[[#This Row],[Rating]]), "Not Rated", IF(Table13[[#This Row],[Rating]] &lt; 3, "Low", IF(Table13[[#This Row],[Rating]] &lt; 4, "Medium", "High")))</f>
        <v>High</v>
      </c>
      <c r="L1576">
        <v>116</v>
      </c>
      <c r="M1576">
        <v>18</v>
      </c>
      <c r="N1576" t="str">
        <f>IF(Table13[[#This Row],[Price USD]]&lt;20,"Budget",IF(Table13[[#This Row],[Price USD]]&lt;=50,"Mid-range","Premium"))</f>
        <v>Budget</v>
      </c>
      <c r="O1576">
        <v>0</v>
      </c>
      <c r="P1576">
        <v>0</v>
      </c>
    </row>
    <row r="1577" spans="1:16" x14ac:dyDescent="0.25">
      <c r="A1577" t="s">
        <v>3938</v>
      </c>
      <c r="B1577" t="s">
        <v>3939</v>
      </c>
      <c r="C1577">
        <v>6302</v>
      </c>
      <c r="D1577" t="s">
        <v>2721</v>
      </c>
      <c r="E1577" t="s">
        <v>21</v>
      </c>
      <c r="F1577">
        <v>3298</v>
      </c>
      <c r="G15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7">
        <v>4.3182</v>
      </c>
      <c r="J1577" t="str">
        <f>IF(ISBLANK(Table13[[#This Row],[Rating]]), "No", "Yes")</f>
        <v>Yes</v>
      </c>
      <c r="K1577" t="str">
        <f>IF(ISBLANK(Table13[[#This Row],[Rating]]), "Not Rated", IF(Table13[[#This Row],[Rating]] &lt; 3, "Low", IF(Table13[[#This Row],[Rating]] &lt; 4, "Medium", "High")))</f>
        <v>High</v>
      </c>
      <c r="L1577">
        <v>22</v>
      </c>
      <c r="M1577">
        <v>240</v>
      </c>
      <c r="N1577" t="str">
        <f>IF(Table13[[#This Row],[Price USD]]&lt;20,"Budget",IF(Table13[[#This Row],[Price USD]]&lt;=50,"Mid-range","Premium"))</f>
        <v>Premium</v>
      </c>
      <c r="O1577">
        <v>0</v>
      </c>
      <c r="P1577">
        <v>0</v>
      </c>
    </row>
    <row r="1578" spans="1:16" x14ac:dyDescent="0.25">
      <c r="A1578" t="s">
        <v>3936</v>
      </c>
      <c r="B1578" t="s">
        <v>3937</v>
      </c>
      <c r="C1578">
        <v>6018</v>
      </c>
      <c r="D1578" t="s">
        <v>517</v>
      </c>
      <c r="E1578" t="s">
        <v>21</v>
      </c>
      <c r="F1578">
        <v>3317</v>
      </c>
      <c r="G15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8">
        <v>4.3243</v>
      </c>
      <c r="J1578" t="str">
        <f>IF(ISBLANK(Table13[[#This Row],[Rating]]), "No", "Yes")</f>
        <v>Yes</v>
      </c>
      <c r="K1578" t="str">
        <f>IF(ISBLANK(Table13[[#This Row],[Rating]]), "Not Rated", IF(Table13[[#This Row],[Rating]] &lt; 3, "Low", IF(Table13[[#This Row],[Rating]] &lt; 4, "Medium", "High")))</f>
        <v>High</v>
      </c>
      <c r="L1578">
        <v>37</v>
      </c>
      <c r="M1578">
        <v>96</v>
      </c>
      <c r="N1578" t="str">
        <f>IF(Table13[[#This Row],[Price USD]]&lt;20,"Budget",IF(Table13[[#This Row],[Price USD]]&lt;=50,"Mid-range","Premium"))</f>
        <v>Premium</v>
      </c>
      <c r="O1578">
        <v>0</v>
      </c>
      <c r="P1578">
        <v>0</v>
      </c>
    </row>
    <row r="1579" spans="1:16" x14ac:dyDescent="0.25">
      <c r="A1579" t="s">
        <v>3934</v>
      </c>
      <c r="B1579" t="s">
        <v>3935</v>
      </c>
      <c r="C1579">
        <v>6201</v>
      </c>
      <c r="D1579" t="s">
        <v>367</v>
      </c>
      <c r="E1579" t="s">
        <v>144</v>
      </c>
      <c r="F1579">
        <v>3320</v>
      </c>
      <c r="G15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79">
        <v>4.3</v>
      </c>
      <c r="J1579" t="str">
        <f>IF(ISBLANK(Table13[[#This Row],[Rating]]), "No", "Yes")</f>
        <v>Yes</v>
      </c>
      <c r="K1579" t="str">
        <f>IF(ISBLANK(Table13[[#This Row],[Rating]]), "Not Rated", IF(Table13[[#This Row],[Rating]] &lt; 3, "Low", IF(Table13[[#This Row],[Rating]] &lt; 4, "Medium", "High")))</f>
        <v>High</v>
      </c>
      <c r="L1579">
        <v>10</v>
      </c>
      <c r="M1579">
        <v>100</v>
      </c>
      <c r="N1579" t="str">
        <f>IF(Table13[[#This Row],[Price USD]]&lt;20,"Budget",IF(Table13[[#This Row],[Price USD]]&lt;=50,"Mid-range","Premium"))</f>
        <v>Premium</v>
      </c>
      <c r="O1579">
        <v>0</v>
      </c>
      <c r="P1579">
        <v>0</v>
      </c>
    </row>
    <row r="1580" spans="1:16" x14ac:dyDescent="0.25">
      <c r="A1580" t="s">
        <v>3932</v>
      </c>
      <c r="B1580" t="s">
        <v>3933</v>
      </c>
      <c r="C1580">
        <v>6371</v>
      </c>
      <c r="D1580" t="s">
        <v>2583</v>
      </c>
      <c r="E1580" t="s">
        <v>21</v>
      </c>
      <c r="F1580">
        <v>3322</v>
      </c>
      <c r="G15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0">
        <v>4.1776</v>
      </c>
      <c r="J1580" t="str">
        <f>IF(ISBLANK(Table13[[#This Row],[Rating]]), "No", "Yes")</f>
        <v>Yes</v>
      </c>
      <c r="K1580" t="str">
        <f>IF(ISBLANK(Table13[[#This Row],[Rating]]), "Not Rated", IF(Table13[[#This Row],[Rating]] &lt; 3, "Low", IF(Table13[[#This Row],[Rating]] &lt; 4, "Medium", "High")))</f>
        <v>High</v>
      </c>
      <c r="L1580">
        <v>490</v>
      </c>
      <c r="M1580">
        <v>36</v>
      </c>
      <c r="N1580" t="str">
        <f>IF(Table13[[#This Row],[Price USD]]&lt;20,"Budget",IF(Table13[[#This Row],[Price USD]]&lt;=50,"Mid-range","Premium"))</f>
        <v>Mid-range</v>
      </c>
      <c r="O1580">
        <v>0</v>
      </c>
      <c r="P1580">
        <v>0</v>
      </c>
    </row>
    <row r="1581" spans="1:16" x14ac:dyDescent="0.25">
      <c r="A1581" t="s">
        <v>3930</v>
      </c>
      <c r="B1581" t="s">
        <v>3931</v>
      </c>
      <c r="C1581">
        <v>6358</v>
      </c>
      <c r="D1581" t="s">
        <v>2301</v>
      </c>
      <c r="E1581" t="s">
        <v>220</v>
      </c>
      <c r="F1581">
        <v>3322</v>
      </c>
      <c r="G15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1">
        <v>4.5263</v>
      </c>
      <c r="J1581" t="str">
        <f>IF(ISBLANK(Table13[[#This Row],[Rating]]), "No", "Yes")</f>
        <v>Yes</v>
      </c>
      <c r="K1581" t="str">
        <f>IF(ISBLANK(Table13[[#This Row],[Rating]]), "Not Rated", IF(Table13[[#This Row],[Rating]] &lt; 3, "Low", IF(Table13[[#This Row],[Rating]] &lt; 4, "Medium", "High")))</f>
        <v>High</v>
      </c>
      <c r="L1581">
        <v>19</v>
      </c>
      <c r="M1581">
        <v>89</v>
      </c>
      <c r="N1581" t="str">
        <f>IF(Table13[[#This Row],[Price USD]]&lt;20,"Budget",IF(Table13[[#This Row],[Price USD]]&lt;=50,"Mid-range","Premium"))</f>
        <v>Premium</v>
      </c>
      <c r="O1581">
        <v>0</v>
      </c>
      <c r="P1581">
        <v>0</v>
      </c>
    </row>
    <row r="1582" spans="1:16" x14ac:dyDescent="0.25">
      <c r="A1582" t="s">
        <v>3928</v>
      </c>
      <c r="B1582" t="s">
        <v>3929</v>
      </c>
      <c r="C1582">
        <v>5644</v>
      </c>
      <c r="D1582" t="s">
        <v>158</v>
      </c>
      <c r="E1582" t="s">
        <v>21</v>
      </c>
      <c r="F1582">
        <v>3331</v>
      </c>
      <c r="G15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2">
        <v>4.5</v>
      </c>
      <c r="J1582" t="str">
        <f>IF(ISBLANK(Table13[[#This Row],[Rating]]), "No", "Yes")</f>
        <v>Yes</v>
      </c>
      <c r="K1582" t="str">
        <f>IF(ISBLANK(Table13[[#This Row],[Rating]]), "Not Rated", IF(Table13[[#This Row],[Rating]] &lt; 3, "Low", IF(Table13[[#This Row],[Rating]] &lt; 4, "Medium", "High")))</f>
        <v>High</v>
      </c>
      <c r="L1582">
        <v>2</v>
      </c>
      <c r="M1582">
        <v>110</v>
      </c>
      <c r="N1582" t="str">
        <f>IF(Table13[[#This Row],[Price USD]]&lt;20,"Budget",IF(Table13[[#This Row],[Price USD]]&lt;=50,"Mid-range","Premium"))</f>
        <v>Premium</v>
      </c>
      <c r="O1582">
        <v>0</v>
      </c>
      <c r="P1582">
        <v>0</v>
      </c>
    </row>
    <row r="1583" spans="1:16" x14ac:dyDescent="0.25">
      <c r="A1583" t="s">
        <v>3926</v>
      </c>
      <c r="B1583" t="s">
        <v>3927</v>
      </c>
      <c r="C1583">
        <v>6272</v>
      </c>
      <c r="D1583" t="s">
        <v>1711</v>
      </c>
      <c r="E1583" t="s">
        <v>347</v>
      </c>
      <c r="F1583">
        <v>3334</v>
      </c>
      <c r="G15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3">
        <v>4.1429</v>
      </c>
      <c r="J1583" t="str">
        <f>IF(ISBLANK(Table13[[#This Row],[Rating]]), "No", "Yes")</f>
        <v>Yes</v>
      </c>
      <c r="K1583" t="str">
        <f>IF(ISBLANK(Table13[[#This Row],[Rating]]), "Not Rated", IF(Table13[[#This Row],[Rating]] &lt; 3, "Low", IF(Table13[[#This Row],[Rating]] &lt; 4, "Medium", "High")))</f>
        <v>High</v>
      </c>
      <c r="L1583">
        <v>7</v>
      </c>
      <c r="M1583">
        <v>49</v>
      </c>
      <c r="N1583" t="str">
        <f>IF(Table13[[#This Row],[Price USD]]&lt;20,"Budget",IF(Table13[[#This Row],[Price USD]]&lt;=50,"Mid-range","Premium"))</f>
        <v>Mid-range</v>
      </c>
      <c r="O1583">
        <v>0</v>
      </c>
      <c r="P1583">
        <v>0</v>
      </c>
    </row>
    <row r="1584" spans="1:16" x14ac:dyDescent="0.25">
      <c r="A1584" t="s">
        <v>3924</v>
      </c>
      <c r="B1584" t="s">
        <v>3925</v>
      </c>
      <c r="C1584">
        <v>6309</v>
      </c>
      <c r="D1584" t="s">
        <v>1735</v>
      </c>
      <c r="E1584" t="s">
        <v>220</v>
      </c>
      <c r="F1584">
        <v>3354</v>
      </c>
      <c r="G15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4">
        <v>3.5556000000000001</v>
      </c>
      <c r="J1584" t="str">
        <f>IF(ISBLANK(Table13[[#This Row],[Rating]]), "No", "Yes")</f>
        <v>Yes</v>
      </c>
      <c r="K1584" t="str">
        <f>IF(ISBLANK(Table13[[#This Row],[Rating]]), "Not Rated", IF(Table13[[#This Row],[Rating]] &lt; 3, "Low", IF(Table13[[#This Row],[Rating]] &lt; 4, "Medium", "High")))</f>
        <v>Medium</v>
      </c>
      <c r="L1584">
        <v>27</v>
      </c>
      <c r="M1584">
        <v>48</v>
      </c>
      <c r="N1584" t="str">
        <f>IF(Table13[[#This Row],[Price USD]]&lt;20,"Budget",IF(Table13[[#This Row],[Price USD]]&lt;=50,"Mid-range","Premium"))</f>
        <v>Mid-range</v>
      </c>
      <c r="O1584">
        <v>0</v>
      </c>
      <c r="P1584">
        <v>0</v>
      </c>
    </row>
    <row r="1585" spans="1:16" x14ac:dyDescent="0.25">
      <c r="A1585" t="s">
        <v>3922</v>
      </c>
      <c r="B1585" t="s">
        <v>3923</v>
      </c>
      <c r="C1585">
        <v>5648</v>
      </c>
      <c r="D1585" t="s">
        <v>408</v>
      </c>
      <c r="E1585" t="s">
        <v>144</v>
      </c>
      <c r="F1585">
        <v>3357</v>
      </c>
      <c r="G15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5">
        <v>3.4285999999999999</v>
      </c>
      <c r="J1585" t="str">
        <f>IF(ISBLANK(Table13[[#This Row],[Rating]]), "No", "Yes")</f>
        <v>Yes</v>
      </c>
      <c r="K1585" t="str">
        <f>IF(ISBLANK(Table13[[#This Row],[Rating]]), "Not Rated", IF(Table13[[#This Row],[Rating]] &lt; 3, "Low", IF(Table13[[#This Row],[Rating]] &lt; 4, "Medium", "High")))</f>
        <v>Medium</v>
      </c>
      <c r="L1585">
        <v>14</v>
      </c>
      <c r="M1585">
        <v>9</v>
      </c>
      <c r="N1585" t="str">
        <f>IF(Table13[[#This Row],[Price USD]]&lt;20,"Budget",IF(Table13[[#This Row],[Price USD]]&lt;=50,"Mid-range","Premium"))</f>
        <v>Budget</v>
      </c>
      <c r="O1585">
        <v>0</v>
      </c>
      <c r="P1585">
        <v>1</v>
      </c>
    </row>
    <row r="1586" spans="1:16" x14ac:dyDescent="0.25">
      <c r="A1586" t="s">
        <v>3920</v>
      </c>
      <c r="B1586" t="s">
        <v>3921</v>
      </c>
      <c r="C1586">
        <v>6084</v>
      </c>
      <c r="D1586" t="s">
        <v>269</v>
      </c>
      <c r="E1586" t="s">
        <v>21</v>
      </c>
      <c r="F1586">
        <v>3361</v>
      </c>
      <c r="G15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6">
        <v>4.1878000000000002</v>
      </c>
      <c r="J1586" t="str">
        <f>IF(ISBLANK(Table13[[#This Row],[Rating]]), "No", "Yes")</f>
        <v>Yes</v>
      </c>
      <c r="K1586" t="str">
        <f>IF(ISBLANK(Table13[[#This Row],[Rating]]), "Not Rated", IF(Table13[[#This Row],[Rating]] &lt; 3, "Low", IF(Table13[[#This Row],[Rating]] &lt; 4, "Medium", "High")))</f>
        <v>High</v>
      </c>
      <c r="L1586">
        <v>442</v>
      </c>
      <c r="M1586">
        <v>255</v>
      </c>
      <c r="N1586" t="str">
        <f>IF(Table13[[#This Row],[Price USD]]&lt;20,"Budget",IF(Table13[[#This Row],[Price USD]]&lt;=50,"Mid-range","Premium"))</f>
        <v>Premium</v>
      </c>
      <c r="O1586">
        <v>0</v>
      </c>
      <c r="P1586">
        <v>0</v>
      </c>
    </row>
    <row r="1587" spans="1:16" x14ac:dyDescent="0.25">
      <c r="A1587" t="s">
        <v>3918</v>
      </c>
      <c r="B1587" t="s">
        <v>3919</v>
      </c>
      <c r="C1587">
        <v>4348</v>
      </c>
      <c r="D1587" t="s">
        <v>61</v>
      </c>
      <c r="E1587" t="s">
        <v>21</v>
      </c>
      <c r="F1587">
        <v>3371</v>
      </c>
      <c r="G15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7">
        <v>4.0065</v>
      </c>
      <c r="J1587" t="str">
        <f>IF(ISBLANK(Table13[[#This Row],[Rating]]), "No", "Yes")</f>
        <v>Yes</v>
      </c>
      <c r="K1587" t="str">
        <f>IF(ISBLANK(Table13[[#This Row],[Rating]]), "Not Rated", IF(Table13[[#This Row],[Rating]] &lt; 3, "Low", IF(Table13[[#This Row],[Rating]] &lt; 4, "Medium", "High")))</f>
        <v>High</v>
      </c>
      <c r="L1587">
        <v>153</v>
      </c>
      <c r="M1587">
        <v>95</v>
      </c>
      <c r="N1587" t="str">
        <f>IF(Table13[[#This Row],[Price USD]]&lt;20,"Budget",IF(Table13[[#This Row],[Price USD]]&lt;=50,"Mid-range","Premium"))</f>
        <v>Premium</v>
      </c>
      <c r="O1587">
        <v>0</v>
      </c>
      <c r="P1587">
        <v>0</v>
      </c>
    </row>
    <row r="1588" spans="1:16" x14ac:dyDescent="0.25">
      <c r="A1588" t="s">
        <v>3916</v>
      </c>
      <c r="B1588" t="s">
        <v>3917</v>
      </c>
      <c r="C1588">
        <v>5946</v>
      </c>
      <c r="D1588" t="s">
        <v>341</v>
      </c>
      <c r="E1588" t="s">
        <v>220</v>
      </c>
      <c r="F1588">
        <v>3372</v>
      </c>
      <c r="G15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8">
        <v>4.9066999999999998</v>
      </c>
      <c r="J1588" t="str">
        <f>IF(ISBLANK(Table13[[#This Row],[Rating]]), "No", "Yes")</f>
        <v>Yes</v>
      </c>
      <c r="K1588" t="str">
        <f>IF(ISBLANK(Table13[[#This Row],[Rating]]), "Not Rated", IF(Table13[[#This Row],[Rating]] &lt; 3, "Low", IF(Table13[[#This Row],[Rating]] &lt; 4, "Medium", "High")))</f>
        <v>High</v>
      </c>
      <c r="L1588">
        <v>75</v>
      </c>
      <c r="M1588">
        <v>72</v>
      </c>
      <c r="N1588" t="str">
        <f>IF(Table13[[#This Row],[Price USD]]&lt;20,"Budget",IF(Table13[[#This Row],[Price USD]]&lt;=50,"Mid-range","Premium"))</f>
        <v>Premium</v>
      </c>
      <c r="O1588">
        <v>0</v>
      </c>
      <c r="P1588">
        <v>0</v>
      </c>
    </row>
    <row r="1589" spans="1:16" x14ac:dyDescent="0.25">
      <c r="A1589" t="s">
        <v>3914</v>
      </c>
      <c r="B1589" t="s">
        <v>3915</v>
      </c>
      <c r="C1589">
        <v>6302</v>
      </c>
      <c r="D1589" t="s">
        <v>2721</v>
      </c>
      <c r="E1589" t="s">
        <v>144</v>
      </c>
      <c r="F1589">
        <v>3397</v>
      </c>
      <c r="G15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89">
        <v>3.3683999999999998</v>
      </c>
      <c r="J1589" t="str">
        <f>IF(ISBLANK(Table13[[#This Row],[Rating]]), "No", "Yes")</f>
        <v>Yes</v>
      </c>
      <c r="K1589" t="str">
        <f>IF(ISBLANK(Table13[[#This Row],[Rating]]), "Not Rated", IF(Table13[[#This Row],[Rating]] &lt; 3, "Low", IF(Table13[[#This Row],[Rating]] &lt; 4, "Medium", "High")))</f>
        <v>Medium</v>
      </c>
      <c r="L1589">
        <v>38</v>
      </c>
      <c r="M1589">
        <v>130</v>
      </c>
      <c r="N1589" t="str">
        <f>IF(Table13[[#This Row],[Price USD]]&lt;20,"Budget",IF(Table13[[#This Row],[Price USD]]&lt;=50,"Mid-range","Premium"))</f>
        <v>Premium</v>
      </c>
      <c r="O1589">
        <v>0</v>
      </c>
      <c r="P1589">
        <v>0</v>
      </c>
    </row>
    <row r="1590" spans="1:16" x14ac:dyDescent="0.25">
      <c r="A1590" t="s">
        <v>3912</v>
      </c>
      <c r="B1590" t="s">
        <v>3913</v>
      </c>
      <c r="C1590">
        <v>6283</v>
      </c>
      <c r="D1590" t="s">
        <v>1696</v>
      </c>
      <c r="E1590" t="s">
        <v>149</v>
      </c>
      <c r="F1590">
        <v>3406</v>
      </c>
      <c r="G15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0">
        <v>3.8824000000000001</v>
      </c>
      <c r="J1590" t="str">
        <f>IF(ISBLANK(Table13[[#This Row],[Rating]]), "No", "Yes")</f>
        <v>Yes</v>
      </c>
      <c r="K1590" t="str">
        <f>IF(ISBLANK(Table13[[#This Row],[Rating]]), "Not Rated", IF(Table13[[#This Row],[Rating]] &lt; 3, "Low", IF(Table13[[#This Row],[Rating]] &lt; 4, "Medium", "High")))</f>
        <v>Medium</v>
      </c>
      <c r="L1590">
        <v>17</v>
      </c>
      <c r="M1590">
        <v>82</v>
      </c>
      <c r="N1590" t="str">
        <f>IF(Table13[[#This Row],[Price USD]]&lt;20,"Budget",IF(Table13[[#This Row],[Price USD]]&lt;=50,"Mid-range","Premium"))</f>
        <v>Premium</v>
      </c>
      <c r="O1590">
        <v>0</v>
      </c>
      <c r="P1590">
        <v>0</v>
      </c>
    </row>
    <row r="1591" spans="1:16" x14ac:dyDescent="0.25">
      <c r="A1591" t="s">
        <v>3910</v>
      </c>
      <c r="B1591" t="s">
        <v>3911</v>
      </c>
      <c r="C1591">
        <v>2366</v>
      </c>
      <c r="D1591" t="s">
        <v>2276</v>
      </c>
      <c r="E1591" t="s">
        <v>149</v>
      </c>
      <c r="F1591">
        <v>3415</v>
      </c>
      <c r="G15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1">
        <v>3.6</v>
      </c>
      <c r="J1591" t="str">
        <f>IF(ISBLANK(Table13[[#This Row],[Rating]]), "No", "Yes")</f>
        <v>Yes</v>
      </c>
      <c r="K1591" t="str">
        <f>IF(ISBLANK(Table13[[#This Row],[Rating]]), "Not Rated", IF(Table13[[#This Row],[Rating]] &lt; 3, "Low", IF(Table13[[#This Row],[Rating]] &lt; 4, "Medium", "High")))</f>
        <v>Medium</v>
      </c>
      <c r="L1591">
        <v>10</v>
      </c>
      <c r="M1591">
        <v>60</v>
      </c>
      <c r="N1591" t="str">
        <f>IF(Table13[[#This Row],[Price USD]]&lt;20,"Budget",IF(Table13[[#This Row],[Price USD]]&lt;=50,"Mid-range","Premium"))</f>
        <v>Premium</v>
      </c>
      <c r="O1591">
        <v>0</v>
      </c>
      <c r="P1591">
        <v>0</v>
      </c>
    </row>
    <row r="1592" spans="1:16" x14ac:dyDescent="0.25">
      <c r="A1592" t="s">
        <v>3908</v>
      </c>
      <c r="B1592" t="s">
        <v>3909</v>
      </c>
      <c r="C1592">
        <v>3902</v>
      </c>
      <c r="D1592" t="s">
        <v>72</v>
      </c>
      <c r="E1592" t="s">
        <v>347</v>
      </c>
      <c r="F1592">
        <v>3419</v>
      </c>
      <c r="G15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2">
        <v>4.1429</v>
      </c>
      <c r="J1592" t="str">
        <f>IF(ISBLANK(Table13[[#This Row],[Rating]]), "No", "Yes")</f>
        <v>Yes</v>
      </c>
      <c r="K1592" t="str">
        <f>IF(ISBLANK(Table13[[#This Row],[Rating]]), "Not Rated", IF(Table13[[#This Row],[Rating]] &lt; 3, "Low", IF(Table13[[#This Row],[Rating]] &lt; 4, "Medium", "High")))</f>
        <v>High</v>
      </c>
      <c r="L1592">
        <v>7</v>
      </c>
      <c r="M1592">
        <v>8</v>
      </c>
      <c r="N1592" t="str">
        <f>IF(Table13[[#This Row],[Price USD]]&lt;20,"Budget",IF(Table13[[#This Row],[Price USD]]&lt;=50,"Mid-range","Premium"))</f>
        <v>Budget</v>
      </c>
      <c r="O1592">
        <v>0</v>
      </c>
      <c r="P1592">
        <v>0</v>
      </c>
    </row>
    <row r="1593" spans="1:16" x14ac:dyDescent="0.25">
      <c r="A1593" t="s">
        <v>3906</v>
      </c>
      <c r="B1593" t="s">
        <v>3907</v>
      </c>
      <c r="C1593">
        <v>6169</v>
      </c>
      <c r="D1593" t="s">
        <v>24</v>
      </c>
      <c r="E1593" t="s">
        <v>149</v>
      </c>
      <c r="F1593">
        <v>3420</v>
      </c>
      <c r="G15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3">
        <v>4.8</v>
      </c>
      <c r="J1593" t="str">
        <f>IF(ISBLANK(Table13[[#This Row],[Rating]]), "No", "Yes")</f>
        <v>Yes</v>
      </c>
      <c r="K1593" t="str">
        <f>IF(ISBLANK(Table13[[#This Row],[Rating]]), "Not Rated", IF(Table13[[#This Row],[Rating]] &lt; 3, "Low", IF(Table13[[#This Row],[Rating]] &lt; 4, "Medium", "High")))</f>
        <v>High</v>
      </c>
      <c r="L1593">
        <v>45</v>
      </c>
      <c r="M1593">
        <v>48</v>
      </c>
      <c r="N1593" t="str">
        <f>IF(Table13[[#This Row],[Price USD]]&lt;20,"Budget",IF(Table13[[#This Row],[Price USD]]&lt;=50,"Mid-range","Premium"))</f>
        <v>Mid-range</v>
      </c>
      <c r="O1593">
        <v>1</v>
      </c>
      <c r="P1593">
        <v>0</v>
      </c>
    </row>
    <row r="1594" spans="1:16" x14ac:dyDescent="0.25">
      <c r="A1594" t="s">
        <v>3904</v>
      </c>
      <c r="B1594" t="s">
        <v>3905</v>
      </c>
      <c r="C1594">
        <v>1132</v>
      </c>
      <c r="D1594" t="s">
        <v>1319</v>
      </c>
      <c r="E1594" t="s">
        <v>149</v>
      </c>
      <c r="F1594">
        <v>3420</v>
      </c>
      <c r="G15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4">
        <v>3.7856999999999998</v>
      </c>
      <c r="J1594" t="str">
        <f>IF(ISBLANK(Table13[[#This Row],[Rating]]), "No", "Yes")</f>
        <v>Yes</v>
      </c>
      <c r="K1594" t="str">
        <f>IF(ISBLANK(Table13[[#This Row],[Rating]]), "Not Rated", IF(Table13[[#This Row],[Rating]] &lt; 3, "Low", IF(Table13[[#This Row],[Rating]] &lt; 4, "Medium", "High")))</f>
        <v>Medium</v>
      </c>
      <c r="L1594">
        <v>14</v>
      </c>
      <c r="M1594">
        <v>110</v>
      </c>
      <c r="N1594" t="str">
        <f>IF(Table13[[#This Row],[Price USD]]&lt;20,"Budget",IF(Table13[[#This Row],[Price USD]]&lt;=50,"Mid-range","Premium"))</f>
        <v>Premium</v>
      </c>
      <c r="O1594">
        <v>0</v>
      </c>
      <c r="P1594">
        <v>0</v>
      </c>
    </row>
    <row r="1595" spans="1:16" x14ac:dyDescent="0.25">
      <c r="A1595" t="s">
        <v>3902</v>
      </c>
      <c r="B1595" t="s">
        <v>3903</v>
      </c>
      <c r="C1595">
        <v>6334</v>
      </c>
      <c r="D1595" t="s">
        <v>2819</v>
      </c>
      <c r="E1595" t="s">
        <v>8</v>
      </c>
      <c r="F1595">
        <v>3425</v>
      </c>
      <c r="G15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5">
        <v>4.4095000000000004</v>
      </c>
      <c r="J1595" t="str">
        <f>IF(ISBLANK(Table13[[#This Row],[Rating]]), "No", "Yes")</f>
        <v>Yes</v>
      </c>
      <c r="K1595" t="str">
        <f>IF(ISBLANK(Table13[[#This Row],[Rating]]), "Not Rated", IF(Table13[[#This Row],[Rating]] &lt; 3, "Low", IF(Table13[[#This Row],[Rating]] &lt; 4, "Medium", "High")))</f>
        <v>High</v>
      </c>
      <c r="L1595">
        <v>105</v>
      </c>
      <c r="M1595">
        <v>42</v>
      </c>
      <c r="N1595" t="str">
        <f>IF(Table13[[#This Row],[Price USD]]&lt;20,"Budget",IF(Table13[[#This Row],[Price USD]]&lt;=50,"Mid-range","Premium"))</f>
        <v>Mid-range</v>
      </c>
      <c r="O1595">
        <v>0</v>
      </c>
      <c r="P1595">
        <v>0</v>
      </c>
    </row>
    <row r="1596" spans="1:16" x14ac:dyDescent="0.25">
      <c r="A1596" t="s">
        <v>3900</v>
      </c>
      <c r="B1596" t="s">
        <v>3901</v>
      </c>
      <c r="C1596">
        <v>6201</v>
      </c>
      <c r="D1596" t="s">
        <v>367</v>
      </c>
      <c r="E1596" t="s">
        <v>220</v>
      </c>
      <c r="F1596">
        <v>3433</v>
      </c>
      <c r="G15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6">
        <v>3</v>
      </c>
      <c r="J1596" t="str">
        <f>IF(ISBLANK(Table13[[#This Row],[Rating]]), "No", "Yes")</f>
        <v>Yes</v>
      </c>
      <c r="K1596" t="str">
        <f>IF(ISBLANK(Table13[[#This Row],[Rating]]), "Not Rated", IF(Table13[[#This Row],[Rating]] &lt; 3, "Low", IF(Table13[[#This Row],[Rating]] &lt; 4, "Medium", "High")))</f>
        <v>Medium</v>
      </c>
      <c r="L1596">
        <v>2</v>
      </c>
      <c r="M1596">
        <v>200</v>
      </c>
      <c r="N1596" t="str">
        <f>IF(Table13[[#This Row],[Price USD]]&lt;20,"Budget",IF(Table13[[#This Row],[Price USD]]&lt;=50,"Mid-range","Premium"))</f>
        <v>Premium</v>
      </c>
      <c r="O1596">
        <v>0</v>
      </c>
      <c r="P1596">
        <v>0</v>
      </c>
    </row>
    <row r="1597" spans="1:16" x14ac:dyDescent="0.25">
      <c r="A1597" t="s">
        <v>3898</v>
      </c>
      <c r="B1597" t="s">
        <v>3899</v>
      </c>
      <c r="C1597">
        <v>6349</v>
      </c>
      <c r="D1597" t="s">
        <v>2031</v>
      </c>
      <c r="E1597" t="s">
        <v>13</v>
      </c>
      <c r="F1597">
        <v>3446</v>
      </c>
      <c r="G15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7">
        <v>4.7929000000000004</v>
      </c>
      <c r="J1597" t="str">
        <f>IF(ISBLANK(Table13[[#This Row],[Rating]]), "No", "Yes")</f>
        <v>Yes</v>
      </c>
      <c r="K1597" t="str">
        <f>IF(ISBLANK(Table13[[#This Row],[Rating]]), "Not Rated", IF(Table13[[#This Row],[Rating]] &lt; 3, "Low", IF(Table13[[#This Row],[Rating]] &lt; 4, "Medium", "High")))</f>
        <v>High</v>
      </c>
      <c r="L1597">
        <v>198</v>
      </c>
      <c r="M1597">
        <v>38</v>
      </c>
      <c r="N1597" t="str">
        <f>IF(Table13[[#This Row],[Price USD]]&lt;20,"Budget",IF(Table13[[#This Row],[Price USD]]&lt;=50,"Mid-range","Premium"))</f>
        <v>Mid-range</v>
      </c>
      <c r="O1597">
        <v>0</v>
      </c>
      <c r="P1597">
        <v>0</v>
      </c>
    </row>
    <row r="1598" spans="1:16" x14ac:dyDescent="0.25">
      <c r="A1598" t="s">
        <v>3896</v>
      </c>
      <c r="B1598" t="s">
        <v>3897</v>
      </c>
      <c r="C1598">
        <v>1741</v>
      </c>
      <c r="D1598" t="s">
        <v>388</v>
      </c>
      <c r="E1598" t="s">
        <v>21</v>
      </c>
      <c r="F1598">
        <v>3448</v>
      </c>
      <c r="G15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8">
        <v>3.8108</v>
      </c>
      <c r="J1598" t="str">
        <f>IF(ISBLANK(Table13[[#This Row],[Rating]]), "No", "Yes")</f>
        <v>Yes</v>
      </c>
      <c r="K1598" t="str">
        <f>IF(ISBLANK(Table13[[#This Row],[Rating]]), "Not Rated", IF(Table13[[#This Row],[Rating]] &lt; 3, "Low", IF(Table13[[#This Row],[Rating]] &lt; 4, "Medium", "High")))</f>
        <v>Medium</v>
      </c>
      <c r="L1598">
        <v>37</v>
      </c>
      <c r="M1598">
        <v>135</v>
      </c>
      <c r="N1598" t="str">
        <f>IF(Table13[[#This Row],[Price USD]]&lt;20,"Budget",IF(Table13[[#This Row],[Price USD]]&lt;=50,"Mid-range","Premium"))</f>
        <v>Premium</v>
      </c>
      <c r="O1598">
        <v>0</v>
      </c>
      <c r="P1598">
        <v>0</v>
      </c>
    </row>
    <row r="1599" spans="1:16" x14ac:dyDescent="0.25">
      <c r="A1599" t="s">
        <v>3894</v>
      </c>
      <c r="B1599" t="s">
        <v>3895</v>
      </c>
      <c r="C1599">
        <v>1254</v>
      </c>
      <c r="D1599" t="s">
        <v>136</v>
      </c>
      <c r="E1599" t="s">
        <v>13</v>
      </c>
      <c r="F1599">
        <v>3470</v>
      </c>
      <c r="G15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5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599">
        <v>3.6429</v>
      </c>
      <c r="J1599" t="str">
        <f>IF(ISBLANK(Table13[[#This Row],[Rating]]), "No", "Yes")</f>
        <v>Yes</v>
      </c>
      <c r="K1599" t="str">
        <f>IF(ISBLANK(Table13[[#This Row],[Rating]]), "Not Rated", IF(Table13[[#This Row],[Rating]] &lt; 3, "Low", IF(Table13[[#This Row],[Rating]] &lt; 4, "Medium", "High")))</f>
        <v>Medium</v>
      </c>
      <c r="L1599">
        <v>42</v>
      </c>
      <c r="M1599">
        <v>32</v>
      </c>
      <c r="N1599" t="str">
        <f>IF(Table13[[#This Row],[Price USD]]&lt;20,"Budget",IF(Table13[[#This Row],[Price USD]]&lt;=50,"Mid-range","Premium"))</f>
        <v>Mid-range</v>
      </c>
      <c r="O1599">
        <v>0</v>
      </c>
      <c r="P1599">
        <v>0</v>
      </c>
    </row>
    <row r="1600" spans="1:16" x14ac:dyDescent="0.25">
      <c r="A1600" t="s">
        <v>3892</v>
      </c>
      <c r="B1600" t="s">
        <v>3893</v>
      </c>
      <c r="C1600">
        <v>5922</v>
      </c>
      <c r="D1600" t="s">
        <v>204</v>
      </c>
      <c r="E1600" t="s">
        <v>21</v>
      </c>
      <c r="F1600">
        <v>3498</v>
      </c>
      <c r="G16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0">
        <v>4.7518000000000002</v>
      </c>
      <c r="J1600" t="str">
        <f>IF(ISBLANK(Table13[[#This Row],[Rating]]), "No", "Yes")</f>
        <v>Yes</v>
      </c>
      <c r="K1600" t="str">
        <f>IF(ISBLANK(Table13[[#This Row],[Rating]]), "Not Rated", IF(Table13[[#This Row],[Rating]] &lt; 3, "Low", IF(Table13[[#This Row],[Rating]] &lt; 4, "Medium", "High")))</f>
        <v>High</v>
      </c>
      <c r="L1600">
        <v>278</v>
      </c>
      <c r="M1600">
        <v>54</v>
      </c>
      <c r="N1600" t="str">
        <f>IF(Table13[[#This Row],[Price USD]]&lt;20,"Budget",IF(Table13[[#This Row],[Price USD]]&lt;=50,"Mid-range","Premium"))</f>
        <v>Premium</v>
      </c>
      <c r="O1600">
        <v>0</v>
      </c>
      <c r="P1600">
        <v>0</v>
      </c>
    </row>
    <row r="1601" spans="1:16" x14ac:dyDescent="0.25">
      <c r="A1601" t="s">
        <v>3890</v>
      </c>
      <c r="B1601" t="s">
        <v>3891</v>
      </c>
      <c r="C1601">
        <v>3733</v>
      </c>
      <c r="D1601" t="s">
        <v>124</v>
      </c>
      <c r="E1601" t="s">
        <v>21</v>
      </c>
      <c r="F1601">
        <v>3509</v>
      </c>
      <c r="G16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1">
        <v>4.5965999999999996</v>
      </c>
      <c r="J1601" t="str">
        <f>IF(ISBLANK(Table13[[#This Row],[Rating]]), "No", "Yes")</f>
        <v>Yes</v>
      </c>
      <c r="K1601" t="str">
        <f>IF(ISBLANK(Table13[[#This Row],[Rating]]), "Not Rated", IF(Table13[[#This Row],[Rating]] &lt; 3, "Low", IF(Table13[[#This Row],[Rating]] &lt; 4, "Medium", "High")))</f>
        <v>High</v>
      </c>
      <c r="L1601">
        <v>119</v>
      </c>
      <c r="M1601">
        <v>36</v>
      </c>
      <c r="N1601" t="str">
        <f>IF(Table13[[#This Row],[Price USD]]&lt;20,"Budget",IF(Table13[[#This Row],[Price USD]]&lt;=50,"Mid-range","Premium"))</f>
        <v>Mid-range</v>
      </c>
      <c r="O1601">
        <v>0</v>
      </c>
      <c r="P1601">
        <v>0</v>
      </c>
    </row>
    <row r="1602" spans="1:16" x14ac:dyDescent="0.25">
      <c r="A1602" t="s">
        <v>3888</v>
      </c>
      <c r="B1602" t="s">
        <v>3889</v>
      </c>
      <c r="C1602">
        <v>6218</v>
      </c>
      <c r="D1602" t="s">
        <v>116</v>
      </c>
      <c r="E1602" t="s">
        <v>21</v>
      </c>
      <c r="F1602">
        <v>3510</v>
      </c>
      <c r="G16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2">
        <v>3.6</v>
      </c>
      <c r="J1602" t="str">
        <f>IF(ISBLANK(Table13[[#This Row],[Rating]]), "No", "Yes")</f>
        <v>Yes</v>
      </c>
      <c r="K1602" t="str">
        <f>IF(ISBLANK(Table13[[#This Row],[Rating]]), "Not Rated", IF(Table13[[#This Row],[Rating]] &lt; 3, "Low", IF(Table13[[#This Row],[Rating]] &lt; 4, "Medium", "High")))</f>
        <v>Medium</v>
      </c>
      <c r="L1602">
        <v>15</v>
      </c>
      <c r="M1602">
        <v>95</v>
      </c>
      <c r="N1602" t="str">
        <f>IF(Table13[[#This Row],[Price USD]]&lt;20,"Budget",IF(Table13[[#This Row],[Price USD]]&lt;=50,"Mid-range","Premium"))</f>
        <v>Premium</v>
      </c>
      <c r="O1602">
        <v>0</v>
      </c>
      <c r="P1602">
        <v>0</v>
      </c>
    </row>
    <row r="1603" spans="1:16" x14ac:dyDescent="0.25">
      <c r="A1603" t="s">
        <v>3886</v>
      </c>
      <c r="B1603" t="s">
        <v>3887</v>
      </c>
      <c r="C1603">
        <v>1073</v>
      </c>
      <c r="D1603" t="s">
        <v>767</v>
      </c>
      <c r="E1603" t="s">
        <v>21</v>
      </c>
      <c r="F1603">
        <v>3512</v>
      </c>
      <c r="G16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3">
        <v>4.6416000000000004</v>
      </c>
      <c r="J1603" t="str">
        <f>IF(ISBLANK(Table13[[#This Row],[Rating]]), "No", "Yes")</f>
        <v>Yes</v>
      </c>
      <c r="K1603" t="str">
        <f>IF(ISBLANK(Table13[[#This Row],[Rating]]), "Not Rated", IF(Table13[[#This Row],[Rating]] &lt; 3, "Low", IF(Table13[[#This Row],[Rating]] &lt; 4, "Medium", "High")))</f>
        <v>High</v>
      </c>
      <c r="L1603">
        <v>611</v>
      </c>
      <c r="M1603">
        <v>60</v>
      </c>
      <c r="N1603" t="str">
        <f>IF(Table13[[#This Row],[Price USD]]&lt;20,"Budget",IF(Table13[[#This Row],[Price USD]]&lt;=50,"Mid-range","Premium"))</f>
        <v>Premium</v>
      </c>
      <c r="O1603">
        <v>0</v>
      </c>
      <c r="P1603">
        <v>0</v>
      </c>
    </row>
    <row r="1604" spans="1:16" x14ac:dyDescent="0.25">
      <c r="A1604" t="s">
        <v>3884</v>
      </c>
      <c r="B1604" t="s">
        <v>3885</v>
      </c>
      <c r="C1604">
        <v>6218</v>
      </c>
      <c r="D1604" t="s">
        <v>116</v>
      </c>
      <c r="E1604" t="s">
        <v>13</v>
      </c>
      <c r="F1604">
        <v>3514</v>
      </c>
      <c r="G16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4">
        <v>5</v>
      </c>
      <c r="J1604" t="str">
        <f>IF(ISBLANK(Table13[[#This Row],[Rating]]), "No", "Yes")</f>
        <v>Yes</v>
      </c>
      <c r="K1604" t="str">
        <f>IF(ISBLANK(Table13[[#This Row],[Rating]]), "Not Rated", IF(Table13[[#This Row],[Rating]] &lt; 3, "Low", IF(Table13[[#This Row],[Rating]] &lt; 4, "Medium", "High")))</f>
        <v>High</v>
      </c>
      <c r="L1604">
        <v>3</v>
      </c>
      <c r="M1604">
        <v>18</v>
      </c>
      <c r="N1604" t="str">
        <f>IF(Table13[[#This Row],[Price USD]]&lt;20,"Budget",IF(Table13[[#This Row],[Price USD]]&lt;=50,"Mid-range","Premium"))</f>
        <v>Budget</v>
      </c>
      <c r="O1604">
        <v>0</v>
      </c>
      <c r="P1604">
        <v>0</v>
      </c>
    </row>
    <row r="1605" spans="1:16" x14ac:dyDescent="0.25">
      <c r="A1605" t="s">
        <v>3882</v>
      </c>
      <c r="B1605" t="s">
        <v>3883</v>
      </c>
      <c r="C1605">
        <v>3733</v>
      </c>
      <c r="D1605" t="s">
        <v>124</v>
      </c>
      <c r="E1605" t="s">
        <v>21</v>
      </c>
      <c r="F1605">
        <v>3524</v>
      </c>
      <c r="G16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5">
        <v>4.2667000000000002</v>
      </c>
      <c r="J1605" t="str">
        <f>IF(ISBLANK(Table13[[#This Row],[Rating]]), "No", "Yes")</f>
        <v>Yes</v>
      </c>
      <c r="K1605" t="str">
        <f>IF(ISBLANK(Table13[[#This Row],[Rating]]), "Not Rated", IF(Table13[[#This Row],[Rating]] &lt; 3, "Low", IF(Table13[[#This Row],[Rating]] &lt; 4, "Medium", "High")))</f>
        <v>High</v>
      </c>
      <c r="L1605">
        <v>15</v>
      </c>
      <c r="M1605">
        <v>71</v>
      </c>
      <c r="N1605" t="str">
        <f>IF(Table13[[#This Row],[Price USD]]&lt;20,"Budget",IF(Table13[[#This Row],[Price USD]]&lt;=50,"Mid-range","Premium"))</f>
        <v>Premium</v>
      </c>
      <c r="O1605">
        <v>0</v>
      </c>
      <c r="P1605">
        <v>0</v>
      </c>
    </row>
    <row r="1606" spans="1:16" x14ac:dyDescent="0.25">
      <c r="A1606" t="s">
        <v>3880</v>
      </c>
      <c r="B1606" t="s">
        <v>3881</v>
      </c>
      <c r="C1606">
        <v>5879</v>
      </c>
      <c r="D1606" t="s">
        <v>3589</v>
      </c>
      <c r="E1606" t="s">
        <v>21</v>
      </c>
      <c r="F1606">
        <v>3526</v>
      </c>
      <c r="G16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6">
        <v>4.7691999999999997</v>
      </c>
      <c r="J1606" t="str">
        <f>IF(ISBLANK(Table13[[#This Row],[Rating]]), "No", "Yes")</f>
        <v>Yes</v>
      </c>
      <c r="K1606" t="str">
        <f>IF(ISBLANK(Table13[[#This Row],[Rating]]), "Not Rated", IF(Table13[[#This Row],[Rating]] &lt; 3, "Low", IF(Table13[[#This Row],[Rating]] &lt; 4, "Medium", "High")))</f>
        <v>High</v>
      </c>
      <c r="L1606">
        <v>52</v>
      </c>
      <c r="M1606">
        <v>65</v>
      </c>
      <c r="N1606" t="str">
        <f>IF(Table13[[#This Row],[Price USD]]&lt;20,"Budget",IF(Table13[[#This Row],[Price USD]]&lt;=50,"Mid-range","Premium"))</f>
        <v>Premium</v>
      </c>
      <c r="O1606">
        <v>0</v>
      </c>
      <c r="P1606">
        <v>0</v>
      </c>
    </row>
    <row r="1607" spans="1:16" x14ac:dyDescent="0.25">
      <c r="A1607" t="s">
        <v>3878</v>
      </c>
      <c r="B1607" t="s">
        <v>3879</v>
      </c>
      <c r="C1607">
        <v>6302</v>
      </c>
      <c r="D1607" t="s">
        <v>2721</v>
      </c>
      <c r="E1607" t="s">
        <v>8</v>
      </c>
      <c r="F1607">
        <v>3528</v>
      </c>
      <c r="G16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7">
        <v>3.6326999999999998</v>
      </c>
      <c r="J1607" t="str">
        <f>IF(ISBLANK(Table13[[#This Row],[Rating]]), "No", "Yes")</f>
        <v>Yes</v>
      </c>
      <c r="K1607" t="str">
        <f>IF(ISBLANK(Table13[[#This Row],[Rating]]), "Not Rated", IF(Table13[[#This Row],[Rating]] &lt; 3, "Low", IF(Table13[[#This Row],[Rating]] &lt; 4, "Medium", "High")))</f>
        <v>Medium</v>
      </c>
      <c r="L1607">
        <v>49</v>
      </c>
      <c r="M1607">
        <v>150</v>
      </c>
      <c r="N1607" t="str">
        <f>IF(Table13[[#This Row],[Price USD]]&lt;20,"Budget",IF(Table13[[#This Row],[Price USD]]&lt;=50,"Mid-range","Premium"))</f>
        <v>Premium</v>
      </c>
      <c r="O1607">
        <v>0</v>
      </c>
      <c r="P1607">
        <v>0</v>
      </c>
    </row>
    <row r="1608" spans="1:16" x14ac:dyDescent="0.25">
      <c r="A1608" t="s">
        <v>3876</v>
      </c>
      <c r="B1608" t="s">
        <v>3877</v>
      </c>
      <c r="C1608">
        <v>6302</v>
      </c>
      <c r="D1608" t="s">
        <v>2721</v>
      </c>
      <c r="E1608" t="s">
        <v>49</v>
      </c>
      <c r="F1608">
        <v>3538</v>
      </c>
      <c r="G16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8">
        <v>2.7164000000000001</v>
      </c>
      <c r="J1608" t="str">
        <f>IF(ISBLANK(Table13[[#This Row],[Rating]]), "No", "Yes")</f>
        <v>Yes</v>
      </c>
      <c r="K1608" t="str">
        <f>IF(ISBLANK(Table13[[#This Row],[Rating]]), "Not Rated", IF(Table13[[#This Row],[Rating]] &lt; 3, "Low", IF(Table13[[#This Row],[Rating]] &lt; 4, "Medium", "High")))</f>
        <v>Low</v>
      </c>
      <c r="L1608">
        <v>67</v>
      </c>
      <c r="M1608">
        <v>150</v>
      </c>
      <c r="N1608" t="str">
        <f>IF(Table13[[#This Row],[Price USD]]&lt;20,"Budget",IF(Table13[[#This Row],[Price USD]]&lt;=50,"Mid-range","Premium"))</f>
        <v>Premium</v>
      </c>
      <c r="O1608">
        <v>0</v>
      </c>
      <c r="P1608">
        <v>0</v>
      </c>
    </row>
    <row r="1609" spans="1:16" x14ac:dyDescent="0.25">
      <c r="A1609" t="s">
        <v>3874</v>
      </c>
      <c r="B1609" t="s">
        <v>3875</v>
      </c>
      <c r="C1609">
        <v>4348</v>
      </c>
      <c r="D1609" t="s">
        <v>61</v>
      </c>
      <c r="E1609" t="s">
        <v>69</v>
      </c>
      <c r="F1609">
        <v>3539</v>
      </c>
      <c r="G16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09">
        <v>5</v>
      </c>
      <c r="J1609" t="str">
        <f>IF(ISBLANK(Table13[[#This Row],[Rating]]), "No", "Yes")</f>
        <v>Yes</v>
      </c>
      <c r="K1609" t="str">
        <f>IF(ISBLANK(Table13[[#This Row],[Rating]]), "Not Rated", IF(Table13[[#This Row],[Rating]] &lt; 3, "Low", IF(Table13[[#This Row],[Rating]] &lt; 4, "Medium", "High")))</f>
        <v>High</v>
      </c>
      <c r="L1609">
        <v>1</v>
      </c>
      <c r="M1609">
        <v>28</v>
      </c>
      <c r="N1609" t="str">
        <f>IF(Table13[[#This Row],[Price USD]]&lt;20,"Budget",IF(Table13[[#This Row],[Price USD]]&lt;=50,"Mid-range","Premium"))</f>
        <v>Mid-range</v>
      </c>
      <c r="O1609">
        <v>1</v>
      </c>
      <c r="P1609">
        <v>0</v>
      </c>
    </row>
    <row r="1610" spans="1:16" x14ac:dyDescent="0.25">
      <c r="A1610" t="s">
        <v>3872</v>
      </c>
      <c r="B1610" t="s">
        <v>3873</v>
      </c>
      <c r="C1610">
        <v>6307</v>
      </c>
      <c r="D1610" t="s">
        <v>1132</v>
      </c>
      <c r="E1610" t="s">
        <v>21</v>
      </c>
      <c r="F1610">
        <v>3539</v>
      </c>
      <c r="G16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0">
        <v>5</v>
      </c>
      <c r="J1610" t="str">
        <f>IF(ISBLANK(Table13[[#This Row],[Rating]]), "No", "Yes")</f>
        <v>Yes</v>
      </c>
      <c r="K1610" t="str">
        <f>IF(ISBLANK(Table13[[#This Row],[Rating]]), "Not Rated", IF(Table13[[#This Row],[Rating]] &lt; 3, "Low", IF(Table13[[#This Row],[Rating]] &lt; 4, "Medium", "High")))</f>
        <v>High</v>
      </c>
      <c r="L1610">
        <v>4</v>
      </c>
      <c r="M1610">
        <v>68</v>
      </c>
      <c r="N1610" t="str">
        <f>IF(Table13[[#This Row],[Price USD]]&lt;20,"Budget",IF(Table13[[#This Row],[Price USD]]&lt;=50,"Mid-range","Premium"))</f>
        <v>Premium</v>
      </c>
      <c r="O1610">
        <v>0</v>
      </c>
      <c r="P1610">
        <v>0</v>
      </c>
    </row>
    <row r="1611" spans="1:16" x14ac:dyDescent="0.25">
      <c r="A1611" t="s">
        <v>3870</v>
      </c>
      <c r="B1611" t="s">
        <v>3871</v>
      </c>
      <c r="C1611">
        <v>3902</v>
      </c>
      <c r="D1611" t="s">
        <v>72</v>
      </c>
      <c r="E1611" t="s">
        <v>106</v>
      </c>
      <c r="F1611">
        <v>3544</v>
      </c>
      <c r="G16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1">
        <v>3.4839000000000002</v>
      </c>
      <c r="J1611" t="str">
        <f>IF(ISBLANK(Table13[[#This Row],[Rating]]), "No", "Yes")</f>
        <v>Yes</v>
      </c>
      <c r="K1611" t="str">
        <f>IF(ISBLANK(Table13[[#This Row],[Rating]]), "Not Rated", IF(Table13[[#This Row],[Rating]] &lt; 3, "Low", IF(Table13[[#This Row],[Rating]] &lt; 4, "Medium", "High")))</f>
        <v>Medium</v>
      </c>
      <c r="L1611">
        <v>31</v>
      </c>
      <c r="M1611">
        <v>18</v>
      </c>
      <c r="N1611" t="str">
        <f>IF(Table13[[#This Row],[Price USD]]&lt;20,"Budget",IF(Table13[[#This Row],[Price USD]]&lt;=50,"Mid-range","Premium"))</f>
        <v>Budget</v>
      </c>
      <c r="O1611">
        <v>0</v>
      </c>
      <c r="P1611">
        <v>0</v>
      </c>
    </row>
    <row r="1612" spans="1:16" x14ac:dyDescent="0.25">
      <c r="A1612" t="s">
        <v>3868</v>
      </c>
      <c r="B1612" t="s">
        <v>3869</v>
      </c>
      <c r="C1612">
        <v>6373</v>
      </c>
      <c r="D1612" t="s">
        <v>1652</v>
      </c>
      <c r="E1612" t="s">
        <v>13</v>
      </c>
      <c r="F1612">
        <v>3585</v>
      </c>
      <c r="G16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2">
        <v>4.32</v>
      </c>
      <c r="J1612" t="str">
        <f>IF(ISBLANK(Table13[[#This Row],[Rating]]), "No", "Yes")</f>
        <v>Yes</v>
      </c>
      <c r="K1612" t="str">
        <f>IF(ISBLANK(Table13[[#This Row],[Rating]]), "Not Rated", IF(Table13[[#This Row],[Rating]] &lt; 3, "Low", IF(Table13[[#This Row],[Rating]] &lt; 4, "Medium", "High")))</f>
        <v>High</v>
      </c>
      <c r="L1612">
        <v>50</v>
      </c>
      <c r="M1612">
        <v>34</v>
      </c>
      <c r="N1612" t="str">
        <f>IF(Table13[[#This Row],[Price USD]]&lt;20,"Budget",IF(Table13[[#This Row],[Price USD]]&lt;=50,"Mid-range","Premium"))</f>
        <v>Mid-range</v>
      </c>
      <c r="O1612">
        <v>0</v>
      </c>
      <c r="P1612">
        <v>0</v>
      </c>
    </row>
    <row r="1613" spans="1:16" x14ac:dyDescent="0.25">
      <c r="A1613" t="s">
        <v>3866</v>
      </c>
      <c r="B1613" t="s">
        <v>3867</v>
      </c>
      <c r="C1613">
        <v>6209</v>
      </c>
      <c r="D1613" t="s">
        <v>45</v>
      </c>
      <c r="E1613" t="s">
        <v>220</v>
      </c>
      <c r="F1613">
        <v>3592</v>
      </c>
      <c r="G16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3">
        <v>4.2222</v>
      </c>
      <c r="J1613" t="str">
        <f>IF(ISBLANK(Table13[[#This Row],[Rating]]), "No", "Yes")</f>
        <v>Yes</v>
      </c>
      <c r="K1613" t="str">
        <f>IF(ISBLANK(Table13[[#This Row],[Rating]]), "Not Rated", IF(Table13[[#This Row],[Rating]] &lt; 3, "Low", IF(Table13[[#This Row],[Rating]] &lt; 4, "Medium", "High")))</f>
        <v>High</v>
      </c>
      <c r="L1613">
        <v>18</v>
      </c>
      <c r="M1613">
        <v>48</v>
      </c>
      <c r="N1613" t="str">
        <f>IF(Table13[[#This Row],[Price USD]]&lt;20,"Budget",IF(Table13[[#This Row],[Price USD]]&lt;=50,"Mid-range","Premium"))</f>
        <v>Mid-range</v>
      </c>
      <c r="O1613">
        <v>0</v>
      </c>
      <c r="P1613">
        <v>0</v>
      </c>
    </row>
    <row r="1614" spans="1:16" x14ac:dyDescent="0.25">
      <c r="A1614" t="s">
        <v>3864</v>
      </c>
      <c r="B1614" t="s">
        <v>3865</v>
      </c>
      <c r="C1614">
        <v>8012</v>
      </c>
      <c r="D1614" t="s">
        <v>2864</v>
      </c>
      <c r="E1614" t="s">
        <v>8</v>
      </c>
      <c r="F1614">
        <v>3597</v>
      </c>
      <c r="G16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4">
        <v>4.5758000000000001</v>
      </c>
      <c r="J1614" t="str">
        <f>IF(ISBLANK(Table13[[#This Row],[Rating]]), "No", "Yes")</f>
        <v>Yes</v>
      </c>
      <c r="K1614" t="str">
        <f>IF(ISBLANK(Table13[[#This Row],[Rating]]), "Not Rated", IF(Table13[[#This Row],[Rating]] &lt; 3, "Low", IF(Table13[[#This Row],[Rating]] &lt; 4, "Medium", "High")))</f>
        <v>High</v>
      </c>
      <c r="L1614">
        <v>99</v>
      </c>
      <c r="M1614">
        <v>39</v>
      </c>
      <c r="N1614" t="str">
        <f>IF(Table13[[#This Row],[Price USD]]&lt;20,"Budget",IF(Table13[[#This Row],[Price USD]]&lt;=50,"Mid-range","Premium"))</f>
        <v>Mid-range</v>
      </c>
      <c r="O1614">
        <v>0</v>
      </c>
      <c r="P1614">
        <v>0</v>
      </c>
    </row>
    <row r="1615" spans="1:16" x14ac:dyDescent="0.25">
      <c r="A1615" t="s">
        <v>3862</v>
      </c>
      <c r="B1615" t="s">
        <v>3863</v>
      </c>
      <c r="C1615">
        <v>6114</v>
      </c>
      <c r="D1615" t="s">
        <v>1355</v>
      </c>
      <c r="E1615" t="s">
        <v>347</v>
      </c>
      <c r="F1615">
        <v>3602</v>
      </c>
      <c r="G16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5">
        <v>4.7069000000000001</v>
      </c>
      <c r="J1615" t="str">
        <f>IF(ISBLANK(Table13[[#This Row],[Rating]]), "No", "Yes")</f>
        <v>Yes</v>
      </c>
      <c r="K1615" t="str">
        <f>IF(ISBLANK(Table13[[#This Row],[Rating]]), "Not Rated", IF(Table13[[#This Row],[Rating]] &lt; 3, "Low", IF(Table13[[#This Row],[Rating]] &lt; 4, "Medium", "High")))</f>
        <v>High</v>
      </c>
      <c r="L1615">
        <v>58</v>
      </c>
      <c r="M1615">
        <v>179</v>
      </c>
      <c r="N1615" t="str">
        <f>IF(Table13[[#This Row],[Price USD]]&lt;20,"Budget",IF(Table13[[#This Row],[Price USD]]&lt;=50,"Mid-range","Premium"))</f>
        <v>Premium</v>
      </c>
      <c r="O1615">
        <v>0</v>
      </c>
      <c r="P1615">
        <v>0</v>
      </c>
    </row>
    <row r="1616" spans="1:16" x14ac:dyDescent="0.25">
      <c r="A1616" t="s">
        <v>3860</v>
      </c>
      <c r="B1616" t="s">
        <v>3861</v>
      </c>
      <c r="C1616">
        <v>6283</v>
      </c>
      <c r="D1616" t="s">
        <v>1696</v>
      </c>
      <c r="E1616" t="s">
        <v>13</v>
      </c>
      <c r="F1616">
        <v>3612</v>
      </c>
      <c r="G16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6">
        <v>4.5454999999999997</v>
      </c>
      <c r="J1616" t="str">
        <f>IF(ISBLANK(Table13[[#This Row],[Rating]]), "No", "Yes")</f>
        <v>Yes</v>
      </c>
      <c r="K1616" t="str">
        <f>IF(ISBLANK(Table13[[#This Row],[Rating]]), "Not Rated", IF(Table13[[#This Row],[Rating]] &lt; 3, "Low", IF(Table13[[#This Row],[Rating]] &lt; 4, "Medium", "High")))</f>
        <v>High</v>
      </c>
      <c r="L1616">
        <v>77</v>
      </c>
      <c r="M1616">
        <v>38</v>
      </c>
      <c r="N1616" t="str">
        <f>IF(Table13[[#This Row],[Price USD]]&lt;20,"Budget",IF(Table13[[#This Row],[Price USD]]&lt;=50,"Mid-range","Premium"))</f>
        <v>Mid-range</v>
      </c>
      <c r="O1616">
        <v>0</v>
      </c>
      <c r="P1616">
        <v>0</v>
      </c>
    </row>
    <row r="1617" spans="1:16" x14ac:dyDescent="0.25">
      <c r="A1617" t="s">
        <v>3858</v>
      </c>
      <c r="B1617" t="s">
        <v>3859</v>
      </c>
      <c r="C1617">
        <v>6307</v>
      </c>
      <c r="D1617" t="s">
        <v>1132</v>
      </c>
      <c r="E1617" t="s">
        <v>21</v>
      </c>
      <c r="F1617">
        <v>3616</v>
      </c>
      <c r="G16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7">
        <v>4.4766000000000004</v>
      </c>
      <c r="J1617" t="str">
        <f>IF(ISBLANK(Table13[[#This Row],[Rating]]), "No", "Yes")</f>
        <v>Yes</v>
      </c>
      <c r="K1617" t="str">
        <f>IF(ISBLANK(Table13[[#This Row],[Rating]]), "Not Rated", IF(Table13[[#This Row],[Rating]] &lt; 3, "Low", IF(Table13[[#This Row],[Rating]] &lt; 4, "Medium", "High")))</f>
        <v>High</v>
      </c>
      <c r="L1617">
        <v>342</v>
      </c>
      <c r="M1617">
        <v>260</v>
      </c>
      <c r="N1617" t="str">
        <f>IF(Table13[[#This Row],[Price USD]]&lt;20,"Budget",IF(Table13[[#This Row],[Price USD]]&lt;=50,"Mid-range","Premium"))</f>
        <v>Premium</v>
      </c>
      <c r="O1617">
        <v>0</v>
      </c>
      <c r="P1617">
        <v>0</v>
      </c>
    </row>
    <row r="1618" spans="1:16" x14ac:dyDescent="0.25">
      <c r="A1618" t="s">
        <v>3856</v>
      </c>
      <c r="B1618" t="s">
        <v>3857</v>
      </c>
      <c r="C1618">
        <v>5668</v>
      </c>
      <c r="D1618" t="s">
        <v>93</v>
      </c>
      <c r="E1618" t="s">
        <v>220</v>
      </c>
      <c r="F1618">
        <v>3622</v>
      </c>
      <c r="G16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8">
        <v>4.6295999999999999</v>
      </c>
      <c r="J1618" t="str">
        <f>IF(ISBLANK(Table13[[#This Row],[Rating]]), "No", "Yes")</f>
        <v>Yes</v>
      </c>
      <c r="K1618" t="str">
        <f>IF(ISBLANK(Table13[[#This Row],[Rating]]), "Not Rated", IF(Table13[[#This Row],[Rating]] &lt; 3, "Low", IF(Table13[[#This Row],[Rating]] &lt; 4, "Medium", "High")))</f>
        <v>High</v>
      </c>
      <c r="L1618">
        <v>27</v>
      </c>
      <c r="M1618">
        <v>92</v>
      </c>
      <c r="N1618" t="str">
        <f>IF(Table13[[#This Row],[Price USD]]&lt;20,"Budget",IF(Table13[[#This Row],[Price USD]]&lt;=50,"Mid-range","Premium"))</f>
        <v>Premium</v>
      </c>
      <c r="O1618">
        <v>0</v>
      </c>
      <c r="P1618">
        <v>0</v>
      </c>
    </row>
    <row r="1619" spans="1:16" x14ac:dyDescent="0.25">
      <c r="A1619" t="s">
        <v>3854</v>
      </c>
      <c r="B1619" t="s">
        <v>3855</v>
      </c>
      <c r="C1619">
        <v>6195</v>
      </c>
      <c r="D1619" t="s">
        <v>163</v>
      </c>
      <c r="E1619" t="s">
        <v>220</v>
      </c>
      <c r="F1619">
        <v>3629</v>
      </c>
      <c r="G16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19">
        <v>3.6667000000000001</v>
      </c>
      <c r="J1619" t="str">
        <f>IF(ISBLANK(Table13[[#This Row],[Rating]]), "No", "Yes")</f>
        <v>Yes</v>
      </c>
      <c r="K1619" t="str">
        <f>IF(ISBLANK(Table13[[#This Row],[Rating]]), "Not Rated", IF(Table13[[#This Row],[Rating]] &lt; 3, "Low", IF(Table13[[#This Row],[Rating]] &lt; 4, "Medium", "High")))</f>
        <v>Medium</v>
      </c>
      <c r="L1619">
        <v>3</v>
      </c>
      <c r="M1619">
        <v>74</v>
      </c>
      <c r="N1619" t="str">
        <f>IF(Table13[[#This Row],[Price USD]]&lt;20,"Budget",IF(Table13[[#This Row],[Price USD]]&lt;=50,"Mid-range","Premium"))</f>
        <v>Premium</v>
      </c>
      <c r="O1619">
        <v>1</v>
      </c>
      <c r="P1619">
        <v>0</v>
      </c>
    </row>
    <row r="1620" spans="1:16" x14ac:dyDescent="0.25">
      <c r="A1620" t="s">
        <v>3852</v>
      </c>
      <c r="B1620" t="s">
        <v>3853</v>
      </c>
      <c r="C1620">
        <v>7091</v>
      </c>
      <c r="D1620" t="s">
        <v>879</v>
      </c>
      <c r="E1620" t="s">
        <v>106</v>
      </c>
      <c r="F1620">
        <v>3650</v>
      </c>
      <c r="G16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0">
        <v>4</v>
      </c>
      <c r="J1620" t="str">
        <f>IF(ISBLANK(Table13[[#This Row],[Rating]]), "No", "Yes")</f>
        <v>Yes</v>
      </c>
      <c r="K1620" t="str">
        <f>IF(ISBLANK(Table13[[#This Row],[Rating]]), "Not Rated", IF(Table13[[#This Row],[Rating]] &lt; 3, "Low", IF(Table13[[#This Row],[Rating]] &lt; 4, "Medium", "High")))</f>
        <v>High</v>
      </c>
      <c r="L1620">
        <v>27</v>
      </c>
      <c r="M1620">
        <v>48</v>
      </c>
      <c r="N1620" t="str">
        <f>IF(Table13[[#This Row],[Price USD]]&lt;20,"Budget",IF(Table13[[#This Row],[Price USD]]&lt;=50,"Mid-range","Premium"))</f>
        <v>Mid-range</v>
      </c>
      <c r="O1620">
        <v>0</v>
      </c>
      <c r="P1620">
        <v>0</v>
      </c>
    </row>
    <row r="1621" spans="1:16" x14ac:dyDescent="0.25">
      <c r="A1621" t="s">
        <v>3850</v>
      </c>
      <c r="B1621" t="s">
        <v>3851</v>
      </c>
      <c r="C1621">
        <v>6751</v>
      </c>
      <c r="D1621" t="s">
        <v>1738</v>
      </c>
      <c r="E1621" t="s">
        <v>8</v>
      </c>
      <c r="F1621">
        <v>3669</v>
      </c>
      <c r="G16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1">
        <v>3.7778</v>
      </c>
      <c r="J1621" t="str">
        <f>IF(ISBLANK(Table13[[#This Row],[Rating]]), "No", "Yes")</f>
        <v>Yes</v>
      </c>
      <c r="K1621" t="str">
        <f>IF(ISBLANK(Table13[[#This Row],[Rating]]), "Not Rated", IF(Table13[[#This Row],[Rating]] &lt; 3, "Low", IF(Table13[[#This Row],[Rating]] &lt; 4, "Medium", "High")))</f>
        <v>Medium</v>
      </c>
      <c r="L1621">
        <v>9</v>
      </c>
      <c r="M1621">
        <v>35</v>
      </c>
      <c r="N1621" t="str">
        <f>IF(Table13[[#This Row],[Price USD]]&lt;20,"Budget",IF(Table13[[#This Row],[Price USD]]&lt;=50,"Mid-range","Premium"))</f>
        <v>Mid-range</v>
      </c>
      <c r="O1621">
        <v>1</v>
      </c>
      <c r="P1621">
        <v>0</v>
      </c>
    </row>
    <row r="1622" spans="1:16" x14ac:dyDescent="0.25">
      <c r="A1622" t="s">
        <v>3848</v>
      </c>
      <c r="B1622" t="s">
        <v>3849</v>
      </c>
      <c r="C1622">
        <v>6302</v>
      </c>
      <c r="D1622" t="s">
        <v>2721</v>
      </c>
      <c r="E1622" t="s">
        <v>220</v>
      </c>
      <c r="F1622">
        <v>3701</v>
      </c>
      <c r="G16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2">
        <v>3.1111</v>
      </c>
      <c r="J1622" t="str">
        <f>IF(ISBLANK(Table13[[#This Row],[Rating]]), "No", "Yes")</f>
        <v>Yes</v>
      </c>
      <c r="K1622" t="str">
        <f>IF(ISBLANK(Table13[[#This Row],[Rating]]), "Not Rated", IF(Table13[[#This Row],[Rating]] &lt; 3, "Low", IF(Table13[[#This Row],[Rating]] &lt; 4, "Medium", "High")))</f>
        <v>Medium</v>
      </c>
      <c r="L1622">
        <v>9</v>
      </c>
      <c r="M1622">
        <v>185</v>
      </c>
      <c r="N1622" t="str">
        <f>IF(Table13[[#This Row],[Price USD]]&lt;20,"Budget",IF(Table13[[#This Row],[Price USD]]&lt;=50,"Mid-range","Premium"))</f>
        <v>Premium</v>
      </c>
      <c r="O1622">
        <v>0</v>
      </c>
      <c r="P1622">
        <v>0</v>
      </c>
    </row>
    <row r="1623" spans="1:16" x14ac:dyDescent="0.25">
      <c r="A1623" t="s">
        <v>3846</v>
      </c>
      <c r="B1623" t="s">
        <v>3847</v>
      </c>
      <c r="C1623">
        <v>2082</v>
      </c>
      <c r="D1623" t="s">
        <v>594</v>
      </c>
      <c r="E1623" t="s">
        <v>13</v>
      </c>
      <c r="F1623">
        <v>3710</v>
      </c>
      <c r="G16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3">
        <v>3.8462000000000001</v>
      </c>
      <c r="J1623" t="str">
        <f>IF(ISBLANK(Table13[[#This Row],[Rating]]), "No", "Yes")</f>
        <v>Yes</v>
      </c>
      <c r="K1623" t="str">
        <f>IF(ISBLANK(Table13[[#This Row],[Rating]]), "Not Rated", IF(Table13[[#This Row],[Rating]] &lt; 3, "Low", IF(Table13[[#This Row],[Rating]] &lt; 4, "Medium", "High")))</f>
        <v>Medium</v>
      </c>
      <c r="L1623">
        <v>13</v>
      </c>
      <c r="M1623">
        <v>30</v>
      </c>
      <c r="N1623" t="str">
        <f>IF(Table13[[#This Row],[Price USD]]&lt;20,"Budget",IF(Table13[[#This Row],[Price USD]]&lt;=50,"Mid-range","Premium"))</f>
        <v>Mid-range</v>
      </c>
      <c r="O1623">
        <v>0</v>
      </c>
      <c r="P1623">
        <v>0</v>
      </c>
    </row>
    <row r="1624" spans="1:16" x14ac:dyDescent="0.25">
      <c r="A1624" t="s">
        <v>3844</v>
      </c>
      <c r="B1624" t="s">
        <v>3845</v>
      </c>
      <c r="C1624">
        <v>6335</v>
      </c>
      <c r="D1624" t="s">
        <v>2128</v>
      </c>
      <c r="E1624" t="s">
        <v>8</v>
      </c>
      <c r="F1624">
        <v>3724</v>
      </c>
      <c r="G16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4">
        <v>4.4409000000000001</v>
      </c>
      <c r="J1624" t="str">
        <f>IF(ISBLANK(Table13[[#This Row],[Rating]]), "No", "Yes")</f>
        <v>Yes</v>
      </c>
      <c r="K1624" t="str">
        <f>IF(ISBLANK(Table13[[#This Row],[Rating]]), "Not Rated", IF(Table13[[#This Row],[Rating]] &lt; 3, "Low", IF(Table13[[#This Row],[Rating]] &lt; 4, "Medium", "High")))</f>
        <v>High</v>
      </c>
      <c r="L1624">
        <v>127</v>
      </c>
      <c r="M1624">
        <v>58</v>
      </c>
      <c r="N1624" t="str">
        <f>IF(Table13[[#This Row],[Price USD]]&lt;20,"Budget",IF(Table13[[#This Row],[Price USD]]&lt;=50,"Mid-range","Premium"))</f>
        <v>Premium</v>
      </c>
      <c r="O1624">
        <v>0</v>
      </c>
      <c r="P1624">
        <v>0</v>
      </c>
    </row>
    <row r="1625" spans="1:16" x14ac:dyDescent="0.25">
      <c r="A1625" t="s">
        <v>3842</v>
      </c>
      <c r="B1625" t="s">
        <v>3843</v>
      </c>
      <c r="C1625">
        <v>6475</v>
      </c>
      <c r="D1625" t="s">
        <v>3011</v>
      </c>
      <c r="E1625" t="s">
        <v>21</v>
      </c>
      <c r="F1625">
        <v>3733</v>
      </c>
      <c r="G16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5">
        <v>4.4570999999999996</v>
      </c>
      <c r="J1625" t="str">
        <f>IF(ISBLANK(Table13[[#This Row],[Rating]]), "No", "Yes")</f>
        <v>Yes</v>
      </c>
      <c r="K1625" t="str">
        <f>IF(ISBLANK(Table13[[#This Row],[Rating]]), "Not Rated", IF(Table13[[#This Row],[Rating]] &lt; 3, "Low", IF(Table13[[#This Row],[Rating]] &lt; 4, "Medium", "High")))</f>
        <v>High</v>
      </c>
      <c r="L1625">
        <v>35</v>
      </c>
      <c r="M1625">
        <v>45</v>
      </c>
      <c r="N1625" t="str">
        <f>IF(Table13[[#This Row],[Price USD]]&lt;20,"Budget",IF(Table13[[#This Row],[Price USD]]&lt;=50,"Mid-range","Premium"))</f>
        <v>Mid-range</v>
      </c>
      <c r="O1625">
        <v>0</v>
      </c>
      <c r="P1625">
        <v>0</v>
      </c>
    </row>
    <row r="1626" spans="1:16" x14ac:dyDescent="0.25">
      <c r="A1626" t="s">
        <v>3840</v>
      </c>
      <c r="B1626" t="s">
        <v>3841</v>
      </c>
      <c r="C1626">
        <v>5972</v>
      </c>
      <c r="D1626" t="s">
        <v>54</v>
      </c>
      <c r="E1626" t="s">
        <v>220</v>
      </c>
      <c r="F1626">
        <v>3738</v>
      </c>
      <c r="G16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6">
        <v>4</v>
      </c>
      <c r="J1626" t="str">
        <f>IF(ISBLANK(Table13[[#This Row],[Rating]]), "No", "Yes")</f>
        <v>Yes</v>
      </c>
      <c r="K1626" t="str">
        <f>IF(ISBLANK(Table13[[#This Row],[Rating]]), "Not Rated", IF(Table13[[#This Row],[Rating]] &lt; 3, "Low", IF(Table13[[#This Row],[Rating]] &lt; 4, "Medium", "High")))</f>
        <v>High</v>
      </c>
      <c r="L1626">
        <v>4</v>
      </c>
      <c r="M1626">
        <v>30</v>
      </c>
      <c r="N1626" t="str">
        <f>IF(Table13[[#This Row],[Price USD]]&lt;20,"Budget",IF(Table13[[#This Row],[Price USD]]&lt;=50,"Mid-range","Premium"))</f>
        <v>Mid-range</v>
      </c>
      <c r="O1626">
        <v>0</v>
      </c>
      <c r="P1626">
        <v>0</v>
      </c>
    </row>
    <row r="1627" spans="1:16" x14ac:dyDescent="0.25">
      <c r="A1627" t="s">
        <v>3838</v>
      </c>
      <c r="B1627" t="s">
        <v>3839</v>
      </c>
      <c r="C1627">
        <v>3902</v>
      </c>
      <c r="D1627" t="s">
        <v>72</v>
      </c>
      <c r="E1627" t="s">
        <v>220</v>
      </c>
      <c r="F1627">
        <v>3742</v>
      </c>
      <c r="G16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7">
        <v>4.3333000000000004</v>
      </c>
      <c r="J1627" t="str">
        <f>IF(ISBLANK(Table13[[#This Row],[Rating]]), "No", "Yes")</f>
        <v>Yes</v>
      </c>
      <c r="K1627" t="str">
        <f>IF(ISBLANK(Table13[[#This Row],[Rating]]), "Not Rated", IF(Table13[[#This Row],[Rating]] &lt; 3, "Low", IF(Table13[[#This Row],[Rating]] &lt; 4, "Medium", "High")))</f>
        <v>High</v>
      </c>
      <c r="L1627">
        <v>6</v>
      </c>
      <c r="M1627">
        <v>20</v>
      </c>
      <c r="N1627" t="str">
        <f>IF(Table13[[#This Row],[Price USD]]&lt;20,"Budget",IF(Table13[[#This Row],[Price USD]]&lt;=50,"Mid-range","Premium"))</f>
        <v>Mid-range</v>
      </c>
      <c r="O1627">
        <v>0</v>
      </c>
      <c r="P1627">
        <v>0</v>
      </c>
    </row>
    <row r="1628" spans="1:16" x14ac:dyDescent="0.25">
      <c r="A1628" t="s">
        <v>3836</v>
      </c>
      <c r="B1628" t="s">
        <v>3837</v>
      </c>
      <c r="C1628">
        <v>5337</v>
      </c>
      <c r="D1628" t="s">
        <v>209</v>
      </c>
      <c r="E1628" t="s">
        <v>21</v>
      </c>
      <c r="F1628">
        <v>3749</v>
      </c>
      <c r="G16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8">
        <v>3.2726999999999999</v>
      </c>
      <c r="J1628" t="str">
        <f>IF(ISBLANK(Table13[[#This Row],[Rating]]), "No", "Yes")</f>
        <v>Yes</v>
      </c>
      <c r="K1628" t="str">
        <f>IF(ISBLANK(Table13[[#This Row],[Rating]]), "Not Rated", IF(Table13[[#This Row],[Rating]] &lt; 3, "Low", IF(Table13[[#This Row],[Rating]] &lt; 4, "Medium", "High")))</f>
        <v>Medium</v>
      </c>
      <c r="L1628">
        <v>22</v>
      </c>
      <c r="M1628">
        <v>110</v>
      </c>
      <c r="N1628" t="str">
        <f>IF(Table13[[#This Row],[Price USD]]&lt;20,"Budget",IF(Table13[[#This Row],[Price USD]]&lt;=50,"Mid-range","Premium"))</f>
        <v>Premium</v>
      </c>
      <c r="O1628">
        <v>0</v>
      </c>
      <c r="P1628">
        <v>0</v>
      </c>
    </row>
    <row r="1629" spans="1:16" x14ac:dyDescent="0.25">
      <c r="A1629" t="s">
        <v>3834</v>
      </c>
      <c r="B1629" t="s">
        <v>3835</v>
      </c>
      <c r="C1629">
        <v>6488</v>
      </c>
      <c r="D1629" t="s">
        <v>2933</v>
      </c>
      <c r="E1629" t="s">
        <v>149</v>
      </c>
      <c r="F1629">
        <v>3752</v>
      </c>
      <c r="G16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29">
        <v>4.3739999999999997</v>
      </c>
      <c r="J1629" t="str">
        <f>IF(ISBLANK(Table13[[#This Row],[Rating]]), "No", "Yes")</f>
        <v>Yes</v>
      </c>
      <c r="K1629" t="str">
        <f>IF(ISBLANK(Table13[[#This Row],[Rating]]), "Not Rated", IF(Table13[[#This Row],[Rating]] &lt; 3, "Low", IF(Table13[[#This Row],[Rating]] &lt; 4, "Medium", "High")))</f>
        <v>High</v>
      </c>
      <c r="L1629">
        <v>123</v>
      </c>
      <c r="M1629">
        <v>42</v>
      </c>
      <c r="N1629" t="str">
        <f>IF(Table13[[#This Row],[Price USD]]&lt;20,"Budget",IF(Table13[[#This Row],[Price USD]]&lt;=50,"Mid-range","Premium"))</f>
        <v>Mid-range</v>
      </c>
      <c r="O1629">
        <v>0</v>
      </c>
      <c r="P1629">
        <v>0</v>
      </c>
    </row>
    <row r="1630" spans="1:16" x14ac:dyDescent="0.25">
      <c r="A1630" t="s">
        <v>3832</v>
      </c>
      <c r="B1630" t="s">
        <v>3833</v>
      </c>
      <c r="C1630">
        <v>6294</v>
      </c>
      <c r="D1630" t="s">
        <v>1520</v>
      </c>
      <c r="E1630" t="s">
        <v>8</v>
      </c>
      <c r="F1630">
        <v>3758</v>
      </c>
      <c r="G16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0">
        <v>4.7544000000000004</v>
      </c>
      <c r="J1630" t="str">
        <f>IF(ISBLANK(Table13[[#This Row],[Rating]]), "No", "Yes")</f>
        <v>Yes</v>
      </c>
      <c r="K1630" t="str">
        <f>IF(ISBLANK(Table13[[#This Row],[Rating]]), "Not Rated", IF(Table13[[#This Row],[Rating]] &lt; 3, "Low", IF(Table13[[#This Row],[Rating]] &lt; 4, "Medium", "High")))</f>
        <v>High</v>
      </c>
      <c r="L1630">
        <v>57</v>
      </c>
      <c r="M1630">
        <v>70</v>
      </c>
      <c r="N1630" t="str">
        <f>IF(Table13[[#This Row],[Price USD]]&lt;20,"Budget",IF(Table13[[#This Row],[Price USD]]&lt;=50,"Mid-range","Premium"))</f>
        <v>Premium</v>
      </c>
      <c r="O1630">
        <v>0</v>
      </c>
      <c r="P1630">
        <v>0</v>
      </c>
    </row>
    <row r="1631" spans="1:16" x14ac:dyDescent="0.25">
      <c r="A1631" t="s">
        <v>3830</v>
      </c>
      <c r="B1631" t="s">
        <v>3831</v>
      </c>
      <c r="C1631">
        <v>8012</v>
      </c>
      <c r="D1631" t="s">
        <v>2864</v>
      </c>
      <c r="E1631" t="s">
        <v>8</v>
      </c>
      <c r="F1631">
        <v>3771</v>
      </c>
      <c r="G16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1">
        <v>4.7656000000000001</v>
      </c>
      <c r="J1631" t="str">
        <f>IF(ISBLANK(Table13[[#This Row],[Rating]]), "No", "Yes")</f>
        <v>Yes</v>
      </c>
      <c r="K1631" t="str">
        <f>IF(ISBLANK(Table13[[#This Row],[Rating]]), "Not Rated", IF(Table13[[#This Row],[Rating]] &lt; 3, "Low", IF(Table13[[#This Row],[Rating]] &lt; 4, "Medium", "High")))</f>
        <v>High</v>
      </c>
      <c r="L1631">
        <v>64</v>
      </c>
      <c r="M1631">
        <v>39</v>
      </c>
      <c r="N1631" t="str">
        <f>IF(Table13[[#This Row],[Price USD]]&lt;20,"Budget",IF(Table13[[#This Row],[Price USD]]&lt;=50,"Mid-range","Premium"))</f>
        <v>Mid-range</v>
      </c>
      <c r="O1631">
        <v>0</v>
      </c>
      <c r="P1631">
        <v>0</v>
      </c>
    </row>
    <row r="1632" spans="1:16" x14ac:dyDescent="0.25">
      <c r="A1632" t="s">
        <v>3828</v>
      </c>
      <c r="B1632" t="s">
        <v>3829</v>
      </c>
      <c r="C1632">
        <v>1741</v>
      </c>
      <c r="D1632" t="s">
        <v>388</v>
      </c>
      <c r="E1632" t="s">
        <v>69</v>
      </c>
      <c r="F1632">
        <v>3771</v>
      </c>
      <c r="G16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2">
        <v>3.5185</v>
      </c>
      <c r="J1632" t="str">
        <f>IF(ISBLANK(Table13[[#This Row],[Rating]]), "No", "Yes")</f>
        <v>Yes</v>
      </c>
      <c r="K1632" t="str">
        <f>IF(ISBLANK(Table13[[#This Row],[Rating]]), "Not Rated", IF(Table13[[#This Row],[Rating]] &lt; 3, "Low", IF(Table13[[#This Row],[Rating]] &lt; 4, "Medium", "High")))</f>
        <v>Medium</v>
      </c>
      <c r="L1632">
        <v>27</v>
      </c>
      <c r="M1632">
        <v>45</v>
      </c>
      <c r="N1632" t="str">
        <f>IF(Table13[[#This Row],[Price USD]]&lt;20,"Budget",IF(Table13[[#This Row],[Price USD]]&lt;=50,"Mid-range","Premium"))</f>
        <v>Mid-range</v>
      </c>
      <c r="O1632">
        <v>0</v>
      </c>
      <c r="P1632">
        <v>0</v>
      </c>
    </row>
    <row r="1633" spans="1:16" x14ac:dyDescent="0.25">
      <c r="A1633" t="s">
        <v>3826</v>
      </c>
      <c r="B1633" t="s">
        <v>3827</v>
      </c>
      <c r="C1633">
        <v>6130</v>
      </c>
      <c r="D1633" t="s">
        <v>200</v>
      </c>
      <c r="E1633" t="s">
        <v>201</v>
      </c>
      <c r="F1633">
        <v>3771</v>
      </c>
      <c r="G16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3">
        <v>4</v>
      </c>
      <c r="J1633" t="str">
        <f>IF(ISBLANK(Table13[[#This Row],[Rating]]), "No", "Yes")</f>
        <v>Yes</v>
      </c>
      <c r="K1633" t="str">
        <f>IF(ISBLANK(Table13[[#This Row],[Rating]]), "Not Rated", IF(Table13[[#This Row],[Rating]] &lt; 3, "Low", IF(Table13[[#This Row],[Rating]] &lt; 4, "Medium", "High")))</f>
        <v>High</v>
      </c>
      <c r="L1633">
        <v>8</v>
      </c>
      <c r="M1633">
        <v>55</v>
      </c>
      <c r="N1633" t="str">
        <f>IF(Table13[[#This Row],[Price USD]]&lt;20,"Budget",IF(Table13[[#This Row],[Price USD]]&lt;=50,"Mid-range","Premium"))</f>
        <v>Premium</v>
      </c>
      <c r="O1633">
        <v>0</v>
      </c>
      <c r="P1633">
        <v>0</v>
      </c>
    </row>
    <row r="1634" spans="1:16" x14ac:dyDescent="0.25">
      <c r="A1634" t="s">
        <v>3824</v>
      </c>
      <c r="B1634" t="s">
        <v>3825</v>
      </c>
      <c r="C1634">
        <v>4164</v>
      </c>
      <c r="D1634" t="s">
        <v>623</v>
      </c>
      <c r="E1634" t="s">
        <v>220</v>
      </c>
      <c r="F1634">
        <v>3779</v>
      </c>
      <c r="G16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4">
        <v>5</v>
      </c>
      <c r="J1634" t="str">
        <f>IF(ISBLANK(Table13[[#This Row],[Rating]]), "No", "Yes")</f>
        <v>Yes</v>
      </c>
      <c r="K1634" t="str">
        <f>IF(ISBLANK(Table13[[#This Row],[Rating]]), "Not Rated", IF(Table13[[#This Row],[Rating]] &lt; 3, "Low", IF(Table13[[#This Row],[Rating]] &lt; 4, "Medium", "High")))</f>
        <v>High</v>
      </c>
      <c r="L1634">
        <v>2</v>
      </c>
      <c r="M1634">
        <v>52</v>
      </c>
      <c r="N1634" t="str">
        <f>IF(Table13[[#This Row],[Price USD]]&lt;20,"Budget",IF(Table13[[#This Row],[Price USD]]&lt;=50,"Mid-range","Premium"))</f>
        <v>Premium</v>
      </c>
      <c r="O1634">
        <v>0</v>
      </c>
      <c r="P1634">
        <v>0</v>
      </c>
    </row>
    <row r="1635" spans="1:16" x14ac:dyDescent="0.25">
      <c r="A1635" t="s">
        <v>3822</v>
      </c>
      <c r="B1635" t="s">
        <v>3823</v>
      </c>
      <c r="C1635">
        <v>6358</v>
      </c>
      <c r="D1635" t="s">
        <v>2301</v>
      </c>
      <c r="E1635" t="s">
        <v>21</v>
      </c>
      <c r="F1635">
        <v>3783</v>
      </c>
      <c r="G16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5">
        <v>4.6848000000000001</v>
      </c>
      <c r="J1635" t="str">
        <f>IF(ISBLANK(Table13[[#This Row],[Rating]]), "No", "Yes")</f>
        <v>Yes</v>
      </c>
      <c r="K1635" t="str">
        <f>IF(ISBLANK(Table13[[#This Row],[Rating]]), "Not Rated", IF(Table13[[#This Row],[Rating]] &lt; 3, "Low", IF(Table13[[#This Row],[Rating]] &lt; 4, "Medium", "High")))</f>
        <v>High</v>
      </c>
      <c r="L1635">
        <v>92</v>
      </c>
      <c r="M1635">
        <v>82</v>
      </c>
      <c r="N1635" t="str">
        <f>IF(Table13[[#This Row],[Price USD]]&lt;20,"Budget",IF(Table13[[#This Row],[Price USD]]&lt;=50,"Mid-range","Premium"))</f>
        <v>Premium</v>
      </c>
      <c r="O1635">
        <v>0</v>
      </c>
      <c r="P1635">
        <v>0</v>
      </c>
    </row>
    <row r="1636" spans="1:16" x14ac:dyDescent="0.25">
      <c r="A1636" t="s">
        <v>3820</v>
      </c>
      <c r="B1636" t="s">
        <v>3821</v>
      </c>
      <c r="C1636">
        <v>6751</v>
      </c>
      <c r="D1636" t="s">
        <v>1738</v>
      </c>
      <c r="E1636" t="s">
        <v>13</v>
      </c>
      <c r="F1636">
        <v>3786</v>
      </c>
      <c r="G16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6">
        <v>3.7143000000000002</v>
      </c>
      <c r="J1636" t="str">
        <f>IF(ISBLANK(Table13[[#This Row],[Rating]]), "No", "Yes")</f>
        <v>Yes</v>
      </c>
      <c r="K1636" t="str">
        <f>IF(ISBLANK(Table13[[#This Row],[Rating]]), "Not Rated", IF(Table13[[#This Row],[Rating]] &lt; 3, "Low", IF(Table13[[#This Row],[Rating]] &lt; 4, "Medium", "High")))</f>
        <v>Medium</v>
      </c>
      <c r="L1636">
        <v>21</v>
      </c>
      <c r="M1636">
        <v>26</v>
      </c>
      <c r="N1636" t="str">
        <f>IF(Table13[[#This Row],[Price USD]]&lt;20,"Budget",IF(Table13[[#This Row],[Price USD]]&lt;=50,"Mid-range","Premium"))</f>
        <v>Mid-range</v>
      </c>
      <c r="O1636">
        <v>1</v>
      </c>
      <c r="P1636">
        <v>0</v>
      </c>
    </row>
    <row r="1637" spans="1:16" x14ac:dyDescent="0.25">
      <c r="A1637" t="s">
        <v>3818</v>
      </c>
      <c r="B1637" t="s">
        <v>3819</v>
      </c>
      <c r="C1637">
        <v>4348</v>
      </c>
      <c r="D1637" t="s">
        <v>61</v>
      </c>
      <c r="E1637" t="s">
        <v>8</v>
      </c>
      <c r="F1637">
        <v>3789</v>
      </c>
      <c r="G16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7">
        <v>3.9714</v>
      </c>
      <c r="J1637" t="str">
        <f>IF(ISBLANK(Table13[[#This Row],[Rating]]), "No", "Yes")</f>
        <v>Yes</v>
      </c>
      <c r="K1637" t="str">
        <f>IF(ISBLANK(Table13[[#This Row],[Rating]]), "Not Rated", IF(Table13[[#This Row],[Rating]] &lt; 3, "Low", IF(Table13[[#This Row],[Rating]] &lt; 4, "Medium", "High")))</f>
        <v>Medium</v>
      </c>
      <c r="L1637">
        <v>70</v>
      </c>
      <c r="M1637">
        <v>28</v>
      </c>
      <c r="N1637" t="str">
        <f>IF(Table13[[#This Row],[Price USD]]&lt;20,"Budget",IF(Table13[[#This Row],[Price USD]]&lt;=50,"Mid-range","Premium"))</f>
        <v>Mid-range</v>
      </c>
      <c r="O1637">
        <v>0</v>
      </c>
      <c r="P1637">
        <v>0</v>
      </c>
    </row>
    <row r="1638" spans="1:16" x14ac:dyDescent="0.25">
      <c r="A1638" t="s">
        <v>3816</v>
      </c>
      <c r="B1638" t="s">
        <v>3817</v>
      </c>
      <c r="C1638">
        <v>6373</v>
      </c>
      <c r="D1638" t="s">
        <v>1652</v>
      </c>
      <c r="E1638" t="s">
        <v>49</v>
      </c>
      <c r="F1638">
        <v>3802</v>
      </c>
      <c r="G16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8">
        <v>4.3548</v>
      </c>
      <c r="J1638" t="str">
        <f>IF(ISBLANK(Table13[[#This Row],[Rating]]), "No", "Yes")</f>
        <v>Yes</v>
      </c>
      <c r="K1638" t="str">
        <f>IF(ISBLANK(Table13[[#This Row],[Rating]]), "Not Rated", IF(Table13[[#This Row],[Rating]] &lt; 3, "Low", IF(Table13[[#This Row],[Rating]] &lt; 4, "Medium", "High")))</f>
        <v>High</v>
      </c>
      <c r="L1638">
        <v>62</v>
      </c>
      <c r="M1638">
        <v>38</v>
      </c>
      <c r="N1638" t="str">
        <f>IF(Table13[[#This Row],[Price USD]]&lt;20,"Budget",IF(Table13[[#This Row],[Price USD]]&lt;=50,"Mid-range","Premium"))</f>
        <v>Mid-range</v>
      </c>
      <c r="O1638">
        <v>0</v>
      </c>
      <c r="P1638">
        <v>0</v>
      </c>
    </row>
    <row r="1639" spans="1:16" x14ac:dyDescent="0.25">
      <c r="A1639" t="s">
        <v>3814</v>
      </c>
      <c r="B1639" t="s">
        <v>3815</v>
      </c>
      <c r="C1639">
        <v>3733</v>
      </c>
      <c r="D1639" t="s">
        <v>124</v>
      </c>
      <c r="E1639" t="s">
        <v>8</v>
      </c>
      <c r="F1639">
        <v>3806</v>
      </c>
      <c r="G16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39">
        <v>4.4356</v>
      </c>
      <c r="J1639" t="str">
        <f>IF(ISBLANK(Table13[[#This Row],[Rating]]), "No", "Yes")</f>
        <v>Yes</v>
      </c>
      <c r="K1639" t="str">
        <f>IF(ISBLANK(Table13[[#This Row],[Rating]]), "Not Rated", IF(Table13[[#This Row],[Rating]] &lt; 3, "Low", IF(Table13[[#This Row],[Rating]] &lt; 4, "Medium", "High")))</f>
        <v>High</v>
      </c>
      <c r="L1639">
        <v>225</v>
      </c>
      <c r="M1639">
        <v>61</v>
      </c>
      <c r="N1639" t="str">
        <f>IF(Table13[[#This Row],[Price USD]]&lt;20,"Budget",IF(Table13[[#This Row],[Price USD]]&lt;=50,"Mid-range","Premium"))</f>
        <v>Premium</v>
      </c>
      <c r="O1639">
        <v>0</v>
      </c>
      <c r="P1639">
        <v>0</v>
      </c>
    </row>
    <row r="1640" spans="1:16" x14ac:dyDescent="0.25">
      <c r="A1640" t="s">
        <v>3812</v>
      </c>
      <c r="B1640" t="s">
        <v>3813</v>
      </c>
      <c r="C1640">
        <v>6334</v>
      </c>
      <c r="D1640" t="s">
        <v>2819</v>
      </c>
      <c r="E1640" t="s">
        <v>13</v>
      </c>
      <c r="F1640">
        <v>3840</v>
      </c>
      <c r="G16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0">
        <v>4.5980999999999996</v>
      </c>
      <c r="J1640" t="str">
        <f>IF(ISBLANK(Table13[[#This Row],[Rating]]), "No", "Yes")</f>
        <v>Yes</v>
      </c>
      <c r="K1640" t="str">
        <f>IF(ISBLANK(Table13[[#This Row],[Rating]]), "Not Rated", IF(Table13[[#This Row],[Rating]] &lt; 3, "Low", IF(Table13[[#This Row],[Rating]] &lt; 4, "Medium", "High")))</f>
        <v>High</v>
      </c>
      <c r="L1640">
        <v>107</v>
      </c>
      <c r="M1640">
        <v>38</v>
      </c>
      <c r="N1640" t="str">
        <f>IF(Table13[[#This Row],[Price USD]]&lt;20,"Budget",IF(Table13[[#This Row],[Price USD]]&lt;=50,"Mid-range","Premium"))</f>
        <v>Mid-range</v>
      </c>
      <c r="O1640">
        <v>0</v>
      </c>
      <c r="P1640">
        <v>0</v>
      </c>
    </row>
    <row r="1641" spans="1:16" x14ac:dyDescent="0.25">
      <c r="A1641" t="s">
        <v>3810</v>
      </c>
      <c r="B1641" t="s">
        <v>3811</v>
      </c>
      <c r="C1641">
        <v>5337</v>
      </c>
      <c r="D1641" t="s">
        <v>209</v>
      </c>
      <c r="E1641" t="s">
        <v>49</v>
      </c>
      <c r="F1641">
        <v>3841</v>
      </c>
      <c r="G16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1">
        <v>4.3071999999999999</v>
      </c>
      <c r="J1641" t="str">
        <f>IF(ISBLANK(Table13[[#This Row],[Rating]]), "No", "Yes")</f>
        <v>Yes</v>
      </c>
      <c r="K1641" t="str">
        <f>IF(ISBLANK(Table13[[#This Row],[Rating]]), "Not Rated", IF(Table13[[#This Row],[Rating]] &lt; 3, "Low", IF(Table13[[#This Row],[Rating]] &lt; 4, "Medium", "High")))</f>
        <v>High</v>
      </c>
      <c r="L1641">
        <v>485</v>
      </c>
      <c r="M1641">
        <v>38</v>
      </c>
      <c r="N1641" t="str">
        <f>IF(Table13[[#This Row],[Price USD]]&lt;20,"Budget",IF(Table13[[#This Row],[Price USD]]&lt;=50,"Mid-range","Premium"))</f>
        <v>Mid-range</v>
      </c>
      <c r="O1641">
        <v>0</v>
      </c>
      <c r="P1641">
        <v>0</v>
      </c>
    </row>
    <row r="1642" spans="1:16" x14ac:dyDescent="0.25">
      <c r="A1642" t="s">
        <v>3808</v>
      </c>
      <c r="B1642" t="s">
        <v>3809</v>
      </c>
      <c r="C1642">
        <v>6488</v>
      </c>
      <c r="D1642" t="s">
        <v>2933</v>
      </c>
      <c r="E1642" t="s">
        <v>13</v>
      </c>
      <c r="F1642">
        <v>3860</v>
      </c>
      <c r="G16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2">
        <v>4.6936999999999998</v>
      </c>
      <c r="J1642" t="str">
        <f>IF(ISBLANK(Table13[[#This Row],[Rating]]), "No", "Yes")</f>
        <v>Yes</v>
      </c>
      <c r="K1642" t="str">
        <f>IF(ISBLANK(Table13[[#This Row],[Rating]]), "Not Rated", IF(Table13[[#This Row],[Rating]] &lt; 3, "Low", IF(Table13[[#This Row],[Rating]] &lt; 4, "Medium", "High")))</f>
        <v>High</v>
      </c>
      <c r="L1642">
        <v>111</v>
      </c>
      <c r="M1642">
        <v>32</v>
      </c>
      <c r="N1642" t="str">
        <f>IF(Table13[[#This Row],[Price USD]]&lt;20,"Budget",IF(Table13[[#This Row],[Price USD]]&lt;=50,"Mid-range","Premium"))</f>
        <v>Mid-range</v>
      </c>
      <c r="O1642">
        <v>0</v>
      </c>
      <c r="P1642">
        <v>0</v>
      </c>
    </row>
    <row r="1643" spans="1:16" x14ac:dyDescent="0.25">
      <c r="A1643" t="s">
        <v>3806</v>
      </c>
      <c r="B1643" t="s">
        <v>3807</v>
      </c>
      <c r="C1643">
        <v>6084</v>
      </c>
      <c r="D1643" t="s">
        <v>269</v>
      </c>
      <c r="E1643" t="s">
        <v>21</v>
      </c>
      <c r="F1643">
        <v>3863</v>
      </c>
      <c r="G16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3">
        <v>4.5454999999999997</v>
      </c>
      <c r="J1643" t="str">
        <f>IF(ISBLANK(Table13[[#This Row],[Rating]]), "No", "Yes")</f>
        <v>Yes</v>
      </c>
      <c r="K1643" t="str">
        <f>IF(ISBLANK(Table13[[#This Row],[Rating]]), "Not Rated", IF(Table13[[#This Row],[Rating]] &lt; 3, "Low", IF(Table13[[#This Row],[Rating]] &lt; 4, "Medium", "High")))</f>
        <v>High</v>
      </c>
      <c r="L1643">
        <v>11</v>
      </c>
      <c r="M1643">
        <v>315</v>
      </c>
      <c r="N1643" t="str">
        <f>IF(Table13[[#This Row],[Price USD]]&lt;20,"Budget",IF(Table13[[#This Row],[Price USD]]&lt;=50,"Mid-range","Premium"))</f>
        <v>Premium</v>
      </c>
      <c r="O1643">
        <v>0</v>
      </c>
      <c r="P1643">
        <v>0</v>
      </c>
    </row>
    <row r="1644" spans="1:16" x14ac:dyDescent="0.25">
      <c r="A1644" t="s">
        <v>3804</v>
      </c>
      <c r="B1644" t="s">
        <v>3805</v>
      </c>
      <c r="C1644">
        <v>6309</v>
      </c>
      <c r="D1644" t="s">
        <v>1735</v>
      </c>
      <c r="E1644" t="s">
        <v>201</v>
      </c>
      <c r="F1644">
        <v>3866</v>
      </c>
      <c r="G16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4">
        <v>3.9910000000000001</v>
      </c>
      <c r="J1644" t="str">
        <f>IF(ISBLANK(Table13[[#This Row],[Rating]]), "No", "Yes")</f>
        <v>Yes</v>
      </c>
      <c r="K1644" t="str">
        <f>IF(ISBLANK(Table13[[#This Row],[Rating]]), "Not Rated", IF(Table13[[#This Row],[Rating]] &lt; 3, "Low", IF(Table13[[#This Row],[Rating]] &lt; 4, "Medium", "High")))</f>
        <v>Medium</v>
      </c>
      <c r="L1644">
        <v>1110</v>
      </c>
      <c r="M1644">
        <v>60</v>
      </c>
      <c r="N1644" t="str">
        <f>IF(Table13[[#This Row],[Price USD]]&lt;20,"Budget",IF(Table13[[#This Row],[Price USD]]&lt;=50,"Mid-range","Premium"))</f>
        <v>Premium</v>
      </c>
      <c r="O1644">
        <v>0</v>
      </c>
      <c r="P1644">
        <v>0</v>
      </c>
    </row>
    <row r="1645" spans="1:16" x14ac:dyDescent="0.25">
      <c r="A1645" t="s">
        <v>3802</v>
      </c>
      <c r="B1645" t="s">
        <v>3803</v>
      </c>
      <c r="C1645">
        <v>6018</v>
      </c>
      <c r="D1645" t="s">
        <v>517</v>
      </c>
      <c r="E1645" t="s">
        <v>8</v>
      </c>
      <c r="F1645">
        <v>3877</v>
      </c>
      <c r="G16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5">
        <v>3.97</v>
      </c>
      <c r="J1645" t="str">
        <f>IF(ISBLANK(Table13[[#This Row],[Rating]]), "No", "Yes")</f>
        <v>Yes</v>
      </c>
      <c r="K1645" t="str">
        <f>IF(ISBLANK(Table13[[#This Row],[Rating]]), "Not Rated", IF(Table13[[#This Row],[Rating]] &lt; 3, "Low", IF(Table13[[#This Row],[Rating]] &lt; 4, "Medium", "High")))</f>
        <v>Medium</v>
      </c>
      <c r="L1645">
        <v>100</v>
      </c>
      <c r="M1645">
        <v>85</v>
      </c>
      <c r="N1645" t="str">
        <f>IF(Table13[[#This Row],[Price USD]]&lt;20,"Budget",IF(Table13[[#This Row],[Price USD]]&lt;=50,"Mid-range","Premium"))</f>
        <v>Premium</v>
      </c>
      <c r="O1645">
        <v>0</v>
      </c>
      <c r="P1645">
        <v>0</v>
      </c>
    </row>
    <row r="1646" spans="1:16" x14ac:dyDescent="0.25">
      <c r="A1646" t="s">
        <v>3800</v>
      </c>
      <c r="B1646" t="s">
        <v>3801</v>
      </c>
      <c r="C1646">
        <v>6341</v>
      </c>
      <c r="D1646" t="s">
        <v>66</v>
      </c>
      <c r="E1646" t="s">
        <v>220</v>
      </c>
      <c r="F1646">
        <v>3884</v>
      </c>
      <c r="G16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6">
        <v>3.4375</v>
      </c>
      <c r="J1646" t="str">
        <f>IF(ISBLANK(Table13[[#This Row],[Rating]]), "No", "Yes")</f>
        <v>Yes</v>
      </c>
      <c r="K1646" t="str">
        <f>IF(ISBLANK(Table13[[#This Row],[Rating]]), "Not Rated", IF(Table13[[#This Row],[Rating]] &lt; 3, "Low", IF(Table13[[#This Row],[Rating]] &lt; 4, "Medium", "High")))</f>
        <v>Medium</v>
      </c>
      <c r="L1646">
        <v>16</v>
      </c>
      <c r="M1646">
        <v>75</v>
      </c>
      <c r="N1646" t="str">
        <f>IF(Table13[[#This Row],[Price USD]]&lt;20,"Budget",IF(Table13[[#This Row],[Price USD]]&lt;=50,"Mid-range","Premium"))</f>
        <v>Premium</v>
      </c>
      <c r="O1646">
        <v>0</v>
      </c>
      <c r="P1646">
        <v>0</v>
      </c>
    </row>
    <row r="1647" spans="1:16" x14ac:dyDescent="0.25">
      <c r="A1647" t="s">
        <v>3798</v>
      </c>
      <c r="B1647" t="s">
        <v>3799</v>
      </c>
      <c r="C1647">
        <v>5715</v>
      </c>
      <c r="D1647" t="s">
        <v>979</v>
      </c>
      <c r="E1647" t="s">
        <v>21</v>
      </c>
      <c r="F1647">
        <v>3897</v>
      </c>
      <c r="G16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7">
        <v>4.0517000000000003</v>
      </c>
      <c r="J1647" t="str">
        <f>IF(ISBLANK(Table13[[#This Row],[Rating]]), "No", "Yes")</f>
        <v>Yes</v>
      </c>
      <c r="K1647" t="str">
        <f>IF(ISBLANK(Table13[[#This Row],[Rating]]), "Not Rated", IF(Table13[[#This Row],[Rating]] &lt; 3, "Low", IF(Table13[[#This Row],[Rating]] &lt; 4, "Medium", "High")))</f>
        <v>High</v>
      </c>
      <c r="L1647">
        <v>58</v>
      </c>
      <c r="M1647">
        <v>45</v>
      </c>
      <c r="N1647" t="str">
        <f>IF(Table13[[#This Row],[Price USD]]&lt;20,"Budget",IF(Table13[[#This Row],[Price USD]]&lt;=50,"Mid-range","Premium"))</f>
        <v>Mid-range</v>
      </c>
      <c r="O1647">
        <v>0</v>
      </c>
      <c r="P1647">
        <v>0</v>
      </c>
    </row>
    <row r="1648" spans="1:16" x14ac:dyDescent="0.25">
      <c r="A1648" t="s">
        <v>3796</v>
      </c>
      <c r="B1648" t="s">
        <v>3797</v>
      </c>
      <c r="C1648">
        <v>6219</v>
      </c>
      <c r="D1648" t="s">
        <v>277</v>
      </c>
      <c r="E1648" t="s">
        <v>8</v>
      </c>
      <c r="F1648">
        <v>3898</v>
      </c>
      <c r="G16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8">
        <v>4.8080999999999996</v>
      </c>
      <c r="J1648" t="str">
        <f>IF(ISBLANK(Table13[[#This Row],[Rating]]), "No", "Yes")</f>
        <v>Yes</v>
      </c>
      <c r="K1648" t="str">
        <f>IF(ISBLANK(Table13[[#This Row],[Rating]]), "Not Rated", IF(Table13[[#This Row],[Rating]] &lt; 3, "Low", IF(Table13[[#This Row],[Rating]] &lt; 4, "Medium", "High")))</f>
        <v>High</v>
      </c>
      <c r="L1648">
        <v>344</v>
      </c>
      <c r="M1648">
        <v>92</v>
      </c>
      <c r="N1648" t="str">
        <f>IF(Table13[[#This Row],[Price USD]]&lt;20,"Budget",IF(Table13[[#This Row],[Price USD]]&lt;=50,"Mid-range","Premium"))</f>
        <v>Premium</v>
      </c>
      <c r="O1648">
        <v>0</v>
      </c>
      <c r="P1648">
        <v>0</v>
      </c>
    </row>
    <row r="1649" spans="1:16" x14ac:dyDescent="0.25">
      <c r="A1649" t="s">
        <v>3795</v>
      </c>
      <c r="B1649" t="s">
        <v>1138</v>
      </c>
      <c r="C1649">
        <v>3902</v>
      </c>
      <c r="D1649" t="s">
        <v>72</v>
      </c>
      <c r="E1649" t="s">
        <v>201</v>
      </c>
      <c r="F1649">
        <v>3924</v>
      </c>
      <c r="G16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49">
        <v>4</v>
      </c>
      <c r="J1649" t="str">
        <f>IF(ISBLANK(Table13[[#This Row],[Rating]]), "No", "Yes")</f>
        <v>Yes</v>
      </c>
      <c r="K1649" t="str">
        <f>IF(ISBLANK(Table13[[#This Row],[Rating]]), "Not Rated", IF(Table13[[#This Row],[Rating]] &lt; 3, "Low", IF(Table13[[#This Row],[Rating]] &lt; 4, "Medium", "High")))</f>
        <v>High</v>
      </c>
      <c r="L1649">
        <v>2</v>
      </c>
      <c r="M1649">
        <v>35</v>
      </c>
      <c r="N1649" t="str">
        <f>IF(Table13[[#This Row],[Price USD]]&lt;20,"Budget",IF(Table13[[#This Row],[Price USD]]&lt;=50,"Mid-range","Premium"))</f>
        <v>Mid-range</v>
      </c>
      <c r="O1649">
        <v>0</v>
      </c>
      <c r="P1649">
        <v>0</v>
      </c>
    </row>
    <row r="1650" spans="1:16" x14ac:dyDescent="0.25">
      <c r="A1650" t="s">
        <v>3793</v>
      </c>
      <c r="B1650" t="s">
        <v>3794</v>
      </c>
      <c r="C1650">
        <v>6303</v>
      </c>
      <c r="D1650" t="s">
        <v>3247</v>
      </c>
      <c r="E1650" t="s">
        <v>8</v>
      </c>
      <c r="F1650">
        <v>3924</v>
      </c>
      <c r="G16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0">
        <v>4.125</v>
      </c>
      <c r="J1650" t="str">
        <f>IF(ISBLANK(Table13[[#This Row],[Rating]]), "No", "Yes")</f>
        <v>Yes</v>
      </c>
      <c r="K1650" t="str">
        <f>IF(ISBLANK(Table13[[#This Row],[Rating]]), "Not Rated", IF(Table13[[#This Row],[Rating]] &lt; 3, "Low", IF(Table13[[#This Row],[Rating]] &lt; 4, "Medium", "High")))</f>
        <v>High</v>
      </c>
      <c r="L1650">
        <v>24</v>
      </c>
      <c r="M1650">
        <v>46</v>
      </c>
      <c r="N1650" t="str">
        <f>IF(Table13[[#This Row],[Price USD]]&lt;20,"Budget",IF(Table13[[#This Row],[Price USD]]&lt;=50,"Mid-range","Premium"))</f>
        <v>Mid-range</v>
      </c>
      <c r="O1650">
        <v>0</v>
      </c>
      <c r="P1650">
        <v>0</v>
      </c>
    </row>
    <row r="1651" spans="1:16" x14ac:dyDescent="0.25">
      <c r="A1651" t="s">
        <v>3791</v>
      </c>
      <c r="B1651" t="s">
        <v>3792</v>
      </c>
      <c r="C1651">
        <v>6283</v>
      </c>
      <c r="D1651" t="s">
        <v>1696</v>
      </c>
      <c r="E1651" t="s">
        <v>8</v>
      </c>
      <c r="F1651">
        <v>3928</v>
      </c>
      <c r="G16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1">
        <v>5</v>
      </c>
      <c r="J1651" t="str">
        <f>IF(ISBLANK(Table13[[#This Row],[Rating]]), "No", "Yes")</f>
        <v>Yes</v>
      </c>
      <c r="K1651" t="str">
        <f>IF(ISBLANK(Table13[[#This Row],[Rating]]), "Not Rated", IF(Table13[[#This Row],[Rating]] &lt; 3, "Low", IF(Table13[[#This Row],[Rating]] &lt; 4, "Medium", "High")))</f>
        <v>High</v>
      </c>
      <c r="L1651">
        <v>16</v>
      </c>
      <c r="M1651">
        <v>105</v>
      </c>
      <c r="N1651" t="str">
        <f>IF(Table13[[#This Row],[Price USD]]&lt;20,"Budget",IF(Table13[[#This Row],[Price USD]]&lt;=50,"Mid-range","Premium"))</f>
        <v>Premium</v>
      </c>
      <c r="O1651">
        <v>0</v>
      </c>
      <c r="P1651">
        <v>0</v>
      </c>
    </row>
    <row r="1652" spans="1:16" x14ac:dyDescent="0.25">
      <c r="A1652" t="s">
        <v>3789</v>
      </c>
      <c r="B1652" t="s">
        <v>3790</v>
      </c>
      <c r="C1652">
        <v>8017</v>
      </c>
      <c r="D1652" t="s">
        <v>620</v>
      </c>
      <c r="E1652" t="s">
        <v>21</v>
      </c>
      <c r="F1652">
        <v>3932</v>
      </c>
      <c r="G16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2">
        <v>4.2857000000000003</v>
      </c>
      <c r="J1652" t="str">
        <f>IF(ISBLANK(Table13[[#This Row],[Rating]]), "No", "Yes")</f>
        <v>Yes</v>
      </c>
      <c r="K1652" t="str">
        <f>IF(ISBLANK(Table13[[#This Row],[Rating]]), "Not Rated", IF(Table13[[#This Row],[Rating]] &lt; 3, "Low", IF(Table13[[#This Row],[Rating]] &lt; 4, "Medium", "High")))</f>
        <v>High</v>
      </c>
      <c r="L1652">
        <v>14</v>
      </c>
      <c r="M1652">
        <v>9</v>
      </c>
      <c r="N1652" t="str">
        <f>IF(Table13[[#This Row],[Price USD]]&lt;20,"Budget",IF(Table13[[#This Row],[Price USD]]&lt;=50,"Mid-range","Premium"))</f>
        <v>Budget</v>
      </c>
      <c r="O1652">
        <v>0</v>
      </c>
      <c r="P1652">
        <v>0</v>
      </c>
    </row>
    <row r="1653" spans="1:16" x14ac:dyDescent="0.25">
      <c r="A1653" t="s">
        <v>3787</v>
      </c>
      <c r="B1653" t="s">
        <v>3788</v>
      </c>
      <c r="C1653">
        <v>5879</v>
      </c>
      <c r="D1653" t="s">
        <v>3589</v>
      </c>
      <c r="E1653" t="s">
        <v>149</v>
      </c>
      <c r="F1653">
        <v>3935</v>
      </c>
      <c r="G16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3">
        <v>4.4718999999999998</v>
      </c>
      <c r="J1653" t="str">
        <f>IF(ISBLANK(Table13[[#This Row],[Rating]]), "No", "Yes")</f>
        <v>Yes</v>
      </c>
      <c r="K1653" t="str">
        <f>IF(ISBLANK(Table13[[#This Row],[Rating]]), "Not Rated", IF(Table13[[#This Row],[Rating]] &lt; 3, "Low", IF(Table13[[#This Row],[Rating]] &lt; 4, "Medium", "High")))</f>
        <v>High</v>
      </c>
      <c r="L1653">
        <v>89</v>
      </c>
      <c r="M1653">
        <v>68</v>
      </c>
      <c r="N1653" t="str">
        <f>IF(Table13[[#This Row],[Price USD]]&lt;20,"Budget",IF(Table13[[#This Row],[Price USD]]&lt;=50,"Mid-range","Premium"))</f>
        <v>Premium</v>
      </c>
      <c r="O1653">
        <v>0</v>
      </c>
      <c r="P1653">
        <v>0</v>
      </c>
    </row>
    <row r="1654" spans="1:16" x14ac:dyDescent="0.25">
      <c r="A1654" t="s">
        <v>3785</v>
      </c>
      <c r="B1654" t="s">
        <v>3786</v>
      </c>
      <c r="C1654">
        <v>1132</v>
      </c>
      <c r="D1654" t="s">
        <v>1319</v>
      </c>
      <c r="E1654" t="s">
        <v>8</v>
      </c>
      <c r="F1654">
        <v>3942</v>
      </c>
      <c r="G16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4">
        <v>4.6196000000000002</v>
      </c>
      <c r="J1654" t="str">
        <f>IF(ISBLANK(Table13[[#This Row],[Rating]]), "No", "Yes")</f>
        <v>Yes</v>
      </c>
      <c r="K1654" t="str">
        <f>IF(ISBLANK(Table13[[#This Row],[Rating]]), "Not Rated", IF(Table13[[#This Row],[Rating]] &lt; 3, "Low", IF(Table13[[#This Row],[Rating]] &lt; 4, "Medium", "High")))</f>
        <v>High</v>
      </c>
      <c r="L1654">
        <v>418</v>
      </c>
      <c r="M1654">
        <v>240</v>
      </c>
      <c r="N1654" t="str">
        <f>IF(Table13[[#This Row],[Price USD]]&lt;20,"Budget",IF(Table13[[#This Row],[Price USD]]&lt;=50,"Mid-range","Premium"))</f>
        <v>Premium</v>
      </c>
      <c r="O1654">
        <v>0</v>
      </c>
      <c r="P1654">
        <v>0</v>
      </c>
    </row>
    <row r="1655" spans="1:16" x14ac:dyDescent="0.25">
      <c r="A1655" t="s">
        <v>3783</v>
      </c>
      <c r="B1655" t="s">
        <v>3784</v>
      </c>
      <c r="C1655">
        <v>6289</v>
      </c>
      <c r="D1655" t="s">
        <v>111</v>
      </c>
      <c r="E1655" t="s">
        <v>220</v>
      </c>
      <c r="F1655">
        <v>3945</v>
      </c>
      <c r="G16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5">
        <v>4</v>
      </c>
      <c r="J1655" t="str">
        <f>IF(ISBLANK(Table13[[#This Row],[Rating]]), "No", "Yes")</f>
        <v>Yes</v>
      </c>
      <c r="K1655" t="str">
        <f>IF(ISBLANK(Table13[[#This Row],[Rating]]), "Not Rated", IF(Table13[[#This Row],[Rating]] &lt; 3, "Low", IF(Table13[[#This Row],[Rating]] &lt; 4, "Medium", "High")))</f>
        <v>High</v>
      </c>
      <c r="L1655">
        <v>1</v>
      </c>
      <c r="M1655">
        <v>35</v>
      </c>
      <c r="N1655" t="str">
        <f>IF(Table13[[#This Row],[Price USD]]&lt;20,"Budget",IF(Table13[[#This Row],[Price USD]]&lt;=50,"Mid-range","Premium"))</f>
        <v>Mid-range</v>
      </c>
      <c r="O1655">
        <v>0</v>
      </c>
      <c r="P1655">
        <v>0</v>
      </c>
    </row>
    <row r="1656" spans="1:16" x14ac:dyDescent="0.25">
      <c r="A1656" t="s">
        <v>3781</v>
      </c>
      <c r="B1656" t="s">
        <v>3782</v>
      </c>
      <c r="C1656">
        <v>6335</v>
      </c>
      <c r="D1656" t="s">
        <v>2128</v>
      </c>
      <c r="E1656" t="s">
        <v>220</v>
      </c>
      <c r="F1656">
        <v>3952</v>
      </c>
      <c r="G16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6">
        <v>4.2782</v>
      </c>
      <c r="J1656" t="str">
        <f>IF(ISBLANK(Table13[[#This Row],[Rating]]), "No", "Yes")</f>
        <v>Yes</v>
      </c>
      <c r="K1656" t="str">
        <f>IF(ISBLANK(Table13[[#This Row],[Rating]]), "Not Rated", IF(Table13[[#This Row],[Rating]] &lt; 3, "Low", IF(Table13[[#This Row],[Rating]] &lt; 4, "Medium", "High")))</f>
        <v>High</v>
      </c>
      <c r="L1656">
        <v>133</v>
      </c>
      <c r="M1656">
        <v>64</v>
      </c>
      <c r="N1656" t="str">
        <f>IF(Table13[[#This Row],[Price USD]]&lt;20,"Budget",IF(Table13[[#This Row],[Price USD]]&lt;=50,"Mid-range","Premium"))</f>
        <v>Premium</v>
      </c>
      <c r="O1656">
        <v>0</v>
      </c>
      <c r="P1656">
        <v>0</v>
      </c>
    </row>
    <row r="1657" spans="1:16" x14ac:dyDescent="0.25">
      <c r="A1657" t="s">
        <v>3779</v>
      </c>
      <c r="B1657" t="s">
        <v>3780</v>
      </c>
      <c r="C1657">
        <v>4171</v>
      </c>
      <c r="D1657" t="s">
        <v>133</v>
      </c>
      <c r="E1657" t="s">
        <v>220</v>
      </c>
      <c r="F1657">
        <v>3970</v>
      </c>
      <c r="G16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7">
        <v>4.25</v>
      </c>
      <c r="J1657" t="str">
        <f>IF(ISBLANK(Table13[[#This Row],[Rating]]), "No", "Yes")</f>
        <v>Yes</v>
      </c>
      <c r="K1657" t="str">
        <f>IF(ISBLANK(Table13[[#This Row],[Rating]]), "Not Rated", IF(Table13[[#This Row],[Rating]] &lt; 3, "Low", IF(Table13[[#This Row],[Rating]] &lt; 4, "Medium", "High")))</f>
        <v>High</v>
      </c>
      <c r="L1657">
        <v>4</v>
      </c>
      <c r="M1657">
        <v>84</v>
      </c>
      <c r="N1657" t="str">
        <f>IF(Table13[[#This Row],[Price USD]]&lt;20,"Budget",IF(Table13[[#This Row],[Price USD]]&lt;=50,"Mid-range","Premium"))</f>
        <v>Premium</v>
      </c>
      <c r="O1657">
        <v>1</v>
      </c>
      <c r="P1657">
        <v>0</v>
      </c>
    </row>
    <row r="1658" spans="1:16" x14ac:dyDescent="0.25">
      <c r="A1658" t="s">
        <v>3777</v>
      </c>
      <c r="B1658" t="s">
        <v>3778</v>
      </c>
      <c r="C1658">
        <v>5644</v>
      </c>
      <c r="D1658" t="s">
        <v>158</v>
      </c>
      <c r="E1658" t="s">
        <v>21</v>
      </c>
      <c r="F1658">
        <v>3974</v>
      </c>
      <c r="G16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8">
        <v>4.3333000000000004</v>
      </c>
      <c r="J1658" t="str">
        <f>IF(ISBLANK(Table13[[#This Row],[Rating]]), "No", "Yes")</f>
        <v>Yes</v>
      </c>
      <c r="K1658" t="str">
        <f>IF(ISBLANK(Table13[[#This Row],[Rating]]), "Not Rated", IF(Table13[[#This Row],[Rating]] &lt; 3, "Low", IF(Table13[[#This Row],[Rating]] &lt; 4, "Medium", "High")))</f>
        <v>High</v>
      </c>
      <c r="L1658">
        <v>18</v>
      </c>
      <c r="M1658">
        <v>66</v>
      </c>
      <c r="N1658" t="str">
        <f>IF(Table13[[#This Row],[Price USD]]&lt;20,"Budget",IF(Table13[[#This Row],[Price USD]]&lt;=50,"Mid-range","Premium"))</f>
        <v>Premium</v>
      </c>
      <c r="O1658">
        <v>0</v>
      </c>
      <c r="P1658">
        <v>0</v>
      </c>
    </row>
    <row r="1659" spans="1:16" x14ac:dyDescent="0.25">
      <c r="A1659" t="s">
        <v>3775</v>
      </c>
      <c r="B1659" t="s">
        <v>3776</v>
      </c>
      <c r="C1659">
        <v>5946</v>
      </c>
      <c r="D1659" t="s">
        <v>341</v>
      </c>
      <c r="E1659" t="s">
        <v>149</v>
      </c>
      <c r="F1659">
        <v>3993</v>
      </c>
      <c r="G16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59">
        <v>4.6353999999999997</v>
      </c>
      <c r="J1659" t="str">
        <f>IF(ISBLANK(Table13[[#This Row],[Rating]]), "No", "Yes")</f>
        <v>Yes</v>
      </c>
      <c r="K1659" t="str">
        <f>IF(ISBLANK(Table13[[#This Row],[Rating]]), "Not Rated", IF(Table13[[#This Row],[Rating]] &lt; 3, "Low", IF(Table13[[#This Row],[Rating]] &lt; 4, "Medium", "High")))</f>
        <v>High</v>
      </c>
      <c r="L1659">
        <v>96</v>
      </c>
      <c r="M1659">
        <v>140</v>
      </c>
      <c r="N1659" t="str">
        <f>IF(Table13[[#This Row],[Price USD]]&lt;20,"Budget",IF(Table13[[#This Row],[Price USD]]&lt;=50,"Mid-range","Premium"))</f>
        <v>Premium</v>
      </c>
      <c r="O1659">
        <v>0</v>
      </c>
      <c r="P1659">
        <v>0</v>
      </c>
    </row>
    <row r="1660" spans="1:16" x14ac:dyDescent="0.25">
      <c r="A1660" t="s">
        <v>3773</v>
      </c>
      <c r="B1660" t="s">
        <v>3774</v>
      </c>
      <c r="C1660">
        <v>4348</v>
      </c>
      <c r="D1660" t="s">
        <v>61</v>
      </c>
      <c r="E1660" t="s">
        <v>4</v>
      </c>
      <c r="F1660">
        <v>3996</v>
      </c>
      <c r="G16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0">
        <v>3.8571</v>
      </c>
      <c r="J1660" t="str">
        <f>IF(ISBLANK(Table13[[#This Row],[Rating]]), "No", "Yes")</f>
        <v>Yes</v>
      </c>
      <c r="K1660" t="str">
        <f>IF(ISBLANK(Table13[[#This Row],[Rating]]), "Not Rated", IF(Table13[[#This Row],[Rating]] &lt; 3, "Low", IF(Table13[[#This Row],[Rating]] &lt; 4, "Medium", "High")))</f>
        <v>Medium</v>
      </c>
      <c r="L1660">
        <v>7</v>
      </c>
      <c r="M1660">
        <v>36</v>
      </c>
      <c r="N1660" t="str">
        <f>IF(Table13[[#This Row],[Price USD]]&lt;20,"Budget",IF(Table13[[#This Row],[Price USD]]&lt;=50,"Mid-range","Premium"))</f>
        <v>Mid-range</v>
      </c>
      <c r="O1660">
        <v>0</v>
      </c>
      <c r="P1660">
        <v>0</v>
      </c>
    </row>
    <row r="1661" spans="1:16" x14ac:dyDescent="0.25">
      <c r="A1661" t="s">
        <v>3771</v>
      </c>
      <c r="B1661" t="s">
        <v>3772</v>
      </c>
      <c r="C1661">
        <v>5337</v>
      </c>
      <c r="D1661" t="s">
        <v>209</v>
      </c>
      <c r="E1661" t="s">
        <v>144</v>
      </c>
      <c r="F1661">
        <v>4039</v>
      </c>
      <c r="G16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1">
        <v>3.7143000000000002</v>
      </c>
      <c r="J1661" t="str">
        <f>IF(ISBLANK(Table13[[#This Row],[Rating]]), "No", "Yes")</f>
        <v>Yes</v>
      </c>
      <c r="K1661" t="str">
        <f>IF(ISBLANK(Table13[[#This Row],[Rating]]), "Not Rated", IF(Table13[[#This Row],[Rating]] &lt; 3, "Low", IF(Table13[[#This Row],[Rating]] &lt; 4, "Medium", "High")))</f>
        <v>Medium</v>
      </c>
      <c r="L1661">
        <v>7</v>
      </c>
      <c r="M1661">
        <v>30</v>
      </c>
      <c r="N1661" t="str">
        <f>IF(Table13[[#This Row],[Price USD]]&lt;20,"Budget",IF(Table13[[#This Row],[Price USD]]&lt;=50,"Mid-range","Premium"))</f>
        <v>Mid-range</v>
      </c>
      <c r="O1661">
        <v>0</v>
      </c>
      <c r="P1661">
        <v>0</v>
      </c>
    </row>
    <row r="1662" spans="1:16" x14ac:dyDescent="0.25">
      <c r="A1662" t="s">
        <v>3769</v>
      </c>
      <c r="B1662" t="s">
        <v>3770</v>
      </c>
      <c r="C1662">
        <v>6367</v>
      </c>
      <c r="D1662" t="s">
        <v>2766</v>
      </c>
      <c r="E1662" t="s">
        <v>220</v>
      </c>
      <c r="F1662">
        <v>4044</v>
      </c>
      <c r="G16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2">
        <v>5</v>
      </c>
      <c r="J1662" t="str">
        <f>IF(ISBLANK(Table13[[#This Row],[Rating]]), "No", "Yes")</f>
        <v>Yes</v>
      </c>
      <c r="K1662" t="str">
        <f>IF(ISBLANK(Table13[[#This Row],[Rating]]), "Not Rated", IF(Table13[[#This Row],[Rating]] &lt; 3, "Low", IF(Table13[[#This Row],[Rating]] &lt; 4, "Medium", "High")))</f>
        <v>High</v>
      </c>
      <c r="L1662">
        <v>4</v>
      </c>
      <c r="M1662">
        <v>66</v>
      </c>
      <c r="N1662" t="str">
        <f>IF(Table13[[#This Row],[Price USD]]&lt;20,"Budget",IF(Table13[[#This Row],[Price USD]]&lt;=50,"Mid-range","Premium"))</f>
        <v>Premium</v>
      </c>
      <c r="O1662">
        <v>0</v>
      </c>
      <c r="P1662">
        <v>0</v>
      </c>
    </row>
    <row r="1663" spans="1:16" x14ac:dyDescent="0.25">
      <c r="A1663" t="s">
        <v>3767</v>
      </c>
      <c r="B1663" t="s">
        <v>3768</v>
      </c>
      <c r="C1663">
        <v>7020</v>
      </c>
      <c r="D1663" t="s">
        <v>657</v>
      </c>
      <c r="E1663" t="s">
        <v>144</v>
      </c>
      <c r="F1663">
        <v>4047</v>
      </c>
      <c r="G16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3">
        <v>3.9476</v>
      </c>
      <c r="J1663" t="str">
        <f>IF(ISBLANK(Table13[[#This Row],[Rating]]), "No", "Yes")</f>
        <v>Yes</v>
      </c>
      <c r="K1663" t="str">
        <f>IF(ISBLANK(Table13[[#This Row],[Rating]]), "Not Rated", IF(Table13[[#This Row],[Rating]] &lt; 3, "Low", IF(Table13[[#This Row],[Rating]] &lt; 4, "Medium", "High")))</f>
        <v>Medium</v>
      </c>
      <c r="L1663">
        <v>267</v>
      </c>
      <c r="M1663">
        <v>46</v>
      </c>
      <c r="N1663" t="str">
        <f>IF(Table13[[#This Row],[Price USD]]&lt;20,"Budget",IF(Table13[[#This Row],[Price USD]]&lt;=50,"Mid-range","Premium"))</f>
        <v>Mid-range</v>
      </c>
      <c r="O1663">
        <v>0</v>
      </c>
      <c r="P1663">
        <v>0</v>
      </c>
    </row>
    <row r="1664" spans="1:16" x14ac:dyDescent="0.25">
      <c r="A1664" t="s">
        <v>3765</v>
      </c>
      <c r="B1664" t="s">
        <v>3766</v>
      </c>
      <c r="C1664">
        <v>6272</v>
      </c>
      <c r="D1664" t="s">
        <v>1711</v>
      </c>
      <c r="E1664" t="s">
        <v>21</v>
      </c>
      <c r="F1664">
        <v>4050</v>
      </c>
      <c r="G16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4">
        <v>4.1818</v>
      </c>
      <c r="J1664" t="str">
        <f>IF(ISBLANK(Table13[[#This Row],[Rating]]), "No", "Yes")</f>
        <v>Yes</v>
      </c>
      <c r="K1664" t="str">
        <f>IF(ISBLANK(Table13[[#This Row],[Rating]]), "Not Rated", IF(Table13[[#This Row],[Rating]] &lt; 3, "Low", IF(Table13[[#This Row],[Rating]] &lt; 4, "Medium", "High")))</f>
        <v>High</v>
      </c>
      <c r="L1664">
        <v>11</v>
      </c>
      <c r="M1664">
        <v>70</v>
      </c>
      <c r="N1664" t="str">
        <f>IF(Table13[[#This Row],[Price USD]]&lt;20,"Budget",IF(Table13[[#This Row],[Price USD]]&lt;=50,"Mid-range","Premium"))</f>
        <v>Premium</v>
      </c>
      <c r="O1664">
        <v>0</v>
      </c>
      <c r="P1664">
        <v>0</v>
      </c>
    </row>
    <row r="1665" spans="1:16" x14ac:dyDescent="0.25">
      <c r="A1665" t="s">
        <v>3763</v>
      </c>
      <c r="B1665" t="s">
        <v>3764</v>
      </c>
      <c r="C1665">
        <v>5946</v>
      </c>
      <c r="D1665" t="s">
        <v>341</v>
      </c>
      <c r="E1665" t="s">
        <v>13</v>
      </c>
      <c r="F1665">
        <v>4060</v>
      </c>
      <c r="G16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5">
        <v>4.1875</v>
      </c>
      <c r="J1665" t="str">
        <f>IF(ISBLANK(Table13[[#This Row],[Rating]]), "No", "Yes")</f>
        <v>Yes</v>
      </c>
      <c r="K1665" t="str">
        <f>IF(ISBLANK(Table13[[#This Row],[Rating]]), "Not Rated", IF(Table13[[#This Row],[Rating]] &lt; 3, "Low", IF(Table13[[#This Row],[Rating]] &lt; 4, "Medium", "High")))</f>
        <v>High</v>
      </c>
      <c r="L1665">
        <v>144</v>
      </c>
      <c r="M1665">
        <v>44</v>
      </c>
      <c r="N1665" t="str">
        <f>IF(Table13[[#This Row],[Price USD]]&lt;20,"Budget",IF(Table13[[#This Row],[Price USD]]&lt;=50,"Mid-range","Premium"))</f>
        <v>Mid-range</v>
      </c>
      <c r="O1665">
        <v>0</v>
      </c>
      <c r="P1665">
        <v>0</v>
      </c>
    </row>
    <row r="1666" spans="1:16" x14ac:dyDescent="0.25">
      <c r="A1666" t="s">
        <v>3761</v>
      </c>
      <c r="B1666" t="s">
        <v>3762</v>
      </c>
      <c r="C1666">
        <v>6294</v>
      </c>
      <c r="D1666" t="s">
        <v>1520</v>
      </c>
      <c r="E1666" t="s">
        <v>21</v>
      </c>
      <c r="F1666">
        <v>4072</v>
      </c>
      <c r="G16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6">
        <v>4.5395000000000003</v>
      </c>
      <c r="J1666" t="str">
        <f>IF(ISBLANK(Table13[[#This Row],[Rating]]), "No", "Yes")</f>
        <v>Yes</v>
      </c>
      <c r="K1666" t="str">
        <f>IF(ISBLANK(Table13[[#This Row],[Rating]]), "Not Rated", IF(Table13[[#This Row],[Rating]] &lt; 3, "Low", IF(Table13[[#This Row],[Rating]] &lt; 4, "Medium", "High")))</f>
        <v>High</v>
      </c>
      <c r="L1666">
        <v>76</v>
      </c>
      <c r="M1666">
        <v>68</v>
      </c>
      <c r="N1666" t="str">
        <f>IF(Table13[[#This Row],[Price USD]]&lt;20,"Budget",IF(Table13[[#This Row],[Price USD]]&lt;=50,"Mid-range","Premium"))</f>
        <v>Premium</v>
      </c>
      <c r="O1666">
        <v>0</v>
      </c>
      <c r="P1666">
        <v>0</v>
      </c>
    </row>
    <row r="1667" spans="1:16" x14ac:dyDescent="0.25">
      <c r="A1667" t="s">
        <v>3759</v>
      </c>
      <c r="B1667" t="s">
        <v>3760</v>
      </c>
      <c r="C1667">
        <v>7020</v>
      </c>
      <c r="D1667" t="s">
        <v>657</v>
      </c>
      <c r="E1667" t="s">
        <v>69</v>
      </c>
      <c r="F1667">
        <v>4076</v>
      </c>
      <c r="G16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7">
        <v>4.375</v>
      </c>
      <c r="J1667" t="str">
        <f>IF(ISBLANK(Table13[[#This Row],[Rating]]), "No", "Yes")</f>
        <v>Yes</v>
      </c>
      <c r="K1667" t="str">
        <f>IF(ISBLANK(Table13[[#This Row],[Rating]]), "Not Rated", IF(Table13[[#This Row],[Rating]] &lt; 3, "Low", IF(Table13[[#This Row],[Rating]] &lt; 4, "Medium", "High")))</f>
        <v>High</v>
      </c>
      <c r="L1667">
        <v>32</v>
      </c>
      <c r="M1667">
        <v>95</v>
      </c>
      <c r="N1667" t="str">
        <f>IF(Table13[[#This Row],[Price USD]]&lt;20,"Budget",IF(Table13[[#This Row],[Price USD]]&lt;=50,"Mid-range","Premium"))</f>
        <v>Premium</v>
      </c>
      <c r="O1667">
        <v>0</v>
      </c>
      <c r="P1667">
        <v>0</v>
      </c>
    </row>
    <row r="1668" spans="1:16" x14ac:dyDescent="0.25">
      <c r="A1668" t="s">
        <v>3757</v>
      </c>
      <c r="B1668" t="s">
        <v>3758</v>
      </c>
      <c r="C1668">
        <v>6272</v>
      </c>
      <c r="D1668" t="s">
        <v>1711</v>
      </c>
      <c r="E1668" t="s">
        <v>8</v>
      </c>
      <c r="F1668">
        <v>4079</v>
      </c>
      <c r="G16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8">
        <v>4.6353999999999997</v>
      </c>
      <c r="J1668" t="str">
        <f>IF(ISBLANK(Table13[[#This Row],[Rating]]), "No", "Yes")</f>
        <v>Yes</v>
      </c>
      <c r="K1668" t="str">
        <f>IF(ISBLANK(Table13[[#This Row],[Rating]]), "Not Rated", IF(Table13[[#This Row],[Rating]] &lt; 3, "Low", IF(Table13[[#This Row],[Rating]] &lt; 4, "Medium", "High")))</f>
        <v>High</v>
      </c>
      <c r="L1668">
        <v>181</v>
      </c>
      <c r="M1668">
        <v>69</v>
      </c>
      <c r="N1668" t="str">
        <f>IF(Table13[[#This Row],[Price USD]]&lt;20,"Budget",IF(Table13[[#This Row],[Price USD]]&lt;=50,"Mid-range","Premium"))</f>
        <v>Premium</v>
      </c>
      <c r="O1668">
        <v>0</v>
      </c>
      <c r="P1668">
        <v>0</v>
      </c>
    </row>
    <row r="1669" spans="1:16" x14ac:dyDescent="0.25">
      <c r="A1669" t="s">
        <v>3754</v>
      </c>
      <c r="B1669" t="s">
        <v>3755</v>
      </c>
      <c r="C1669">
        <v>7100</v>
      </c>
      <c r="D1669" t="s">
        <v>3756</v>
      </c>
      <c r="E1669" t="s">
        <v>21</v>
      </c>
      <c r="F1669">
        <v>4096</v>
      </c>
      <c r="G16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69">
        <v>4.7</v>
      </c>
      <c r="J1669" t="str">
        <f>IF(ISBLANK(Table13[[#This Row],[Rating]]), "No", "Yes")</f>
        <v>Yes</v>
      </c>
      <c r="K1669" t="str">
        <f>IF(ISBLANK(Table13[[#This Row],[Rating]]), "Not Rated", IF(Table13[[#This Row],[Rating]] &lt; 3, "Low", IF(Table13[[#This Row],[Rating]] &lt; 4, "Medium", "High")))</f>
        <v>High</v>
      </c>
      <c r="L1669">
        <v>120</v>
      </c>
      <c r="M1669">
        <v>85</v>
      </c>
      <c r="N1669" t="str">
        <f>IF(Table13[[#This Row],[Price USD]]&lt;20,"Budget",IF(Table13[[#This Row],[Price USD]]&lt;=50,"Mid-range","Premium"))</f>
        <v>Premium</v>
      </c>
      <c r="O1669">
        <v>0</v>
      </c>
      <c r="P1669">
        <v>0</v>
      </c>
    </row>
    <row r="1670" spans="1:16" x14ac:dyDescent="0.25">
      <c r="A1670" t="s">
        <v>3752</v>
      </c>
      <c r="B1670" t="s">
        <v>3753</v>
      </c>
      <c r="C1670">
        <v>7020</v>
      </c>
      <c r="D1670" t="s">
        <v>657</v>
      </c>
      <c r="E1670" t="s">
        <v>13</v>
      </c>
      <c r="F1670">
        <v>4114</v>
      </c>
      <c r="G16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0">
        <v>4.5416999999999996</v>
      </c>
      <c r="J1670" t="str">
        <f>IF(ISBLANK(Table13[[#This Row],[Rating]]), "No", "Yes")</f>
        <v>Yes</v>
      </c>
      <c r="K1670" t="str">
        <f>IF(ISBLANK(Table13[[#This Row],[Rating]]), "Not Rated", IF(Table13[[#This Row],[Rating]] &lt; 3, "Low", IF(Table13[[#This Row],[Rating]] &lt; 4, "Medium", "High")))</f>
        <v>High</v>
      </c>
      <c r="L1670">
        <v>48</v>
      </c>
      <c r="M1670">
        <v>88</v>
      </c>
      <c r="N1670" t="str">
        <f>IF(Table13[[#This Row],[Price USD]]&lt;20,"Budget",IF(Table13[[#This Row],[Price USD]]&lt;=50,"Mid-range","Premium"))</f>
        <v>Premium</v>
      </c>
      <c r="O1670">
        <v>0</v>
      </c>
      <c r="P1670">
        <v>0</v>
      </c>
    </row>
    <row r="1671" spans="1:16" x14ac:dyDescent="0.25">
      <c r="A1671" t="s">
        <v>3751</v>
      </c>
      <c r="B1671" t="s">
        <v>1835</v>
      </c>
      <c r="C1671">
        <v>6001</v>
      </c>
      <c r="D1671" t="s">
        <v>1836</v>
      </c>
      <c r="E1671" t="s">
        <v>347</v>
      </c>
      <c r="F1671">
        <v>4122</v>
      </c>
      <c r="G16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1">
        <v>3.4380999999999999</v>
      </c>
      <c r="J1671" t="str">
        <f>IF(ISBLANK(Table13[[#This Row],[Rating]]), "No", "Yes")</f>
        <v>Yes</v>
      </c>
      <c r="K1671" t="str">
        <f>IF(ISBLANK(Table13[[#This Row],[Rating]]), "Not Rated", IF(Table13[[#This Row],[Rating]] &lt; 3, "Low", IF(Table13[[#This Row],[Rating]] &lt; 4, "Medium", "High")))</f>
        <v>Medium</v>
      </c>
      <c r="L1671">
        <v>105</v>
      </c>
      <c r="M1671">
        <v>429</v>
      </c>
      <c r="N1671" t="str">
        <f>IF(Table13[[#This Row],[Price USD]]&lt;20,"Budget",IF(Table13[[#This Row],[Price USD]]&lt;=50,"Mid-range","Premium"))</f>
        <v>Premium</v>
      </c>
      <c r="O1671">
        <v>0</v>
      </c>
      <c r="P1671">
        <v>1</v>
      </c>
    </row>
    <row r="1672" spans="1:16" x14ac:dyDescent="0.25">
      <c r="A1672" t="s">
        <v>3749</v>
      </c>
      <c r="B1672" t="s">
        <v>3750</v>
      </c>
      <c r="C1672">
        <v>6295</v>
      </c>
      <c r="D1672" t="s">
        <v>184</v>
      </c>
      <c r="E1672" t="s">
        <v>13</v>
      </c>
      <c r="F1672">
        <v>4123</v>
      </c>
      <c r="G16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2">
        <v>4.4443999999999999</v>
      </c>
      <c r="J1672" t="str">
        <f>IF(ISBLANK(Table13[[#This Row],[Rating]]), "No", "Yes")</f>
        <v>Yes</v>
      </c>
      <c r="K1672" t="str">
        <f>IF(ISBLANK(Table13[[#This Row],[Rating]]), "Not Rated", IF(Table13[[#This Row],[Rating]] &lt; 3, "Low", IF(Table13[[#This Row],[Rating]] &lt; 4, "Medium", "High")))</f>
        <v>High</v>
      </c>
      <c r="L1672">
        <v>9</v>
      </c>
      <c r="M1672">
        <v>14</v>
      </c>
      <c r="N1672" t="str">
        <f>IF(Table13[[#This Row],[Price USD]]&lt;20,"Budget",IF(Table13[[#This Row],[Price USD]]&lt;=50,"Mid-range","Premium"))</f>
        <v>Budget</v>
      </c>
      <c r="O1672">
        <v>0</v>
      </c>
      <c r="P1672">
        <v>0</v>
      </c>
    </row>
    <row r="1673" spans="1:16" x14ac:dyDescent="0.25">
      <c r="A1673" t="s">
        <v>3747</v>
      </c>
      <c r="B1673" t="s">
        <v>3748</v>
      </c>
      <c r="C1673">
        <v>6356</v>
      </c>
      <c r="D1673" t="s">
        <v>1885</v>
      </c>
      <c r="E1673" t="s">
        <v>13</v>
      </c>
      <c r="F1673">
        <v>4123</v>
      </c>
      <c r="G16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3">
        <v>4.4825999999999997</v>
      </c>
      <c r="J1673" t="str">
        <f>IF(ISBLANK(Table13[[#This Row],[Rating]]), "No", "Yes")</f>
        <v>Yes</v>
      </c>
      <c r="K1673" t="str">
        <f>IF(ISBLANK(Table13[[#This Row],[Rating]]), "Not Rated", IF(Table13[[#This Row],[Rating]] &lt; 3, "Low", IF(Table13[[#This Row],[Rating]] &lt; 4, "Medium", "High")))</f>
        <v>High</v>
      </c>
      <c r="L1673">
        <v>661</v>
      </c>
      <c r="M1673">
        <v>70</v>
      </c>
      <c r="N1673" t="str">
        <f>IF(Table13[[#This Row],[Price USD]]&lt;20,"Budget",IF(Table13[[#This Row],[Price USD]]&lt;=50,"Mid-range","Premium"))</f>
        <v>Premium</v>
      </c>
      <c r="O1673">
        <v>0</v>
      </c>
      <c r="P1673">
        <v>0</v>
      </c>
    </row>
    <row r="1674" spans="1:16" x14ac:dyDescent="0.25">
      <c r="A1674" t="s">
        <v>3745</v>
      </c>
      <c r="B1674" t="s">
        <v>3746</v>
      </c>
      <c r="C1674">
        <v>6225</v>
      </c>
      <c r="D1674" t="s">
        <v>640</v>
      </c>
      <c r="E1674" t="s">
        <v>106</v>
      </c>
      <c r="F1674">
        <v>4124</v>
      </c>
      <c r="G16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4">
        <v>3.8182</v>
      </c>
      <c r="J1674" t="str">
        <f>IF(ISBLANK(Table13[[#This Row],[Rating]]), "No", "Yes")</f>
        <v>Yes</v>
      </c>
      <c r="K1674" t="str">
        <f>IF(ISBLANK(Table13[[#This Row],[Rating]]), "Not Rated", IF(Table13[[#This Row],[Rating]] &lt; 3, "Low", IF(Table13[[#This Row],[Rating]] &lt; 4, "Medium", "High")))</f>
        <v>Medium</v>
      </c>
      <c r="L1674">
        <v>33</v>
      </c>
      <c r="M1674">
        <v>69</v>
      </c>
      <c r="N1674" t="str">
        <f>IF(Table13[[#This Row],[Price USD]]&lt;20,"Budget",IF(Table13[[#This Row],[Price USD]]&lt;=50,"Mid-range","Premium"))</f>
        <v>Premium</v>
      </c>
      <c r="O1674">
        <v>0</v>
      </c>
      <c r="P1674">
        <v>0</v>
      </c>
    </row>
    <row r="1675" spans="1:16" x14ac:dyDescent="0.25">
      <c r="A1675" t="s">
        <v>3743</v>
      </c>
      <c r="B1675" t="s">
        <v>3744</v>
      </c>
      <c r="C1675">
        <v>1132</v>
      </c>
      <c r="D1675" t="s">
        <v>1319</v>
      </c>
      <c r="E1675" t="s">
        <v>149</v>
      </c>
      <c r="F1675">
        <v>4148</v>
      </c>
      <c r="G16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5">
        <v>3.7332999999999998</v>
      </c>
      <c r="J1675" t="str">
        <f>IF(ISBLANK(Table13[[#This Row],[Rating]]), "No", "Yes")</f>
        <v>Yes</v>
      </c>
      <c r="K1675" t="str">
        <f>IF(ISBLANK(Table13[[#This Row],[Rating]]), "Not Rated", IF(Table13[[#This Row],[Rating]] &lt; 3, "Low", IF(Table13[[#This Row],[Rating]] &lt; 4, "Medium", "High")))</f>
        <v>Medium</v>
      </c>
      <c r="L1675">
        <v>15</v>
      </c>
      <c r="M1675">
        <v>130</v>
      </c>
      <c r="N1675" t="str">
        <f>IF(Table13[[#This Row],[Price USD]]&lt;20,"Budget",IF(Table13[[#This Row],[Price USD]]&lt;=50,"Mid-range","Premium"))</f>
        <v>Premium</v>
      </c>
      <c r="O1675">
        <v>0</v>
      </c>
      <c r="P1675">
        <v>1</v>
      </c>
    </row>
    <row r="1676" spans="1:16" x14ac:dyDescent="0.25">
      <c r="A1676" t="s">
        <v>3741</v>
      </c>
      <c r="B1676" t="s">
        <v>3742</v>
      </c>
      <c r="C1676">
        <v>6314</v>
      </c>
      <c r="D1676" t="s">
        <v>558</v>
      </c>
      <c r="E1676" t="s">
        <v>347</v>
      </c>
      <c r="F1676">
        <v>4154</v>
      </c>
      <c r="G16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6">
        <v>3.75</v>
      </c>
      <c r="J1676" t="str">
        <f>IF(ISBLANK(Table13[[#This Row],[Rating]]), "No", "Yes")</f>
        <v>Yes</v>
      </c>
      <c r="K1676" t="str">
        <f>IF(ISBLANK(Table13[[#This Row],[Rating]]), "Not Rated", IF(Table13[[#This Row],[Rating]] &lt; 3, "Low", IF(Table13[[#This Row],[Rating]] &lt; 4, "Medium", "High")))</f>
        <v>Medium</v>
      </c>
      <c r="L1676">
        <v>4</v>
      </c>
      <c r="M1676">
        <v>1900</v>
      </c>
      <c r="N1676" t="str">
        <f>IF(Table13[[#This Row],[Price USD]]&lt;20,"Budget",IF(Table13[[#This Row],[Price USD]]&lt;=50,"Mid-range","Premium"))</f>
        <v>Premium</v>
      </c>
      <c r="O1676">
        <v>0</v>
      </c>
      <c r="P1676">
        <v>0</v>
      </c>
    </row>
    <row r="1677" spans="1:16" x14ac:dyDescent="0.25">
      <c r="A1677" t="s">
        <v>3739</v>
      </c>
      <c r="B1677" t="s">
        <v>3740</v>
      </c>
      <c r="C1677">
        <v>5668</v>
      </c>
      <c r="D1677" t="s">
        <v>93</v>
      </c>
      <c r="E1677" t="s">
        <v>21</v>
      </c>
      <c r="F1677">
        <v>4205</v>
      </c>
      <c r="G16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7">
        <v>4.5609999999999999</v>
      </c>
      <c r="J1677" t="str">
        <f>IF(ISBLANK(Table13[[#This Row],[Rating]]), "No", "Yes")</f>
        <v>Yes</v>
      </c>
      <c r="K1677" t="str">
        <f>IF(ISBLANK(Table13[[#This Row],[Rating]]), "Not Rated", IF(Table13[[#This Row],[Rating]] &lt; 3, "Low", IF(Table13[[#This Row],[Rating]] &lt; 4, "Medium", "High")))</f>
        <v>High</v>
      </c>
      <c r="L1677">
        <v>82</v>
      </c>
      <c r="M1677">
        <v>72</v>
      </c>
      <c r="N1677" t="str">
        <f>IF(Table13[[#This Row],[Price USD]]&lt;20,"Budget",IF(Table13[[#This Row],[Price USD]]&lt;=50,"Mid-range","Premium"))</f>
        <v>Premium</v>
      </c>
      <c r="O1677">
        <v>0</v>
      </c>
      <c r="P1677">
        <v>0</v>
      </c>
    </row>
    <row r="1678" spans="1:16" x14ac:dyDescent="0.25">
      <c r="A1678" t="s">
        <v>3737</v>
      </c>
      <c r="B1678" t="s">
        <v>3738</v>
      </c>
      <c r="C1678">
        <v>6294</v>
      </c>
      <c r="D1678" t="s">
        <v>1520</v>
      </c>
      <c r="E1678" t="s">
        <v>4</v>
      </c>
      <c r="F1678">
        <v>4219</v>
      </c>
      <c r="G16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8">
        <v>4.6551999999999998</v>
      </c>
      <c r="J1678" t="str">
        <f>IF(ISBLANK(Table13[[#This Row],[Rating]]), "No", "Yes")</f>
        <v>Yes</v>
      </c>
      <c r="K1678" t="str">
        <f>IF(ISBLANK(Table13[[#This Row],[Rating]]), "Not Rated", IF(Table13[[#This Row],[Rating]] &lt; 3, "Low", IF(Table13[[#This Row],[Rating]] &lt; 4, "Medium", "High")))</f>
        <v>High</v>
      </c>
      <c r="L1678">
        <v>29</v>
      </c>
      <c r="M1678">
        <v>28</v>
      </c>
      <c r="N1678" t="str">
        <f>IF(Table13[[#This Row],[Price USD]]&lt;20,"Budget",IF(Table13[[#This Row],[Price USD]]&lt;=50,"Mid-range","Premium"))</f>
        <v>Mid-range</v>
      </c>
      <c r="O1678">
        <v>0</v>
      </c>
      <c r="P1678">
        <v>0</v>
      </c>
    </row>
    <row r="1679" spans="1:16" x14ac:dyDescent="0.25">
      <c r="A1679" t="s">
        <v>3735</v>
      </c>
      <c r="B1679" t="s">
        <v>3736</v>
      </c>
      <c r="C1679">
        <v>6114</v>
      </c>
      <c r="D1679" t="s">
        <v>1355</v>
      </c>
      <c r="E1679" t="s">
        <v>347</v>
      </c>
      <c r="F1679">
        <v>4221</v>
      </c>
      <c r="G16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79">
        <v>4.8205</v>
      </c>
      <c r="J1679" t="str">
        <f>IF(ISBLANK(Table13[[#This Row],[Rating]]), "No", "Yes")</f>
        <v>Yes</v>
      </c>
      <c r="K1679" t="str">
        <f>IF(ISBLANK(Table13[[#This Row],[Rating]]), "Not Rated", IF(Table13[[#This Row],[Rating]] &lt; 3, "Low", IF(Table13[[#This Row],[Rating]] &lt; 4, "Medium", "High")))</f>
        <v>High</v>
      </c>
      <c r="L1679">
        <v>39</v>
      </c>
      <c r="M1679">
        <v>179</v>
      </c>
      <c r="N1679" t="str">
        <f>IF(Table13[[#This Row],[Price USD]]&lt;20,"Budget",IF(Table13[[#This Row],[Price USD]]&lt;=50,"Mid-range","Premium"))</f>
        <v>Premium</v>
      </c>
      <c r="O1679">
        <v>0</v>
      </c>
      <c r="P1679">
        <v>0</v>
      </c>
    </row>
    <row r="1680" spans="1:16" x14ac:dyDescent="0.25">
      <c r="A1680" t="s">
        <v>3733</v>
      </c>
      <c r="B1680" t="s">
        <v>3734</v>
      </c>
      <c r="C1680">
        <v>2082</v>
      </c>
      <c r="D1680" t="s">
        <v>594</v>
      </c>
      <c r="E1680" t="s">
        <v>8</v>
      </c>
      <c r="F1680">
        <v>4239</v>
      </c>
      <c r="G16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0">
        <v>3.5714000000000001</v>
      </c>
      <c r="J1680" t="str">
        <f>IF(ISBLANK(Table13[[#This Row],[Rating]]), "No", "Yes")</f>
        <v>Yes</v>
      </c>
      <c r="K1680" t="str">
        <f>IF(ISBLANK(Table13[[#This Row],[Rating]]), "Not Rated", IF(Table13[[#This Row],[Rating]] &lt; 3, "Low", IF(Table13[[#This Row],[Rating]] &lt; 4, "Medium", "High")))</f>
        <v>Medium</v>
      </c>
      <c r="L1680">
        <v>14</v>
      </c>
      <c r="M1680">
        <v>90</v>
      </c>
      <c r="N1680" t="str">
        <f>IF(Table13[[#This Row],[Price USD]]&lt;20,"Budget",IF(Table13[[#This Row],[Price USD]]&lt;=50,"Mid-range","Premium"))</f>
        <v>Premium</v>
      </c>
      <c r="O1680">
        <v>0</v>
      </c>
      <c r="P1680">
        <v>0</v>
      </c>
    </row>
    <row r="1681" spans="1:16" x14ac:dyDescent="0.25">
      <c r="A1681" t="s">
        <v>3731</v>
      </c>
      <c r="B1681" t="s">
        <v>3732</v>
      </c>
      <c r="C1681">
        <v>6334</v>
      </c>
      <c r="D1681" t="s">
        <v>2819</v>
      </c>
      <c r="E1681" t="s">
        <v>8</v>
      </c>
      <c r="F1681">
        <v>4241</v>
      </c>
      <c r="G16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1">
        <v>4.3285</v>
      </c>
      <c r="J1681" t="str">
        <f>IF(ISBLANK(Table13[[#This Row],[Rating]]), "No", "Yes")</f>
        <v>Yes</v>
      </c>
      <c r="K1681" t="str">
        <f>IF(ISBLANK(Table13[[#This Row],[Rating]]), "Not Rated", IF(Table13[[#This Row],[Rating]] &lt; 3, "Low", IF(Table13[[#This Row],[Rating]] &lt; 4, "Medium", "High")))</f>
        <v>High</v>
      </c>
      <c r="L1681">
        <v>137</v>
      </c>
      <c r="M1681">
        <v>48</v>
      </c>
      <c r="N1681" t="str">
        <f>IF(Table13[[#This Row],[Price USD]]&lt;20,"Budget",IF(Table13[[#This Row],[Price USD]]&lt;=50,"Mid-range","Premium"))</f>
        <v>Mid-range</v>
      </c>
      <c r="O1681">
        <v>0</v>
      </c>
      <c r="P1681">
        <v>0</v>
      </c>
    </row>
    <row r="1682" spans="1:16" x14ac:dyDescent="0.25">
      <c r="A1682" t="s">
        <v>3729</v>
      </c>
      <c r="B1682" t="s">
        <v>3730</v>
      </c>
      <c r="C1682">
        <v>6371</v>
      </c>
      <c r="D1682" t="s">
        <v>2583</v>
      </c>
      <c r="E1682" t="s">
        <v>69</v>
      </c>
      <c r="F1682">
        <v>4247</v>
      </c>
      <c r="G16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2">
        <v>4.5949999999999998</v>
      </c>
      <c r="J1682" t="str">
        <f>IF(ISBLANK(Table13[[#This Row],[Rating]]), "No", "Yes")</f>
        <v>Yes</v>
      </c>
      <c r="K1682" t="str">
        <f>IF(ISBLANK(Table13[[#This Row],[Rating]]), "Not Rated", IF(Table13[[#This Row],[Rating]] &lt; 3, "Low", IF(Table13[[#This Row],[Rating]] &lt; 4, "Medium", "High")))</f>
        <v>High</v>
      </c>
      <c r="L1682">
        <v>484</v>
      </c>
      <c r="M1682">
        <v>38</v>
      </c>
      <c r="N1682" t="str">
        <f>IF(Table13[[#This Row],[Price USD]]&lt;20,"Budget",IF(Table13[[#This Row],[Price USD]]&lt;=50,"Mid-range","Premium"))</f>
        <v>Mid-range</v>
      </c>
      <c r="O1682">
        <v>0</v>
      </c>
      <c r="P1682">
        <v>1</v>
      </c>
    </row>
    <row r="1683" spans="1:16" x14ac:dyDescent="0.25">
      <c r="A1683" t="s">
        <v>3727</v>
      </c>
      <c r="B1683" t="s">
        <v>3728</v>
      </c>
      <c r="C1683">
        <v>6285</v>
      </c>
      <c r="D1683" t="s">
        <v>119</v>
      </c>
      <c r="E1683" t="s">
        <v>21</v>
      </c>
      <c r="F1683">
        <v>4253</v>
      </c>
      <c r="G16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3">
        <v>4.1935000000000002</v>
      </c>
      <c r="J1683" t="str">
        <f>IF(ISBLANK(Table13[[#This Row],[Rating]]), "No", "Yes")</f>
        <v>Yes</v>
      </c>
      <c r="K1683" t="str">
        <f>IF(ISBLANK(Table13[[#This Row],[Rating]]), "Not Rated", IF(Table13[[#This Row],[Rating]] &lt; 3, "Low", IF(Table13[[#This Row],[Rating]] &lt; 4, "Medium", "High")))</f>
        <v>High</v>
      </c>
      <c r="L1683">
        <v>62</v>
      </c>
      <c r="M1683">
        <v>19.989999999999998</v>
      </c>
      <c r="N1683" t="str">
        <f>IF(Table13[[#This Row],[Price USD]]&lt;20,"Budget",IF(Table13[[#This Row],[Price USD]]&lt;=50,"Mid-range","Premium"))</f>
        <v>Budget</v>
      </c>
      <c r="O1683">
        <v>0</v>
      </c>
      <c r="P1683">
        <v>0</v>
      </c>
    </row>
    <row r="1684" spans="1:16" x14ac:dyDescent="0.25">
      <c r="A1684" t="s">
        <v>3725</v>
      </c>
      <c r="B1684" t="s">
        <v>3726</v>
      </c>
      <c r="C1684">
        <v>7037</v>
      </c>
      <c r="D1684" t="s">
        <v>1718</v>
      </c>
      <c r="E1684" t="s">
        <v>347</v>
      </c>
      <c r="F1684">
        <v>4264</v>
      </c>
      <c r="G16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4">
        <v>3.55</v>
      </c>
      <c r="J1684" t="str">
        <f>IF(ISBLANK(Table13[[#This Row],[Rating]]), "No", "Yes")</f>
        <v>Yes</v>
      </c>
      <c r="K1684" t="str">
        <f>IF(ISBLANK(Table13[[#This Row],[Rating]]), "Not Rated", IF(Table13[[#This Row],[Rating]] &lt; 3, "Low", IF(Table13[[#This Row],[Rating]] &lt; 4, "Medium", "High")))</f>
        <v>Medium</v>
      </c>
      <c r="L1684">
        <v>20</v>
      </c>
      <c r="M1684">
        <v>69</v>
      </c>
      <c r="N1684" t="str">
        <f>IF(Table13[[#This Row],[Price USD]]&lt;20,"Budget",IF(Table13[[#This Row],[Price USD]]&lt;=50,"Mid-range","Premium"))</f>
        <v>Premium</v>
      </c>
      <c r="O1684">
        <v>0</v>
      </c>
      <c r="P1684">
        <v>0</v>
      </c>
    </row>
    <row r="1685" spans="1:16" x14ac:dyDescent="0.25">
      <c r="A1685" t="s">
        <v>3723</v>
      </c>
      <c r="B1685" t="s">
        <v>3724</v>
      </c>
      <c r="C1685">
        <v>2082</v>
      </c>
      <c r="D1685" t="s">
        <v>594</v>
      </c>
      <c r="E1685" t="s">
        <v>69</v>
      </c>
      <c r="F1685">
        <v>4267</v>
      </c>
      <c r="G16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5">
        <v>4.25</v>
      </c>
      <c r="J1685" t="str">
        <f>IF(ISBLANK(Table13[[#This Row],[Rating]]), "No", "Yes")</f>
        <v>Yes</v>
      </c>
      <c r="K1685" t="str">
        <f>IF(ISBLANK(Table13[[#This Row],[Rating]]), "Not Rated", IF(Table13[[#This Row],[Rating]] &lt; 3, "Low", IF(Table13[[#This Row],[Rating]] &lt; 4, "Medium", "High")))</f>
        <v>High</v>
      </c>
      <c r="L1685">
        <v>16</v>
      </c>
      <c r="M1685">
        <v>79</v>
      </c>
      <c r="N1685" t="str">
        <f>IF(Table13[[#This Row],[Price USD]]&lt;20,"Budget",IF(Table13[[#This Row],[Price USD]]&lt;=50,"Mid-range","Premium"))</f>
        <v>Premium</v>
      </c>
      <c r="O1685">
        <v>0</v>
      </c>
      <c r="P1685">
        <v>0</v>
      </c>
    </row>
    <row r="1686" spans="1:16" x14ac:dyDescent="0.25">
      <c r="A1686" t="s">
        <v>3721</v>
      </c>
      <c r="B1686" t="s">
        <v>3722</v>
      </c>
      <c r="C1686">
        <v>6373</v>
      </c>
      <c r="D1686" t="s">
        <v>1652</v>
      </c>
      <c r="E1686" t="s">
        <v>8</v>
      </c>
      <c r="F1686">
        <v>4283</v>
      </c>
      <c r="G16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6">
        <v>4.2104999999999997</v>
      </c>
      <c r="J1686" t="str">
        <f>IF(ISBLANK(Table13[[#This Row],[Rating]]), "No", "Yes")</f>
        <v>Yes</v>
      </c>
      <c r="K1686" t="str">
        <f>IF(ISBLANK(Table13[[#This Row],[Rating]]), "Not Rated", IF(Table13[[#This Row],[Rating]] &lt; 3, "Low", IF(Table13[[#This Row],[Rating]] &lt; 4, "Medium", "High")))</f>
        <v>High</v>
      </c>
      <c r="L1686">
        <v>76</v>
      </c>
      <c r="M1686">
        <v>58</v>
      </c>
      <c r="N1686" t="str">
        <f>IF(Table13[[#This Row],[Price USD]]&lt;20,"Budget",IF(Table13[[#This Row],[Price USD]]&lt;=50,"Mid-range","Premium"))</f>
        <v>Premium</v>
      </c>
      <c r="O1686">
        <v>0</v>
      </c>
      <c r="P1686">
        <v>0</v>
      </c>
    </row>
    <row r="1687" spans="1:16" x14ac:dyDescent="0.25">
      <c r="A1687" t="s">
        <v>3719</v>
      </c>
      <c r="B1687" t="s">
        <v>3720</v>
      </c>
      <c r="C1687">
        <v>6375</v>
      </c>
      <c r="D1687" t="s">
        <v>3234</v>
      </c>
      <c r="E1687" t="s">
        <v>201</v>
      </c>
      <c r="F1687">
        <v>4285</v>
      </c>
      <c r="G16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7">
        <v>4.2042000000000002</v>
      </c>
      <c r="J1687" t="str">
        <f>IF(ISBLANK(Table13[[#This Row],[Rating]]), "No", "Yes")</f>
        <v>Yes</v>
      </c>
      <c r="K1687" t="str">
        <f>IF(ISBLANK(Table13[[#This Row],[Rating]]), "Not Rated", IF(Table13[[#This Row],[Rating]] &lt; 3, "Low", IF(Table13[[#This Row],[Rating]] &lt; 4, "Medium", "High")))</f>
        <v>High</v>
      </c>
      <c r="L1687">
        <v>191</v>
      </c>
      <c r="M1687">
        <v>30</v>
      </c>
      <c r="N1687" t="str">
        <f>IF(Table13[[#This Row],[Price USD]]&lt;20,"Budget",IF(Table13[[#This Row],[Price USD]]&lt;=50,"Mid-range","Premium"))</f>
        <v>Mid-range</v>
      </c>
      <c r="O1687">
        <v>0</v>
      </c>
      <c r="P1687">
        <v>0</v>
      </c>
    </row>
    <row r="1688" spans="1:16" x14ac:dyDescent="0.25">
      <c r="A1688" t="s">
        <v>3717</v>
      </c>
      <c r="B1688" t="s">
        <v>3718</v>
      </c>
      <c r="C1688">
        <v>1073</v>
      </c>
      <c r="D1688" t="s">
        <v>767</v>
      </c>
      <c r="E1688" t="s">
        <v>149</v>
      </c>
      <c r="F1688">
        <v>4285</v>
      </c>
      <c r="G16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8">
        <v>3.4666999999999999</v>
      </c>
      <c r="J1688" t="str">
        <f>IF(ISBLANK(Table13[[#This Row],[Rating]]), "No", "Yes")</f>
        <v>Yes</v>
      </c>
      <c r="K1688" t="str">
        <f>IF(ISBLANK(Table13[[#This Row],[Rating]]), "Not Rated", IF(Table13[[#This Row],[Rating]] &lt; 3, "Low", IF(Table13[[#This Row],[Rating]] &lt; 4, "Medium", "High")))</f>
        <v>Medium</v>
      </c>
      <c r="L1688">
        <v>30</v>
      </c>
      <c r="M1688">
        <v>75</v>
      </c>
      <c r="N1688" t="str">
        <f>IF(Table13[[#This Row],[Price USD]]&lt;20,"Budget",IF(Table13[[#This Row],[Price USD]]&lt;=50,"Mid-range","Premium"))</f>
        <v>Premium</v>
      </c>
      <c r="O1688">
        <v>0</v>
      </c>
      <c r="P1688">
        <v>0</v>
      </c>
    </row>
    <row r="1689" spans="1:16" x14ac:dyDescent="0.25">
      <c r="A1689" t="s">
        <v>3715</v>
      </c>
      <c r="B1689" t="s">
        <v>3716</v>
      </c>
      <c r="C1689">
        <v>6014</v>
      </c>
      <c r="D1689" t="s">
        <v>102</v>
      </c>
      <c r="E1689" t="s">
        <v>69</v>
      </c>
      <c r="F1689">
        <v>4288</v>
      </c>
      <c r="G16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89">
        <v>4.6323999999999996</v>
      </c>
      <c r="J1689" t="str">
        <f>IF(ISBLANK(Table13[[#This Row],[Rating]]), "No", "Yes")</f>
        <v>Yes</v>
      </c>
      <c r="K1689" t="str">
        <f>IF(ISBLANK(Table13[[#This Row],[Rating]]), "Not Rated", IF(Table13[[#This Row],[Rating]] &lt; 3, "Low", IF(Table13[[#This Row],[Rating]] &lt; 4, "Medium", "High")))</f>
        <v>High</v>
      </c>
      <c r="L1689">
        <v>340</v>
      </c>
      <c r="M1689">
        <v>15</v>
      </c>
      <c r="N1689" t="str">
        <f>IF(Table13[[#This Row],[Price USD]]&lt;20,"Budget",IF(Table13[[#This Row],[Price USD]]&lt;=50,"Mid-range","Premium"))</f>
        <v>Budget</v>
      </c>
      <c r="O1689">
        <v>1</v>
      </c>
      <c r="P1689">
        <v>0</v>
      </c>
    </row>
    <row r="1690" spans="1:16" x14ac:dyDescent="0.25">
      <c r="A1690" t="s">
        <v>3713</v>
      </c>
      <c r="B1690" t="s">
        <v>3714</v>
      </c>
      <c r="C1690">
        <v>6476</v>
      </c>
      <c r="D1690" t="s">
        <v>3462</v>
      </c>
      <c r="E1690" t="s">
        <v>220</v>
      </c>
      <c r="F1690">
        <v>4292</v>
      </c>
      <c r="G16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0">
        <v>4.55</v>
      </c>
      <c r="J1690" t="str">
        <f>IF(ISBLANK(Table13[[#This Row],[Rating]]), "No", "Yes")</f>
        <v>Yes</v>
      </c>
      <c r="K1690" t="str">
        <f>IF(ISBLANK(Table13[[#This Row],[Rating]]), "Not Rated", IF(Table13[[#This Row],[Rating]] &lt; 3, "Low", IF(Table13[[#This Row],[Rating]] &lt; 4, "Medium", "High")))</f>
        <v>High</v>
      </c>
      <c r="L1690">
        <v>180</v>
      </c>
      <c r="M1690">
        <v>68</v>
      </c>
      <c r="N1690" t="str">
        <f>IF(Table13[[#This Row],[Price USD]]&lt;20,"Budget",IF(Table13[[#This Row],[Price USD]]&lt;=50,"Mid-range","Premium"))</f>
        <v>Premium</v>
      </c>
      <c r="O1690">
        <v>0</v>
      </c>
      <c r="P1690">
        <v>0</v>
      </c>
    </row>
    <row r="1691" spans="1:16" x14ac:dyDescent="0.25">
      <c r="A1691" t="s">
        <v>3711</v>
      </c>
      <c r="B1691" t="s">
        <v>3712</v>
      </c>
      <c r="C1691">
        <v>1254</v>
      </c>
      <c r="D1691" t="s">
        <v>136</v>
      </c>
      <c r="E1691" t="s">
        <v>8</v>
      </c>
      <c r="F1691">
        <v>4293</v>
      </c>
      <c r="G16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1">
        <v>4.194</v>
      </c>
      <c r="J1691" t="str">
        <f>IF(ISBLANK(Table13[[#This Row],[Rating]]), "No", "Yes")</f>
        <v>Yes</v>
      </c>
      <c r="K1691" t="str">
        <f>IF(ISBLANK(Table13[[#This Row],[Rating]]), "Not Rated", IF(Table13[[#This Row],[Rating]] &lt; 3, "Low", IF(Table13[[#This Row],[Rating]] &lt; 4, "Medium", "High")))</f>
        <v>High</v>
      </c>
      <c r="L1691">
        <v>1670</v>
      </c>
      <c r="M1691">
        <v>71</v>
      </c>
      <c r="N1691" t="str">
        <f>IF(Table13[[#This Row],[Price USD]]&lt;20,"Budget",IF(Table13[[#This Row],[Price USD]]&lt;=50,"Mid-range","Premium"))</f>
        <v>Premium</v>
      </c>
      <c r="O1691">
        <v>0</v>
      </c>
      <c r="P1691">
        <v>0</v>
      </c>
    </row>
    <row r="1692" spans="1:16" x14ac:dyDescent="0.25">
      <c r="A1692" t="s">
        <v>3709</v>
      </c>
      <c r="B1692" t="s">
        <v>3710</v>
      </c>
      <c r="C1692">
        <v>6226</v>
      </c>
      <c r="D1692" t="s">
        <v>843</v>
      </c>
      <c r="E1692" t="s">
        <v>21</v>
      </c>
      <c r="F1692">
        <v>4295</v>
      </c>
      <c r="G16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2">
        <v>3.4666999999999999</v>
      </c>
      <c r="J1692" t="str">
        <f>IF(ISBLANK(Table13[[#This Row],[Rating]]), "No", "Yes")</f>
        <v>Yes</v>
      </c>
      <c r="K1692" t="str">
        <f>IF(ISBLANK(Table13[[#This Row],[Rating]]), "Not Rated", IF(Table13[[#This Row],[Rating]] &lt; 3, "Low", IF(Table13[[#This Row],[Rating]] &lt; 4, "Medium", "High")))</f>
        <v>Medium</v>
      </c>
      <c r="L1692">
        <v>75</v>
      </c>
      <c r="M1692">
        <v>58</v>
      </c>
      <c r="N1692" t="str">
        <f>IF(Table13[[#This Row],[Price USD]]&lt;20,"Budget",IF(Table13[[#This Row],[Price USD]]&lt;=50,"Mid-range","Premium"))</f>
        <v>Premium</v>
      </c>
      <c r="O1692">
        <v>0</v>
      </c>
      <c r="P1692">
        <v>0</v>
      </c>
    </row>
    <row r="1693" spans="1:16" x14ac:dyDescent="0.25">
      <c r="A1693" t="s">
        <v>3707</v>
      </c>
      <c r="B1693" t="s">
        <v>3708</v>
      </c>
      <c r="C1693">
        <v>5715</v>
      </c>
      <c r="D1693" t="s">
        <v>979</v>
      </c>
      <c r="E1693" t="s">
        <v>149</v>
      </c>
      <c r="F1693">
        <v>4302</v>
      </c>
      <c r="G16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3">
        <v>4.0063000000000004</v>
      </c>
      <c r="J1693" t="str">
        <f>IF(ISBLANK(Table13[[#This Row],[Rating]]), "No", "Yes")</f>
        <v>Yes</v>
      </c>
      <c r="K1693" t="str">
        <f>IF(ISBLANK(Table13[[#This Row],[Rating]]), "Not Rated", IF(Table13[[#This Row],[Rating]] &lt; 3, "Low", IF(Table13[[#This Row],[Rating]] &lt; 4, "Medium", "High")))</f>
        <v>High</v>
      </c>
      <c r="L1693">
        <v>158</v>
      </c>
      <c r="M1693">
        <v>61</v>
      </c>
      <c r="N1693" t="str">
        <f>IF(Table13[[#This Row],[Price USD]]&lt;20,"Budget",IF(Table13[[#This Row],[Price USD]]&lt;=50,"Mid-range","Premium"))</f>
        <v>Premium</v>
      </c>
      <c r="O1693">
        <v>0</v>
      </c>
      <c r="P1693">
        <v>0</v>
      </c>
    </row>
    <row r="1694" spans="1:16" x14ac:dyDescent="0.25">
      <c r="A1694" t="s">
        <v>3705</v>
      </c>
      <c r="B1694" t="s">
        <v>3706</v>
      </c>
      <c r="C1694">
        <v>5857</v>
      </c>
      <c r="D1694" t="s">
        <v>433</v>
      </c>
      <c r="E1694" t="s">
        <v>13</v>
      </c>
      <c r="F1694">
        <v>4303</v>
      </c>
      <c r="G16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4">
        <v>4.5999999999999996</v>
      </c>
      <c r="J1694" t="str">
        <f>IF(ISBLANK(Table13[[#This Row],[Rating]]), "No", "Yes")</f>
        <v>Yes</v>
      </c>
      <c r="K1694" t="str">
        <f>IF(ISBLANK(Table13[[#This Row],[Rating]]), "Not Rated", IF(Table13[[#This Row],[Rating]] &lt; 3, "Low", IF(Table13[[#This Row],[Rating]] &lt; 4, "Medium", "High")))</f>
        <v>High</v>
      </c>
      <c r="L1694">
        <v>40</v>
      </c>
      <c r="M1694">
        <v>38</v>
      </c>
      <c r="N1694" t="str">
        <f>IF(Table13[[#This Row],[Price USD]]&lt;20,"Budget",IF(Table13[[#This Row],[Price USD]]&lt;=50,"Mid-range","Premium"))</f>
        <v>Mid-range</v>
      </c>
      <c r="O1694">
        <v>0</v>
      </c>
      <c r="P1694">
        <v>0</v>
      </c>
    </row>
    <row r="1695" spans="1:16" x14ac:dyDescent="0.25">
      <c r="A1695" t="s">
        <v>3703</v>
      </c>
      <c r="B1695" t="s">
        <v>3704</v>
      </c>
      <c r="C1695">
        <v>6309</v>
      </c>
      <c r="D1695" t="s">
        <v>1735</v>
      </c>
      <c r="E1695" t="s">
        <v>21</v>
      </c>
      <c r="F1695">
        <v>4306</v>
      </c>
      <c r="G16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5">
        <v>4.0637999999999996</v>
      </c>
      <c r="J1695" t="str">
        <f>IF(ISBLANK(Table13[[#This Row],[Rating]]), "No", "Yes")</f>
        <v>Yes</v>
      </c>
      <c r="K1695" t="str">
        <f>IF(ISBLANK(Table13[[#This Row],[Rating]]), "Not Rated", IF(Table13[[#This Row],[Rating]] &lt; 3, "Low", IF(Table13[[#This Row],[Rating]] &lt; 4, "Medium", "High")))</f>
        <v>High</v>
      </c>
      <c r="L1695">
        <v>815</v>
      </c>
      <c r="M1695">
        <v>58</v>
      </c>
      <c r="N1695" t="str">
        <f>IF(Table13[[#This Row],[Price USD]]&lt;20,"Budget",IF(Table13[[#This Row],[Price USD]]&lt;=50,"Mid-range","Premium"))</f>
        <v>Premium</v>
      </c>
      <c r="O1695">
        <v>0</v>
      </c>
      <c r="P1695">
        <v>0</v>
      </c>
    </row>
    <row r="1696" spans="1:16" x14ac:dyDescent="0.25">
      <c r="A1696" t="s">
        <v>3701</v>
      </c>
      <c r="B1696" t="s">
        <v>3702</v>
      </c>
      <c r="C1696">
        <v>5648</v>
      </c>
      <c r="D1696" t="s">
        <v>408</v>
      </c>
      <c r="E1696" t="s">
        <v>144</v>
      </c>
      <c r="F1696">
        <v>4343</v>
      </c>
      <c r="G16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6">
        <v>3.7894999999999999</v>
      </c>
      <c r="J1696" t="str">
        <f>IF(ISBLANK(Table13[[#This Row],[Rating]]), "No", "Yes")</f>
        <v>Yes</v>
      </c>
      <c r="K1696" t="str">
        <f>IF(ISBLANK(Table13[[#This Row],[Rating]]), "Not Rated", IF(Table13[[#This Row],[Rating]] &lt; 3, "Low", IF(Table13[[#This Row],[Rating]] &lt; 4, "Medium", "High")))</f>
        <v>Medium</v>
      </c>
      <c r="L1696">
        <v>19</v>
      </c>
      <c r="M1696">
        <v>12</v>
      </c>
      <c r="N1696" t="str">
        <f>IF(Table13[[#This Row],[Price USD]]&lt;20,"Budget",IF(Table13[[#This Row],[Price USD]]&lt;=50,"Mid-range","Premium"))</f>
        <v>Budget</v>
      </c>
      <c r="O1696">
        <v>0</v>
      </c>
      <c r="P1696">
        <v>0</v>
      </c>
    </row>
    <row r="1697" spans="1:16" x14ac:dyDescent="0.25">
      <c r="A1697" t="s">
        <v>3699</v>
      </c>
      <c r="B1697" t="s">
        <v>3700</v>
      </c>
      <c r="C1697">
        <v>6201</v>
      </c>
      <c r="D1697" t="s">
        <v>367</v>
      </c>
      <c r="E1697" t="s">
        <v>21</v>
      </c>
      <c r="F1697">
        <v>4347</v>
      </c>
      <c r="G16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7">
        <v>4.2257999999999996</v>
      </c>
      <c r="J1697" t="str">
        <f>IF(ISBLANK(Table13[[#This Row],[Rating]]), "No", "Yes")</f>
        <v>Yes</v>
      </c>
      <c r="K1697" t="str">
        <f>IF(ISBLANK(Table13[[#This Row],[Rating]]), "Not Rated", IF(Table13[[#This Row],[Rating]] &lt; 3, "Low", IF(Table13[[#This Row],[Rating]] &lt; 4, "Medium", "High")))</f>
        <v>High</v>
      </c>
      <c r="L1697">
        <v>62</v>
      </c>
      <c r="M1697">
        <v>320</v>
      </c>
      <c r="N1697" t="str">
        <f>IF(Table13[[#This Row],[Price USD]]&lt;20,"Budget",IF(Table13[[#This Row],[Price USD]]&lt;=50,"Mid-range","Premium"))</f>
        <v>Premium</v>
      </c>
      <c r="O1697">
        <v>0</v>
      </c>
      <c r="P1697">
        <v>0</v>
      </c>
    </row>
    <row r="1698" spans="1:16" x14ac:dyDescent="0.25">
      <c r="A1698" t="s">
        <v>3697</v>
      </c>
      <c r="B1698" t="s">
        <v>3698</v>
      </c>
      <c r="C1698">
        <v>6274</v>
      </c>
      <c r="D1698" t="s">
        <v>2153</v>
      </c>
      <c r="E1698" t="s">
        <v>201</v>
      </c>
      <c r="F1698">
        <v>4350</v>
      </c>
      <c r="G16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8">
        <v>4.4737</v>
      </c>
      <c r="J1698" t="str">
        <f>IF(ISBLANK(Table13[[#This Row],[Rating]]), "No", "Yes")</f>
        <v>Yes</v>
      </c>
      <c r="K1698" t="str">
        <f>IF(ISBLANK(Table13[[#This Row],[Rating]]), "Not Rated", IF(Table13[[#This Row],[Rating]] &lt; 3, "Low", IF(Table13[[#This Row],[Rating]] &lt; 4, "Medium", "High")))</f>
        <v>High</v>
      </c>
      <c r="L1698">
        <v>19</v>
      </c>
      <c r="M1698">
        <v>77</v>
      </c>
      <c r="N1698" t="str">
        <f>IF(Table13[[#This Row],[Price USD]]&lt;20,"Budget",IF(Table13[[#This Row],[Price USD]]&lt;=50,"Mid-range","Premium"))</f>
        <v>Premium</v>
      </c>
      <c r="O1698">
        <v>0</v>
      </c>
      <c r="P1698">
        <v>0</v>
      </c>
    </row>
    <row r="1699" spans="1:16" x14ac:dyDescent="0.25">
      <c r="A1699" t="s">
        <v>3695</v>
      </c>
      <c r="B1699" t="s">
        <v>3696</v>
      </c>
      <c r="C1699">
        <v>6219</v>
      </c>
      <c r="D1699" t="s">
        <v>277</v>
      </c>
      <c r="E1699" t="s">
        <v>149</v>
      </c>
      <c r="F1699">
        <v>4351</v>
      </c>
      <c r="G16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6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699">
        <v>3.7273000000000001</v>
      </c>
      <c r="J1699" t="str">
        <f>IF(ISBLANK(Table13[[#This Row],[Rating]]), "No", "Yes")</f>
        <v>Yes</v>
      </c>
      <c r="K1699" t="str">
        <f>IF(ISBLANK(Table13[[#This Row],[Rating]]), "Not Rated", IF(Table13[[#This Row],[Rating]] &lt; 3, "Low", IF(Table13[[#This Row],[Rating]] &lt; 4, "Medium", "High")))</f>
        <v>Medium</v>
      </c>
      <c r="L1699">
        <v>22</v>
      </c>
      <c r="M1699">
        <v>79</v>
      </c>
      <c r="N1699" t="str">
        <f>IF(Table13[[#This Row],[Price USD]]&lt;20,"Budget",IF(Table13[[#This Row],[Price USD]]&lt;=50,"Mid-range","Premium"))</f>
        <v>Premium</v>
      </c>
      <c r="O1699">
        <v>0</v>
      </c>
      <c r="P1699">
        <v>0</v>
      </c>
    </row>
    <row r="1700" spans="1:16" x14ac:dyDescent="0.25">
      <c r="A1700" t="s">
        <v>3693</v>
      </c>
      <c r="B1700" t="s">
        <v>3694</v>
      </c>
      <c r="C1700">
        <v>6302</v>
      </c>
      <c r="D1700" t="s">
        <v>2721</v>
      </c>
      <c r="E1700" t="s">
        <v>13</v>
      </c>
      <c r="F1700">
        <v>4371</v>
      </c>
      <c r="G17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0">
        <v>4.4828000000000001</v>
      </c>
      <c r="J1700" t="str">
        <f>IF(ISBLANK(Table13[[#This Row],[Rating]]), "No", "Yes")</f>
        <v>Yes</v>
      </c>
      <c r="K1700" t="str">
        <f>IF(ISBLANK(Table13[[#This Row],[Rating]]), "Not Rated", IF(Table13[[#This Row],[Rating]] &lt; 3, "Low", IF(Table13[[#This Row],[Rating]] &lt; 4, "Medium", "High")))</f>
        <v>High</v>
      </c>
      <c r="L1700">
        <v>29</v>
      </c>
      <c r="M1700">
        <v>75</v>
      </c>
      <c r="N1700" t="str">
        <f>IF(Table13[[#This Row],[Price USD]]&lt;20,"Budget",IF(Table13[[#This Row],[Price USD]]&lt;=50,"Mid-range","Premium"))</f>
        <v>Premium</v>
      </c>
      <c r="O1700">
        <v>0</v>
      </c>
      <c r="P1700">
        <v>0</v>
      </c>
    </row>
    <row r="1701" spans="1:16" x14ac:dyDescent="0.25">
      <c r="A1701" t="s">
        <v>3691</v>
      </c>
      <c r="B1701" t="s">
        <v>3692</v>
      </c>
      <c r="C1701">
        <v>6209</v>
      </c>
      <c r="D1701" t="s">
        <v>45</v>
      </c>
      <c r="E1701" t="s">
        <v>8</v>
      </c>
      <c r="F1701">
        <v>4415</v>
      </c>
      <c r="G17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1">
        <v>3.9965000000000002</v>
      </c>
      <c r="J1701" t="str">
        <f>IF(ISBLANK(Table13[[#This Row],[Rating]]), "No", "Yes")</f>
        <v>Yes</v>
      </c>
      <c r="K1701" t="str">
        <f>IF(ISBLANK(Table13[[#This Row],[Rating]]), "Not Rated", IF(Table13[[#This Row],[Rating]] &lt; 3, "Low", IF(Table13[[#This Row],[Rating]] &lt; 4, "Medium", "High")))</f>
        <v>Medium</v>
      </c>
      <c r="L1701">
        <v>1128</v>
      </c>
      <c r="M1701">
        <v>24</v>
      </c>
      <c r="N1701" t="str">
        <f>IF(Table13[[#This Row],[Price USD]]&lt;20,"Budget",IF(Table13[[#This Row],[Price USD]]&lt;=50,"Mid-range","Premium"))</f>
        <v>Mid-range</v>
      </c>
      <c r="O1701">
        <v>0</v>
      </c>
      <c r="P1701">
        <v>0</v>
      </c>
    </row>
    <row r="1702" spans="1:16" x14ac:dyDescent="0.25">
      <c r="A1702" t="s">
        <v>3689</v>
      </c>
      <c r="B1702" t="s">
        <v>3690</v>
      </c>
      <c r="C1702">
        <v>4348</v>
      </c>
      <c r="D1702" t="s">
        <v>61</v>
      </c>
      <c r="E1702" t="s">
        <v>220</v>
      </c>
      <c r="F1702">
        <v>4428</v>
      </c>
      <c r="G17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2">
        <v>3.5</v>
      </c>
      <c r="J1702" t="str">
        <f>IF(ISBLANK(Table13[[#This Row],[Rating]]), "No", "Yes")</f>
        <v>Yes</v>
      </c>
      <c r="K1702" t="str">
        <f>IF(ISBLANK(Table13[[#This Row],[Rating]]), "Not Rated", IF(Table13[[#This Row],[Rating]] &lt; 3, "Low", IF(Table13[[#This Row],[Rating]] &lt; 4, "Medium", "High")))</f>
        <v>Medium</v>
      </c>
      <c r="L1702">
        <v>2</v>
      </c>
      <c r="M1702">
        <v>28</v>
      </c>
      <c r="N1702" t="str">
        <f>IF(Table13[[#This Row],[Price USD]]&lt;20,"Budget",IF(Table13[[#This Row],[Price USD]]&lt;=50,"Mid-range","Premium"))</f>
        <v>Mid-range</v>
      </c>
      <c r="O1702">
        <v>1</v>
      </c>
      <c r="P1702">
        <v>0</v>
      </c>
    </row>
    <row r="1703" spans="1:16" x14ac:dyDescent="0.25">
      <c r="A1703" t="s">
        <v>3687</v>
      </c>
      <c r="B1703" t="s">
        <v>3688</v>
      </c>
      <c r="C1703">
        <v>6488</v>
      </c>
      <c r="D1703" t="s">
        <v>2933</v>
      </c>
      <c r="E1703" t="s">
        <v>220</v>
      </c>
      <c r="F1703">
        <v>4435</v>
      </c>
      <c r="G17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3">
        <v>4.5740999999999996</v>
      </c>
      <c r="J1703" t="str">
        <f>IF(ISBLANK(Table13[[#This Row],[Rating]]), "No", "Yes")</f>
        <v>Yes</v>
      </c>
      <c r="K1703" t="str">
        <f>IF(ISBLANK(Table13[[#This Row],[Rating]]), "Not Rated", IF(Table13[[#This Row],[Rating]] &lt; 3, "Low", IF(Table13[[#This Row],[Rating]] &lt; 4, "Medium", "High")))</f>
        <v>High</v>
      </c>
      <c r="L1703">
        <v>108</v>
      </c>
      <c r="M1703">
        <v>50</v>
      </c>
      <c r="N1703" t="str">
        <f>IF(Table13[[#This Row],[Price USD]]&lt;20,"Budget",IF(Table13[[#This Row],[Price USD]]&lt;=50,"Mid-range","Premium"))</f>
        <v>Mid-range</v>
      </c>
      <c r="O1703">
        <v>0</v>
      </c>
      <c r="P1703">
        <v>0</v>
      </c>
    </row>
    <row r="1704" spans="1:16" x14ac:dyDescent="0.25">
      <c r="A1704" t="s">
        <v>3685</v>
      </c>
      <c r="B1704" t="s">
        <v>3686</v>
      </c>
      <c r="C1704">
        <v>5668</v>
      </c>
      <c r="D1704" t="s">
        <v>93</v>
      </c>
      <c r="E1704" t="s">
        <v>220</v>
      </c>
      <c r="F1704">
        <v>4442</v>
      </c>
      <c r="G17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4">
        <v>3.4285999999999999</v>
      </c>
      <c r="J1704" t="str">
        <f>IF(ISBLANK(Table13[[#This Row],[Rating]]), "No", "Yes")</f>
        <v>Yes</v>
      </c>
      <c r="K1704" t="str">
        <f>IF(ISBLANK(Table13[[#This Row],[Rating]]), "Not Rated", IF(Table13[[#This Row],[Rating]] &lt; 3, "Low", IF(Table13[[#This Row],[Rating]] &lt; 4, "Medium", "High")))</f>
        <v>Medium</v>
      </c>
      <c r="L1704">
        <v>7</v>
      </c>
      <c r="M1704">
        <v>85</v>
      </c>
      <c r="N1704" t="str">
        <f>IF(Table13[[#This Row],[Price USD]]&lt;20,"Budget",IF(Table13[[#This Row],[Price USD]]&lt;=50,"Mid-range","Premium"))</f>
        <v>Premium</v>
      </c>
      <c r="O1704">
        <v>0</v>
      </c>
      <c r="P1704">
        <v>0</v>
      </c>
    </row>
    <row r="1705" spans="1:16" x14ac:dyDescent="0.25">
      <c r="A1705" t="s">
        <v>3683</v>
      </c>
      <c r="B1705" t="s">
        <v>3684</v>
      </c>
      <c r="C1705">
        <v>3728</v>
      </c>
      <c r="D1705" t="s">
        <v>458</v>
      </c>
      <c r="E1705" t="s">
        <v>144</v>
      </c>
      <c r="F1705">
        <v>4443</v>
      </c>
      <c r="G17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5">
        <v>4.2767999999999997</v>
      </c>
      <c r="J1705" t="str">
        <f>IF(ISBLANK(Table13[[#This Row],[Rating]]), "No", "Yes")</f>
        <v>Yes</v>
      </c>
      <c r="K1705" t="str">
        <f>IF(ISBLANK(Table13[[#This Row],[Rating]]), "Not Rated", IF(Table13[[#This Row],[Rating]] &lt; 3, "Low", IF(Table13[[#This Row],[Rating]] &lt; 4, "Medium", "High")))</f>
        <v>High</v>
      </c>
      <c r="L1705">
        <v>625</v>
      </c>
      <c r="M1705">
        <v>20</v>
      </c>
      <c r="N1705" t="str">
        <f>IF(Table13[[#This Row],[Price USD]]&lt;20,"Budget",IF(Table13[[#This Row],[Price USD]]&lt;=50,"Mid-range","Premium"))</f>
        <v>Mid-range</v>
      </c>
      <c r="O1705">
        <v>0</v>
      </c>
      <c r="P1705">
        <v>1</v>
      </c>
    </row>
    <row r="1706" spans="1:16" x14ac:dyDescent="0.25">
      <c r="A1706" t="s">
        <v>3681</v>
      </c>
      <c r="B1706" t="s">
        <v>3682</v>
      </c>
      <c r="C1706">
        <v>6749</v>
      </c>
      <c r="D1706" t="s">
        <v>3173</v>
      </c>
      <c r="E1706" t="s">
        <v>13</v>
      </c>
      <c r="F1706">
        <v>4444</v>
      </c>
      <c r="G17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6">
        <v>4.8838999999999997</v>
      </c>
      <c r="J1706" t="str">
        <f>IF(ISBLANK(Table13[[#This Row],[Rating]]), "No", "Yes")</f>
        <v>Yes</v>
      </c>
      <c r="K1706" t="str">
        <f>IF(ISBLANK(Table13[[#This Row],[Rating]]), "Not Rated", IF(Table13[[#This Row],[Rating]] &lt; 3, "Low", IF(Table13[[#This Row],[Rating]] &lt; 4, "Medium", "High")))</f>
        <v>High</v>
      </c>
      <c r="L1706">
        <v>224</v>
      </c>
      <c r="M1706">
        <v>58</v>
      </c>
      <c r="N1706" t="str">
        <f>IF(Table13[[#This Row],[Price USD]]&lt;20,"Budget",IF(Table13[[#This Row],[Price USD]]&lt;=50,"Mid-range","Premium"))</f>
        <v>Premium</v>
      </c>
      <c r="O1706">
        <v>1</v>
      </c>
      <c r="P1706">
        <v>0</v>
      </c>
    </row>
    <row r="1707" spans="1:16" x14ac:dyDescent="0.25">
      <c r="A1707" t="s">
        <v>3679</v>
      </c>
      <c r="B1707" t="s">
        <v>3680</v>
      </c>
      <c r="C1707">
        <v>5644</v>
      </c>
      <c r="D1707" t="s">
        <v>158</v>
      </c>
      <c r="E1707" t="s">
        <v>144</v>
      </c>
      <c r="F1707">
        <v>4452</v>
      </c>
      <c r="G17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7">
        <v>3.4285999999999999</v>
      </c>
      <c r="J1707" t="str">
        <f>IF(ISBLANK(Table13[[#This Row],[Rating]]), "No", "Yes")</f>
        <v>Yes</v>
      </c>
      <c r="K1707" t="str">
        <f>IF(ISBLANK(Table13[[#This Row],[Rating]]), "Not Rated", IF(Table13[[#This Row],[Rating]] &lt; 3, "Low", IF(Table13[[#This Row],[Rating]] &lt; 4, "Medium", "High")))</f>
        <v>Medium</v>
      </c>
      <c r="L1707">
        <v>7</v>
      </c>
      <c r="M1707">
        <v>25</v>
      </c>
      <c r="N1707" t="str">
        <f>IF(Table13[[#This Row],[Price USD]]&lt;20,"Budget",IF(Table13[[#This Row],[Price USD]]&lt;=50,"Mid-range","Premium"))</f>
        <v>Mid-range</v>
      </c>
      <c r="O1707">
        <v>0</v>
      </c>
      <c r="P1707">
        <v>0</v>
      </c>
    </row>
    <row r="1708" spans="1:16" x14ac:dyDescent="0.25">
      <c r="A1708" t="s">
        <v>3677</v>
      </c>
      <c r="B1708" t="s">
        <v>3678</v>
      </c>
      <c r="C1708">
        <v>6226</v>
      </c>
      <c r="D1708" t="s">
        <v>843</v>
      </c>
      <c r="E1708" t="s">
        <v>8</v>
      </c>
      <c r="F1708">
        <v>4454</v>
      </c>
      <c r="G17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8">
        <v>3.5</v>
      </c>
      <c r="J1708" t="str">
        <f>IF(ISBLANK(Table13[[#This Row],[Rating]]), "No", "Yes")</f>
        <v>Yes</v>
      </c>
      <c r="K1708" t="str">
        <f>IF(ISBLANK(Table13[[#This Row],[Rating]]), "Not Rated", IF(Table13[[#This Row],[Rating]] &lt; 3, "Low", IF(Table13[[#This Row],[Rating]] &lt; 4, "Medium", "High")))</f>
        <v>Medium</v>
      </c>
      <c r="L1708">
        <v>4</v>
      </c>
      <c r="M1708">
        <v>15</v>
      </c>
      <c r="N1708" t="str">
        <f>IF(Table13[[#This Row],[Price USD]]&lt;20,"Budget",IF(Table13[[#This Row],[Price USD]]&lt;=50,"Mid-range","Premium"))</f>
        <v>Budget</v>
      </c>
      <c r="O1708">
        <v>0</v>
      </c>
      <c r="P1708">
        <v>0</v>
      </c>
    </row>
    <row r="1709" spans="1:16" x14ac:dyDescent="0.25">
      <c r="A1709" t="s">
        <v>3675</v>
      </c>
      <c r="B1709" t="s">
        <v>3676</v>
      </c>
      <c r="C1709">
        <v>6216</v>
      </c>
      <c r="D1709" t="s">
        <v>3124</v>
      </c>
      <c r="E1709" t="s">
        <v>13</v>
      </c>
      <c r="F1709">
        <v>4469</v>
      </c>
      <c r="G17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09">
        <v>4.5349000000000004</v>
      </c>
      <c r="J1709" t="str">
        <f>IF(ISBLANK(Table13[[#This Row],[Rating]]), "No", "Yes")</f>
        <v>Yes</v>
      </c>
      <c r="K1709" t="str">
        <f>IF(ISBLANK(Table13[[#This Row],[Rating]]), "Not Rated", IF(Table13[[#This Row],[Rating]] &lt; 3, "Low", IF(Table13[[#This Row],[Rating]] &lt; 4, "Medium", "High")))</f>
        <v>High</v>
      </c>
      <c r="L1709">
        <v>86</v>
      </c>
      <c r="M1709">
        <v>14</v>
      </c>
      <c r="N1709" t="str">
        <f>IF(Table13[[#This Row],[Price USD]]&lt;20,"Budget",IF(Table13[[#This Row],[Price USD]]&lt;=50,"Mid-range","Premium"))</f>
        <v>Budget</v>
      </c>
      <c r="O1709">
        <v>0</v>
      </c>
      <c r="P1709">
        <v>1</v>
      </c>
    </row>
    <row r="1710" spans="1:16" x14ac:dyDescent="0.25">
      <c r="A1710" t="s">
        <v>3673</v>
      </c>
      <c r="B1710" t="s">
        <v>3674</v>
      </c>
      <c r="C1710">
        <v>4164</v>
      </c>
      <c r="D1710" t="s">
        <v>623</v>
      </c>
      <c r="E1710" t="s">
        <v>220</v>
      </c>
      <c r="F1710">
        <v>4471</v>
      </c>
      <c r="G17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0">
        <v>3.5333000000000001</v>
      </c>
      <c r="J1710" t="str">
        <f>IF(ISBLANK(Table13[[#This Row],[Rating]]), "No", "Yes")</f>
        <v>Yes</v>
      </c>
      <c r="K1710" t="str">
        <f>IF(ISBLANK(Table13[[#This Row],[Rating]]), "Not Rated", IF(Table13[[#This Row],[Rating]] &lt; 3, "Low", IF(Table13[[#This Row],[Rating]] &lt; 4, "Medium", "High")))</f>
        <v>Medium</v>
      </c>
      <c r="L1710">
        <v>15</v>
      </c>
      <c r="M1710">
        <v>36</v>
      </c>
      <c r="N1710" t="str">
        <f>IF(Table13[[#This Row],[Price USD]]&lt;20,"Budget",IF(Table13[[#This Row],[Price USD]]&lt;=50,"Mid-range","Premium"))</f>
        <v>Mid-range</v>
      </c>
      <c r="O1710">
        <v>0</v>
      </c>
      <c r="P1710">
        <v>0</v>
      </c>
    </row>
    <row r="1711" spans="1:16" x14ac:dyDescent="0.25">
      <c r="A1711" t="s">
        <v>3671</v>
      </c>
      <c r="B1711" t="s">
        <v>3672</v>
      </c>
      <c r="C1711">
        <v>3902</v>
      </c>
      <c r="D1711" t="s">
        <v>72</v>
      </c>
      <c r="E1711" t="s">
        <v>69</v>
      </c>
      <c r="F1711">
        <v>4478</v>
      </c>
      <c r="G17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1">
        <v>4.5</v>
      </c>
      <c r="J1711" t="str">
        <f>IF(ISBLANK(Table13[[#This Row],[Rating]]), "No", "Yes")</f>
        <v>Yes</v>
      </c>
      <c r="K1711" t="str">
        <f>IF(ISBLANK(Table13[[#This Row],[Rating]]), "Not Rated", IF(Table13[[#This Row],[Rating]] &lt; 3, "Low", IF(Table13[[#This Row],[Rating]] &lt; 4, "Medium", "High")))</f>
        <v>High</v>
      </c>
      <c r="L1711">
        <v>6</v>
      </c>
      <c r="M1711">
        <v>16</v>
      </c>
      <c r="N1711" t="str">
        <f>IF(Table13[[#This Row],[Price USD]]&lt;20,"Budget",IF(Table13[[#This Row],[Price USD]]&lt;=50,"Mid-range","Premium"))</f>
        <v>Budget</v>
      </c>
      <c r="O1711">
        <v>0</v>
      </c>
      <c r="P1711">
        <v>0</v>
      </c>
    </row>
    <row r="1712" spans="1:16" x14ac:dyDescent="0.25">
      <c r="A1712" t="s">
        <v>3669</v>
      </c>
      <c r="B1712" t="s">
        <v>3670</v>
      </c>
      <c r="C1712">
        <v>6377</v>
      </c>
      <c r="D1712" t="s">
        <v>1903</v>
      </c>
      <c r="E1712" t="s">
        <v>13</v>
      </c>
      <c r="F1712">
        <v>4482</v>
      </c>
      <c r="G17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2">
        <v>4.6881000000000004</v>
      </c>
      <c r="J1712" t="str">
        <f>IF(ISBLANK(Table13[[#This Row],[Rating]]), "No", "Yes")</f>
        <v>Yes</v>
      </c>
      <c r="K1712" t="str">
        <f>IF(ISBLANK(Table13[[#This Row],[Rating]]), "Not Rated", IF(Table13[[#This Row],[Rating]] &lt; 3, "Low", IF(Table13[[#This Row],[Rating]] &lt; 4, "Medium", "High")))</f>
        <v>High</v>
      </c>
      <c r="L1712">
        <v>109</v>
      </c>
      <c r="M1712">
        <v>30</v>
      </c>
      <c r="N1712" t="str">
        <f>IF(Table13[[#This Row],[Price USD]]&lt;20,"Budget",IF(Table13[[#This Row],[Price USD]]&lt;=50,"Mid-range","Premium"))</f>
        <v>Mid-range</v>
      </c>
      <c r="O1712">
        <v>0</v>
      </c>
      <c r="P1712">
        <v>1</v>
      </c>
    </row>
    <row r="1713" spans="1:16" x14ac:dyDescent="0.25">
      <c r="A1713" t="s">
        <v>3667</v>
      </c>
      <c r="B1713" t="s">
        <v>3668</v>
      </c>
      <c r="C1713">
        <v>5946</v>
      </c>
      <c r="D1713" t="s">
        <v>341</v>
      </c>
      <c r="E1713" t="s">
        <v>8</v>
      </c>
      <c r="F1713">
        <v>4497</v>
      </c>
      <c r="G17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3">
        <v>4.7011000000000003</v>
      </c>
      <c r="J1713" t="str">
        <f>IF(ISBLANK(Table13[[#This Row],[Rating]]), "No", "Yes")</f>
        <v>Yes</v>
      </c>
      <c r="K1713" t="str">
        <f>IF(ISBLANK(Table13[[#This Row],[Rating]]), "Not Rated", IF(Table13[[#This Row],[Rating]] &lt; 3, "Low", IF(Table13[[#This Row],[Rating]] &lt; 4, "Medium", "High")))</f>
        <v>High</v>
      </c>
      <c r="L1713">
        <v>87</v>
      </c>
      <c r="M1713">
        <v>68</v>
      </c>
      <c r="N1713" t="str">
        <f>IF(Table13[[#This Row],[Price USD]]&lt;20,"Budget",IF(Table13[[#This Row],[Price USD]]&lt;=50,"Mid-range","Premium"))</f>
        <v>Premium</v>
      </c>
      <c r="O1713">
        <v>0</v>
      </c>
      <c r="P1713">
        <v>0</v>
      </c>
    </row>
    <row r="1714" spans="1:16" x14ac:dyDescent="0.25">
      <c r="A1714" t="s">
        <v>3665</v>
      </c>
      <c r="B1714" t="s">
        <v>3666</v>
      </c>
      <c r="C1714">
        <v>6302</v>
      </c>
      <c r="D1714" t="s">
        <v>2721</v>
      </c>
      <c r="E1714" t="s">
        <v>8</v>
      </c>
      <c r="F1714">
        <v>4523</v>
      </c>
      <c r="G17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4">
        <v>3.3683999999999998</v>
      </c>
      <c r="J1714" t="str">
        <f>IF(ISBLANK(Table13[[#This Row],[Rating]]), "No", "Yes")</f>
        <v>Yes</v>
      </c>
      <c r="K1714" t="str">
        <f>IF(ISBLANK(Table13[[#This Row],[Rating]]), "Not Rated", IF(Table13[[#This Row],[Rating]] &lt; 3, "Low", IF(Table13[[#This Row],[Rating]] &lt; 4, "Medium", "High")))</f>
        <v>Medium</v>
      </c>
      <c r="L1714">
        <v>38</v>
      </c>
      <c r="M1714">
        <v>370</v>
      </c>
      <c r="N1714" t="str">
        <f>IF(Table13[[#This Row],[Price USD]]&lt;20,"Budget",IF(Table13[[#This Row],[Price USD]]&lt;=50,"Mid-range","Premium"))</f>
        <v>Premium</v>
      </c>
      <c r="O1714">
        <v>0</v>
      </c>
      <c r="P1714">
        <v>0</v>
      </c>
    </row>
    <row r="1715" spans="1:16" x14ac:dyDescent="0.25">
      <c r="A1715" t="s">
        <v>3663</v>
      </c>
      <c r="B1715" t="s">
        <v>3664</v>
      </c>
      <c r="C1715">
        <v>6302</v>
      </c>
      <c r="D1715" t="s">
        <v>2721</v>
      </c>
      <c r="E1715" t="s">
        <v>149</v>
      </c>
      <c r="F1715">
        <v>4529</v>
      </c>
      <c r="G17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5">
        <v>3.8220999999999998</v>
      </c>
      <c r="J1715" t="str">
        <f>IF(ISBLANK(Table13[[#This Row],[Rating]]), "No", "Yes")</f>
        <v>Yes</v>
      </c>
      <c r="K1715" t="str">
        <f>IF(ISBLANK(Table13[[#This Row],[Rating]]), "Not Rated", IF(Table13[[#This Row],[Rating]] &lt; 3, "Low", IF(Table13[[#This Row],[Rating]] &lt; 4, "Medium", "High")))</f>
        <v>Medium</v>
      </c>
      <c r="L1715">
        <v>253</v>
      </c>
      <c r="M1715">
        <v>145</v>
      </c>
      <c r="N1715" t="str">
        <f>IF(Table13[[#This Row],[Price USD]]&lt;20,"Budget",IF(Table13[[#This Row],[Price USD]]&lt;=50,"Mid-range","Premium"))</f>
        <v>Premium</v>
      </c>
      <c r="O1715">
        <v>0</v>
      </c>
      <c r="P1715">
        <v>0</v>
      </c>
    </row>
    <row r="1716" spans="1:16" x14ac:dyDescent="0.25">
      <c r="A1716" t="s">
        <v>3661</v>
      </c>
      <c r="B1716" t="s">
        <v>3662</v>
      </c>
      <c r="C1716">
        <v>7050</v>
      </c>
      <c r="D1716" t="s">
        <v>721</v>
      </c>
      <c r="E1716" t="s">
        <v>201</v>
      </c>
      <c r="F1716">
        <v>4531</v>
      </c>
      <c r="G17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6">
        <v>4.2055999999999996</v>
      </c>
      <c r="J1716" t="str">
        <f>IF(ISBLANK(Table13[[#This Row],[Rating]]), "No", "Yes")</f>
        <v>Yes</v>
      </c>
      <c r="K1716" t="str">
        <f>IF(ISBLANK(Table13[[#This Row],[Rating]]), "Not Rated", IF(Table13[[#This Row],[Rating]] &lt; 3, "Low", IF(Table13[[#This Row],[Rating]] &lt; 4, "Medium", "High")))</f>
        <v>High</v>
      </c>
      <c r="L1716">
        <v>107</v>
      </c>
      <c r="M1716">
        <v>30</v>
      </c>
      <c r="N1716" t="str">
        <f>IF(Table13[[#This Row],[Price USD]]&lt;20,"Budget",IF(Table13[[#This Row],[Price USD]]&lt;=50,"Mid-range","Premium"))</f>
        <v>Mid-range</v>
      </c>
      <c r="O1716">
        <v>0</v>
      </c>
      <c r="P1716">
        <v>0</v>
      </c>
    </row>
    <row r="1717" spans="1:16" x14ac:dyDescent="0.25">
      <c r="A1717" t="s">
        <v>3659</v>
      </c>
      <c r="B1717" t="s">
        <v>3660</v>
      </c>
      <c r="C1717">
        <v>5946</v>
      </c>
      <c r="D1717" t="s">
        <v>341</v>
      </c>
      <c r="E1717" t="s">
        <v>149</v>
      </c>
      <c r="F1717">
        <v>4556</v>
      </c>
      <c r="G17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7">
        <v>3.9142999999999999</v>
      </c>
      <c r="J1717" t="str">
        <f>IF(ISBLANK(Table13[[#This Row],[Rating]]), "No", "Yes")</f>
        <v>Yes</v>
      </c>
      <c r="K1717" t="str">
        <f>IF(ISBLANK(Table13[[#This Row],[Rating]]), "Not Rated", IF(Table13[[#This Row],[Rating]] &lt; 3, "Low", IF(Table13[[#This Row],[Rating]] &lt; 4, "Medium", "High")))</f>
        <v>Medium</v>
      </c>
      <c r="L1717">
        <v>70</v>
      </c>
      <c r="M1717">
        <v>140</v>
      </c>
      <c r="N1717" t="str">
        <f>IF(Table13[[#This Row],[Price USD]]&lt;20,"Budget",IF(Table13[[#This Row],[Price USD]]&lt;=50,"Mid-range","Premium"))</f>
        <v>Premium</v>
      </c>
      <c r="O1717">
        <v>0</v>
      </c>
      <c r="P1717">
        <v>0</v>
      </c>
    </row>
    <row r="1718" spans="1:16" x14ac:dyDescent="0.25">
      <c r="A1718" t="s">
        <v>3656</v>
      </c>
      <c r="B1718" t="s">
        <v>3657</v>
      </c>
      <c r="C1718">
        <v>5746</v>
      </c>
      <c r="D1718" t="s">
        <v>3658</v>
      </c>
      <c r="E1718" t="s">
        <v>21</v>
      </c>
      <c r="F1718">
        <v>4568</v>
      </c>
      <c r="G17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8">
        <v>4.5556000000000001</v>
      </c>
      <c r="J1718" t="str">
        <f>IF(ISBLANK(Table13[[#This Row],[Rating]]), "No", "Yes")</f>
        <v>Yes</v>
      </c>
      <c r="K1718" t="str">
        <f>IF(ISBLANK(Table13[[#This Row],[Rating]]), "Not Rated", IF(Table13[[#This Row],[Rating]] &lt; 3, "Low", IF(Table13[[#This Row],[Rating]] &lt; 4, "Medium", "High")))</f>
        <v>High</v>
      </c>
      <c r="L1718">
        <v>27</v>
      </c>
      <c r="M1718">
        <v>45</v>
      </c>
      <c r="N1718" t="str">
        <f>IF(Table13[[#This Row],[Price USD]]&lt;20,"Budget",IF(Table13[[#This Row],[Price USD]]&lt;=50,"Mid-range","Premium"))</f>
        <v>Mid-range</v>
      </c>
      <c r="O1718">
        <v>0</v>
      </c>
      <c r="P1718">
        <v>0</v>
      </c>
    </row>
    <row r="1719" spans="1:16" x14ac:dyDescent="0.25">
      <c r="A1719" t="s">
        <v>3654</v>
      </c>
      <c r="B1719" t="s">
        <v>3655</v>
      </c>
      <c r="C1719">
        <v>5946</v>
      </c>
      <c r="D1719" t="s">
        <v>341</v>
      </c>
      <c r="E1719" t="s">
        <v>149</v>
      </c>
      <c r="F1719">
        <v>4568</v>
      </c>
      <c r="G17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19">
        <v>3.7450999999999999</v>
      </c>
      <c r="J1719" t="str">
        <f>IF(ISBLANK(Table13[[#This Row],[Rating]]), "No", "Yes")</f>
        <v>Yes</v>
      </c>
      <c r="K1719" t="str">
        <f>IF(ISBLANK(Table13[[#This Row],[Rating]]), "Not Rated", IF(Table13[[#This Row],[Rating]] &lt; 3, "Low", IF(Table13[[#This Row],[Rating]] &lt; 4, "Medium", "High")))</f>
        <v>Medium</v>
      </c>
      <c r="L1719">
        <v>51</v>
      </c>
      <c r="M1719">
        <v>98</v>
      </c>
      <c r="N1719" t="str">
        <f>IF(Table13[[#This Row],[Price USD]]&lt;20,"Budget",IF(Table13[[#This Row],[Price USD]]&lt;=50,"Mid-range","Premium"))</f>
        <v>Premium</v>
      </c>
      <c r="O1719">
        <v>0</v>
      </c>
      <c r="P1719">
        <v>0</v>
      </c>
    </row>
    <row r="1720" spans="1:16" x14ac:dyDescent="0.25">
      <c r="A1720" t="s">
        <v>3652</v>
      </c>
      <c r="B1720" t="s">
        <v>3653</v>
      </c>
      <c r="C1720">
        <v>6368</v>
      </c>
      <c r="D1720" t="s">
        <v>2117</v>
      </c>
      <c r="E1720" t="s">
        <v>220</v>
      </c>
      <c r="F1720">
        <v>4569</v>
      </c>
      <c r="G17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0">
        <v>4.6666999999999996</v>
      </c>
      <c r="J1720" t="str">
        <f>IF(ISBLANK(Table13[[#This Row],[Rating]]), "No", "Yes")</f>
        <v>Yes</v>
      </c>
      <c r="K1720" t="str">
        <f>IF(ISBLANK(Table13[[#This Row],[Rating]]), "Not Rated", IF(Table13[[#This Row],[Rating]] &lt; 3, "Low", IF(Table13[[#This Row],[Rating]] &lt; 4, "Medium", "High")))</f>
        <v>High</v>
      </c>
      <c r="L1720">
        <v>15</v>
      </c>
      <c r="M1720">
        <v>39</v>
      </c>
      <c r="N1720" t="str">
        <f>IF(Table13[[#This Row],[Price USD]]&lt;20,"Budget",IF(Table13[[#This Row],[Price USD]]&lt;=50,"Mid-range","Premium"))</f>
        <v>Mid-range</v>
      </c>
      <c r="O1720">
        <v>0</v>
      </c>
      <c r="P1720">
        <v>0</v>
      </c>
    </row>
    <row r="1721" spans="1:16" x14ac:dyDescent="0.25">
      <c r="A1721" t="s">
        <v>3650</v>
      </c>
      <c r="B1721" t="s">
        <v>3651</v>
      </c>
      <c r="C1721">
        <v>5987</v>
      </c>
      <c r="D1721" t="s">
        <v>48</v>
      </c>
      <c r="E1721" t="s">
        <v>49</v>
      </c>
      <c r="F1721">
        <v>4572</v>
      </c>
      <c r="G17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1">
        <v>3.9472999999999998</v>
      </c>
      <c r="J1721" t="str">
        <f>IF(ISBLANK(Table13[[#This Row],[Rating]]), "No", "Yes")</f>
        <v>Yes</v>
      </c>
      <c r="K1721" t="str">
        <f>IF(ISBLANK(Table13[[#This Row],[Rating]]), "Not Rated", IF(Table13[[#This Row],[Rating]] &lt; 3, "Low", IF(Table13[[#This Row],[Rating]] &lt; 4, "Medium", "High")))</f>
        <v>Medium</v>
      </c>
      <c r="L1721">
        <v>455</v>
      </c>
      <c r="M1721">
        <v>22</v>
      </c>
      <c r="N1721" t="str">
        <f>IF(Table13[[#This Row],[Price USD]]&lt;20,"Budget",IF(Table13[[#This Row],[Price USD]]&lt;=50,"Mid-range","Premium"))</f>
        <v>Mid-range</v>
      </c>
      <c r="O1721">
        <v>0</v>
      </c>
      <c r="P1721">
        <v>0</v>
      </c>
    </row>
    <row r="1722" spans="1:16" x14ac:dyDescent="0.25">
      <c r="A1722" t="s">
        <v>3648</v>
      </c>
      <c r="B1722" t="s">
        <v>3649</v>
      </c>
      <c r="C1722">
        <v>6201</v>
      </c>
      <c r="D1722" t="s">
        <v>367</v>
      </c>
      <c r="E1722" t="s">
        <v>21</v>
      </c>
      <c r="F1722">
        <v>4580</v>
      </c>
      <c r="G17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2">
        <v>4.0704000000000002</v>
      </c>
      <c r="J1722" t="str">
        <f>IF(ISBLANK(Table13[[#This Row],[Rating]]), "No", "Yes")</f>
        <v>Yes</v>
      </c>
      <c r="K1722" t="str">
        <f>IF(ISBLANK(Table13[[#This Row],[Rating]]), "Not Rated", IF(Table13[[#This Row],[Rating]] &lt; 3, "Low", IF(Table13[[#This Row],[Rating]] &lt; 4, "Medium", "High")))</f>
        <v>High</v>
      </c>
      <c r="L1722">
        <v>71</v>
      </c>
      <c r="M1722">
        <v>320</v>
      </c>
      <c r="N1722" t="str">
        <f>IF(Table13[[#This Row],[Price USD]]&lt;20,"Budget",IF(Table13[[#This Row],[Price USD]]&lt;=50,"Mid-range","Premium"))</f>
        <v>Premium</v>
      </c>
      <c r="O1722">
        <v>0</v>
      </c>
      <c r="P1722">
        <v>0</v>
      </c>
    </row>
    <row r="1723" spans="1:16" x14ac:dyDescent="0.25">
      <c r="A1723" t="s">
        <v>3646</v>
      </c>
      <c r="B1723" t="s">
        <v>3647</v>
      </c>
      <c r="C1723">
        <v>6117</v>
      </c>
      <c r="D1723" t="s">
        <v>229</v>
      </c>
      <c r="E1723" t="s">
        <v>21</v>
      </c>
      <c r="F1723">
        <v>4593</v>
      </c>
      <c r="G17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3">
        <v>4.2461000000000002</v>
      </c>
      <c r="J1723" t="str">
        <f>IF(ISBLANK(Table13[[#This Row],[Rating]]), "No", "Yes")</f>
        <v>Yes</v>
      </c>
      <c r="K1723" t="str">
        <f>IF(ISBLANK(Table13[[#This Row],[Rating]]), "Not Rated", IF(Table13[[#This Row],[Rating]] &lt; 3, "Low", IF(Table13[[#This Row],[Rating]] &lt; 4, "Medium", "High")))</f>
        <v>High</v>
      </c>
      <c r="L1723">
        <v>959</v>
      </c>
      <c r="M1723">
        <v>15</v>
      </c>
      <c r="N1723" t="str">
        <f>IF(Table13[[#This Row],[Price USD]]&lt;20,"Budget",IF(Table13[[#This Row],[Price USD]]&lt;=50,"Mid-range","Premium"))</f>
        <v>Budget</v>
      </c>
      <c r="O1723">
        <v>0</v>
      </c>
      <c r="P1723">
        <v>0</v>
      </c>
    </row>
    <row r="1724" spans="1:16" x14ac:dyDescent="0.25">
      <c r="A1724" t="s">
        <v>3644</v>
      </c>
      <c r="B1724" t="s">
        <v>3645</v>
      </c>
      <c r="C1724">
        <v>6309</v>
      </c>
      <c r="D1724" t="s">
        <v>1735</v>
      </c>
      <c r="E1724" t="s">
        <v>8</v>
      </c>
      <c r="F1724">
        <v>4597</v>
      </c>
      <c r="G17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4">
        <v>4.2549999999999999</v>
      </c>
      <c r="J1724" t="str">
        <f>IF(ISBLANK(Table13[[#This Row],[Rating]]), "No", "Yes")</f>
        <v>Yes</v>
      </c>
      <c r="K1724" t="str">
        <f>IF(ISBLANK(Table13[[#This Row],[Rating]]), "Not Rated", IF(Table13[[#This Row],[Rating]] &lt; 3, "Low", IF(Table13[[#This Row],[Rating]] &lt; 4, "Medium", "High")))</f>
        <v>High</v>
      </c>
      <c r="L1724">
        <v>1196</v>
      </c>
      <c r="M1724">
        <v>125</v>
      </c>
      <c r="N1724" t="str">
        <f>IF(Table13[[#This Row],[Price USD]]&lt;20,"Budget",IF(Table13[[#This Row],[Price USD]]&lt;=50,"Mid-range","Premium"))</f>
        <v>Premium</v>
      </c>
      <c r="O1724">
        <v>0</v>
      </c>
      <c r="P1724">
        <v>0</v>
      </c>
    </row>
    <row r="1725" spans="1:16" x14ac:dyDescent="0.25">
      <c r="A1725" t="s">
        <v>3642</v>
      </c>
      <c r="B1725" t="s">
        <v>3643</v>
      </c>
      <c r="C1725">
        <v>4372</v>
      </c>
      <c r="D1725" t="s">
        <v>1513</v>
      </c>
      <c r="E1725" t="s">
        <v>8</v>
      </c>
      <c r="F1725">
        <v>4599</v>
      </c>
      <c r="G17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5">
        <v>4.6959</v>
      </c>
      <c r="J1725" t="str">
        <f>IF(ISBLANK(Table13[[#This Row],[Rating]]), "No", "Yes")</f>
        <v>Yes</v>
      </c>
      <c r="K1725" t="str">
        <f>IF(ISBLANK(Table13[[#This Row],[Rating]]), "Not Rated", IF(Table13[[#This Row],[Rating]] &lt; 3, "Low", IF(Table13[[#This Row],[Rating]] &lt; 4, "Medium", "High")))</f>
        <v>High</v>
      </c>
      <c r="L1725">
        <v>148</v>
      </c>
      <c r="M1725">
        <v>120</v>
      </c>
      <c r="N1725" t="str">
        <f>IF(Table13[[#This Row],[Price USD]]&lt;20,"Budget",IF(Table13[[#This Row],[Price USD]]&lt;=50,"Mid-range","Premium"))</f>
        <v>Premium</v>
      </c>
      <c r="O1725">
        <v>0</v>
      </c>
      <c r="P1725">
        <v>0</v>
      </c>
    </row>
    <row r="1726" spans="1:16" x14ac:dyDescent="0.25">
      <c r="A1726" t="s">
        <v>3640</v>
      </c>
      <c r="B1726" t="s">
        <v>3641</v>
      </c>
      <c r="C1726">
        <v>5337</v>
      </c>
      <c r="D1726" t="s">
        <v>209</v>
      </c>
      <c r="E1726" t="s">
        <v>21</v>
      </c>
      <c r="F1726">
        <v>4608</v>
      </c>
      <c r="G17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6">
        <v>4.9375</v>
      </c>
      <c r="J1726" t="str">
        <f>IF(ISBLANK(Table13[[#This Row],[Rating]]), "No", "Yes")</f>
        <v>Yes</v>
      </c>
      <c r="K1726" t="str">
        <f>IF(ISBLANK(Table13[[#This Row],[Rating]]), "Not Rated", IF(Table13[[#This Row],[Rating]] &lt; 3, "Low", IF(Table13[[#This Row],[Rating]] &lt; 4, "Medium", "High")))</f>
        <v>High</v>
      </c>
      <c r="L1726">
        <v>16</v>
      </c>
      <c r="M1726">
        <v>110</v>
      </c>
      <c r="N1726" t="str">
        <f>IF(Table13[[#This Row],[Price USD]]&lt;20,"Budget",IF(Table13[[#This Row],[Price USD]]&lt;=50,"Mid-range","Premium"))</f>
        <v>Premium</v>
      </c>
      <c r="O1726">
        <v>0</v>
      </c>
      <c r="P1726">
        <v>0</v>
      </c>
    </row>
    <row r="1727" spans="1:16" x14ac:dyDescent="0.25">
      <c r="A1727" t="s">
        <v>3638</v>
      </c>
      <c r="B1727" t="s">
        <v>3639</v>
      </c>
      <c r="C1727">
        <v>6089</v>
      </c>
      <c r="D1727" t="s">
        <v>605</v>
      </c>
      <c r="E1727" t="s">
        <v>8</v>
      </c>
      <c r="F1727">
        <v>4615</v>
      </c>
      <c r="G17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7">
        <v>4</v>
      </c>
      <c r="J1727" t="str">
        <f>IF(ISBLANK(Table13[[#This Row],[Rating]]), "No", "Yes")</f>
        <v>Yes</v>
      </c>
      <c r="K1727" t="str">
        <f>IF(ISBLANK(Table13[[#This Row],[Rating]]), "Not Rated", IF(Table13[[#This Row],[Rating]] &lt; 3, "Low", IF(Table13[[#This Row],[Rating]] &lt; 4, "Medium", "High")))</f>
        <v>High</v>
      </c>
      <c r="L1727">
        <v>13</v>
      </c>
      <c r="M1727">
        <v>86</v>
      </c>
      <c r="N1727" t="str">
        <f>IF(Table13[[#This Row],[Price USD]]&lt;20,"Budget",IF(Table13[[#This Row],[Price USD]]&lt;=50,"Mid-range","Premium"))</f>
        <v>Premium</v>
      </c>
      <c r="O1727">
        <v>0</v>
      </c>
      <c r="P1727">
        <v>0</v>
      </c>
    </row>
    <row r="1728" spans="1:16" x14ac:dyDescent="0.25">
      <c r="A1728" t="s">
        <v>3636</v>
      </c>
      <c r="B1728" t="s">
        <v>3637</v>
      </c>
      <c r="C1728">
        <v>6089</v>
      </c>
      <c r="D1728" t="s">
        <v>605</v>
      </c>
      <c r="E1728" t="s">
        <v>21</v>
      </c>
      <c r="F1728">
        <v>4621</v>
      </c>
      <c r="G17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8">
        <v>4.1852</v>
      </c>
      <c r="J1728" t="str">
        <f>IF(ISBLANK(Table13[[#This Row],[Rating]]), "No", "Yes")</f>
        <v>Yes</v>
      </c>
      <c r="K1728" t="str">
        <f>IF(ISBLANK(Table13[[#This Row],[Rating]]), "Not Rated", IF(Table13[[#This Row],[Rating]] &lt; 3, "Low", IF(Table13[[#This Row],[Rating]] &lt; 4, "Medium", "High")))</f>
        <v>High</v>
      </c>
      <c r="L1728">
        <v>27</v>
      </c>
      <c r="M1728">
        <v>110</v>
      </c>
      <c r="N1728" t="str">
        <f>IF(Table13[[#This Row],[Price USD]]&lt;20,"Budget",IF(Table13[[#This Row],[Price USD]]&lt;=50,"Mid-range","Premium"))</f>
        <v>Premium</v>
      </c>
      <c r="O1728">
        <v>0</v>
      </c>
      <c r="P1728">
        <v>0</v>
      </c>
    </row>
    <row r="1729" spans="1:16" x14ac:dyDescent="0.25">
      <c r="A1729" t="s">
        <v>3634</v>
      </c>
      <c r="B1729" t="s">
        <v>3635</v>
      </c>
      <c r="C1729">
        <v>5337</v>
      </c>
      <c r="D1729" t="s">
        <v>209</v>
      </c>
      <c r="E1729" t="s">
        <v>13</v>
      </c>
      <c r="F1729">
        <v>4643</v>
      </c>
      <c r="G17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29">
        <v>4.2381000000000002</v>
      </c>
      <c r="J1729" t="str">
        <f>IF(ISBLANK(Table13[[#This Row],[Rating]]), "No", "Yes")</f>
        <v>Yes</v>
      </c>
      <c r="K1729" t="str">
        <f>IF(ISBLANK(Table13[[#This Row],[Rating]]), "Not Rated", IF(Table13[[#This Row],[Rating]] &lt; 3, "Low", IF(Table13[[#This Row],[Rating]] &lt; 4, "Medium", "High")))</f>
        <v>High</v>
      </c>
      <c r="L1729">
        <v>21</v>
      </c>
      <c r="M1729">
        <v>36</v>
      </c>
      <c r="N1729" t="str">
        <f>IF(Table13[[#This Row],[Price USD]]&lt;20,"Budget",IF(Table13[[#This Row],[Price USD]]&lt;=50,"Mid-range","Premium"))</f>
        <v>Mid-range</v>
      </c>
      <c r="O1729">
        <v>0</v>
      </c>
      <c r="P1729">
        <v>0</v>
      </c>
    </row>
    <row r="1730" spans="1:16" x14ac:dyDescent="0.25">
      <c r="A1730" t="s">
        <v>3632</v>
      </c>
      <c r="B1730" t="s">
        <v>3633</v>
      </c>
      <c r="C1730">
        <v>5337</v>
      </c>
      <c r="D1730" t="s">
        <v>209</v>
      </c>
      <c r="E1730" t="s">
        <v>13</v>
      </c>
      <c r="F1730">
        <v>4649</v>
      </c>
      <c r="G17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0">
        <v>3.9697</v>
      </c>
      <c r="J1730" t="str">
        <f>IF(ISBLANK(Table13[[#This Row],[Rating]]), "No", "Yes")</f>
        <v>Yes</v>
      </c>
      <c r="K1730" t="str">
        <f>IF(ISBLANK(Table13[[#This Row],[Rating]]), "Not Rated", IF(Table13[[#This Row],[Rating]] &lt; 3, "Low", IF(Table13[[#This Row],[Rating]] &lt; 4, "Medium", "High")))</f>
        <v>Medium</v>
      </c>
      <c r="L1730">
        <v>33</v>
      </c>
      <c r="M1730">
        <v>20</v>
      </c>
      <c r="N1730" t="str">
        <f>IF(Table13[[#This Row],[Price USD]]&lt;20,"Budget",IF(Table13[[#This Row],[Price USD]]&lt;=50,"Mid-range","Premium"))</f>
        <v>Mid-range</v>
      </c>
      <c r="O1730">
        <v>0</v>
      </c>
      <c r="P1730">
        <v>0</v>
      </c>
    </row>
    <row r="1731" spans="1:16" x14ac:dyDescent="0.25">
      <c r="A1731" t="s">
        <v>3628</v>
      </c>
      <c r="B1731" t="s">
        <v>3629</v>
      </c>
      <c r="C1731">
        <v>8017</v>
      </c>
      <c r="D1731" t="s">
        <v>620</v>
      </c>
      <c r="E1731" t="s">
        <v>13</v>
      </c>
      <c r="F1731">
        <v>4679</v>
      </c>
      <c r="G17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1">
        <v>3.9512</v>
      </c>
      <c r="J1731" t="str">
        <f>IF(ISBLANK(Table13[[#This Row],[Rating]]), "No", "Yes")</f>
        <v>Yes</v>
      </c>
      <c r="K1731" t="str">
        <f>IF(ISBLANK(Table13[[#This Row],[Rating]]), "Not Rated", IF(Table13[[#This Row],[Rating]] &lt; 3, "Low", IF(Table13[[#This Row],[Rating]] &lt; 4, "Medium", "High")))</f>
        <v>Medium</v>
      </c>
      <c r="L1731">
        <v>41</v>
      </c>
      <c r="M1731">
        <v>19</v>
      </c>
      <c r="N1731" t="str">
        <f>IF(Table13[[#This Row],[Price USD]]&lt;20,"Budget",IF(Table13[[#This Row],[Price USD]]&lt;=50,"Mid-range","Premium"))</f>
        <v>Budget</v>
      </c>
      <c r="O1731">
        <v>0</v>
      </c>
      <c r="P1731">
        <v>0</v>
      </c>
    </row>
    <row r="1732" spans="1:16" x14ac:dyDescent="0.25">
      <c r="A1732" t="s">
        <v>3630</v>
      </c>
      <c r="B1732" t="s">
        <v>3631</v>
      </c>
      <c r="C1732">
        <v>6225</v>
      </c>
      <c r="D1732" t="s">
        <v>640</v>
      </c>
      <c r="E1732" t="s">
        <v>106</v>
      </c>
      <c r="F1732">
        <v>4679</v>
      </c>
      <c r="G17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2">
        <v>4.4443999999999999</v>
      </c>
      <c r="J1732" t="str">
        <f>IF(ISBLANK(Table13[[#This Row],[Rating]]), "No", "Yes")</f>
        <v>Yes</v>
      </c>
      <c r="K1732" t="str">
        <f>IF(ISBLANK(Table13[[#This Row],[Rating]]), "Not Rated", IF(Table13[[#This Row],[Rating]] &lt; 3, "Low", IF(Table13[[#This Row],[Rating]] &lt; 4, "Medium", "High")))</f>
        <v>High</v>
      </c>
      <c r="L1732">
        <v>18</v>
      </c>
      <c r="M1732">
        <v>49</v>
      </c>
      <c r="N1732" t="str">
        <f>IF(Table13[[#This Row],[Price USD]]&lt;20,"Budget",IF(Table13[[#This Row],[Price USD]]&lt;=50,"Mid-range","Premium"))</f>
        <v>Mid-range</v>
      </c>
      <c r="O1732">
        <v>0</v>
      </c>
      <c r="P1732">
        <v>0</v>
      </c>
    </row>
    <row r="1733" spans="1:16" x14ac:dyDescent="0.25">
      <c r="A1733" t="s">
        <v>3626</v>
      </c>
      <c r="B1733" t="s">
        <v>3627</v>
      </c>
      <c r="C1733">
        <v>6302</v>
      </c>
      <c r="D1733" t="s">
        <v>2721</v>
      </c>
      <c r="E1733" t="s">
        <v>144</v>
      </c>
      <c r="F1733">
        <v>4691</v>
      </c>
      <c r="G17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3">
        <v>3.9386000000000001</v>
      </c>
      <c r="J1733" t="str">
        <f>IF(ISBLANK(Table13[[#This Row],[Rating]]), "No", "Yes")</f>
        <v>Yes</v>
      </c>
      <c r="K1733" t="str">
        <f>IF(ISBLANK(Table13[[#This Row],[Rating]]), "Not Rated", IF(Table13[[#This Row],[Rating]] &lt; 3, "Low", IF(Table13[[#This Row],[Rating]] &lt; 4, "Medium", "High")))</f>
        <v>Medium</v>
      </c>
      <c r="L1733">
        <v>879</v>
      </c>
      <c r="M1733">
        <v>110</v>
      </c>
      <c r="N1733" t="str">
        <f>IF(Table13[[#This Row],[Price USD]]&lt;20,"Budget",IF(Table13[[#This Row],[Price USD]]&lt;=50,"Mid-range","Premium"))</f>
        <v>Premium</v>
      </c>
      <c r="O1733">
        <v>0</v>
      </c>
      <c r="P1733">
        <v>0</v>
      </c>
    </row>
    <row r="1734" spans="1:16" x14ac:dyDescent="0.25">
      <c r="A1734" t="s">
        <v>3624</v>
      </c>
      <c r="B1734" t="s">
        <v>3625</v>
      </c>
      <c r="C1734">
        <v>6018</v>
      </c>
      <c r="D1734" t="s">
        <v>517</v>
      </c>
      <c r="E1734" t="s">
        <v>13</v>
      </c>
      <c r="F1734">
        <v>4693</v>
      </c>
      <c r="G17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4">
        <v>4.7938999999999998</v>
      </c>
      <c r="J1734" t="str">
        <f>IF(ISBLANK(Table13[[#This Row],[Rating]]), "No", "Yes")</f>
        <v>Yes</v>
      </c>
      <c r="K1734" t="str">
        <f>IF(ISBLANK(Table13[[#This Row],[Rating]]), "Not Rated", IF(Table13[[#This Row],[Rating]] &lt; 3, "Low", IF(Table13[[#This Row],[Rating]] &lt; 4, "Medium", "High")))</f>
        <v>High</v>
      </c>
      <c r="L1734">
        <v>165</v>
      </c>
      <c r="M1734">
        <v>40</v>
      </c>
      <c r="N1734" t="str">
        <f>IF(Table13[[#This Row],[Price USD]]&lt;20,"Budget",IF(Table13[[#This Row],[Price USD]]&lt;=50,"Mid-range","Premium"))</f>
        <v>Mid-range</v>
      </c>
      <c r="O1734">
        <v>0</v>
      </c>
      <c r="P1734">
        <v>0</v>
      </c>
    </row>
    <row r="1735" spans="1:16" x14ac:dyDescent="0.25">
      <c r="A1735" t="s">
        <v>3622</v>
      </c>
      <c r="B1735" t="s">
        <v>3623</v>
      </c>
      <c r="C1735">
        <v>6329</v>
      </c>
      <c r="D1735" t="s">
        <v>3435</v>
      </c>
      <c r="E1735" t="s">
        <v>347</v>
      </c>
      <c r="F1735">
        <v>4697</v>
      </c>
      <c r="G17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5">
        <v>4.6757</v>
      </c>
      <c r="J1735" t="str">
        <f>IF(ISBLANK(Table13[[#This Row],[Rating]]), "No", "Yes")</f>
        <v>Yes</v>
      </c>
      <c r="K1735" t="str">
        <f>IF(ISBLANK(Table13[[#This Row],[Rating]]), "Not Rated", IF(Table13[[#This Row],[Rating]] &lt; 3, "Low", IF(Table13[[#This Row],[Rating]] &lt; 4, "Medium", "High")))</f>
        <v>High</v>
      </c>
      <c r="L1735">
        <v>37</v>
      </c>
      <c r="M1735">
        <v>95</v>
      </c>
      <c r="N1735" t="str">
        <f>IF(Table13[[#This Row],[Price USD]]&lt;20,"Budget",IF(Table13[[#This Row],[Price USD]]&lt;=50,"Mid-range","Premium"))</f>
        <v>Premium</v>
      </c>
      <c r="O1735">
        <v>0</v>
      </c>
      <c r="P1735">
        <v>1</v>
      </c>
    </row>
    <row r="1736" spans="1:16" x14ac:dyDescent="0.25">
      <c r="A1736" t="s">
        <v>3620</v>
      </c>
      <c r="B1736" t="s">
        <v>3621</v>
      </c>
      <c r="C1736">
        <v>5987</v>
      </c>
      <c r="D1736" t="s">
        <v>48</v>
      </c>
      <c r="E1736" t="s">
        <v>220</v>
      </c>
      <c r="F1736">
        <v>4707</v>
      </c>
      <c r="G17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6">
        <v>1.8</v>
      </c>
      <c r="J1736" t="str">
        <f>IF(ISBLANK(Table13[[#This Row],[Rating]]), "No", "Yes")</f>
        <v>Yes</v>
      </c>
      <c r="K1736" t="str">
        <f>IF(ISBLANK(Table13[[#This Row],[Rating]]), "Not Rated", IF(Table13[[#This Row],[Rating]] &lt; 3, "Low", IF(Table13[[#This Row],[Rating]] &lt; 4, "Medium", "High")))</f>
        <v>Low</v>
      </c>
      <c r="L1736">
        <v>5</v>
      </c>
      <c r="M1736">
        <v>29</v>
      </c>
      <c r="N1736" t="str">
        <f>IF(Table13[[#This Row],[Price USD]]&lt;20,"Budget",IF(Table13[[#This Row],[Price USD]]&lt;=50,"Mid-range","Premium"))</f>
        <v>Mid-range</v>
      </c>
      <c r="O1736">
        <v>0</v>
      </c>
      <c r="P1736">
        <v>0</v>
      </c>
    </row>
    <row r="1737" spans="1:16" x14ac:dyDescent="0.25">
      <c r="A1737" t="s">
        <v>3618</v>
      </c>
      <c r="B1737" t="s">
        <v>3619</v>
      </c>
      <c r="C1737">
        <v>6488</v>
      </c>
      <c r="D1737" t="s">
        <v>2933</v>
      </c>
      <c r="E1737" t="s">
        <v>21</v>
      </c>
      <c r="F1737">
        <v>4721</v>
      </c>
      <c r="G17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7">
        <v>4.5892999999999997</v>
      </c>
      <c r="J1737" t="str">
        <f>IF(ISBLANK(Table13[[#This Row],[Rating]]), "No", "Yes")</f>
        <v>Yes</v>
      </c>
      <c r="K1737" t="str">
        <f>IF(ISBLANK(Table13[[#This Row],[Rating]]), "Not Rated", IF(Table13[[#This Row],[Rating]] &lt; 3, "Low", IF(Table13[[#This Row],[Rating]] &lt; 4, "Medium", "High")))</f>
        <v>High</v>
      </c>
      <c r="L1737">
        <v>112</v>
      </c>
      <c r="M1737">
        <v>44</v>
      </c>
      <c r="N1737" t="str">
        <f>IF(Table13[[#This Row],[Price USD]]&lt;20,"Budget",IF(Table13[[#This Row],[Price USD]]&lt;=50,"Mid-range","Premium"))</f>
        <v>Mid-range</v>
      </c>
      <c r="O1737">
        <v>0</v>
      </c>
      <c r="P1737">
        <v>0</v>
      </c>
    </row>
    <row r="1738" spans="1:16" x14ac:dyDescent="0.25">
      <c r="A1738" t="s">
        <v>3616</v>
      </c>
      <c r="B1738" t="s">
        <v>3617</v>
      </c>
      <c r="C1738">
        <v>6225</v>
      </c>
      <c r="D1738" t="s">
        <v>640</v>
      </c>
      <c r="E1738" t="s">
        <v>106</v>
      </c>
      <c r="F1738">
        <v>4731</v>
      </c>
      <c r="G17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8">
        <v>3.5</v>
      </c>
      <c r="J1738" t="str">
        <f>IF(ISBLANK(Table13[[#This Row],[Rating]]), "No", "Yes")</f>
        <v>Yes</v>
      </c>
      <c r="K1738" t="str">
        <f>IF(ISBLANK(Table13[[#This Row],[Rating]]), "Not Rated", IF(Table13[[#This Row],[Rating]] &lt; 3, "Low", IF(Table13[[#This Row],[Rating]] &lt; 4, "Medium", "High")))</f>
        <v>Medium</v>
      </c>
      <c r="L1738">
        <v>24</v>
      </c>
      <c r="M1738">
        <v>52</v>
      </c>
      <c r="N1738" t="str">
        <f>IF(Table13[[#This Row],[Price USD]]&lt;20,"Budget",IF(Table13[[#This Row],[Price USD]]&lt;=50,"Mid-range","Premium"))</f>
        <v>Premium</v>
      </c>
      <c r="O1738">
        <v>0</v>
      </c>
      <c r="P1738">
        <v>0</v>
      </c>
    </row>
    <row r="1739" spans="1:16" x14ac:dyDescent="0.25">
      <c r="A1739" t="s">
        <v>3614</v>
      </c>
      <c r="B1739" t="s">
        <v>3615</v>
      </c>
      <c r="C1739">
        <v>6302</v>
      </c>
      <c r="D1739" t="s">
        <v>2721</v>
      </c>
      <c r="E1739" t="s">
        <v>21</v>
      </c>
      <c r="F1739">
        <v>4738</v>
      </c>
      <c r="G17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39">
        <v>4.2407000000000004</v>
      </c>
      <c r="J1739" t="str">
        <f>IF(ISBLANK(Table13[[#This Row],[Rating]]), "No", "Yes")</f>
        <v>Yes</v>
      </c>
      <c r="K1739" t="str">
        <f>IF(ISBLANK(Table13[[#This Row],[Rating]]), "Not Rated", IF(Table13[[#This Row],[Rating]] &lt; 3, "Low", IF(Table13[[#This Row],[Rating]] &lt; 4, "Medium", "High")))</f>
        <v>High</v>
      </c>
      <c r="L1739">
        <v>810</v>
      </c>
      <c r="M1739">
        <v>225</v>
      </c>
      <c r="N1739" t="str">
        <f>IF(Table13[[#This Row],[Price USD]]&lt;20,"Budget",IF(Table13[[#This Row],[Price USD]]&lt;=50,"Mid-range","Premium"))</f>
        <v>Premium</v>
      </c>
      <c r="O1739">
        <v>0</v>
      </c>
      <c r="P1739">
        <v>0</v>
      </c>
    </row>
    <row r="1740" spans="1:16" x14ac:dyDescent="0.25">
      <c r="A1740" t="s">
        <v>3612</v>
      </c>
      <c r="B1740" t="s">
        <v>3613</v>
      </c>
      <c r="C1740">
        <v>6341</v>
      </c>
      <c r="D1740" t="s">
        <v>66</v>
      </c>
      <c r="E1740" t="s">
        <v>21</v>
      </c>
      <c r="F1740">
        <v>4739</v>
      </c>
      <c r="G17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0">
        <v>3.4</v>
      </c>
      <c r="J1740" t="str">
        <f>IF(ISBLANK(Table13[[#This Row],[Rating]]), "No", "Yes")</f>
        <v>Yes</v>
      </c>
      <c r="K1740" t="str">
        <f>IF(ISBLANK(Table13[[#This Row],[Rating]]), "Not Rated", IF(Table13[[#This Row],[Rating]] &lt; 3, "Low", IF(Table13[[#This Row],[Rating]] &lt; 4, "Medium", "High")))</f>
        <v>Medium</v>
      </c>
      <c r="L1740">
        <v>25</v>
      </c>
      <c r="M1740">
        <v>37</v>
      </c>
      <c r="N1740" t="str">
        <f>IF(Table13[[#This Row],[Price USD]]&lt;20,"Budget",IF(Table13[[#This Row],[Price USD]]&lt;=50,"Mid-range","Premium"))</f>
        <v>Mid-range</v>
      </c>
      <c r="O1740">
        <v>0</v>
      </c>
      <c r="P1740">
        <v>0</v>
      </c>
    </row>
    <row r="1741" spans="1:16" x14ac:dyDescent="0.25">
      <c r="A1741" t="s">
        <v>3610</v>
      </c>
      <c r="B1741" t="s">
        <v>3611</v>
      </c>
      <c r="C1741">
        <v>6272</v>
      </c>
      <c r="D1741" t="s">
        <v>1711</v>
      </c>
      <c r="E1741" t="s">
        <v>13</v>
      </c>
      <c r="F1741">
        <v>4747</v>
      </c>
      <c r="G17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1">
        <v>3.5556000000000001</v>
      </c>
      <c r="J1741" t="str">
        <f>IF(ISBLANK(Table13[[#This Row],[Rating]]), "No", "Yes")</f>
        <v>Yes</v>
      </c>
      <c r="K1741" t="str">
        <f>IF(ISBLANK(Table13[[#This Row],[Rating]]), "Not Rated", IF(Table13[[#This Row],[Rating]] &lt; 3, "Low", IF(Table13[[#This Row],[Rating]] &lt; 4, "Medium", "High")))</f>
        <v>Medium</v>
      </c>
      <c r="L1741">
        <v>18</v>
      </c>
      <c r="M1741">
        <v>39</v>
      </c>
      <c r="N1741" t="str">
        <f>IF(Table13[[#This Row],[Price USD]]&lt;20,"Budget",IF(Table13[[#This Row],[Price USD]]&lt;=50,"Mid-range","Premium"))</f>
        <v>Mid-range</v>
      </c>
      <c r="O1741">
        <v>0</v>
      </c>
      <c r="P1741">
        <v>0</v>
      </c>
    </row>
    <row r="1742" spans="1:16" x14ac:dyDescent="0.25">
      <c r="A1742" t="s">
        <v>3608</v>
      </c>
      <c r="B1742" t="s">
        <v>3609</v>
      </c>
      <c r="C1742">
        <v>5626</v>
      </c>
      <c r="D1742" t="s">
        <v>1069</v>
      </c>
      <c r="E1742" t="s">
        <v>106</v>
      </c>
      <c r="F1742">
        <v>4749</v>
      </c>
      <c r="G17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2">
        <v>4.3238000000000003</v>
      </c>
      <c r="J1742" t="str">
        <f>IF(ISBLANK(Table13[[#This Row],[Rating]]), "No", "Yes")</f>
        <v>Yes</v>
      </c>
      <c r="K1742" t="str">
        <f>IF(ISBLANK(Table13[[#This Row],[Rating]]), "Not Rated", IF(Table13[[#This Row],[Rating]] &lt; 3, "Low", IF(Table13[[#This Row],[Rating]] &lt; 4, "Medium", "High")))</f>
        <v>High</v>
      </c>
      <c r="L1742">
        <v>386</v>
      </c>
      <c r="M1742">
        <v>29</v>
      </c>
      <c r="N1742" t="str">
        <f>IF(Table13[[#This Row],[Price USD]]&lt;20,"Budget",IF(Table13[[#This Row],[Price USD]]&lt;=50,"Mid-range","Premium"))</f>
        <v>Mid-range</v>
      </c>
      <c r="O1742">
        <v>0</v>
      </c>
      <c r="P1742">
        <v>0</v>
      </c>
    </row>
    <row r="1743" spans="1:16" x14ac:dyDescent="0.25">
      <c r="A1743" t="s">
        <v>3606</v>
      </c>
      <c r="B1743" t="s">
        <v>3607</v>
      </c>
      <c r="C1743">
        <v>7091</v>
      </c>
      <c r="D1743" t="s">
        <v>879</v>
      </c>
      <c r="E1743" t="s">
        <v>49</v>
      </c>
      <c r="F1743">
        <v>4752</v>
      </c>
      <c r="G17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3">
        <v>3.2856999999999998</v>
      </c>
      <c r="J1743" t="str">
        <f>IF(ISBLANK(Table13[[#This Row],[Rating]]), "No", "Yes")</f>
        <v>Yes</v>
      </c>
      <c r="K1743" t="str">
        <f>IF(ISBLANK(Table13[[#This Row],[Rating]]), "Not Rated", IF(Table13[[#This Row],[Rating]] &lt; 3, "Low", IF(Table13[[#This Row],[Rating]] &lt; 4, "Medium", "High")))</f>
        <v>Medium</v>
      </c>
      <c r="L1743">
        <v>7</v>
      </c>
      <c r="M1743">
        <v>28</v>
      </c>
      <c r="N1743" t="str">
        <f>IF(Table13[[#This Row],[Price USD]]&lt;20,"Budget",IF(Table13[[#This Row],[Price USD]]&lt;=50,"Mid-range","Premium"))</f>
        <v>Mid-range</v>
      </c>
      <c r="O1743">
        <v>0</v>
      </c>
      <c r="P1743">
        <v>0</v>
      </c>
    </row>
    <row r="1744" spans="1:16" x14ac:dyDescent="0.25">
      <c r="A1744" t="s">
        <v>3604</v>
      </c>
      <c r="B1744" t="s">
        <v>3605</v>
      </c>
      <c r="C1744">
        <v>6219</v>
      </c>
      <c r="D1744" t="s">
        <v>277</v>
      </c>
      <c r="E1744" t="s">
        <v>21</v>
      </c>
      <c r="F1744">
        <v>4762</v>
      </c>
      <c r="G17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4">
        <v>4.3981000000000003</v>
      </c>
      <c r="J1744" t="str">
        <f>IF(ISBLANK(Table13[[#This Row],[Rating]]), "No", "Yes")</f>
        <v>Yes</v>
      </c>
      <c r="K1744" t="str">
        <f>IF(ISBLANK(Table13[[#This Row],[Rating]]), "Not Rated", IF(Table13[[#This Row],[Rating]] &lt; 3, "Low", IF(Table13[[#This Row],[Rating]] &lt; 4, "Medium", "High")))</f>
        <v>High</v>
      </c>
      <c r="L1744">
        <v>314</v>
      </c>
      <c r="M1744">
        <v>86</v>
      </c>
      <c r="N1744" t="str">
        <f>IF(Table13[[#This Row],[Price USD]]&lt;20,"Budget",IF(Table13[[#This Row],[Price USD]]&lt;=50,"Mid-range","Premium"))</f>
        <v>Premium</v>
      </c>
      <c r="O1744">
        <v>0</v>
      </c>
      <c r="P1744">
        <v>0</v>
      </c>
    </row>
    <row r="1745" spans="1:16" x14ac:dyDescent="0.25">
      <c r="A1745" t="s">
        <v>3602</v>
      </c>
      <c r="B1745" t="s">
        <v>3603</v>
      </c>
      <c r="C1745">
        <v>6367</v>
      </c>
      <c r="D1745" t="s">
        <v>2766</v>
      </c>
      <c r="E1745" t="s">
        <v>8</v>
      </c>
      <c r="F1745">
        <v>4769</v>
      </c>
      <c r="G17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5">
        <v>4.6687000000000003</v>
      </c>
      <c r="J1745" t="str">
        <f>IF(ISBLANK(Table13[[#This Row],[Rating]]), "No", "Yes")</f>
        <v>Yes</v>
      </c>
      <c r="K1745" t="str">
        <f>IF(ISBLANK(Table13[[#This Row],[Rating]]), "Not Rated", IF(Table13[[#This Row],[Rating]] &lt; 3, "Low", IF(Table13[[#This Row],[Rating]] &lt; 4, "Medium", "High")))</f>
        <v>High</v>
      </c>
      <c r="L1745">
        <v>166</v>
      </c>
      <c r="M1745">
        <v>74</v>
      </c>
      <c r="N1745" t="str">
        <f>IF(Table13[[#This Row],[Price USD]]&lt;20,"Budget",IF(Table13[[#This Row],[Price USD]]&lt;=50,"Mid-range","Premium"))</f>
        <v>Premium</v>
      </c>
      <c r="O1745">
        <v>0</v>
      </c>
      <c r="P1745">
        <v>0</v>
      </c>
    </row>
    <row r="1746" spans="1:16" x14ac:dyDescent="0.25">
      <c r="A1746" t="s">
        <v>3600</v>
      </c>
      <c r="B1746" t="s">
        <v>3601</v>
      </c>
      <c r="C1746">
        <v>1254</v>
      </c>
      <c r="D1746" t="s">
        <v>136</v>
      </c>
      <c r="E1746" t="s">
        <v>13</v>
      </c>
      <c r="F1746">
        <v>4781</v>
      </c>
      <c r="G17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6">
        <v>4.5651999999999999</v>
      </c>
      <c r="J1746" t="str">
        <f>IF(ISBLANK(Table13[[#This Row],[Rating]]), "No", "Yes")</f>
        <v>Yes</v>
      </c>
      <c r="K1746" t="str">
        <f>IF(ISBLANK(Table13[[#This Row],[Rating]]), "Not Rated", IF(Table13[[#This Row],[Rating]] &lt; 3, "Low", IF(Table13[[#This Row],[Rating]] &lt; 4, "Medium", "High")))</f>
        <v>High</v>
      </c>
      <c r="L1746">
        <v>23</v>
      </c>
      <c r="M1746">
        <v>26.5</v>
      </c>
      <c r="N1746" t="str">
        <f>IF(Table13[[#This Row],[Price USD]]&lt;20,"Budget",IF(Table13[[#This Row],[Price USD]]&lt;=50,"Mid-range","Premium"))</f>
        <v>Mid-range</v>
      </c>
      <c r="O1746">
        <v>0</v>
      </c>
      <c r="P1746">
        <v>0</v>
      </c>
    </row>
    <row r="1747" spans="1:16" x14ac:dyDescent="0.25">
      <c r="A1747" t="s">
        <v>3598</v>
      </c>
      <c r="B1747" t="s">
        <v>3599</v>
      </c>
      <c r="C1747">
        <v>8008</v>
      </c>
      <c r="D1747" t="s">
        <v>105</v>
      </c>
      <c r="E1747" t="s">
        <v>106</v>
      </c>
      <c r="F1747">
        <v>4790</v>
      </c>
      <c r="G17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7">
        <v>3.4</v>
      </c>
      <c r="J1747" t="str">
        <f>IF(ISBLANK(Table13[[#This Row],[Rating]]), "No", "Yes")</f>
        <v>Yes</v>
      </c>
      <c r="K1747" t="str">
        <f>IF(ISBLANK(Table13[[#This Row],[Rating]]), "Not Rated", IF(Table13[[#This Row],[Rating]] &lt; 3, "Low", IF(Table13[[#This Row],[Rating]] &lt; 4, "Medium", "High")))</f>
        <v>Medium</v>
      </c>
      <c r="L1747">
        <v>5</v>
      </c>
      <c r="M1747">
        <v>10</v>
      </c>
      <c r="N1747" t="str">
        <f>IF(Table13[[#This Row],[Price USD]]&lt;20,"Budget",IF(Table13[[#This Row],[Price USD]]&lt;=50,"Mid-range","Premium"))</f>
        <v>Budget</v>
      </c>
      <c r="O1747">
        <v>0</v>
      </c>
      <c r="P1747">
        <v>0</v>
      </c>
    </row>
    <row r="1748" spans="1:16" x14ac:dyDescent="0.25">
      <c r="A1748" t="s">
        <v>3596</v>
      </c>
      <c r="B1748" t="s">
        <v>3597</v>
      </c>
      <c r="C1748">
        <v>4372</v>
      </c>
      <c r="D1748" t="s">
        <v>1513</v>
      </c>
      <c r="E1748" t="s">
        <v>13</v>
      </c>
      <c r="F1748">
        <v>4790</v>
      </c>
      <c r="G17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8">
        <v>4.2211999999999996</v>
      </c>
      <c r="J1748" t="str">
        <f>IF(ISBLANK(Table13[[#This Row],[Rating]]), "No", "Yes")</f>
        <v>Yes</v>
      </c>
      <c r="K1748" t="str">
        <f>IF(ISBLANK(Table13[[#This Row],[Rating]]), "Not Rated", IF(Table13[[#This Row],[Rating]] &lt; 3, "Low", IF(Table13[[#This Row],[Rating]] &lt; 4, "Medium", "High")))</f>
        <v>High</v>
      </c>
      <c r="L1748">
        <v>104</v>
      </c>
      <c r="M1748">
        <v>36</v>
      </c>
      <c r="N1748" t="str">
        <f>IF(Table13[[#This Row],[Price USD]]&lt;20,"Budget",IF(Table13[[#This Row],[Price USD]]&lt;=50,"Mid-range","Premium"))</f>
        <v>Mid-range</v>
      </c>
      <c r="O1748">
        <v>0</v>
      </c>
      <c r="P1748">
        <v>0</v>
      </c>
    </row>
    <row r="1749" spans="1:16" x14ac:dyDescent="0.25">
      <c r="A1749" t="s">
        <v>3594</v>
      </c>
      <c r="B1749" t="s">
        <v>3595</v>
      </c>
      <c r="C1749">
        <v>3728</v>
      </c>
      <c r="D1749" t="s">
        <v>458</v>
      </c>
      <c r="E1749" t="s">
        <v>69</v>
      </c>
      <c r="F1749">
        <v>4791</v>
      </c>
      <c r="G17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49">
        <v>4.25</v>
      </c>
      <c r="J1749" t="str">
        <f>IF(ISBLANK(Table13[[#This Row],[Rating]]), "No", "Yes")</f>
        <v>Yes</v>
      </c>
      <c r="K1749" t="str">
        <f>IF(ISBLANK(Table13[[#This Row],[Rating]]), "Not Rated", IF(Table13[[#This Row],[Rating]] &lt; 3, "Low", IF(Table13[[#This Row],[Rating]] &lt; 4, "Medium", "High")))</f>
        <v>High</v>
      </c>
      <c r="L1749">
        <v>12</v>
      </c>
      <c r="M1749">
        <v>55</v>
      </c>
      <c r="N1749" t="str">
        <f>IF(Table13[[#This Row],[Price USD]]&lt;20,"Budget",IF(Table13[[#This Row],[Price USD]]&lt;=50,"Mid-range","Premium"))</f>
        <v>Premium</v>
      </c>
      <c r="O1749">
        <v>0</v>
      </c>
      <c r="P1749">
        <v>0</v>
      </c>
    </row>
    <row r="1750" spans="1:16" x14ac:dyDescent="0.25">
      <c r="A1750" t="s">
        <v>3592</v>
      </c>
      <c r="B1750" t="s">
        <v>3593</v>
      </c>
      <c r="C1750">
        <v>1073</v>
      </c>
      <c r="D1750" t="s">
        <v>767</v>
      </c>
      <c r="E1750" t="s">
        <v>21</v>
      </c>
      <c r="F1750">
        <v>4799</v>
      </c>
      <c r="G17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0">
        <v>4.4545000000000003</v>
      </c>
      <c r="J1750" t="str">
        <f>IF(ISBLANK(Table13[[#This Row],[Rating]]), "No", "Yes")</f>
        <v>Yes</v>
      </c>
      <c r="K1750" t="str">
        <f>IF(ISBLANK(Table13[[#This Row],[Rating]]), "Not Rated", IF(Table13[[#This Row],[Rating]] &lt; 3, "Low", IF(Table13[[#This Row],[Rating]] &lt; 4, "Medium", "High")))</f>
        <v>High</v>
      </c>
      <c r="L1750">
        <v>44</v>
      </c>
      <c r="M1750">
        <v>175</v>
      </c>
      <c r="N1750" t="str">
        <f>IF(Table13[[#This Row],[Price USD]]&lt;20,"Budget",IF(Table13[[#This Row],[Price USD]]&lt;=50,"Mid-range","Premium"))</f>
        <v>Premium</v>
      </c>
      <c r="O1750">
        <v>0</v>
      </c>
      <c r="P1750">
        <v>0</v>
      </c>
    </row>
    <row r="1751" spans="1:16" x14ac:dyDescent="0.25">
      <c r="A1751" t="s">
        <v>3590</v>
      </c>
      <c r="B1751" t="s">
        <v>3591</v>
      </c>
      <c r="C1751">
        <v>5946</v>
      </c>
      <c r="D1751" t="s">
        <v>341</v>
      </c>
      <c r="E1751" t="s">
        <v>149</v>
      </c>
      <c r="F1751">
        <v>4822</v>
      </c>
      <c r="G17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1">
        <v>3.0667</v>
      </c>
      <c r="J1751" t="str">
        <f>IF(ISBLANK(Table13[[#This Row],[Rating]]), "No", "Yes")</f>
        <v>Yes</v>
      </c>
      <c r="K1751" t="str">
        <f>IF(ISBLANK(Table13[[#This Row],[Rating]]), "Not Rated", IF(Table13[[#This Row],[Rating]] &lt; 3, "Low", IF(Table13[[#This Row],[Rating]] &lt; 4, "Medium", "High")))</f>
        <v>Medium</v>
      </c>
      <c r="L1751">
        <v>90</v>
      </c>
      <c r="M1751">
        <v>76</v>
      </c>
      <c r="N1751" t="str">
        <f>IF(Table13[[#This Row],[Price USD]]&lt;20,"Budget",IF(Table13[[#This Row],[Price USD]]&lt;=50,"Mid-range","Premium"))</f>
        <v>Premium</v>
      </c>
      <c r="O1751">
        <v>0</v>
      </c>
      <c r="P1751">
        <v>0</v>
      </c>
    </row>
    <row r="1752" spans="1:16" x14ac:dyDescent="0.25">
      <c r="A1752" t="s">
        <v>3587</v>
      </c>
      <c r="B1752" t="s">
        <v>3588</v>
      </c>
      <c r="C1752">
        <v>5879</v>
      </c>
      <c r="D1752" t="s">
        <v>3589</v>
      </c>
      <c r="E1752" t="s">
        <v>149</v>
      </c>
      <c r="F1752">
        <v>4836</v>
      </c>
      <c r="G17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2">
        <v>4.5303000000000004</v>
      </c>
      <c r="J1752" t="str">
        <f>IF(ISBLANK(Table13[[#This Row],[Rating]]), "No", "Yes")</f>
        <v>Yes</v>
      </c>
      <c r="K1752" t="str">
        <f>IF(ISBLANK(Table13[[#This Row],[Rating]]), "Not Rated", IF(Table13[[#This Row],[Rating]] &lt; 3, "Low", IF(Table13[[#This Row],[Rating]] &lt; 4, "Medium", "High")))</f>
        <v>High</v>
      </c>
      <c r="L1752">
        <v>66</v>
      </c>
      <c r="M1752">
        <v>82</v>
      </c>
      <c r="N1752" t="str">
        <f>IF(Table13[[#This Row],[Price USD]]&lt;20,"Budget",IF(Table13[[#This Row],[Price USD]]&lt;=50,"Mid-range","Premium"))</f>
        <v>Premium</v>
      </c>
      <c r="O1752">
        <v>0</v>
      </c>
      <c r="P1752">
        <v>0</v>
      </c>
    </row>
    <row r="1753" spans="1:16" x14ac:dyDescent="0.25">
      <c r="A1753" t="s">
        <v>3585</v>
      </c>
      <c r="B1753" t="s">
        <v>3586</v>
      </c>
      <c r="C1753">
        <v>1741</v>
      </c>
      <c r="D1753" t="s">
        <v>388</v>
      </c>
      <c r="E1753" t="s">
        <v>69</v>
      </c>
      <c r="F1753">
        <v>4838</v>
      </c>
      <c r="G17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3">
        <v>4.7222</v>
      </c>
      <c r="J1753" t="str">
        <f>IF(ISBLANK(Table13[[#This Row],[Rating]]), "No", "Yes")</f>
        <v>Yes</v>
      </c>
      <c r="K1753" t="str">
        <f>IF(ISBLANK(Table13[[#This Row],[Rating]]), "Not Rated", IF(Table13[[#This Row],[Rating]] &lt; 3, "Low", IF(Table13[[#This Row],[Rating]] &lt; 4, "Medium", "High")))</f>
        <v>High</v>
      </c>
      <c r="L1753">
        <v>18</v>
      </c>
      <c r="M1753">
        <v>68</v>
      </c>
      <c r="N1753" t="str">
        <f>IF(Table13[[#This Row],[Price USD]]&lt;20,"Budget",IF(Table13[[#This Row],[Price USD]]&lt;=50,"Mid-range","Premium"))</f>
        <v>Premium</v>
      </c>
      <c r="O1753">
        <v>0</v>
      </c>
      <c r="P1753">
        <v>0</v>
      </c>
    </row>
    <row r="1754" spans="1:16" x14ac:dyDescent="0.25">
      <c r="A1754" t="s">
        <v>3583</v>
      </c>
      <c r="B1754" t="s">
        <v>3584</v>
      </c>
      <c r="C1754">
        <v>6018</v>
      </c>
      <c r="D1754" t="s">
        <v>517</v>
      </c>
      <c r="E1754" t="s">
        <v>21</v>
      </c>
      <c r="F1754">
        <v>4845</v>
      </c>
      <c r="G17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4">
        <v>4.6981999999999999</v>
      </c>
      <c r="J1754" t="str">
        <f>IF(ISBLANK(Table13[[#This Row],[Rating]]), "No", "Yes")</f>
        <v>Yes</v>
      </c>
      <c r="K1754" t="str">
        <f>IF(ISBLANK(Table13[[#This Row],[Rating]]), "Not Rated", IF(Table13[[#This Row],[Rating]] &lt; 3, "Low", IF(Table13[[#This Row],[Rating]] &lt; 4, "Medium", "High")))</f>
        <v>High</v>
      </c>
      <c r="L1754">
        <v>169</v>
      </c>
      <c r="M1754">
        <v>65</v>
      </c>
      <c r="N1754" t="str">
        <f>IF(Table13[[#This Row],[Price USD]]&lt;20,"Budget",IF(Table13[[#This Row],[Price USD]]&lt;=50,"Mid-range","Premium"))</f>
        <v>Premium</v>
      </c>
      <c r="O1754">
        <v>0</v>
      </c>
      <c r="P1754">
        <v>0</v>
      </c>
    </row>
    <row r="1755" spans="1:16" x14ac:dyDescent="0.25">
      <c r="A1755" t="s">
        <v>3581</v>
      </c>
      <c r="B1755" t="s">
        <v>3582</v>
      </c>
      <c r="C1755">
        <v>6219</v>
      </c>
      <c r="D1755" t="s">
        <v>277</v>
      </c>
      <c r="E1755" t="s">
        <v>8</v>
      </c>
      <c r="F1755">
        <v>4851</v>
      </c>
      <c r="G17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5">
        <v>4.7824999999999998</v>
      </c>
      <c r="J1755" t="str">
        <f>IF(ISBLANK(Table13[[#This Row],[Rating]]), "No", "Yes")</f>
        <v>Yes</v>
      </c>
      <c r="K1755" t="str">
        <f>IF(ISBLANK(Table13[[#This Row],[Rating]]), "Not Rated", IF(Table13[[#This Row],[Rating]] &lt; 3, "Low", IF(Table13[[#This Row],[Rating]] &lt; 4, "Medium", "High")))</f>
        <v>High</v>
      </c>
      <c r="L1755">
        <v>354</v>
      </c>
      <c r="M1755">
        <v>145</v>
      </c>
      <c r="N1755" t="str">
        <f>IF(Table13[[#This Row],[Price USD]]&lt;20,"Budget",IF(Table13[[#This Row],[Price USD]]&lt;=50,"Mid-range","Premium"))</f>
        <v>Premium</v>
      </c>
      <c r="O1755">
        <v>0</v>
      </c>
      <c r="P1755">
        <v>0</v>
      </c>
    </row>
    <row r="1756" spans="1:16" x14ac:dyDescent="0.25">
      <c r="A1756" t="s">
        <v>3579</v>
      </c>
      <c r="B1756" t="s">
        <v>3580</v>
      </c>
      <c r="C1756">
        <v>5648</v>
      </c>
      <c r="D1756" t="s">
        <v>408</v>
      </c>
      <c r="E1756" t="s">
        <v>144</v>
      </c>
      <c r="F1756">
        <v>4857</v>
      </c>
      <c r="G17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6">
        <v>4.6666999999999996</v>
      </c>
      <c r="J1756" t="str">
        <f>IF(ISBLANK(Table13[[#This Row],[Rating]]), "No", "Yes")</f>
        <v>Yes</v>
      </c>
      <c r="K1756" t="str">
        <f>IF(ISBLANK(Table13[[#This Row],[Rating]]), "Not Rated", IF(Table13[[#This Row],[Rating]] &lt; 3, "Low", IF(Table13[[#This Row],[Rating]] &lt; 4, "Medium", "High")))</f>
        <v>High</v>
      </c>
      <c r="L1756">
        <v>3</v>
      </c>
      <c r="M1756">
        <v>14</v>
      </c>
      <c r="N1756" t="str">
        <f>IF(Table13[[#This Row],[Price USD]]&lt;20,"Budget",IF(Table13[[#This Row],[Price USD]]&lt;=50,"Mid-range","Premium"))</f>
        <v>Budget</v>
      </c>
      <c r="O1756">
        <v>0</v>
      </c>
      <c r="P1756">
        <v>0</v>
      </c>
    </row>
    <row r="1757" spans="1:16" x14ac:dyDescent="0.25">
      <c r="A1757" t="s">
        <v>3577</v>
      </c>
      <c r="B1757" t="s">
        <v>3578</v>
      </c>
      <c r="C1757">
        <v>8001</v>
      </c>
      <c r="D1757" t="s">
        <v>27</v>
      </c>
      <c r="E1757" t="s">
        <v>220</v>
      </c>
      <c r="F1757">
        <v>4870</v>
      </c>
      <c r="G17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7">
        <v>4.7778</v>
      </c>
      <c r="J1757" t="str">
        <f>IF(ISBLANK(Table13[[#This Row],[Rating]]), "No", "Yes")</f>
        <v>Yes</v>
      </c>
      <c r="K1757" t="str">
        <f>IF(ISBLANK(Table13[[#This Row],[Rating]]), "Not Rated", IF(Table13[[#This Row],[Rating]] &lt; 3, "Low", IF(Table13[[#This Row],[Rating]] &lt; 4, "Medium", "High")))</f>
        <v>High</v>
      </c>
      <c r="L1757">
        <v>9</v>
      </c>
      <c r="M1757">
        <v>46</v>
      </c>
      <c r="N1757" t="str">
        <f>IF(Table13[[#This Row],[Price USD]]&lt;20,"Budget",IF(Table13[[#This Row],[Price USD]]&lt;=50,"Mid-range","Premium"))</f>
        <v>Mid-range</v>
      </c>
      <c r="O1757">
        <v>0</v>
      </c>
      <c r="P1757">
        <v>0</v>
      </c>
    </row>
    <row r="1758" spans="1:16" x14ac:dyDescent="0.25">
      <c r="A1758" t="s">
        <v>3575</v>
      </c>
      <c r="B1758" t="s">
        <v>3576</v>
      </c>
      <c r="C1758">
        <v>6207</v>
      </c>
      <c r="D1758" t="s">
        <v>914</v>
      </c>
      <c r="E1758" t="s">
        <v>21</v>
      </c>
      <c r="F1758">
        <v>4877</v>
      </c>
      <c r="G17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8">
        <v>4.5026999999999999</v>
      </c>
      <c r="J1758" t="str">
        <f>IF(ISBLANK(Table13[[#This Row],[Rating]]), "No", "Yes")</f>
        <v>Yes</v>
      </c>
      <c r="K1758" t="str">
        <f>IF(ISBLANK(Table13[[#This Row],[Rating]]), "Not Rated", IF(Table13[[#This Row],[Rating]] &lt; 3, "Low", IF(Table13[[#This Row],[Rating]] &lt; 4, "Medium", "High")))</f>
        <v>High</v>
      </c>
      <c r="L1758">
        <v>183</v>
      </c>
      <c r="M1758">
        <v>44</v>
      </c>
      <c r="N1758" t="str">
        <f>IF(Table13[[#This Row],[Price USD]]&lt;20,"Budget",IF(Table13[[#This Row],[Price USD]]&lt;=50,"Mid-range","Premium"))</f>
        <v>Mid-range</v>
      </c>
      <c r="O1758">
        <v>0</v>
      </c>
      <c r="P1758">
        <v>0</v>
      </c>
    </row>
    <row r="1759" spans="1:16" x14ac:dyDescent="0.25">
      <c r="A1759" t="s">
        <v>3573</v>
      </c>
      <c r="B1759" t="s">
        <v>3574</v>
      </c>
      <c r="C1759">
        <v>7037</v>
      </c>
      <c r="D1759" t="s">
        <v>1718</v>
      </c>
      <c r="E1759" t="s">
        <v>69</v>
      </c>
      <c r="F1759">
        <v>4878</v>
      </c>
      <c r="G17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59">
        <v>3.8182</v>
      </c>
      <c r="J1759" t="str">
        <f>IF(ISBLANK(Table13[[#This Row],[Rating]]), "No", "Yes")</f>
        <v>Yes</v>
      </c>
      <c r="K1759" t="str">
        <f>IF(ISBLANK(Table13[[#This Row],[Rating]]), "Not Rated", IF(Table13[[#This Row],[Rating]] &lt; 3, "Low", IF(Table13[[#This Row],[Rating]] &lt; 4, "Medium", "High")))</f>
        <v>Medium</v>
      </c>
      <c r="L1759">
        <v>11</v>
      </c>
      <c r="M1759">
        <v>20</v>
      </c>
      <c r="N1759" t="str">
        <f>IF(Table13[[#This Row],[Price USD]]&lt;20,"Budget",IF(Table13[[#This Row],[Price USD]]&lt;=50,"Mid-range","Premium"))</f>
        <v>Mid-range</v>
      </c>
      <c r="O1759">
        <v>0</v>
      </c>
      <c r="P1759">
        <v>1</v>
      </c>
    </row>
    <row r="1760" spans="1:16" x14ac:dyDescent="0.25">
      <c r="A1760" t="s">
        <v>3569</v>
      </c>
      <c r="B1760" t="s">
        <v>3570</v>
      </c>
      <c r="C1760">
        <v>6352</v>
      </c>
      <c r="D1760" t="s">
        <v>251</v>
      </c>
      <c r="E1760" t="s">
        <v>21</v>
      </c>
      <c r="F1760">
        <v>4881</v>
      </c>
      <c r="G17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0">
        <v>4.1988000000000003</v>
      </c>
      <c r="J1760" t="str">
        <f>IF(ISBLANK(Table13[[#This Row],[Rating]]), "No", "Yes")</f>
        <v>Yes</v>
      </c>
      <c r="K1760" t="str">
        <f>IF(ISBLANK(Table13[[#This Row],[Rating]]), "Not Rated", IF(Table13[[#This Row],[Rating]] &lt; 3, "Low", IF(Table13[[#This Row],[Rating]] &lt; 4, "Medium", "High")))</f>
        <v>High</v>
      </c>
      <c r="L1760">
        <v>166</v>
      </c>
      <c r="M1760">
        <v>26</v>
      </c>
      <c r="N1760" t="str">
        <f>IF(Table13[[#This Row],[Price USD]]&lt;20,"Budget",IF(Table13[[#This Row],[Price USD]]&lt;=50,"Mid-range","Premium"))</f>
        <v>Mid-range</v>
      </c>
      <c r="O1760">
        <v>1</v>
      </c>
      <c r="P1760">
        <v>0</v>
      </c>
    </row>
    <row r="1761" spans="1:16" x14ac:dyDescent="0.25">
      <c r="A1761" t="s">
        <v>3571</v>
      </c>
      <c r="B1761" t="s">
        <v>3572</v>
      </c>
      <c r="C1761">
        <v>7020</v>
      </c>
      <c r="D1761" t="s">
        <v>657</v>
      </c>
      <c r="E1761" t="s">
        <v>69</v>
      </c>
      <c r="F1761">
        <v>4881</v>
      </c>
      <c r="G17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1">
        <v>4.75</v>
      </c>
      <c r="J1761" t="str">
        <f>IF(ISBLANK(Table13[[#This Row],[Rating]]), "No", "Yes")</f>
        <v>Yes</v>
      </c>
      <c r="K1761" t="str">
        <f>IF(ISBLANK(Table13[[#This Row],[Rating]]), "Not Rated", IF(Table13[[#This Row],[Rating]] &lt; 3, "Low", IF(Table13[[#This Row],[Rating]] &lt; 4, "Medium", "High")))</f>
        <v>High</v>
      </c>
      <c r="L1761">
        <v>4</v>
      </c>
      <c r="M1761">
        <v>68</v>
      </c>
      <c r="N1761" t="str">
        <f>IF(Table13[[#This Row],[Price USD]]&lt;20,"Budget",IF(Table13[[#This Row],[Price USD]]&lt;=50,"Mid-range","Premium"))</f>
        <v>Premium</v>
      </c>
      <c r="O1761">
        <v>0</v>
      </c>
      <c r="P1761">
        <v>0</v>
      </c>
    </row>
    <row r="1762" spans="1:16" x14ac:dyDescent="0.25">
      <c r="A1762" t="s">
        <v>3567</v>
      </c>
      <c r="B1762" t="s">
        <v>3568</v>
      </c>
      <c r="C1762">
        <v>6084</v>
      </c>
      <c r="D1762" t="s">
        <v>269</v>
      </c>
      <c r="E1762" t="s">
        <v>21</v>
      </c>
      <c r="F1762">
        <v>4899</v>
      </c>
      <c r="G17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2">
        <v>4.1345999999999998</v>
      </c>
      <c r="J1762" t="str">
        <f>IF(ISBLANK(Table13[[#This Row],[Rating]]), "No", "Yes")</f>
        <v>Yes</v>
      </c>
      <c r="K1762" t="str">
        <f>IF(ISBLANK(Table13[[#This Row],[Rating]]), "Not Rated", IF(Table13[[#This Row],[Rating]] &lt; 3, "Low", IF(Table13[[#This Row],[Rating]] &lt; 4, "Medium", "High")))</f>
        <v>High</v>
      </c>
      <c r="L1762">
        <v>104</v>
      </c>
      <c r="M1762">
        <v>225</v>
      </c>
      <c r="N1762" t="str">
        <f>IF(Table13[[#This Row],[Price USD]]&lt;20,"Budget",IF(Table13[[#This Row],[Price USD]]&lt;=50,"Mid-range","Premium"))</f>
        <v>Premium</v>
      </c>
      <c r="O1762">
        <v>0</v>
      </c>
      <c r="P1762">
        <v>0</v>
      </c>
    </row>
    <row r="1763" spans="1:16" x14ac:dyDescent="0.25">
      <c r="A1763" t="s">
        <v>3565</v>
      </c>
      <c r="B1763" t="s">
        <v>3566</v>
      </c>
      <c r="C1763">
        <v>6475</v>
      </c>
      <c r="D1763" t="s">
        <v>3011</v>
      </c>
      <c r="E1763" t="s">
        <v>69</v>
      </c>
      <c r="F1763">
        <v>4918</v>
      </c>
      <c r="G17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3">
        <v>4.6298000000000004</v>
      </c>
      <c r="J1763" t="str">
        <f>IF(ISBLANK(Table13[[#This Row],[Rating]]), "No", "Yes")</f>
        <v>Yes</v>
      </c>
      <c r="K1763" t="str">
        <f>IF(ISBLANK(Table13[[#This Row],[Rating]]), "Not Rated", IF(Table13[[#This Row],[Rating]] &lt; 3, "Low", IF(Table13[[#This Row],[Rating]] &lt; 4, "Medium", "High")))</f>
        <v>High</v>
      </c>
      <c r="L1763">
        <v>181</v>
      </c>
      <c r="M1763">
        <v>75</v>
      </c>
      <c r="N1763" t="str">
        <f>IF(Table13[[#This Row],[Price USD]]&lt;20,"Budget",IF(Table13[[#This Row],[Price USD]]&lt;=50,"Mid-range","Premium"))</f>
        <v>Premium</v>
      </c>
      <c r="O1763">
        <v>0</v>
      </c>
      <c r="P1763">
        <v>0</v>
      </c>
    </row>
    <row r="1764" spans="1:16" x14ac:dyDescent="0.25">
      <c r="A1764" t="s">
        <v>3563</v>
      </c>
      <c r="B1764" t="s">
        <v>3564</v>
      </c>
      <c r="C1764">
        <v>6302</v>
      </c>
      <c r="D1764" t="s">
        <v>2721</v>
      </c>
      <c r="E1764" t="s">
        <v>8</v>
      </c>
      <c r="F1764">
        <v>4921</v>
      </c>
      <c r="G17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4">
        <v>4.7020999999999997</v>
      </c>
      <c r="J1764" t="str">
        <f>IF(ISBLANK(Table13[[#This Row],[Rating]]), "No", "Yes")</f>
        <v>Yes</v>
      </c>
      <c r="K1764" t="str">
        <f>IF(ISBLANK(Table13[[#This Row],[Rating]]), "Not Rated", IF(Table13[[#This Row],[Rating]] &lt; 3, "Low", IF(Table13[[#This Row],[Rating]] &lt; 4, "Medium", "High")))</f>
        <v>High</v>
      </c>
      <c r="L1764">
        <v>47</v>
      </c>
      <c r="M1764">
        <v>310</v>
      </c>
      <c r="N1764" t="str">
        <f>IF(Table13[[#This Row],[Price USD]]&lt;20,"Budget",IF(Table13[[#This Row],[Price USD]]&lt;=50,"Mid-range","Premium"))</f>
        <v>Premium</v>
      </c>
      <c r="O1764">
        <v>0</v>
      </c>
      <c r="P1764">
        <v>0</v>
      </c>
    </row>
    <row r="1765" spans="1:16" x14ac:dyDescent="0.25">
      <c r="A1765" t="s">
        <v>3561</v>
      </c>
      <c r="B1765" t="s">
        <v>3562</v>
      </c>
      <c r="C1765">
        <v>6272</v>
      </c>
      <c r="D1765" t="s">
        <v>1711</v>
      </c>
      <c r="E1765" t="s">
        <v>347</v>
      </c>
      <c r="F1765">
        <v>4925</v>
      </c>
      <c r="G17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5">
        <v>2.5</v>
      </c>
      <c r="J1765" t="str">
        <f>IF(ISBLANK(Table13[[#This Row],[Rating]]), "No", "Yes")</f>
        <v>Yes</v>
      </c>
      <c r="K1765" t="str">
        <f>IF(ISBLANK(Table13[[#This Row],[Rating]]), "Not Rated", IF(Table13[[#This Row],[Rating]] &lt; 3, "Low", IF(Table13[[#This Row],[Rating]] &lt; 4, "Medium", "High")))</f>
        <v>Low</v>
      </c>
      <c r="L1765">
        <v>8</v>
      </c>
      <c r="M1765">
        <v>39</v>
      </c>
      <c r="N1765" t="str">
        <f>IF(Table13[[#This Row],[Price USD]]&lt;20,"Budget",IF(Table13[[#This Row],[Price USD]]&lt;=50,"Mid-range","Premium"))</f>
        <v>Mid-range</v>
      </c>
      <c r="O1765">
        <v>0</v>
      </c>
      <c r="P1765">
        <v>0</v>
      </c>
    </row>
    <row r="1766" spans="1:16" x14ac:dyDescent="0.25">
      <c r="A1766" t="s">
        <v>3559</v>
      </c>
      <c r="B1766" t="s">
        <v>3560</v>
      </c>
      <c r="C1766">
        <v>8017</v>
      </c>
      <c r="D1766" t="s">
        <v>620</v>
      </c>
      <c r="E1766" t="s">
        <v>21</v>
      </c>
      <c r="F1766">
        <v>4935</v>
      </c>
      <c r="G17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6">
        <v>3.6452</v>
      </c>
      <c r="J1766" t="str">
        <f>IF(ISBLANK(Table13[[#This Row],[Rating]]), "No", "Yes")</f>
        <v>Yes</v>
      </c>
      <c r="K1766" t="str">
        <f>IF(ISBLANK(Table13[[#This Row],[Rating]]), "Not Rated", IF(Table13[[#This Row],[Rating]] &lt; 3, "Low", IF(Table13[[#This Row],[Rating]] &lt; 4, "Medium", "High")))</f>
        <v>Medium</v>
      </c>
      <c r="L1766">
        <v>31</v>
      </c>
      <c r="M1766">
        <v>28</v>
      </c>
      <c r="N1766" t="str">
        <f>IF(Table13[[#This Row],[Price USD]]&lt;20,"Budget",IF(Table13[[#This Row],[Price USD]]&lt;=50,"Mid-range","Premium"))</f>
        <v>Mid-range</v>
      </c>
      <c r="O1766">
        <v>0</v>
      </c>
      <c r="P1766">
        <v>0</v>
      </c>
    </row>
    <row r="1767" spans="1:16" x14ac:dyDescent="0.25">
      <c r="A1767" t="s">
        <v>3557</v>
      </c>
      <c r="B1767" t="s">
        <v>3558</v>
      </c>
      <c r="C1767">
        <v>7050</v>
      </c>
      <c r="D1767" t="s">
        <v>721</v>
      </c>
      <c r="E1767" t="s">
        <v>201</v>
      </c>
      <c r="F1767">
        <v>4938</v>
      </c>
      <c r="G17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7">
        <v>3.7778</v>
      </c>
      <c r="J1767" t="str">
        <f>IF(ISBLANK(Table13[[#This Row],[Rating]]), "No", "Yes")</f>
        <v>Yes</v>
      </c>
      <c r="K1767" t="str">
        <f>IF(ISBLANK(Table13[[#This Row],[Rating]]), "Not Rated", IF(Table13[[#This Row],[Rating]] &lt; 3, "Low", IF(Table13[[#This Row],[Rating]] &lt; 4, "Medium", "High")))</f>
        <v>Medium</v>
      </c>
      <c r="L1767">
        <v>18</v>
      </c>
      <c r="M1767">
        <v>60</v>
      </c>
      <c r="N1767" t="str">
        <f>IF(Table13[[#This Row],[Price USD]]&lt;20,"Budget",IF(Table13[[#This Row],[Price USD]]&lt;=50,"Mid-range","Premium"))</f>
        <v>Premium</v>
      </c>
      <c r="O1767">
        <v>0</v>
      </c>
      <c r="P1767">
        <v>0</v>
      </c>
    </row>
    <row r="1768" spans="1:16" x14ac:dyDescent="0.25">
      <c r="A1768" t="s">
        <v>3555</v>
      </c>
      <c r="B1768" t="s">
        <v>3556</v>
      </c>
      <c r="C1768">
        <v>6358</v>
      </c>
      <c r="D1768" t="s">
        <v>2301</v>
      </c>
      <c r="E1768" t="s">
        <v>21</v>
      </c>
      <c r="F1768">
        <v>4940</v>
      </c>
      <c r="G17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8">
        <v>4.7812999999999999</v>
      </c>
      <c r="J1768" t="str">
        <f>IF(ISBLANK(Table13[[#This Row],[Rating]]), "No", "Yes")</f>
        <v>Yes</v>
      </c>
      <c r="K1768" t="str">
        <f>IF(ISBLANK(Table13[[#This Row],[Rating]]), "Not Rated", IF(Table13[[#This Row],[Rating]] &lt; 3, "Low", IF(Table13[[#This Row],[Rating]] &lt; 4, "Medium", "High")))</f>
        <v>High</v>
      </c>
      <c r="L1768">
        <v>64</v>
      </c>
      <c r="M1768">
        <v>119</v>
      </c>
      <c r="N1768" t="str">
        <f>IF(Table13[[#This Row],[Price USD]]&lt;20,"Budget",IF(Table13[[#This Row],[Price USD]]&lt;=50,"Mid-range","Premium"))</f>
        <v>Premium</v>
      </c>
      <c r="O1768">
        <v>0</v>
      </c>
      <c r="P1768">
        <v>0</v>
      </c>
    </row>
    <row r="1769" spans="1:16" x14ac:dyDescent="0.25">
      <c r="A1769" t="s">
        <v>3553</v>
      </c>
      <c r="B1769" t="s">
        <v>3554</v>
      </c>
      <c r="C1769">
        <v>6001</v>
      </c>
      <c r="D1769" t="s">
        <v>1836</v>
      </c>
      <c r="E1769" t="s">
        <v>347</v>
      </c>
      <c r="F1769">
        <v>4948</v>
      </c>
      <c r="G17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69">
        <v>2.7143000000000002</v>
      </c>
      <c r="J1769" t="str">
        <f>IF(ISBLANK(Table13[[#This Row],[Rating]]), "No", "Yes")</f>
        <v>Yes</v>
      </c>
      <c r="K1769" t="str">
        <f>IF(ISBLANK(Table13[[#This Row],[Rating]]), "Not Rated", IF(Table13[[#This Row],[Rating]] &lt; 3, "Low", IF(Table13[[#This Row],[Rating]] &lt; 4, "Medium", "High")))</f>
        <v>Low</v>
      </c>
      <c r="L1769">
        <v>14</v>
      </c>
      <c r="M1769">
        <v>159</v>
      </c>
      <c r="N1769" t="str">
        <f>IF(Table13[[#This Row],[Price USD]]&lt;20,"Budget",IF(Table13[[#This Row],[Price USD]]&lt;=50,"Mid-range","Premium"))</f>
        <v>Premium</v>
      </c>
      <c r="O1769">
        <v>0</v>
      </c>
      <c r="P1769">
        <v>0</v>
      </c>
    </row>
    <row r="1770" spans="1:16" x14ac:dyDescent="0.25">
      <c r="A1770" t="s">
        <v>3551</v>
      </c>
      <c r="B1770" t="s">
        <v>3552</v>
      </c>
      <c r="C1770">
        <v>6219</v>
      </c>
      <c r="D1770" t="s">
        <v>277</v>
      </c>
      <c r="E1770" t="s">
        <v>69</v>
      </c>
      <c r="F1770">
        <v>4950</v>
      </c>
      <c r="G17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70">
        <v>4.6879</v>
      </c>
      <c r="J1770" t="str">
        <f>IF(ISBLANK(Table13[[#This Row],[Rating]]), "No", "Yes")</f>
        <v>Yes</v>
      </c>
      <c r="K1770" t="str">
        <f>IF(ISBLANK(Table13[[#This Row],[Rating]]), "Not Rated", IF(Table13[[#This Row],[Rating]] &lt; 3, "Low", IF(Table13[[#This Row],[Rating]] &lt; 4, "Medium", "High")))</f>
        <v>High</v>
      </c>
      <c r="L1770">
        <v>298</v>
      </c>
      <c r="M1770">
        <v>69</v>
      </c>
      <c r="N1770" t="str">
        <f>IF(Table13[[#This Row],[Price USD]]&lt;20,"Budget",IF(Table13[[#This Row],[Price USD]]&lt;=50,"Mid-range","Premium"))</f>
        <v>Premium</v>
      </c>
      <c r="O1770">
        <v>0</v>
      </c>
      <c r="P1770">
        <v>0</v>
      </c>
    </row>
    <row r="1771" spans="1:16" x14ac:dyDescent="0.25">
      <c r="A1771" t="s">
        <v>3549</v>
      </c>
      <c r="B1771" t="s">
        <v>3550</v>
      </c>
      <c r="C1771">
        <v>6272</v>
      </c>
      <c r="D1771" t="s">
        <v>1711</v>
      </c>
      <c r="E1771" t="s">
        <v>347</v>
      </c>
      <c r="F1771">
        <v>4954</v>
      </c>
      <c r="G17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71">
        <v>4.2727000000000004</v>
      </c>
      <c r="J1771" t="str">
        <f>IF(ISBLANK(Table13[[#This Row],[Rating]]), "No", "Yes")</f>
        <v>Yes</v>
      </c>
      <c r="K1771" t="str">
        <f>IF(ISBLANK(Table13[[#This Row],[Rating]]), "Not Rated", IF(Table13[[#This Row],[Rating]] &lt; 3, "Low", IF(Table13[[#This Row],[Rating]] &lt; 4, "Medium", "High")))</f>
        <v>High</v>
      </c>
      <c r="L1771">
        <v>11</v>
      </c>
      <c r="M1771">
        <v>59</v>
      </c>
      <c r="N1771" t="str">
        <f>IF(Table13[[#This Row],[Price USD]]&lt;20,"Budget",IF(Table13[[#This Row],[Price USD]]&lt;=50,"Mid-range","Premium"))</f>
        <v>Premium</v>
      </c>
      <c r="O1771">
        <v>0</v>
      </c>
      <c r="P1771">
        <v>0</v>
      </c>
    </row>
    <row r="1772" spans="1:16" x14ac:dyDescent="0.25">
      <c r="A1772" t="s">
        <v>3547</v>
      </c>
      <c r="B1772" t="s">
        <v>3548</v>
      </c>
      <c r="C1772">
        <v>6089</v>
      </c>
      <c r="D1772" t="s">
        <v>605</v>
      </c>
      <c r="E1772" t="s">
        <v>21</v>
      </c>
      <c r="F1772">
        <v>4961</v>
      </c>
      <c r="G17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72">
        <v>4.3201999999999998</v>
      </c>
      <c r="J1772" t="str">
        <f>IF(ISBLANK(Table13[[#This Row],[Rating]]), "No", "Yes")</f>
        <v>Yes</v>
      </c>
      <c r="K1772" t="str">
        <f>IF(ISBLANK(Table13[[#This Row],[Rating]]), "Not Rated", IF(Table13[[#This Row],[Rating]] &lt; 3, "Low", IF(Table13[[#This Row],[Rating]] &lt; 4, "Medium", "High")))</f>
        <v>High</v>
      </c>
      <c r="L1772">
        <v>2783</v>
      </c>
      <c r="M1772">
        <v>98</v>
      </c>
      <c r="N1772" t="str">
        <f>IF(Table13[[#This Row],[Price USD]]&lt;20,"Budget",IF(Table13[[#This Row],[Price USD]]&lt;=50,"Mid-range","Premium"))</f>
        <v>Premium</v>
      </c>
      <c r="O1772">
        <v>0</v>
      </c>
      <c r="P1772">
        <v>0</v>
      </c>
    </row>
    <row r="1773" spans="1:16" x14ac:dyDescent="0.25">
      <c r="A1773" t="s">
        <v>3545</v>
      </c>
      <c r="B1773" t="s">
        <v>3546</v>
      </c>
      <c r="C1773">
        <v>6295</v>
      </c>
      <c r="D1773" t="s">
        <v>184</v>
      </c>
      <c r="E1773" t="s">
        <v>13</v>
      </c>
      <c r="F1773">
        <v>4981</v>
      </c>
      <c r="G17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1K–5K</v>
      </c>
      <c r="H17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Low</v>
      </c>
      <c r="I1773">
        <v>4.2161999999999997</v>
      </c>
      <c r="J1773" t="str">
        <f>IF(ISBLANK(Table13[[#This Row],[Rating]]), "No", "Yes")</f>
        <v>Yes</v>
      </c>
      <c r="K1773" t="str">
        <f>IF(ISBLANK(Table13[[#This Row],[Rating]]), "Not Rated", IF(Table13[[#This Row],[Rating]] &lt; 3, "Low", IF(Table13[[#This Row],[Rating]] &lt; 4, "Medium", "High")))</f>
        <v>High</v>
      </c>
      <c r="L1773">
        <v>37</v>
      </c>
      <c r="M1773">
        <v>12</v>
      </c>
      <c r="N1773" t="str">
        <f>IF(Table13[[#This Row],[Price USD]]&lt;20,"Budget",IF(Table13[[#This Row],[Price USD]]&lt;=50,"Mid-range","Premium"))</f>
        <v>Budget</v>
      </c>
      <c r="O1773">
        <v>0</v>
      </c>
      <c r="P1773">
        <v>0</v>
      </c>
    </row>
    <row r="1774" spans="1:16" x14ac:dyDescent="0.25">
      <c r="A1774" t="s">
        <v>3543</v>
      </c>
      <c r="B1774" t="s">
        <v>3544</v>
      </c>
      <c r="C1774">
        <v>6272</v>
      </c>
      <c r="D1774" t="s">
        <v>1711</v>
      </c>
      <c r="E1774" t="s">
        <v>8</v>
      </c>
      <c r="F1774">
        <v>5003</v>
      </c>
      <c r="G17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74">
        <v>3.7</v>
      </c>
      <c r="J1774" t="str">
        <f>IF(ISBLANK(Table13[[#This Row],[Rating]]), "No", "Yes")</f>
        <v>Yes</v>
      </c>
      <c r="K1774" t="str">
        <f>IF(ISBLANK(Table13[[#This Row],[Rating]]), "Not Rated", IF(Table13[[#This Row],[Rating]] &lt; 3, "Low", IF(Table13[[#This Row],[Rating]] &lt; 4, "Medium", "High")))</f>
        <v>Medium</v>
      </c>
      <c r="L1774">
        <v>10</v>
      </c>
      <c r="M1774">
        <v>95</v>
      </c>
      <c r="N1774" t="str">
        <f>IF(Table13[[#This Row],[Price USD]]&lt;20,"Budget",IF(Table13[[#This Row],[Price USD]]&lt;=50,"Mid-range","Premium"))</f>
        <v>Premium</v>
      </c>
      <c r="O1774">
        <v>0</v>
      </c>
      <c r="P1774">
        <v>0</v>
      </c>
    </row>
    <row r="1775" spans="1:16" x14ac:dyDescent="0.25">
      <c r="A1775" t="s">
        <v>3541</v>
      </c>
      <c r="B1775" t="s">
        <v>3542</v>
      </c>
      <c r="C1775">
        <v>6352</v>
      </c>
      <c r="D1775" t="s">
        <v>251</v>
      </c>
      <c r="E1775" t="s">
        <v>220</v>
      </c>
      <c r="F1775">
        <v>5017</v>
      </c>
      <c r="G17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J1775" t="str">
        <f>IF(ISBLANK(Table13[[#This Row],[Rating]]), "No", "Yes")</f>
        <v>No</v>
      </c>
      <c r="K1775" t="str">
        <f>IF(ISBLANK(Table13[[#This Row],[Rating]]), "Not Rated", IF(Table13[[#This Row],[Rating]] &lt; 3, "Low", IF(Table13[[#This Row],[Rating]] &lt; 4, "Medium", "High")))</f>
        <v>Not Rated</v>
      </c>
      <c r="L1775">
        <v>0</v>
      </c>
      <c r="M1775">
        <v>45</v>
      </c>
      <c r="N1775" t="str">
        <f>IF(Table13[[#This Row],[Price USD]]&lt;20,"Budget",IF(Table13[[#This Row],[Price USD]]&lt;=50,"Mid-range","Premium"))</f>
        <v>Mid-range</v>
      </c>
      <c r="O1775">
        <v>0</v>
      </c>
      <c r="P1775">
        <v>0</v>
      </c>
    </row>
    <row r="1776" spans="1:16" x14ac:dyDescent="0.25">
      <c r="A1776" t="s">
        <v>3539</v>
      </c>
      <c r="B1776" t="s">
        <v>3540</v>
      </c>
      <c r="C1776">
        <v>3902</v>
      </c>
      <c r="D1776" t="s">
        <v>72</v>
      </c>
      <c r="E1776" t="s">
        <v>69</v>
      </c>
      <c r="F1776">
        <v>5029</v>
      </c>
      <c r="G17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76">
        <v>4.0909000000000004</v>
      </c>
      <c r="J1776" t="str">
        <f>IF(ISBLANK(Table13[[#This Row],[Rating]]), "No", "Yes")</f>
        <v>Yes</v>
      </c>
      <c r="K1776" t="str">
        <f>IF(ISBLANK(Table13[[#This Row],[Rating]]), "Not Rated", IF(Table13[[#This Row],[Rating]] &lt; 3, "Low", IF(Table13[[#This Row],[Rating]] &lt; 4, "Medium", "High")))</f>
        <v>High</v>
      </c>
      <c r="L1776">
        <v>11</v>
      </c>
      <c r="M1776">
        <v>8</v>
      </c>
      <c r="N1776" t="str">
        <f>IF(Table13[[#This Row],[Price USD]]&lt;20,"Budget",IF(Table13[[#This Row],[Price USD]]&lt;=50,"Mid-range","Premium"))</f>
        <v>Budget</v>
      </c>
      <c r="O1776">
        <v>1</v>
      </c>
      <c r="P1776">
        <v>0</v>
      </c>
    </row>
    <row r="1777" spans="1:16" x14ac:dyDescent="0.25">
      <c r="A1777" t="s">
        <v>3537</v>
      </c>
      <c r="B1777" t="s">
        <v>3538</v>
      </c>
      <c r="C1777">
        <v>6117</v>
      </c>
      <c r="D1777" t="s">
        <v>229</v>
      </c>
      <c r="E1777" t="s">
        <v>69</v>
      </c>
      <c r="F1777">
        <v>5029</v>
      </c>
      <c r="G17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77">
        <v>3.4167000000000001</v>
      </c>
      <c r="J1777" t="str">
        <f>IF(ISBLANK(Table13[[#This Row],[Rating]]), "No", "Yes")</f>
        <v>Yes</v>
      </c>
      <c r="K1777" t="str">
        <f>IF(ISBLANK(Table13[[#This Row],[Rating]]), "Not Rated", IF(Table13[[#This Row],[Rating]] &lt; 3, "Low", IF(Table13[[#This Row],[Rating]] &lt; 4, "Medium", "High")))</f>
        <v>Medium</v>
      </c>
      <c r="L1777">
        <v>12</v>
      </c>
      <c r="M1777">
        <v>54</v>
      </c>
      <c r="N1777" t="str">
        <f>IF(Table13[[#This Row],[Price USD]]&lt;20,"Budget",IF(Table13[[#This Row],[Price USD]]&lt;=50,"Mid-range","Premium"))</f>
        <v>Premium</v>
      </c>
      <c r="O1777">
        <v>0</v>
      </c>
      <c r="P1777">
        <v>0</v>
      </c>
    </row>
    <row r="1778" spans="1:16" x14ac:dyDescent="0.25">
      <c r="A1778" t="s">
        <v>3535</v>
      </c>
      <c r="B1778" t="s">
        <v>3536</v>
      </c>
      <c r="C1778">
        <v>5648</v>
      </c>
      <c r="D1778" t="s">
        <v>408</v>
      </c>
      <c r="E1778" t="s">
        <v>13</v>
      </c>
      <c r="F1778">
        <v>5032</v>
      </c>
      <c r="G17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78">
        <v>3.8982999999999999</v>
      </c>
      <c r="J1778" t="str">
        <f>IF(ISBLANK(Table13[[#This Row],[Rating]]), "No", "Yes")</f>
        <v>Yes</v>
      </c>
      <c r="K1778" t="str">
        <f>IF(ISBLANK(Table13[[#This Row],[Rating]]), "Not Rated", IF(Table13[[#This Row],[Rating]] &lt; 3, "Low", IF(Table13[[#This Row],[Rating]] &lt; 4, "Medium", "High")))</f>
        <v>Medium</v>
      </c>
      <c r="L1778">
        <v>59</v>
      </c>
      <c r="M1778">
        <v>12</v>
      </c>
      <c r="N1778" t="str">
        <f>IF(Table13[[#This Row],[Price USD]]&lt;20,"Budget",IF(Table13[[#This Row],[Price USD]]&lt;=50,"Mid-range","Premium"))</f>
        <v>Budget</v>
      </c>
      <c r="O1778">
        <v>0</v>
      </c>
      <c r="P1778">
        <v>0</v>
      </c>
    </row>
    <row r="1779" spans="1:16" x14ac:dyDescent="0.25">
      <c r="A1779" t="s">
        <v>3533</v>
      </c>
      <c r="B1779" t="s">
        <v>3534</v>
      </c>
      <c r="C1779">
        <v>6329</v>
      </c>
      <c r="D1779" t="s">
        <v>3435</v>
      </c>
      <c r="E1779" t="s">
        <v>220</v>
      </c>
      <c r="F1779">
        <v>5049</v>
      </c>
      <c r="G17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79">
        <v>4.5404999999999998</v>
      </c>
      <c r="J1779" t="str">
        <f>IF(ISBLANK(Table13[[#This Row],[Rating]]), "No", "Yes")</f>
        <v>Yes</v>
      </c>
      <c r="K1779" t="str">
        <f>IF(ISBLANK(Table13[[#This Row],[Rating]]), "Not Rated", IF(Table13[[#This Row],[Rating]] &lt; 3, "Low", IF(Table13[[#This Row],[Rating]] &lt; 4, "Medium", "High")))</f>
        <v>High</v>
      </c>
      <c r="L1779">
        <v>37</v>
      </c>
      <c r="M1779">
        <v>275</v>
      </c>
      <c r="N1779" t="str">
        <f>IF(Table13[[#This Row],[Price USD]]&lt;20,"Budget",IF(Table13[[#This Row],[Price USD]]&lt;=50,"Mid-range","Premium"))</f>
        <v>Premium</v>
      </c>
      <c r="O1779">
        <v>0</v>
      </c>
      <c r="P1779">
        <v>0</v>
      </c>
    </row>
    <row r="1780" spans="1:16" x14ac:dyDescent="0.25">
      <c r="A1780" t="s">
        <v>3531</v>
      </c>
      <c r="B1780" t="s">
        <v>3532</v>
      </c>
      <c r="C1780">
        <v>6218</v>
      </c>
      <c r="D1780" t="s">
        <v>116</v>
      </c>
      <c r="E1780" t="s">
        <v>21</v>
      </c>
      <c r="F1780">
        <v>5068</v>
      </c>
      <c r="G17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0">
        <v>4.3300999999999998</v>
      </c>
      <c r="J1780" t="str">
        <f>IF(ISBLANK(Table13[[#This Row],[Rating]]), "No", "Yes")</f>
        <v>Yes</v>
      </c>
      <c r="K1780" t="str">
        <f>IF(ISBLANK(Table13[[#This Row],[Rating]]), "Not Rated", IF(Table13[[#This Row],[Rating]] &lt; 3, "Low", IF(Table13[[#This Row],[Rating]] &lt; 4, "Medium", "High")))</f>
        <v>High</v>
      </c>
      <c r="L1780">
        <v>206</v>
      </c>
      <c r="M1780">
        <v>75</v>
      </c>
      <c r="N1780" t="str">
        <f>IF(Table13[[#This Row],[Price USD]]&lt;20,"Budget",IF(Table13[[#This Row],[Price USD]]&lt;=50,"Mid-range","Premium"))</f>
        <v>Premium</v>
      </c>
      <c r="O1780">
        <v>0</v>
      </c>
      <c r="P1780">
        <v>0</v>
      </c>
    </row>
    <row r="1781" spans="1:16" x14ac:dyDescent="0.25">
      <c r="A1781" t="s">
        <v>3529</v>
      </c>
      <c r="B1781" t="s">
        <v>3530</v>
      </c>
      <c r="C1781">
        <v>6285</v>
      </c>
      <c r="D1781" t="s">
        <v>119</v>
      </c>
      <c r="E1781" t="s">
        <v>8</v>
      </c>
      <c r="F1781">
        <v>5072</v>
      </c>
      <c r="G17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1">
        <v>3.8971</v>
      </c>
      <c r="J1781" t="str">
        <f>IF(ISBLANK(Table13[[#This Row],[Rating]]), "No", "Yes")</f>
        <v>Yes</v>
      </c>
      <c r="K1781" t="str">
        <f>IF(ISBLANK(Table13[[#This Row],[Rating]]), "Not Rated", IF(Table13[[#This Row],[Rating]] &lt; 3, "Low", IF(Table13[[#This Row],[Rating]] &lt; 4, "Medium", "High")))</f>
        <v>Medium</v>
      </c>
      <c r="L1781">
        <v>68</v>
      </c>
      <c r="M1781">
        <v>17.989999999999998</v>
      </c>
      <c r="N1781" t="str">
        <f>IF(Table13[[#This Row],[Price USD]]&lt;20,"Budget",IF(Table13[[#This Row],[Price USD]]&lt;=50,"Mid-range","Premium"))</f>
        <v>Budget</v>
      </c>
      <c r="O1781">
        <v>0</v>
      </c>
      <c r="P1781">
        <v>0</v>
      </c>
    </row>
    <row r="1782" spans="1:16" x14ac:dyDescent="0.25">
      <c r="A1782" t="s">
        <v>3527</v>
      </c>
      <c r="B1782" t="s">
        <v>3528</v>
      </c>
      <c r="C1782">
        <v>6358</v>
      </c>
      <c r="D1782" t="s">
        <v>2301</v>
      </c>
      <c r="E1782" t="s">
        <v>149</v>
      </c>
      <c r="F1782">
        <v>5072</v>
      </c>
      <c r="G17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2">
        <v>4.4249999999999998</v>
      </c>
      <c r="J1782" t="str">
        <f>IF(ISBLANK(Table13[[#This Row],[Rating]]), "No", "Yes")</f>
        <v>Yes</v>
      </c>
      <c r="K1782" t="str">
        <f>IF(ISBLANK(Table13[[#This Row],[Rating]]), "Not Rated", IF(Table13[[#This Row],[Rating]] &lt; 3, "Low", IF(Table13[[#This Row],[Rating]] &lt; 4, "Medium", "High")))</f>
        <v>High</v>
      </c>
      <c r="L1782">
        <v>40</v>
      </c>
      <c r="M1782">
        <v>72</v>
      </c>
      <c r="N1782" t="str">
        <f>IF(Table13[[#This Row],[Price USD]]&lt;20,"Budget",IF(Table13[[#This Row],[Price USD]]&lt;=50,"Mid-range","Premium"))</f>
        <v>Premium</v>
      </c>
      <c r="O1782">
        <v>0</v>
      </c>
      <c r="P1782">
        <v>0</v>
      </c>
    </row>
    <row r="1783" spans="1:16" x14ac:dyDescent="0.25">
      <c r="A1783" t="s">
        <v>3525</v>
      </c>
      <c r="B1783" t="s">
        <v>3526</v>
      </c>
      <c r="C1783">
        <v>6329</v>
      </c>
      <c r="D1783" t="s">
        <v>3435</v>
      </c>
      <c r="E1783" t="s">
        <v>347</v>
      </c>
      <c r="F1783">
        <v>5082</v>
      </c>
      <c r="G17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3">
        <v>4.8795000000000002</v>
      </c>
      <c r="J1783" t="str">
        <f>IF(ISBLANK(Table13[[#This Row],[Rating]]), "No", "Yes")</f>
        <v>Yes</v>
      </c>
      <c r="K1783" t="str">
        <f>IF(ISBLANK(Table13[[#This Row],[Rating]]), "Not Rated", IF(Table13[[#This Row],[Rating]] &lt; 3, "Low", IF(Table13[[#This Row],[Rating]] &lt; 4, "Medium", "High")))</f>
        <v>High</v>
      </c>
      <c r="L1783">
        <v>83</v>
      </c>
      <c r="M1783">
        <v>65</v>
      </c>
      <c r="N1783" t="str">
        <f>IF(Table13[[#This Row],[Price USD]]&lt;20,"Budget",IF(Table13[[#This Row],[Price USD]]&lt;=50,"Mid-range","Premium"))</f>
        <v>Premium</v>
      </c>
      <c r="O1783">
        <v>0</v>
      </c>
      <c r="P1783">
        <v>0</v>
      </c>
    </row>
    <row r="1784" spans="1:16" x14ac:dyDescent="0.25">
      <c r="A1784" t="s">
        <v>3523</v>
      </c>
      <c r="B1784" t="s">
        <v>3524</v>
      </c>
      <c r="C1784">
        <v>2082</v>
      </c>
      <c r="D1784" t="s">
        <v>594</v>
      </c>
      <c r="E1784" t="s">
        <v>21</v>
      </c>
      <c r="F1784">
        <v>5083</v>
      </c>
      <c r="G17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4">
        <v>3.7467000000000001</v>
      </c>
      <c r="J1784" t="str">
        <f>IF(ISBLANK(Table13[[#This Row],[Rating]]), "No", "Yes")</f>
        <v>Yes</v>
      </c>
      <c r="K1784" t="str">
        <f>IF(ISBLANK(Table13[[#This Row],[Rating]]), "Not Rated", IF(Table13[[#This Row],[Rating]] &lt; 3, "Low", IF(Table13[[#This Row],[Rating]] &lt; 4, "Medium", "High")))</f>
        <v>Medium</v>
      </c>
      <c r="L1784">
        <v>75</v>
      </c>
      <c r="M1784">
        <v>59</v>
      </c>
      <c r="N1784" t="str">
        <f>IF(Table13[[#This Row],[Price USD]]&lt;20,"Budget",IF(Table13[[#This Row],[Price USD]]&lt;=50,"Mid-range","Premium"))</f>
        <v>Premium</v>
      </c>
      <c r="O1784">
        <v>0</v>
      </c>
      <c r="P1784">
        <v>0</v>
      </c>
    </row>
    <row r="1785" spans="1:16" x14ac:dyDescent="0.25">
      <c r="A1785" t="s">
        <v>3521</v>
      </c>
      <c r="B1785" t="s">
        <v>3522</v>
      </c>
      <c r="C1785">
        <v>1254</v>
      </c>
      <c r="D1785" t="s">
        <v>136</v>
      </c>
      <c r="E1785" t="s">
        <v>13</v>
      </c>
      <c r="F1785">
        <v>5092</v>
      </c>
      <c r="G17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5">
        <v>4.0254000000000003</v>
      </c>
      <c r="J1785" t="str">
        <f>IF(ISBLANK(Table13[[#This Row],[Rating]]), "No", "Yes")</f>
        <v>Yes</v>
      </c>
      <c r="K1785" t="str">
        <f>IF(ISBLANK(Table13[[#This Row],[Rating]]), "Not Rated", IF(Table13[[#This Row],[Rating]] &lt; 3, "Low", IF(Table13[[#This Row],[Rating]] &lt; 4, "Medium", "High")))</f>
        <v>High</v>
      </c>
      <c r="L1785">
        <v>118</v>
      </c>
      <c r="M1785">
        <v>23.5</v>
      </c>
      <c r="N1785" t="str">
        <f>IF(Table13[[#This Row],[Price USD]]&lt;20,"Budget",IF(Table13[[#This Row],[Price USD]]&lt;=50,"Mid-range","Premium"))</f>
        <v>Mid-range</v>
      </c>
      <c r="O1785">
        <v>0</v>
      </c>
      <c r="P1785">
        <v>0</v>
      </c>
    </row>
    <row r="1786" spans="1:16" x14ac:dyDescent="0.25">
      <c r="A1786" t="s">
        <v>3519</v>
      </c>
      <c r="B1786" t="s">
        <v>3520</v>
      </c>
      <c r="C1786">
        <v>6041</v>
      </c>
      <c r="D1786" t="s">
        <v>33</v>
      </c>
      <c r="E1786" t="s">
        <v>144</v>
      </c>
      <c r="F1786">
        <v>5097</v>
      </c>
      <c r="G17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6">
        <v>4.1478000000000002</v>
      </c>
      <c r="J1786" t="str">
        <f>IF(ISBLANK(Table13[[#This Row],[Rating]]), "No", "Yes")</f>
        <v>Yes</v>
      </c>
      <c r="K1786" t="str">
        <f>IF(ISBLANK(Table13[[#This Row],[Rating]]), "Not Rated", IF(Table13[[#This Row],[Rating]] &lt; 3, "Low", IF(Table13[[#This Row],[Rating]] &lt; 4, "Medium", "High")))</f>
        <v>High</v>
      </c>
      <c r="L1786">
        <v>2361</v>
      </c>
      <c r="M1786">
        <v>18</v>
      </c>
      <c r="N1786" t="str">
        <f>IF(Table13[[#This Row],[Price USD]]&lt;20,"Budget",IF(Table13[[#This Row],[Price USD]]&lt;=50,"Mid-range","Premium"))</f>
        <v>Budget</v>
      </c>
      <c r="O1786">
        <v>1</v>
      </c>
      <c r="P1786">
        <v>0</v>
      </c>
    </row>
    <row r="1787" spans="1:16" x14ac:dyDescent="0.25">
      <c r="A1787" t="s">
        <v>3517</v>
      </c>
      <c r="B1787" t="s">
        <v>3518</v>
      </c>
      <c r="C1787">
        <v>5337</v>
      </c>
      <c r="D1787" t="s">
        <v>209</v>
      </c>
      <c r="E1787" t="s">
        <v>13</v>
      </c>
      <c r="F1787">
        <v>5098</v>
      </c>
      <c r="G17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7">
        <v>4.3042999999999996</v>
      </c>
      <c r="J1787" t="str">
        <f>IF(ISBLANK(Table13[[#This Row],[Rating]]), "No", "Yes")</f>
        <v>Yes</v>
      </c>
      <c r="K1787" t="str">
        <f>IF(ISBLANK(Table13[[#This Row],[Rating]]), "Not Rated", IF(Table13[[#This Row],[Rating]] &lt; 3, "Low", IF(Table13[[#This Row],[Rating]] &lt; 4, "Medium", "High")))</f>
        <v>High</v>
      </c>
      <c r="L1787">
        <v>23</v>
      </c>
      <c r="M1787">
        <v>65</v>
      </c>
      <c r="N1787" t="str">
        <f>IF(Table13[[#This Row],[Price USD]]&lt;20,"Budget",IF(Table13[[#This Row],[Price USD]]&lt;=50,"Mid-range","Premium"))</f>
        <v>Premium</v>
      </c>
      <c r="O1787">
        <v>0</v>
      </c>
      <c r="P1787">
        <v>0</v>
      </c>
    </row>
    <row r="1788" spans="1:16" x14ac:dyDescent="0.25">
      <c r="A1788" t="s">
        <v>3515</v>
      </c>
      <c r="B1788" t="s">
        <v>3516</v>
      </c>
      <c r="C1788">
        <v>5857</v>
      </c>
      <c r="D1788" t="s">
        <v>433</v>
      </c>
      <c r="E1788" t="s">
        <v>8</v>
      </c>
      <c r="F1788">
        <v>5110</v>
      </c>
      <c r="G17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8">
        <v>4.3985000000000003</v>
      </c>
      <c r="J1788" t="str">
        <f>IF(ISBLANK(Table13[[#This Row],[Rating]]), "No", "Yes")</f>
        <v>Yes</v>
      </c>
      <c r="K1788" t="str">
        <f>IF(ISBLANK(Table13[[#This Row],[Rating]]), "Not Rated", IF(Table13[[#This Row],[Rating]] &lt; 3, "Low", IF(Table13[[#This Row],[Rating]] &lt; 4, "Medium", "High")))</f>
        <v>High</v>
      </c>
      <c r="L1788">
        <v>271</v>
      </c>
      <c r="M1788">
        <v>60</v>
      </c>
      <c r="N1788" t="str">
        <f>IF(Table13[[#This Row],[Price USD]]&lt;20,"Budget",IF(Table13[[#This Row],[Price USD]]&lt;=50,"Mid-range","Premium"))</f>
        <v>Premium</v>
      </c>
      <c r="O1788">
        <v>0</v>
      </c>
      <c r="P1788">
        <v>0</v>
      </c>
    </row>
    <row r="1789" spans="1:16" x14ac:dyDescent="0.25">
      <c r="A1789" t="s">
        <v>3513</v>
      </c>
      <c r="B1789" t="s">
        <v>3514</v>
      </c>
      <c r="C1789">
        <v>4372</v>
      </c>
      <c r="D1789" t="s">
        <v>1513</v>
      </c>
      <c r="E1789" t="s">
        <v>4</v>
      </c>
      <c r="F1789">
        <v>5114</v>
      </c>
      <c r="G17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89">
        <v>2.8946999999999998</v>
      </c>
      <c r="J1789" t="str">
        <f>IF(ISBLANK(Table13[[#This Row],[Rating]]), "No", "Yes")</f>
        <v>Yes</v>
      </c>
      <c r="K1789" t="str">
        <f>IF(ISBLANK(Table13[[#This Row],[Rating]]), "Not Rated", IF(Table13[[#This Row],[Rating]] &lt; 3, "Low", IF(Table13[[#This Row],[Rating]] &lt; 4, "Medium", "High")))</f>
        <v>Low</v>
      </c>
      <c r="L1789">
        <v>38</v>
      </c>
      <c r="M1789">
        <v>39</v>
      </c>
      <c r="N1789" t="str">
        <f>IF(Table13[[#This Row],[Price USD]]&lt;20,"Budget",IF(Table13[[#This Row],[Price USD]]&lt;=50,"Mid-range","Premium"))</f>
        <v>Mid-range</v>
      </c>
      <c r="O1789">
        <v>0</v>
      </c>
      <c r="P1789">
        <v>0</v>
      </c>
    </row>
    <row r="1790" spans="1:16" x14ac:dyDescent="0.25">
      <c r="A1790" t="s">
        <v>3511</v>
      </c>
      <c r="B1790" t="s">
        <v>3512</v>
      </c>
      <c r="C1790">
        <v>6225</v>
      </c>
      <c r="D1790" t="s">
        <v>640</v>
      </c>
      <c r="E1790" t="s">
        <v>106</v>
      </c>
      <c r="F1790">
        <v>5117</v>
      </c>
      <c r="G17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0">
        <v>4.4286000000000003</v>
      </c>
      <c r="J1790" t="str">
        <f>IF(ISBLANK(Table13[[#This Row],[Rating]]), "No", "Yes")</f>
        <v>Yes</v>
      </c>
      <c r="K1790" t="str">
        <f>IF(ISBLANK(Table13[[#This Row],[Rating]]), "Not Rated", IF(Table13[[#This Row],[Rating]] &lt; 3, "Low", IF(Table13[[#This Row],[Rating]] &lt; 4, "Medium", "High")))</f>
        <v>High</v>
      </c>
      <c r="L1790">
        <v>21</v>
      </c>
      <c r="M1790">
        <v>49</v>
      </c>
      <c r="N1790" t="str">
        <f>IF(Table13[[#This Row],[Price USD]]&lt;20,"Budget",IF(Table13[[#This Row],[Price USD]]&lt;=50,"Mid-range","Premium"))</f>
        <v>Mid-range</v>
      </c>
      <c r="O1790">
        <v>0</v>
      </c>
      <c r="P1790">
        <v>0</v>
      </c>
    </row>
    <row r="1791" spans="1:16" x14ac:dyDescent="0.25">
      <c r="A1791" t="s">
        <v>3509</v>
      </c>
      <c r="B1791" t="s">
        <v>3510</v>
      </c>
      <c r="C1791">
        <v>6018</v>
      </c>
      <c r="D1791" t="s">
        <v>517</v>
      </c>
      <c r="E1791" t="s">
        <v>21</v>
      </c>
      <c r="F1791">
        <v>5118</v>
      </c>
      <c r="G17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1">
        <v>3.8889</v>
      </c>
      <c r="J1791" t="str">
        <f>IF(ISBLANK(Table13[[#This Row],[Rating]]), "No", "Yes")</f>
        <v>Yes</v>
      </c>
      <c r="K1791" t="str">
        <f>IF(ISBLANK(Table13[[#This Row],[Rating]]), "Not Rated", IF(Table13[[#This Row],[Rating]] &lt; 3, "Low", IF(Table13[[#This Row],[Rating]] &lt; 4, "Medium", "High")))</f>
        <v>Medium</v>
      </c>
      <c r="L1791">
        <v>18</v>
      </c>
      <c r="M1791">
        <v>84</v>
      </c>
      <c r="N1791" t="str">
        <f>IF(Table13[[#This Row],[Price USD]]&lt;20,"Budget",IF(Table13[[#This Row],[Price USD]]&lt;=50,"Mid-range","Premium"))</f>
        <v>Premium</v>
      </c>
      <c r="O1791">
        <v>0</v>
      </c>
      <c r="P1791">
        <v>0</v>
      </c>
    </row>
    <row r="1792" spans="1:16" x14ac:dyDescent="0.25">
      <c r="A1792" t="s">
        <v>3507</v>
      </c>
      <c r="B1792" t="s">
        <v>3508</v>
      </c>
      <c r="C1792">
        <v>4372</v>
      </c>
      <c r="D1792" t="s">
        <v>1513</v>
      </c>
      <c r="E1792" t="s">
        <v>13</v>
      </c>
      <c r="F1792">
        <v>5136</v>
      </c>
      <c r="G17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2">
        <v>4.2537000000000003</v>
      </c>
      <c r="J1792" t="str">
        <f>IF(ISBLANK(Table13[[#This Row],[Rating]]), "No", "Yes")</f>
        <v>Yes</v>
      </c>
      <c r="K1792" t="str">
        <f>IF(ISBLANK(Table13[[#This Row],[Rating]]), "Not Rated", IF(Table13[[#This Row],[Rating]] &lt; 3, "Low", IF(Table13[[#This Row],[Rating]] &lt; 4, "Medium", "High")))</f>
        <v>High</v>
      </c>
      <c r="L1792">
        <v>67</v>
      </c>
      <c r="M1792">
        <v>38</v>
      </c>
      <c r="N1792" t="str">
        <f>IF(Table13[[#This Row],[Price USD]]&lt;20,"Budget",IF(Table13[[#This Row],[Price USD]]&lt;=50,"Mid-range","Premium"))</f>
        <v>Mid-range</v>
      </c>
      <c r="O1792">
        <v>0</v>
      </c>
      <c r="P1792">
        <v>0</v>
      </c>
    </row>
    <row r="1793" spans="1:16" x14ac:dyDescent="0.25">
      <c r="A1793" t="s">
        <v>3505</v>
      </c>
      <c r="B1793" t="s">
        <v>3506</v>
      </c>
      <c r="C1793">
        <v>3728</v>
      </c>
      <c r="D1793" t="s">
        <v>458</v>
      </c>
      <c r="E1793" t="s">
        <v>21</v>
      </c>
      <c r="F1793">
        <v>5148</v>
      </c>
      <c r="G17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3">
        <v>3.3871000000000002</v>
      </c>
      <c r="J1793" t="str">
        <f>IF(ISBLANK(Table13[[#This Row],[Rating]]), "No", "Yes")</f>
        <v>Yes</v>
      </c>
      <c r="K1793" t="str">
        <f>IF(ISBLANK(Table13[[#This Row],[Rating]]), "Not Rated", IF(Table13[[#This Row],[Rating]] &lt; 3, "Low", IF(Table13[[#This Row],[Rating]] &lt; 4, "Medium", "High")))</f>
        <v>Medium</v>
      </c>
      <c r="L1793">
        <v>31</v>
      </c>
      <c r="M1793">
        <v>88</v>
      </c>
      <c r="N1793" t="str">
        <f>IF(Table13[[#This Row],[Price USD]]&lt;20,"Budget",IF(Table13[[#This Row],[Price USD]]&lt;=50,"Mid-range","Premium"))</f>
        <v>Premium</v>
      </c>
      <c r="O1793">
        <v>0</v>
      </c>
      <c r="P1793">
        <v>0</v>
      </c>
    </row>
    <row r="1794" spans="1:16" x14ac:dyDescent="0.25">
      <c r="A1794" t="s">
        <v>3503</v>
      </c>
      <c r="B1794" t="s">
        <v>3504</v>
      </c>
      <c r="C1794">
        <v>6236</v>
      </c>
      <c r="D1794" t="s">
        <v>272</v>
      </c>
      <c r="E1794" t="s">
        <v>21</v>
      </c>
      <c r="F1794">
        <v>5165</v>
      </c>
      <c r="G17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4">
        <v>2.875</v>
      </c>
      <c r="J1794" t="str">
        <f>IF(ISBLANK(Table13[[#This Row],[Rating]]), "No", "Yes")</f>
        <v>Yes</v>
      </c>
      <c r="K1794" t="str">
        <f>IF(ISBLANK(Table13[[#This Row],[Rating]]), "Not Rated", IF(Table13[[#This Row],[Rating]] &lt; 3, "Low", IF(Table13[[#This Row],[Rating]] &lt; 4, "Medium", "High")))</f>
        <v>Low</v>
      </c>
      <c r="L1794">
        <v>8</v>
      </c>
      <c r="M1794">
        <v>45</v>
      </c>
      <c r="N1794" t="str">
        <f>IF(Table13[[#This Row],[Price USD]]&lt;20,"Budget",IF(Table13[[#This Row],[Price USD]]&lt;=50,"Mid-range","Premium"))</f>
        <v>Mid-range</v>
      </c>
      <c r="O1794">
        <v>0</v>
      </c>
      <c r="P1794">
        <v>0</v>
      </c>
    </row>
    <row r="1795" spans="1:16" x14ac:dyDescent="0.25">
      <c r="A1795" t="s">
        <v>3501</v>
      </c>
      <c r="B1795" t="s">
        <v>3502</v>
      </c>
      <c r="C1795">
        <v>6018</v>
      </c>
      <c r="D1795" t="s">
        <v>517</v>
      </c>
      <c r="E1795" t="s">
        <v>21</v>
      </c>
      <c r="F1795">
        <v>5169</v>
      </c>
      <c r="G17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5">
        <v>4.1818</v>
      </c>
      <c r="J1795" t="str">
        <f>IF(ISBLANK(Table13[[#This Row],[Rating]]), "No", "Yes")</f>
        <v>Yes</v>
      </c>
      <c r="K1795" t="str">
        <f>IF(ISBLANK(Table13[[#This Row],[Rating]]), "Not Rated", IF(Table13[[#This Row],[Rating]] &lt; 3, "Low", IF(Table13[[#This Row],[Rating]] &lt; 4, "Medium", "High")))</f>
        <v>High</v>
      </c>
      <c r="L1795">
        <v>77</v>
      </c>
      <c r="M1795">
        <v>85</v>
      </c>
      <c r="N1795" t="str">
        <f>IF(Table13[[#This Row],[Price USD]]&lt;20,"Budget",IF(Table13[[#This Row],[Price USD]]&lt;=50,"Mid-range","Premium"))</f>
        <v>Premium</v>
      </c>
      <c r="O1795">
        <v>0</v>
      </c>
      <c r="P1795">
        <v>0</v>
      </c>
    </row>
    <row r="1796" spans="1:16" x14ac:dyDescent="0.25">
      <c r="A1796" t="s">
        <v>3499</v>
      </c>
      <c r="B1796" t="s">
        <v>3500</v>
      </c>
      <c r="C1796">
        <v>6368</v>
      </c>
      <c r="D1796" t="s">
        <v>2117</v>
      </c>
      <c r="E1796" t="s">
        <v>13</v>
      </c>
      <c r="F1796">
        <v>5176</v>
      </c>
      <c r="G17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6">
        <v>4.7009999999999996</v>
      </c>
      <c r="J1796" t="str">
        <f>IF(ISBLANK(Table13[[#This Row],[Rating]]), "No", "Yes")</f>
        <v>Yes</v>
      </c>
      <c r="K1796" t="str">
        <f>IF(ISBLANK(Table13[[#This Row],[Rating]]), "Not Rated", IF(Table13[[#This Row],[Rating]] &lt; 3, "Low", IF(Table13[[#This Row],[Rating]] &lt; 4, "Medium", "High")))</f>
        <v>High</v>
      </c>
      <c r="L1796">
        <v>97</v>
      </c>
      <c r="M1796">
        <v>28</v>
      </c>
      <c r="N1796" t="str">
        <f>IF(Table13[[#This Row],[Price USD]]&lt;20,"Budget",IF(Table13[[#This Row],[Price USD]]&lt;=50,"Mid-range","Premium"))</f>
        <v>Mid-range</v>
      </c>
      <c r="O1796">
        <v>0</v>
      </c>
      <c r="P1796">
        <v>0</v>
      </c>
    </row>
    <row r="1797" spans="1:16" x14ac:dyDescent="0.25">
      <c r="A1797" t="s">
        <v>3497</v>
      </c>
      <c r="B1797" t="s">
        <v>3498</v>
      </c>
      <c r="C1797">
        <v>5337</v>
      </c>
      <c r="D1797" t="s">
        <v>209</v>
      </c>
      <c r="E1797" t="s">
        <v>21</v>
      </c>
      <c r="F1797">
        <v>5184</v>
      </c>
      <c r="G17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7">
        <v>4.5465</v>
      </c>
      <c r="J1797" t="str">
        <f>IF(ISBLANK(Table13[[#This Row],[Rating]]), "No", "Yes")</f>
        <v>Yes</v>
      </c>
      <c r="K1797" t="str">
        <f>IF(ISBLANK(Table13[[#This Row],[Rating]]), "Not Rated", IF(Table13[[#This Row],[Rating]] &lt; 3, "Low", IF(Table13[[#This Row],[Rating]] &lt; 4, "Medium", "High")))</f>
        <v>High</v>
      </c>
      <c r="L1797">
        <v>452</v>
      </c>
      <c r="M1797">
        <v>50</v>
      </c>
      <c r="N1797" t="str">
        <f>IF(Table13[[#This Row],[Price USD]]&lt;20,"Budget",IF(Table13[[#This Row],[Price USD]]&lt;=50,"Mid-range","Premium"))</f>
        <v>Mid-range</v>
      </c>
      <c r="O1797">
        <v>0</v>
      </c>
      <c r="P1797">
        <v>0</v>
      </c>
    </row>
    <row r="1798" spans="1:16" x14ac:dyDescent="0.25">
      <c r="A1798" t="s">
        <v>3495</v>
      </c>
      <c r="B1798" t="s">
        <v>3496</v>
      </c>
      <c r="C1798">
        <v>3728</v>
      </c>
      <c r="D1798" t="s">
        <v>458</v>
      </c>
      <c r="E1798" t="s">
        <v>8</v>
      </c>
      <c r="F1798">
        <v>5185</v>
      </c>
      <c r="G17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8">
        <v>4.5803000000000003</v>
      </c>
      <c r="J1798" t="str">
        <f>IF(ISBLANK(Table13[[#This Row],[Rating]]), "No", "Yes")</f>
        <v>Yes</v>
      </c>
      <c r="K1798" t="str">
        <f>IF(ISBLANK(Table13[[#This Row],[Rating]]), "Not Rated", IF(Table13[[#This Row],[Rating]] &lt; 3, "Low", IF(Table13[[#This Row],[Rating]] &lt; 4, "Medium", "High")))</f>
        <v>High</v>
      </c>
      <c r="L1798">
        <v>467</v>
      </c>
      <c r="M1798">
        <v>65</v>
      </c>
      <c r="N1798" t="str">
        <f>IF(Table13[[#This Row],[Price USD]]&lt;20,"Budget",IF(Table13[[#This Row],[Price USD]]&lt;=50,"Mid-range","Premium"))</f>
        <v>Premium</v>
      </c>
      <c r="O1798">
        <v>0</v>
      </c>
      <c r="P1798">
        <v>0</v>
      </c>
    </row>
    <row r="1799" spans="1:16" x14ac:dyDescent="0.25">
      <c r="A1799" t="s">
        <v>3493</v>
      </c>
      <c r="B1799" t="s">
        <v>3494</v>
      </c>
      <c r="C1799">
        <v>3728</v>
      </c>
      <c r="D1799" t="s">
        <v>458</v>
      </c>
      <c r="E1799" t="s">
        <v>21</v>
      </c>
      <c r="F1799">
        <v>5199</v>
      </c>
      <c r="G17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7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799">
        <v>4.4112</v>
      </c>
      <c r="J1799" t="str">
        <f>IF(ISBLANK(Table13[[#This Row],[Rating]]), "No", "Yes")</f>
        <v>Yes</v>
      </c>
      <c r="K1799" t="str">
        <f>IF(ISBLANK(Table13[[#This Row],[Rating]]), "Not Rated", IF(Table13[[#This Row],[Rating]] &lt; 3, "Low", IF(Table13[[#This Row],[Rating]] &lt; 4, "Medium", "High")))</f>
        <v>High</v>
      </c>
      <c r="L1799">
        <v>676</v>
      </c>
      <c r="M1799">
        <v>75</v>
      </c>
      <c r="N1799" t="str">
        <f>IF(Table13[[#This Row],[Price USD]]&lt;20,"Budget",IF(Table13[[#This Row],[Price USD]]&lt;=50,"Mid-range","Premium"))</f>
        <v>Premium</v>
      </c>
      <c r="O1799">
        <v>0</v>
      </c>
      <c r="P1799">
        <v>0</v>
      </c>
    </row>
    <row r="1800" spans="1:16" x14ac:dyDescent="0.25">
      <c r="A1800" t="s">
        <v>3491</v>
      </c>
      <c r="B1800" t="s">
        <v>3492</v>
      </c>
      <c r="C1800">
        <v>6201</v>
      </c>
      <c r="D1800" t="s">
        <v>367</v>
      </c>
      <c r="E1800" t="s">
        <v>21</v>
      </c>
      <c r="F1800">
        <v>5212</v>
      </c>
      <c r="G18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0">
        <v>4.6439000000000004</v>
      </c>
      <c r="J1800" t="str">
        <f>IF(ISBLANK(Table13[[#This Row],[Rating]]), "No", "Yes")</f>
        <v>Yes</v>
      </c>
      <c r="K1800" t="str">
        <f>IF(ISBLANK(Table13[[#This Row],[Rating]]), "Not Rated", IF(Table13[[#This Row],[Rating]] &lt; 3, "Low", IF(Table13[[#This Row],[Rating]] &lt; 4, "Medium", "High")))</f>
        <v>High</v>
      </c>
      <c r="L1800">
        <v>424</v>
      </c>
      <c r="M1800">
        <v>125</v>
      </c>
      <c r="N1800" t="str">
        <f>IF(Table13[[#This Row],[Price USD]]&lt;20,"Budget",IF(Table13[[#This Row],[Price USD]]&lt;=50,"Mid-range","Premium"))</f>
        <v>Premium</v>
      </c>
      <c r="O1800">
        <v>0</v>
      </c>
      <c r="P1800">
        <v>0</v>
      </c>
    </row>
    <row r="1801" spans="1:16" x14ac:dyDescent="0.25">
      <c r="A1801" t="s">
        <v>3489</v>
      </c>
      <c r="B1801" t="s">
        <v>3490</v>
      </c>
      <c r="C1801">
        <v>6272</v>
      </c>
      <c r="D1801" t="s">
        <v>1711</v>
      </c>
      <c r="E1801" t="s">
        <v>347</v>
      </c>
      <c r="F1801">
        <v>5219</v>
      </c>
      <c r="G18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1">
        <v>4.4762000000000004</v>
      </c>
      <c r="J1801" t="str">
        <f>IF(ISBLANK(Table13[[#This Row],[Rating]]), "No", "Yes")</f>
        <v>Yes</v>
      </c>
      <c r="K1801" t="str">
        <f>IF(ISBLANK(Table13[[#This Row],[Rating]]), "Not Rated", IF(Table13[[#This Row],[Rating]] &lt; 3, "Low", IF(Table13[[#This Row],[Rating]] &lt; 4, "Medium", "High")))</f>
        <v>High</v>
      </c>
      <c r="L1801">
        <v>21</v>
      </c>
      <c r="M1801">
        <v>85</v>
      </c>
      <c r="N1801" t="str">
        <f>IF(Table13[[#This Row],[Price USD]]&lt;20,"Budget",IF(Table13[[#This Row],[Price USD]]&lt;=50,"Mid-range","Premium"))</f>
        <v>Premium</v>
      </c>
      <c r="O1801">
        <v>0</v>
      </c>
      <c r="P1801">
        <v>0</v>
      </c>
    </row>
    <row r="1802" spans="1:16" x14ac:dyDescent="0.25">
      <c r="A1802" t="s">
        <v>3487</v>
      </c>
      <c r="B1802" t="s">
        <v>3488</v>
      </c>
      <c r="C1802">
        <v>7091</v>
      </c>
      <c r="D1802" t="s">
        <v>879</v>
      </c>
      <c r="E1802" t="s">
        <v>49</v>
      </c>
      <c r="F1802">
        <v>5254</v>
      </c>
      <c r="G18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2">
        <v>4.5556000000000001</v>
      </c>
      <c r="J1802" t="str">
        <f>IF(ISBLANK(Table13[[#This Row],[Rating]]), "No", "Yes")</f>
        <v>Yes</v>
      </c>
      <c r="K1802" t="str">
        <f>IF(ISBLANK(Table13[[#This Row],[Rating]]), "Not Rated", IF(Table13[[#This Row],[Rating]] &lt; 3, "Low", IF(Table13[[#This Row],[Rating]] &lt; 4, "Medium", "High")))</f>
        <v>High</v>
      </c>
      <c r="L1802">
        <v>9</v>
      </c>
      <c r="M1802">
        <v>48</v>
      </c>
      <c r="N1802" t="str">
        <f>IF(Table13[[#This Row],[Price USD]]&lt;20,"Budget",IF(Table13[[#This Row],[Price USD]]&lt;=50,"Mid-range","Premium"))</f>
        <v>Mid-range</v>
      </c>
      <c r="O1802">
        <v>0</v>
      </c>
      <c r="P1802">
        <v>0</v>
      </c>
    </row>
    <row r="1803" spans="1:16" x14ac:dyDescent="0.25">
      <c r="A1803" t="s">
        <v>3485</v>
      </c>
      <c r="B1803" t="s">
        <v>3486</v>
      </c>
      <c r="C1803">
        <v>6218</v>
      </c>
      <c r="D1803" t="s">
        <v>116</v>
      </c>
      <c r="E1803" t="s">
        <v>13</v>
      </c>
      <c r="F1803">
        <v>5263</v>
      </c>
      <c r="G18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3">
        <v>3.5758000000000001</v>
      </c>
      <c r="J1803" t="str">
        <f>IF(ISBLANK(Table13[[#This Row],[Rating]]), "No", "Yes")</f>
        <v>Yes</v>
      </c>
      <c r="K1803" t="str">
        <f>IF(ISBLANK(Table13[[#This Row],[Rating]]), "Not Rated", IF(Table13[[#This Row],[Rating]] &lt; 3, "Low", IF(Table13[[#This Row],[Rating]] &lt; 4, "Medium", "High")))</f>
        <v>Medium</v>
      </c>
      <c r="L1803">
        <v>33</v>
      </c>
      <c r="M1803">
        <v>25</v>
      </c>
      <c r="N1803" t="str">
        <f>IF(Table13[[#This Row],[Price USD]]&lt;20,"Budget",IF(Table13[[#This Row],[Price USD]]&lt;=50,"Mid-range","Premium"))</f>
        <v>Mid-range</v>
      </c>
      <c r="O1803">
        <v>0</v>
      </c>
      <c r="P1803">
        <v>0</v>
      </c>
    </row>
    <row r="1804" spans="1:16" x14ac:dyDescent="0.25">
      <c r="A1804" t="s">
        <v>3483</v>
      </c>
      <c r="B1804" t="s">
        <v>3484</v>
      </c>
      <c r="C1804">
        <v>6331</v>
      </c>
      <c r="D1804" t="s">
        <v>3268</v>
      </c>
      <c r="E1804" t="s">
        <v>106</v>
      </c>
      <c r="F1804">
        <v>5266</v>
      </c>
      <c r="G18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4">
        <v>4.8213999999999997</v>
      </c>
      <c r="J1804" t="str">
        <f>IF(ISBLANK(Table13[[#This Row],[Rating]]), "No", "Yes")</f>
        <v>Yes</v>
      </c>
      <c r="K1804" t="str">
        <f>IF(ISBLANK(Table13[[#This Row],[Rating]]), "Not Rated", IF(Table13[[#This Row],[Rating]] &lt; 3, "Low", IF(Table13[[#This Row],[Rating]] &lt; 4, "Medium", "High")))</f>
        <v>High</v>
      </c>
      <c r="L1804">
        <v>28</v>
      </c>
      <c r="M1804">
        <v>25</v>
      </c>
      <c r="N1804" t="str">
        <f>IF(Table13[[#This Row],[Price USD]]&lt;20,"Budget",IF(Table13[[#This Row],[Price USD]]&lt;=50,"Mid-range","Premium"))</f>
        <v>Mid-range</v>
      </c>
      <c r="O1804">
        <v>0</v>
      </c>
      <c r="P1804">
        <v>0</v>
      </c>
    </row>
    <row r="1805" spans="1:16" x14ac:dyDescent="0.25">
      <c r="A1805" t="s">
        <v>3481</v>
      </c>
      <c r="B1805" t="s">
        <v>3482</v>
      </c>
      <c r="C1805">
        <v>8008</v>
      </c>
      <c r="D1805" t="s">
        <v>105</v>
      </c>
      <c r="E1805" t="s">
        <v>106</v>
      </c>
      <c r="F1805">
        <v>5272</v>
      </c>
      <c r="G18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5">
        <v>3.5</v>
      </c>
      <c r="J1805" t="str">
        <f>IF(ISBLANK(Table13[[#This Row],[Rating]]), "No", "Yes")</f>
        <v>Yes</v>
      </c>
      <c r="K1805" t="str">
        <f>IF(ISBLANK(Table13[[#This Row],[Rating]]), "Not Rated", IF(Table13[[#This Row],[Rating]] &lt; 3, "Low", IF(Table13[[#This Row],[Rating]] &lt; 4, "Medium", "High")))</f>
        <v>Medium</v>
      </c>
      <c r="L1805">
        <v>24</v>
      </c>
      <c r="M1805">
        <v>24</v>
      </c>
      <c r="N1805" t="str">
        <f>IF(Table13[[#This Row],[Price USD]]&lt;20,"Budget",IF(Table13[[#This Row],[Price USD]]&lt;=50,"Mid-range","Premium"))</f>
        <v>Mid-range</v>
      </c>
      <c r="O1805">
        <v>0</v>
      </c>
      <c r="P1805">
        <v>0</v>
      </c>
    </row>
    <row r="1806" spans="1:16" x14ac:dyDescent="0.25">
      <c r="A1806" t="s">
        <v>3479</v>
      </c>
      <c r="B1806" t="s">
        <v>3480</v>
      </c>
      <c r="C1806">
        <v>1741</v>
      </c>
      <c r="D1806" t="s">
        <v>388</v>
      </c>
      <c r="E1806" t="s">
        <v>21</v>
      </c>
      <c r="F1806">
        <v>5273</v>
      </c>
      <c r="G18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6">
        <v>4.2691999999999997</v>
      </c>
      <c r="J1806" t="str">
        <f>IF(ISBLANK(Table13[[#This Row],[Rating]]), "No", "Yes")</f>
        <v>Yes</v>
      </c>
      <c r="K1806" t="str">
        <f>IF(ISBLANK(Table13[[#This Row],[Rating]]), "Not Rated", IF(Table13[[#This Row],[Rating]] &lt; 3, "Low", IF(Table13[[#This Row],[Rating]] &lt; 4, "Medium", "High")))</f>
        <v>High</v>
      </c>
      <c r="L1806">
        <v>78</v>
      </c>
      <c r="M1806">
        <v>57</v>
      </c>
      <c r="N1806" t="str">
        <f>IF(Table13[[#This Row],[Price USD]]&lt;20,"Budget",IF(Table13[[#This Row],[Price USD]]&lt;=50,"Mid-range","Premium"))</f>
        <v>Premium</v>
      </c>
      <c r="O1806">
        <v>0</v>
      </c>
      <c r="P1806">
        <v>0</v>
      </c>
    </row>
    <row r="1807" spans="1:16" x14ac:dyDescent="0.25">
      <c r="A1807" t="s">
        <v>3477</v>
      </c>
      <c r="B1807" t="s">
        <v>3478</v>
      </c>
      <c r="C1807">
        <v>6219</v>
      </c>
      <c r="D1807" t="s">
        <v>277</v>
      </c>
      <c r="E1807" t="s">
        <v>49</v>
      </c>
      <c r="F1807">
        <v>5274</v>
      </c>
      <c r="G18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7">
        <v>4.8189000000000002</v>
      </c>
      <c r="J1807" t="str">
        <f>IF(ISBLANK(Table13[[#This Row],[Rating]]), "No", "Yes")</f>
        <v>Yes</v>
      </c>
      <c r="K1807" t="str">
        <f>IF(ISBLANK(Table13[[#This Row],[Rating]]), "Not Rated", IF(Table13[[#This Row],[Rating]] &lt; 3, "Low", IF(Table13[[#This Row],[Rating]] &lt; 4, "Medium", "High")))</f>
        <v>High</v>
      </c>
      <c r="L1807">
        <v>265</v>
      </c>
      <c r="M1807">
        <v>79</v>
      </c>
      <c r="N1807" t="str">
        <f>IF(Table13[[#This Row],[Price USD]]&lt;20,"Budget",IF(Table13[[#This Row],[Price USD]]&lt;=50,"Mid-range","Premium"))</f>
        <v>Premium</v>
      </c>
      <c r="O1807">
        <v>0</v>
      </c>
      <c r="P1807">
        <v>0</v>
      </c>
    </row>
    <row r="1808" spans="1:16" x14ac:dyDescent="0.25">
      <c r="A1808" t="s">
        <v>3475</v>
      </c>
      <c r="B1808" t="s">
        <v>3476</v>
      </c>
      <c r="C1808">
        <v>3728</v>
      </c>
      <c r="D1808" t="s">
        <v>458</v>
      </c>
      <c r="E1808" t="s">
        <v>21</v>
      </c>
      <c r="F1808">
        <v>5285</v>
      </c>
      <c r="G18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8">
        <v>3.6238999999999999</v>
      </c>
      <c r="J1808" t="str">
        <f>IF(ISBLANK(Table13[[#This Row],[Rating]]), "No", "Yes")</f>
        <v>Yes</v>
      </c>
      <c r="K1808" t="str">
        <f>IF(ISBLANK(Table13[[#This Row],[Rating]]), "Not Rated", IF(Table13[[#This Row],[Rating]] &lt; 3, "Low", IF(Table13[[#This Row],[Rating]] &lt; 4, "Medium", "High")))</f>
        <v>Medium</v>
      </c>
      <c r="L1808">
        <v>109</v>
      </c>
      <c r="M1808">
        <v>72</v>
      </c>
      <c r="N1808" t="str">
        <f>IF(Table13[[#This Row],[Price USD]]&lt;20,"Budget",IF(Table13[[#This Row],[Price USD]]&lt;=50,"Mid-range","Premium"))</f>
        <v>Premium</v>
      </c>
      <c r="O1808">
        <v>0</v>
      </c>
      <c r="P1808">
        <v>1</v>
      </c>
    </row>
    <row r="1809" spans="1:16" x14ac:dyDescent="0.25">
      <c r="A1809" t="s">
        <v>3473</v>
      </c>
      <c r="B1809" t="s">
        <v>3474</v>
      </c>
      <c r="C1809">
        <v>8008</v>
      </c>
      <c r="D1809" t="s">
        <v>105</v>
      </c>
      <c r="E1809" t="s">
        <v>106</v>
      </c>
      <c r="F1809">
        <v>5294</v>
      </c>
      <c r="G18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09">
        <v>2.3845999999999998</v>
      </c>
      <c r="J1809" t="str">
        <f>IF(ISBLANK(Table13[[#This Row],[Rating]]), "No", "Yes")</f>
        <v>Yes</v>
      </c>
      <c r="K1809" t="str">
        <f>IF(ISBLANK(Table13[[#This Row],[Rating]]), "Not Rated", IF(Table13[[#This Row],[Rating]] &lt; 3, "Low", IF(Table13[[#This Row],[Rating]] &lt; 4, "Medium", "High")))</f>
        <v>Low</v>
      </c>
      <c r="L1809">
        <v>26</v>
      </c>
      <c r="M1809">
        <v>22</v>
      </c>
      <c r="N1809" t="str">
        <f>IF(Table13[[#This Row],[Price USD]]&lt;20,"Budget",IF(Table13[[#This Row],[Price USD]]&lt;=50,"Mid-range","Premium"))</f>
        <v>Mid-range</v>
      </c>
      <c r="O1809">
        <v>0</v>
      </c>
      <c r="P1809">
        <v>0</v>
      </c>
    </row>
    <row r="1810" spans="1:16" x14ac:dyDescent="0.25">
      <c r="A1810" t="s">
        <v>3471</v>
      </c>
      <c r="B1810" t="s">
        <v>3472</v>
      </c>
      <c r="C1810">
        <v>6117</v>
      </c>
      <c r="D1810" t="s">
        <v>229</v>
      </c>
      <c r="E1810" t="s">
        <v>220</v>
      </c>
      <c r="F1810">
        <v>5295</v>
      </c>
      <c r="G18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0">
        <v>4.5</v>
      </c>
      <c r="J1810" t="str">
        <f>IF(ISBLANK(Table13[[#This Row],[Rating]]), "No", "Yes")</f>
        <v>Yes</v>
      </c>
      <c r="K1810" t="str">
        <f>IF(ISBLANK(Table13[[#This Row],[Rating]]), "Not Rated", IF(Table13[[#This Row],[Rating]] &lt; 3, "Low", IF(Table13[[#This Row],[Rating]] &lt; 4, "Medium", "High")))</f>
        <v>High</v>
      </c>
      <c r="L1810">
        <v>6</v>
      </c>
      <c r="M1810">
        <v>32</v>
      </c>
      <c r="N1810" t="str">
        <f>IF(Table13[[#This Row],[Price USD]]&lt;20,"Budget",IF(Table13[[#This Row],[Price USD]]&lt;=50,"Mid-range","Premium"))</f>
        <v>Mid-range</v>
      </c>
      <c r="O1810">
        <v>0</v>
      </c>
      <c r="P1810">
        <v>0</v>
      </c>
    </row>
    <row r="1811" spans="1:16" x14ac:dyDescent="0.25">
      <c r="A1811" t="s">
        <v>3469</v>
      </c>
      <c r="B1811" t="s">
        <v>3470</v>
      </c>
      <c r="C1811">
        <v>6272</v>
      </c>
      <c r="D1811" t="s">
        <v>1711</v>
      </c>
      <c r="E1811" t="s">
        <v>21</v>
      </c>
      <c r="F1811">
        <v>5300</v>
      </c>
      <c r="G18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1">
        <v>3.8462000000000001</v>
      </c>
      <c r="J1811" t="str">
        <f>IF(ISBLANK(Table13[[#This Row],[Rating]]), "No", "Yes")</f>
        <v>Yes</v>
      </c>
      <c r="K1811" t="str">
        <f>IF(ISBLANK(Table13[[#This Row],[Rating]]), "Not Rated", IF(Table13[[#This Row],[Rating]] &lt; 3, "Low", IF(Table13[[#This Row],[Rating]] &lt; 4, "Medium", "High")))</f>
        <v>Medium</v>
      </c>
      <c r="L1811">
        <v>39</v>
      </c>
      <c r="M1811">
        <v>129</v>
      </c>
      <c r="N1811" t="str">
        <f>IF(Table13[[#This Row],[Price USD]]&lt;20,"Budget",IF(Table13[[#This Row],[Price USD]]&lt;=50,"Mid-range","Premium"))</f>
        <v>Premium</v>
      </c>
      <c r="O1811">
        <v>0</v>
      </c>
      <c r="P1811">
        <v>0</v>
      </c>
    </row>
    <row r="1812" spans="1:16" x14ac:dyDescent="0.25">
      <c r="A1812" t="s">
        <v>3467</v>
      </c>
      <c r="B1812" t="s">
        <v>3468</v>
      </c>
      <c r="C1812">
        <v>3902</v>
      </c>
      <c r="D1812" t="s">
        <v>72</v>
      </c>
      <c r="E1812" t="s">
        <v>201</v>
      </c>
      <c r="F1812">
        <v>5302</v>
      </c>
      <c r="G18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2">
        <v>4.8571</v>
      </c>
      <c r="J1812" t="str">
        <f>IF(ISBLANK(Table13[[#This Row],[Rating]]), "No", "Yes")</f>
        <v>Yes</v>
      </c>
      <c r="K1812" t="str">
        <f>IF(ISBLANK(Table13[[#This Row],[Rating]]), "Not Rated", IF(Table13[[#This Row],[Rating]] &lt; 3, "Low", IF(Table13[[#This Row],[Rating]] &lt; 4, "Medium", "High")))</f>
        <v>High</v>
      </c>
      <c r="L1812">
        <v>7</v>
      </c>
      <c r="M1812">
        <v>28</v>
      </c>
      <c r="N1812" t="str">
        <f>IF(Table13[[#This Row],[Price USD]]&lt;20,"Budget",IF(Table13[[#This Row],[Price USD]]&lt;=50,"Mid-range","Premium"))</f>
        <v>Mid-range</v>
      </c>
      <c r="O1812">
        <v>0</v>
      </c>
      <c r="P1812">
        <v>0</v>
      </c>
    </row>
    <row r="1813" spans="1:16" x14ac:dyDescent="0.25">
      <c r="A1813" t="s">
        <v>3465</v>
      </c>
      <c r="B1813" t="s">
        <v>3466</v>
      </c>
      <c r="C1813">
        <v>6751</v>
      </c>
      <c r="D1813" t="s">
        <v>1738</v>
      </c>
      <c r="E1813" t="s">
        <v>13</v>
      </c>
      <c r="F1813">
        <v>5305</v>
      </c>
      <c r="G18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3">
        <v>3.625</v>
      </c>
      <c r="J1813" t="str">
        <f>IF(ISBLANK(Table13[[#This Row],[Rating]]), "No", "Yes")</f>
        <v>Yes</v>
      </c>
      <c r="K1813" t="str">
        <f>IF(ISBLANK(Table13[[#This Row],[Rating]]), "Not Rated", IF(Table13[[#This Row],[Rating]] &lt; 3, "Low", IF(Table13[[#This Row],[Rating]] &lt; 4, "Medium", "High")))</f>
        <v>Medium</v>
      </c>
      <c r="L1813">
        <v>8</v>
      </c>
      <c r="M1813">
        <v>21</v>
      </c>
      <c r="N1813" t="str">
        <f>IF(Table13[[#This Row],[Price USD]]&lt;20,"Budget",IF(Table13[[#This Row],[Price USD]]&lt;=50,"Mid-range","Premium"))</f>
        <v>Mid-range</v>
      </c>
      <c r="O1813">
        <v>1</v>
      </c>
      <c r="P1813">
        <v>0</v>
      </c>
    </row>
    <row r="1814" spans="1:16" x14ac:dyDescent="0.25">
      <c r="A1814" t="s">
        <v>3463</v>
      </c>
      <c r="B1814" t="s">
        <v>3464</v>
      </c>
      <c r="C1814">
        <v>6226</v>
      </c>
      <c r="D1814" t="s">
        <v>843</v>
      </c>
      <c r="E1814" t="s">
        <v>144</v>
      </c>
      <c r="F1814">
        <v>5313</v>
      </c>
      <c r="G18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4">
        <v>4.5749000000000004</v>
      </c>
      <c r="J1814" t="str">
        <f>IF(ISBLANK(Table13[[#This Row],[Rating]]), "No", "Yes")</f>
        <v>Yes</v>
      </c>
      <c r="K1814" t="str">
        <f>IF(ISBLANK(Table13[[#This Row],[Rating]]), "Not Rated", IF(Table13[[#This Row],[Rating]] &lt; 3, "Low", IF(Table13[[#This Row],[Rating]] &lt; 4, "Medium", "High")))</f>
        <v>High</v>
      </c>
      <c r="L1814">
        <v>494</v>
      </c>
      <c r="M1814">
        <v>25</v>
      </c>
      <c r="N1814" t="str">
        <f>IF(Table13[[#This Row],[Price USD]]&lt;20,"Budget",IF(Table13[[#This Row],[Price USD]]&lt;=50,"Mid-range","Premium"))</f>
        <v>Mid-range</v>
      </c>
      <c r="O1814">
        <v>0</v>
      </c>
      <c r="P1814">
        <v>0</v>
      </c>
    </row>
    <row r="1815" spans="1:16" x14ac:dyDescent="0.25">
      <c r="A1815" t="s">
        <v>3460</v>
      </c>
      <c r="B1815" t="s">
        <v>3461</v>
      </c>
      <c r="C1815">
        <v>6476</v>
      </c>
      <c r="D1815" t="s">
        <v>3462</v>
      </c>
      <c r="E1815" t="s">
        <v>347</v>
      </c>
      <c r="F1815">
        <v>5333</v>
      </c>
      <c r="G18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5">
        <v>4.6452</v>
      </c>
      <c r="J1815" t="str">
        <f>IF(ISBLANK(Table13[[#This Row],[Rating]]), "No", "Yes")</f>
        <v>Yes</v>
      </c>
      <c r="K1815" t="str">
        <f>IF(ISBLANK(Table13[[#This Row],[Rating]]), "Not Rated", IF(Table13[[#This Row],[Rating]] &lt; 3, "Low", IF(Table13[[#This Row],[Rating]] &lt; 4, "Medium", "High")))</f>
        <v>High</v>
      </c>
      <c r="L1815">
        <v>155</v>
      </c>
      <c r="M1815">
        <v>42</v>
      </c>
      <c r="N1815" t="str">
        <f>IF(Table13[[#This Row],[Price USD]]&lt;20,"Budget",IF(Table13[[#This Row],[Price USD]]&lt;=50,"Mid-range","Premium"))</f>
        <v>Mid-range</v>
      </c>
      <c r="O1815">
        <v>0</v>
      </c>
      <c r="P1815">
        <v>0</v>
      </c>
    </row>
    <row r="1816" spans="1:16" x14ac:dyDescent="0.25">
      <c r="A1816" t="s">
        <v>3458</v>
      </c>
      <c r="B1816" t="s">
        <v>3459</v>
      </c>
      <c r="C1816">
        <v>6001</v>
      </c>
      <c r="D1816" t="s">
        <v>1836</v>
      </c>
      <c r="E1816" t="s">
        <v>21</v>
      </c>
      <c r="F1816">
        <v>5336</v>
      </c>
      <c r="G18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6">
        <v>4.3182</v>
      </c>
      <c r="J1816" t="str">
        <f>IF(ISBLANK(Table13[[#This Row],[Rating]]), "No", "Yes")</f>
        <v>Yes</v>
      </c>
      <c r="K1816" t="str">
        <f>IF(ISBLANK(Table13[[#This Row],[Rating]]), "Not Rated", IF(Table13[[#This Row],[Rating]] &lt; 3, "Low", IF(Table13[[#This Row],[Rating]] &lt; 4, "Medium", "High")))</f>
        <v>High</v>
      </c>
      <c r="L1816">
        <v>22</v>
      </c>
      <c r="M1816">
        <v>39</v>
      </c>
      <c r="N1816" t="str">
        <f>IF(Table13[[#This Row],[Price USD]]&lt;20,"Budget",IF(Table13[[#This Row],[Price USD]]&lt;=50,"Mid-range","Premium"))</f>
        <v>Mid-range</v>
      </c>
      <c r="O1816">
        <v>0</v>
      </c>
      <c r="P1816">
        <v>0</v>
      </c>
    </row>
    <row r="1817" spans="1:16" x14ac:dyDescent="0.25">
      <c r="A1817" t="s">
        <v>3456</v>
      </c>
      <c r="B1817" t="s">
        <v>3457</v>
      </c>
      <c r="C1817">
        <v>6114</v>
      </c>
      <c r="D1817" t="s">
        <v>1355</v>
      </c>
      <c r="E1817" t="s">
        <v>347</v>
      </c>
      <c r="F1817">
        <v>5350</v>
      </c>
      <c r="G18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7">
        <v>4.6666999999999996</v>
      </c>
      <c r="J1817" t="str">
        <f>IF(ISBLANK(Table13[[#This Row],[Rating]]), "No", "Yes")</f>
        <v>Yes</v>
      </c>
      <c r="K1817" t="str">
        <f>IF(ISBLANK(Table13[[#This Row],[Rating]]), "Not Rated", IF(Table13[[#This Row],[Rating]] &lt; 3, "Low", IF(Table13[[#This Row],[Rating]] &lt; 4, "Medium", "High")))</f>
        <v>High</v>
      </c>
      <c r="L1817">
        <v>60</v>
      </c>
      <c r="M1817">
        <v>299</v>
      </c>
      <c r="N1817" t="str">
        <f>IF(Table13[[#This Row],[Price USD]]&lt;20,"Budget",IF(Table13[[#This Row],[Price USD]]&lt;=50,"Mid-range","Premium"))</f>
        <v>Premium</v>
      </c>
      <c r="O1817">
        <v>0</v>
      </c>
      <c r="P1817">
        <v>0</v>
      </c>
    </row>
    <row r="1818" spans="1:16" x14ac:dyDescent="0.25">
      <c r="A1818" t="s">
        <v>3454</v>
      </c>
      <c r="B1818" t="s">
        <v>3455</v>
      </c>
      <c r="C1818">
        <v>6201</v>
      </c>
      <c r="D1818" t="s">
        <v>367</v>
      </c>
      <c r="E1818" t="s">
        <v>8</v>
      </c>
      <c r="F1818">
        <v>5356</v>
      </c>
      <c r="G18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8">
        <v>4.375</v>
      </c>
      <c r="J1818" t="str">
        <f>IF(ISBLANK(Table13[[#This Row],[Rating]]), "No", "Yes")</f>
        <v>Yes</v>
      </c>
      <c r="K1818" t="str">
        <f>IF(ISBLANK(Table13[[#This Row],[Rating]]), "Not Rated", IF(Table13[[#This Row],[Rating]] &lt; 3, "Low", IF(Table13[[#This Row],[Rating]] &lt; 4, "Medium", "High")))</f>
        <v>High</v>
      </c>
      <c r="L1818">
        <v>152</v>
      </c>
      <c r="M1818">
        <v>410</v>
      </c>
      <c r="N1818" t="str">
        <f>IF(Table13[[#This Row],[Price USD]]&lt;20,"Budget",IF(Table13[[#This Row],[Price USD]]&lt;=50,"Mid-range","Premium"))</f>
        <v>Premium</v>
      </c>
      <c r="O1818">
        <v>0</v>
      </c>
      <c r="P1818">
        <v>0</v>
      </c>
    </row>
    <row r="1819" spans="1:16" x14ac:dyDescent="0.25">
      <c r="A1819" t="s">
        <v>3452</v>
      </c>
      <c r="B1819" t="s">
        <v>3453</v>
      </c>
      <c r="C1819">
        <v>4171</v>
      </c>
      <c r="D1819" t="s">
        <v>133</v>
      </c>
      <c r="E1819" t="s">
        <v>220</v>
      </c>
      <c r="F1819">
        <v>5361</v>
      </c>
      <c r="G18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19">
        <v>5</v>
      </c>
      <c r="J1819" t="str">
        <f>IF(ISBLANK(Table13[[#This Row],[Rating]]), "No", "Yes")</f>
        <v>Yes</v>
      </c>
      <c r="K1819" t="str">
        <f>IF(ISBLANK(Table13[[#This Row],[Rating]]), "Not Rated", IF(Table13[[#This Row],[Rating]] &lt; 3, "Low", IF(Table13[[#This Row],[Rating]] &lt; 4, "Medium", "High")))</f>
        <v>High</v>
      </c>
      <c r="L1819">
        <v>4</v>
      </c>
      <c r="M1819">
        <v>82</v>
      </c>
      <c r="N1819" t="str">
        <f>IF(Table13[[#This Row],[Price USD]]&lt;20,"Budget",IF(Table13[[#This Row],[Price USD]]&lt;=50,"Mid-range","Premium"))</f>
        <v>Premium</v>
      </c>
      <c r="O1819">
        <v>1</v>
      </c>
      <c r="P1819">
        <v>0</v>
      </c>
    </row>
    <row r="1820" spans="1:16" x14ac:dyDescent="0.25">
      <c r="A1820" t="s">
        <v>3450</v>
      </c>
      <c r="B1820" t="s">
        <v>3451</v>
      </c>
      <c r="C1820">
        <v>5337</v>
      </c>
      <c r="D1820" t="s">
        <v>209</v>
      </c>
      <c r="E1820" t="s">
        <v>13</v>
      </c>
      <c r="F1820">
        <v>5363</v>
      </c>
      <c r="G18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0">
        <v>4.1764999999999999</v>
      </c>
      <c r="J1820" t="str">
        <f>IF(ISBLANK(Table13[[#This Row],[Rating]]), "No", "Yes")</f>
        <v>Yes</v>
      </c>
      <c r="K1820" t="str">
        <f>IF(ISBLANK(Table13[[#This Row],[Rating]]), "Not Rated", IF(Table13[[#This Row],[Rating]] &lt; 3, "Low", IF(Table13[[#This Row],[Rating]] &lt; 4, "Medium", "High")))</f>
        <v>High</v>
      </c>
      <c r="L1820">
        <v>34</v>
      </c>
      <c r="M1820">
        <v>20</v>
      </c>
      <c r="N1820" t="str">
        <f>IF(Table13[[#This Row],[Price USD]]&lt;20,"Budget",IF(Table13[[#This Row],[Price USD]]&lt;=50,"Mid-range","Premium"))</f>
        <v>Mid-range</v>
      </c>
      <c r="O1820">
        <v>0</v>
      </c>
      <c r="P1820">
        <v>0</v>
      </c>
    </row>
    <row r="1821" spans="1:16" x14ac:dyDescent="0.25">
      <c r="A1821" t="s">
        <v>3448</v>
      </c>
      <c r="B1821" t="s">
        <v>3449</v>
      </c>
      <c r="C1821">
        <v>6175</v>
      </c>
      <c r="D1821" t="s">
        <v>338</v>
      </c>
      <c r="E1821" t="s">
        <v>13</v>
      </c>
      <c r="F1821">
        <v>5368</v>
      </c>
      <c r="G18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1">
        <v>4.6741000000000001</v>
      </c>
      <c r="J1821" t="str">
        <f>IF(ISBLANK(Table13[[#This Row],[Rating]]), "No", "Yes")</f>
        <v>Yes</v>
      </c>
      <c r="K1821" t="str">
        <f>IF(ISBLANK(Table13[[#This Row],[Rating]]), "Not Rated", IF(Table13[[#This Row],[Rating]] &lt; 3, "Low", IF(Table13[[#This Row],[Rating]] &lt; 4, "Medium", "High")))</f>
        <v>High</v>
      </c>
      <c r="L1821">
        <v>359</v>
      </c>
      <c r="M1821">
        <v>42</v>
      </c>
      <c r="N1821" t="str">
        <f>IF(Table13[[#This Row],[Price USD]]&lt;20,"Budget",IF(Table13[[#This Row],[Price USD]]&lt;=50,"Mid-range","Premium"))</f>
        <v>Mid-range</v>
      </c>
      <c r="O1821">
        <v>0</v>
      </c>
      <c r="P1821">
        <v>0</v>
      </c>
    </row>
    <row r="1822" spans="1:16" x14ac:dyDescent="0.25">
      <c r="A1822" t="s">
        <v>3446</v>
      </c>
      <c r="B1822" t="s">
        <v>3447</v>
      </c>
      <c r="C1822">
        <v>7050</v>
      </c>
      <c r="D1822" t="s">
        <v>721</v>
      </c>
      <c r="E1822" t="s">
        <v>201</v>
      </c>
      <c r="F1822">
        <v>5372</v>
      </c>
      <c r="G18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2">
        <v>4.3455000000000004</v>
      </c>
      <c r="J1822" t="str">
        <f>IF(ISBLANK(Table13[[#This Row],[Rating]]), "No", "Yes")</f>
        <v>Yes</v>
      </c>
      <c r="K1822" t="str">
        <f>IF(ISBLANK(Table13[[#This Row],[Rating]]), "Not Rated", IF(Table13[[#This Row],[Rating]] &lt; 3, "Low", IF(Table13[[#This Row],[Rating]] &lt; 4, "Medium", "High")))</f>
        <v>High</v>
      </c>
      <c r="L1822">
        <v>220</v>
      </c>
      <c r="M1822">
        <v>12</v>
      </c>
      <c r="N1822" t="str">
        <f>IF(Table13[[#This Row],[Price USD]]&lt;20,"Budget",IF(Table13[[#This Row],[Price USD]]&lt;=50,"Mid-range","Premium"))</f>
        <v>Budget</v>
      </c>
      <c r="O1822">
        <v>0</v>
      </c>
      <c r="P1822">
        <v>0</v>
      </c>
    </row>
    <row r="1823" spans="1:16" x14ac:dyDescent="0.25">
      <c r="A1823" t="s">
        <v>3444</v>
      </c>
      <c r="B1823" t="s">
        <v>3445</v>
      </c>
      <c r="C1823">
        <v>6256</v>
      </c>
      <c r="D1823" t="s">
        <v>346</v>
      </c>
      <c r="E1823" t="s">
        <v>201</v>
      </c>
      <c r="F1823">
        <v>5375</v>
      </c>
      <c r="G18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3">
        <v>3.8275999999999999</v>
      </c>
      <c r="J1823" t="str">
        <f>IF(ISBLANK(Table13[[#This Row],[Rating]]), "No", "Yes")</f>
        <v>Yes</v>
      </c>
      <c r="K1823" t="str">
        <f>IF(ISBLANK(Table13[[#This Row],[Rating]]), "Not Rated", IF(Table13[[#This Row],[Rating]] &lt; 3, "Low", IF(Table13[[#This Row],[Rating]] &lt; 4, "Medium", "High")))</f>
        <v>Medium</v>
      </c>
      <c r="L1823">
        <v>29</v>
      </c>
      <c r="M1823">
        <v>36</v>
      </c>
      <c r="N1823" t="str">
        <f>IF(Table13[[#This Row],[Price USD]]&lt;20,"Budget",IF(Table13[[#This Row],[Price USD]]&lt;=50,"Mid-range","Premium"))</f>
        <v>Mid-range</v>
      </c>
      <c r="O1823">
        <v>0</v>
      </c>
      <c r="P1823">
        <v>0</v>
      </c>
    </row>
    <row r="1824" spans="1:16" x14ac:dyDescent="0.25">
      <c r="A1824" t="s">
        <v>3442</v>
      </c>
      <c r="B1824" t="s">
        <v>3443</v>
      </c>
      <c r="C1824">
        <v>6207</v>
      </c>
      <c r="D1824" t="s">
        <v>914</v>
      </c>
      <c r="E1824" t="s">
        <v>21</v>
      </c>
      <c r="F1824">
        <v>5384</v>
      </c>
      <c r="G18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4">
        <v>4.6763000000000003</v>
      </c>
      <c r="J1824" t="str">
        <f>IF(ISBLANK(Table13[[#This Row],[Rating]]), "No", "Yes")</f>
        <v>Yes</v>
      </c>
      <c r="K1824" t="str">
        <f>IF(ISBLANK(Table13[[#This Row],[Rating]]), "Not Rated", IF(Table13[[#This Row],[Rating]] &lt; 3, "Low", IF(Table13[[#This Row],[Rating]] &lt; 4, "Medium", "High")))</f>
        <v>High</v>
      </c>
      <c r="L1824">
        <v>207</v>
      </c>
      <c r="M1824">
        <v>48</v>
      </c>
      <c r="N1824" t="str">
        <f>IF(Table13[[#This Row],[Price USD]]&lt;20,"Budget",IF(Table13[[#This Row],[Price USD]]&lt;=50,"Mid-range","Premium"))</f>
        <v>Mid-range</v>
      </c>
      <c r="O1824">
        <v>0</v>
      </c>
      <c r="P1824">
        <v>0</v>
      </c>
    </row>
    <row r="1825" spans="1:16" x14ac:dyDescent="0.25">
      <c r="A1825" t="s">
        <v>3440</v>
      </c>
      <c r="B1825" t="s">
        <v>3441</v>
      </c>
      <c r="C1825">
        <v>8017</v>
      </c>
      <c r="D1825" t="s">
        <v>620</v>
      </c>
      <c r="E1825" t="s">
        <v>220</v>
      </c>
      <c r="F1825">
        <v>5387</v>
      </c>
      <c r="G18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5">
        <v>3</v>
      </c>
      <c r="J1825" t="str">
        <f>IF(ISBLANK(Table13[[#This Row],[Rating]]), "No", "Yes")</f>
        <v>Yes</v>
      </c>
      <c r="K1825" t="str">
        <f>IF(ISBLANK(Table13[[#This Row],[Rating]]), "Not Rated", IF(Table13[[#This Row],[Rating]] &lt; 3, "Low", IF(Table13[[#This Row],[Rating]] &lt; 4, "Medium", "High")))</f>
        <v>Medium</v>
      </c>
      <c r="L1825">
        <v>5</v>
      </c>
      <c r="M1825">
        <v>21</v>
      </c>
      <c r="N1825" t="str">
        <f>IF(Table13[[#This Row],[Price USD]]&lt;20,"Budget",IF(Table13[[#This Row],[Price USD]]&lt;=50,"Mid-range","Premium"))</f>
        <v>Mid-range</v>
      </c>
      <c r="O1825">
        <v>0</v>
      </c>
      <c r="P1825">
        <v>0</v>
      </c>
    </row>
    <row r="1826" spans="1:16" x14ac:dyDescent="0.25">
      <c r="A1826" t="s">
        <v>3438</v>
      </c>
      <c r="B1826" t="s">
        <v>3439</v>
      </c>
      <c r="C1826">
        <v>6335</v>
      </c>
      <c r="D1826" t="s">
        <v>2128</v>
      </c>
      <c r="E1826" t="s">
        <v>21</v>
      </c>
      <c r="F1826">
        <v>5411</v>
      </c>
      <c r="G18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6">
        <v>4.1435000000000004</v>
      </c>
      <c r="J1826" t="str">
        <f>IF(ISBLANK(Table13[[#This Row],[Rating]]), "No", "Yes")</f>
        <v>Yes</v>
      </c>
      <c r="K1826" t="str">
        <f>IF(ISBLANK(Table13[[#This Row],[Rating]]), "Not Rated", IF(Table13[[#This Row],[Rating]] &lt; 3, "Low", IF(Table13[[#This Row],[Rating]] &lt; 4, "Medium", "High")))</f>
        <v>High</v>
      </c>
      <c r="L1826">
        <v>467</v>
      </c>
      <c r="M1826">
        <v>55</v>
      </c>
      <c r="N1826" t="str">
        <f>IF(Table13[[#This Row],[Price USD]]&lt;20,"Budget",IF(Table13[[#This Row],[Price USD]]&lt;=50,"Mid-range","Premium"))</f>
        <v>Premium</v>
      </c>
      <c r="O1826">
        <v>0</v>
      </c>
      <c r="P1826">
        <v>0</v>
      </c>
    </row>
    <row r="1827" spans="1:16" x14ac:dyDescent="0.25">
      <c r="A1827" t="s">
        <v>3436</v>
      </c>
      <c r="B1827" t="s">
        <v>3437</v>
      </c>
      <c r="C1827">
        <v>2082</v>
      </c>
      <c r="D1827" t="s">
        <v>594</v>
      </c>
      <c r="E1827" t="s">
        <v>21</v>
      </c>
      <c r="F1827">
        <v>5420</v>
      </c>
      <c r="G18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7">
        <v>4.0416999999999996</v>
      </c>
      <c r="J1827" t="str">
        <f>IF(ISBLANK(Table13[[#This Row],[Rating]]), "No", "Yes")</f>
        <v>Yes</v>
      </c>
      <c r="K1827" t="str">
        <f>IF(ISBLANK(Table13[[#This Row],[Rating]]), "Not Rated", IF(Table13[[#This Row],[Rating]] &lt; 3, "Low", IF(Table13[[#This Row],[Rating]] &lt; 4, "Medium", "High")))</f>
        <v>High</v>
      </c>
      <c r="L1827">
        <v>24</v>
      </c>
      <c r="M1827">
        <v>93</v>
      </c>
      <c r="N1827" t="str">
        <f>IF(Table13[[#This Row],[Price USD]]&lt;20,"Budget",IF(Table13[[#This Row],[Price USD]]&lt;=50,"Mid-range","Premium"))</f>
        <v>Premium</v>
      </c>
      <c r="O1827">
        <v>0</v>
      </c>
      <c r="P1827">
        <v>0</v>
      </c>
    </row>
    <row r="1828" spans="1:16" x14ac:dyDescent="0.25">
      <c r="A1828" t="s">
        <v>3433</v>
      </c>
      <c r="B1828" t="s">
        <v>3434</v>
      </c>
      <c r="C1828">
        <v>6329</v>
      </c>
      <c r="D1828" t="s">
        <v>3435</v>
      </c>
      <c r="E1828" t="s">
        <v>347</v>
      </c>
      <c r="F1828">
        <v>5438</v>
      </c>
      <c r="G18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8">
        <v>4.4733000000000001</v>
      </c>
      <c r="J1828" t="str">
        <f>IF(ISBLANK(Table13[[#This Row],[Rating]]), "No", "Yes")</f>
        <v>Yes</v>
      </c>
      <c r="K1828" t="str">
        <f>IF(ISBLANK(Table13[[#This Row],[Rating]]), "Not Rated", IF(Table13[[#This Row],[Rating]] &lt; 3, "Low", IF(Table13[[#This Row],[Rating]] &lt; 4, "Medium", "High")))</f>
        <v>High</v>
      </c>
      <c r="L1828">
        <v>131</v>
      </c>
      <c r="M1828">
        <v>75</v>
      </c>
      <c r="N1828" t="str">
        <f>IF(Table13[[#This Row],[Price USD]]&lt;20,"Budget",IF(Table13[[#This Row],[Price USD]]&lt;=50,"Mid-range","Premium"))</f>
        <v>Premium</v>
      </c>
      <c r="O1828">
        <v>0</v>
      </c>
      <c r="P1828">
        <v>0</v>
      </c>
    </row>
    <row r="1829" spans="1:16" x14ac:dyDescent="0.25">
      <c r="A1829" t="s">
        <v>3429</v>
      </c>
      <c r="B1829" t="s">
        <v>3430</v>
      </c>
      <c r="C1829">
        <v>8017</v>
      </c>
      <c r="D1829" t="s">
        <v>620</v>
      </c>
      <c r="E1829" t="s">
        <v>21</v>
      </c>
      <c r="F1829">
        <v>5440</v>
      </c>
      <c r="G18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29">
        <v>3.6</v>
      </c>
      <c r="J1829" t="str">
        <f>IF(ISBLANK(Table13[[#This Row],[Rating]]), "No", "Yes")</f>
        <v>Yes</v>
      </c>
      <c r="K1829" t="str">
        <f>IF(ISBLANK(Table13[[#This Row],[Rating]]), "Not Rated", IF(Table13[[#This Row],[Rating]] &lt; 3, "Low", IF(Table13[[#This Row],[Rating]] &lt; 4, "Medium", "High")))</f>
        <v>Medium</v>
      </c>
      <c r="L1829">
        <v>10</v>
      </c>
      <c r="M1829">
        <v>7</v>
      </c>
      <c r="N1829" t="str">
        <f>IF(Table13[[#This Row],[Price USD]]&lt;20,"Budget",IF(Table13[[#This Row],[Price USD]]&lt;=50,"Mid-range","Premium"))</f>
        <v>Budget</v>
      </c>
      <c r="O1829">
        <v>0</v>
      </c>
      <c r="P1829">
        <v>0</v>
      </c>
    </row>
    <row r="1830" spans="1:16" x14ac:dyDescent="0.25">
      <c r="A1830" t="s">
        <v>3431</v>
      </c>
      <c r="B1830" t="s">
        <v>3432</v>
      </c>
      <c r="C1830">
        <v>6041</v>
      </c>
      <c r="D1830" t="s">
        <v>33</v>
      </c>
      <c r="E1830" t="s">
        <v>21</v>
      </c>
      <c r="F1830">
        <v>5440</v>
      </c>
      <c r="G18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0">
        <v>5</v>
      </c>
      <c r="J1830" t="str">
        <f>IF(ISBLANK(Table13[[#This Row],[Rating]]), "No", "Yes")</f>
        <v>Yes</v>
      </c>
      <c r="K1830" t="str">
        <f>IF(ISBLANK(Table13[[#This Row],[Rating]]), "Not Rated", IF(Table13[[#This Row],[Rating]] &lt; 3, "Low", IF(Table13[[#This Row],[Rating]] &lt; 4, "Medium", "High")))</f>
        <v>High</v>
      </c>
      <c r="L1830">
        <v>2</v>
      </c>
      <c r="M1830">
        <v>110</v>
      </c>
      <c r="N1830" t="str">
        <f>IF(Table13[[#This Row],[Price USD]]&lt;20,"Budget",IF(Table13[[#This Row],[Price USD]]&lt;=50,"Mid-range","Premium"))</f>
        <v>Premium</v>
      </c>
      <c r="O1830">
        <v>1</v>
      </c>
      <c r="P1830">
        <v>0</v>
      </c>
    </row>
    <row r="1831" spans="1:16" x14ac:dyDescent="0.25">
      <c r="A1831" t="s">
        <v>3427</v>
      </c>
      <c r="B1831" t="s">
        <v>3428</v>
      </c>
      <c r="C1831">
        <v>6357</v>
      </c>
      <c r="D1831" t="s">
        <v>876</v>
      </c>
      <c r="E1831" t="s">
        <v>220</v>
      </c>
      <c r="F1831">
        <v>5447</v>
      </c>
      <c r="G18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1">
        <v>4.7849000000000004</v>
      </c>
      <c r="J1831" t="str">
        <f>IF(ISBLANK(Table13[[#This Row],[Rating]]), "No", "Yes")</f>
        <v>Yes</v>
      </c>
      <c r="K1831" t="str">
        <f>IF(ISBLANK(Table13[[#This Row],[Rating]]), "Not Rated", IF(Table13[[#This Row],[Rating]] &lt; 3, "Low", IF(Table13[[#This Row],[Rating]] &lt; 4, "Medium", "High")))</f>
        <v>High</v>
      </c>
      <c r="L1831">
        <v>93</v>
      </c>
      <c r="M1831">
        <v>36</v>
      </c>
      <c r="N1831" t="str">
        <f>IF(Table13[[#This Row],[Price USD]]&lt;20,"Budget",IF(Table13[[#This Row],[Price USD]]&lt;=50,"Mid-range","Premium"))</f>
        <v>Mid-range</v>
      </c>
      <c r="O1831">
        <v>0</v>
      </c>
      <c r="P1831">
        <v>1</v>
      </c>
    </row>
    <row r="1832" spans="1:16" x14ac:dyDescent="0.25">
      <c r="A1832" t="s">
        <v>3425</v>
      </c>
      <c r="B1832" t="s">
        <v>3426</v>
      </c>
      <c r="C1832">
        <v>6041</v>
      </c>
      <c r="D1832" t="s">
        <v>33</v>
      </c>
      <c r="E1832" t="s">
        <v>144</v>
      </c>
      <c r="F1832">
        <v>5450</v>
      </c>
      <c r="G18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2">
        <v>4.5018000000000002</v>
      </c>
      <c r="J1832" t="str">
        <f>IF(ISBLANK(Table13[[#This Row],[Rating]]), "No", "Yes")</f>
        <v>Yes</v>
      </c>
      <c r="K1832" t="str">
        <f>IF(ISBLANK(Table13[[#This Row],[Rating]]), "Not Rated", IF(Table13[[#This Row],[Rating]] &lt; 3, "Low", IF(Table13[[#This Row],[Rating]] &lt; 4, "Medium", "High")))</f>
        <v>High</v>
      </c>
      <c r="L1832">
        <v>2449</v>
      </c>
      <c r="M1832">
        <v>18</v>
      </c>
      <c r="N1832" t="str">
        <f>IF(Table13[[#This Row],[Price USD]]&lt;20,"Budget",IF(Table13[[#This Row],[Price USD]]&lt;=50,"Mid-range","Premium"))</f>
        <v>Budget</v>
      </c>
      <c r="O1832">
        <v>1</v>
      </c>
      <c r="P1832">
        <v>0</v>
      </c>
    </row>
    <row r="1833" spans="1:16" x14ac:dyDescent="0.25">
      <c r="A1833" t="s">
        <v>3423</v>
      </c>
      <c r="B1833" t="s">
        <v>3424</v>
      </c>
      <c r="C1833">
        <v>6018</v>
      </c>
      <c r="D1833" t="s">
        <v>517</v>
      </c>
      <c r="E1833" t="s">
        <v>8</v>
      </c>
      <c r="F1833">
        <v>5451</v>
      </c>
      <c r="G18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3">
        <v>4.1025999999999998</v>
      </c>
      <c r="J1833" t="str">
        <f>IF(ISBLANK(Table13[[#This Row],[Rating]]), "No", "Yes")</f>
        <v>Yes</v>
      </c>
      <c r="K1833" t="str">
        <f>IF(ISBLANK(Table13[[#This Row],[Rating]]), "Not Rated", IF(Table13[[#This Row],[Rating]] &lt; 3, "Low", IF(Table13[[#This Row],[Rating]] &lt; 4, "Medium", "High")))</f>
        <v>High</v>
      </c>
      <c r="L1833">
        <v>39</v>
      </c>
      <c r="M1833">
        <v>98</v>
      </c>
      <c r="N1833" t="str">
        <f>IF(Table13[[#This Row],[Price USD]]&lt;20,"Budget",IF(Table13[[#This Row],[Price USD]]&lt;=50,"Mid-range","Premium"))</f>
        <v>Premium</v>
      </c>
      <c r="O1833">
        <v>0</v>
      </c>
      <c r="P1833">
        <v>0</v>
      </c>
    </row>
    <row r="1834" spans="1:16" x14ac:dyDescent="0.25">
      <c r="A1834" t="s">
        <v>3417</v>
      </c>
      <c r="B1834" t="s">
        <v>3418</v>
      </c>
      <c r="C1834">
        <v>3728</v>
      </c>
      <c r="D1834" t="s">
        <v>458</v>
      </c>
      <c r="E1834" t="s">
        <v>49</v>
      </c>
      <c r="F1834">
        <v>5462</v>
      </c>
      <c r="G18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4">
        <v>4.4745999999999997</v>
      </c>
      <c r="J1834" t="str">
        <f>IF(ISBLANK(Table13[[#This Row],[Rating]]), "No", "Yes")</f>
        <v>Yes</v>
      </c>
      <c r="K1834" t="str">
        <f>IF(ISBLANK(Table13[[#This Row],[Rating]]), "Not Rated", IF(Table13[[#This Row],[Rating]] &lt; 3, "Low", IF(Table13[[#This Row],[Rating]] &lt; 4, "Medium", "High")))</f>
        <v>High</v>
      </c>
      <c r="L1834">
        <v>276</v>
      </c>
      <c r="M1834">
        <v>38</v>
      </c>
      <c r="N1834" t="str">
        <f>IF(Table13[[#This Row],[Price USD]]&lt;20,"Budget",IF(Table13[[#This Row],[Price USD]]&lt;=50,"Mid-range","Premium"))</f>
        <v>Mid-range</v>
      </c>
      <c r="O1834">
        <v>0</v>
      </c>
      <c r="P1834">
        <v>0</v>
      </c>
    </row>
    <row r="1835" spans="1:16" x14ac:dyDescent="0.25">
      <c r="A1835" t="s">
        <v>3421</v>
      </c>
      <c r="B1835" t="s">
        <v>3422</v>
      </c>
      <c r="C1835">
        <v>5715</v>
      </c>
      <c r="D1835" t="s">
        <v>979</v>
      </c>
      <c r="E1835" t="s">
        <v>21</v>
      </c>
      <c r="F1835">
        <v>5462</v>
      </c>
      <c r="G18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5">
        <v>4.3552999999999997</v>
      </c>
      <c r="J1835" t="str">
        <f>IF(ISBLANK(Table13[[#This Row],[Rating]]), "No", "Yes")</f>
        <v>Yes</v>
      </c>
      <c r="K1835" t="str">
        <f>IF(ISBLANK(Table13[[#This Row],[Rating]]), "Not Rated", IF(Table13[[#This Row],[Rating]] &lt; 3, "Low", IF(Table13[[#This Row],[Rating]] &lt; 4, "Medium", "High")))</f>
        <v>High</v>
      </c>
      <c r="L1835">
        <v>622</v>
      </c>
      <c r="M1835">
        <v>54</v>
      </c>
      <c r="N1835" t="str">
        <f>IF(Table13[[#This Row],[Price USD]]&lt;20,"Budget",IF(Table13[[#This Row],[Price USD]]&lt;=50,"Mid-range","Premium"))</f>
        <v>Premium</v>
      </c>
      <c r="O1835">
        <v>0</v>
      </c>
      <c r="P1835">
        <v>0</v>
      </c>
    </row>
    <row r="1836" spans="1:16" x14ac:dyDescent="0.25">
      <c r="A1836" t="s">
        <v>3419</v>
      </c>
      <c r="B1836" t="s">
        <v>3420</v>
      </c>
      <c r="C1836">
        <v>6318</v>
      </c>
      <c r="D1836" t="s">
        <v>2040</v>
      </c>
      <c r="E1836" t="s">
        <v>149</v>
      </c>
      <c r="F1836">
        <v>5462</v>
      </c>
      <c r="G18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6">
        <v>4.8171999999999997</v>
      </c>
      <c r="J1836" t="str">
        <f>IF(ISBLANK(Table13[[#This Row],[Rating]]), "No", "Yes")</f>
        <v>Yes</v>
      </c>
      <c r="K1836" t="str">
        <f>IF(ISBLANK(Table13[[#This Row],[Rating]]), "Not Rated", IF(Table13[[#This Row],[Rating]] &lt; 3, "Low", IF(Table13[[#This Row],[Rating]] &lt; 4, "Medium", "High")))</f>
        <v>High</v>
      </c>
      <c r="L1836">
        <v>268</v>
      </c>
      <c r="M1836">
        <v>215</v>
      </c>
      <c r="N1836" t="str">
        <f>IF(Table13[[#This Row],[Price USD]]&lt;20,"Budget",IF(Table13[[#This Row],[Price USD]]&lt;=50,"Mid-range","Premium"))</f>
        <v>Premium</v>
      </c>
      <c r="O1836">
        <v>0</v>
      </c>
      <c r="P1836">
        <v>0</v>
      </c>
    </row>
    <row r="1837" spans="1:16" x14ac:dyDescent="0.25">
      <c r="A1837" t="s">
        <v>3415</v>
      </c>
      <c r="B1837" t="s">
        <v>3416</v>
      </c>
      <c r="C1837">
        <v>6089</v>
      </c>
      <c r="D1837" t="s">
        <v>605</v>
      </c>
      <c r="E1837" t="s">
        <v>8</v>
      </c>
      <c r="F1837">
        <v>5480</v>
      </c>
      <c r="G18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7">
        <v>4.3110999999999997</v>
      </c>
      <c r="J1837" t="str">
        <f>IF(ISBLANK(Table13[[#This Row],[Rating]]), "No", "Yes")</f>
        <v>Yes</v>
      </c>
      <c r="K1837" t="str">
        <f>IF(ISBLANK(Table13[[#This Row],[Rating]]), "Not Rated", IF(Table13[[#This Row],[Rating]] &lt; 3, "Low", IF(Table13[[#This Row],[Rating]] &lt; 4, "Medium", "High")))</f>
        <v>High</v>
      </c>
      <c r="L1837">
        <v>1096</v>
      </c>
      <c r="M1837">
        <v>82</v>
      </c>
      <c r="N1837" t="str">
        <f>IF(Table13[[#This Row],[Price USD]]&lt;20,"Budget",IF(Table13[[#This Row],[Price USD]]&lt;=50,"Mid-range","Premium"))</f>
        <v>Premium</v>
      </c>
      <c r="O1837">
        <v>0</v>
      </c>
      <c r="P1837">
        <v>0</v>
      </c>
    </row>
    <row r="1838" spans="1:16" x14ac:dyDescent="0.25">
      <c r="A1838" t="s">
        <v>3413</v>
      </c>
      <c r="B1838" t="s">
        <v>3414</v>
      </c>
      <c r="C1838">
        <v>7050</v>
      </c>
      <c r="D1838" t="s">
        <v>721</v>
      </c>
      <c r="E1838" t="s">
        <v>201</v>
      </c>
      <c r="F1838">
        <v>5494</v>
      </c>
      <c r="G18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8">
        <v>4.4000000000000004</v>
      </c>
      <c r="J1838" t="str">
        <f>IF(ISBLANK(Table13[[#This Row],[Rating]]), "No", "Yes")</f>
        <v>Yes</v>
      </c>
      <c r="K1838" t="str">
        <f>IF(ISBLANK(Table13[[#This Row],[Rating]]), "Not Rated", IF(Table13[[#This Row],[Rating]] &lt; 3, "Low", IF(Table13[[#This Row],[Rating]] &lt; 4, "Medium", "High")))</f>
        <v>High</v>
      </c>
      <c r="L1838">
        <v>90</v>
      </c>
      <c r="M1838">
        <v>50</v>
      </c>
      <c r="N1838" t="str">
        <f>IF(Table13[[#This Row],[Price USD]]&lt;20,"Budget",IF(Table13[[#This Row],[Price USD]]&lt;=50,"Mid-range","Premium"))</f>
        <v>Mid-range</v>
      </c>
      <c r="O1838">
        <v>0</v>
      </c>
      <c r="P1838">
        <v>0</v>
      </c>
    </row>
    <row r="1839" spans="1:16" x14ac:dyDescent="0.25">
      <c r="A1839" t="s">
        <v>3411</v>
      </c>
      <c r="B1839" t="s">
        <v>3412</v>
      </c>
      <c r="C1839">
        <v>1073</v>
      </c>
      <c r="D1839" t="s">
        <v>767</v>
      </c>
      <c r="E1839" t="s">
        <v>8</v>
      </c>
      <c r="F1839">
        <v>5499</v>
      </c>
      <c r="G18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39">
        <v>4.3437999999999999</v>
      </c>
      <c r="J1839" t="str">
        <f>IF(ISBLANK(Table13[[#This Row],[Rating]]), "No", "Yes")</f>
        <v>Yes</v>
      </c>
      <c r="K1839" t="str">
        <f>IF(ISBLANK(Table13[[#This Row],[Rating]]), "Not Rated", IF(Table13[[#This Row],[Rating]] &lt; 3, "Low", IF(Table13[[#This Row],[Rating]] &lt; 4, "Medium", "High")))</f>
        <v>High</v>
      </c>
      <c r="L1839">
        <v>32</v>
      </c>
      <c r="M1839">
        <v>80</v>
      </c>
      <c r="N1839" t="str">
        <f>IF(Table13[[#This Row],[Price USD]]&lt;20,"Budget",IF(Table13[[#This Row],[Price USD]]&lt;=50,"Mid-range","Premium"))</f>
        <v>Premium</v>
      </c>
      <c r="O1839">
        <v>0</v>
      </c>
      <c r="P1839">
        <v>0</v>
      </c>
    </row>
    <row r="1840" spans="1:16" x14ac:dyDescent="0.25">
      <c r="A1840" t="s">
        <v>3409</v>
      </c>
      <c r="B1840" t="s">
        <v>3410</v>
      </c>
      <c r="C1840">
        <v>6334</v>
      </c>
      <c r="D1840" t="s">
        <v>2819</v>
      </c>
      <c r="E1840" t="s">
        <v>21</v>
      </c>
      <c r="F1840">
        <v>5504</v>
      </c>
      <c r="G18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0">
        <v>4.6744000000000003</v>
      </c>
      <c r="J1840" t="str">
        <f>IF(ISBLANK(Table13[[#This Row],[Rating]]), "No", "Yes")</f>
        <v>Yes</v>
      </c>
      <c r="K1840" t="str">
        <f>IF(ISBLANK(Table13[[#This Row],[Rating]]), "Not Rated", IF(Table13[[#This Row],[Rating]] &lt; 3, "Low", IF(Table13[[#This Row],[Rating]] &lt; 4, "Medium", "High")))</f>
        <v>High</v>
      </c>
      <c r="L1840">
        <v>519</v>
      </c>
      <c r="M1840">
        <v>79</v>
      </c>
      <c r="N1840" t="str">
        <f>IF(Table13[[#This Row],[Price USD]]&lt;20,"Budget",IF(Table13[[#This Row],[Price USD]]&lt;=50,"Mid-range","Premium"))</f>
        <v>Premium</v>
      </c>
      <c r="O1840">
        <v>0</v>
      </c>
      <c r="P1840">
        <v>0</v>
      </c>
    </row>
    <row r="1841" spans="1:16" x14ac:dyDescent="0.25">
      <c r="A1841" t="s">
        <v>3407</v>
      </c>
      <c r="B1841" t="s">
        <v>3408</v>
      </c>
      <c r="C1841">
        <v>1741</v>
      </c>
      <c r="D1841" t="s">
        <v>388</v>
      </c>
      <c r="E1841" t="s">
        <v>21</v>
      </c>
      <c r="F1841">
        <v>5507</v>
      </c>
      <c r="G18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1">
        <v>3.5516999999999999</v>
      </c>
      <c r="J1841" t="str">
        <f>IF(ISBLANK(Table13[[#This Row],[Rating]]), "No", "Yes")</f>
        <v>Yes</v>
      </c>
      <c r="K1841" t="str">
        <f>IF(ISBLANK(Table13[[#This Row],[Rating]]), "Not Rated", IF(Table13[[#This Row],[Rating]] &lt; 3, "Low", IF(Table13[[#This Row],[Rating]] &lt; 4, "Medium", "High")))</f>
        <v>Medium</v>
      </c>
      <c r="L1841">
        <v>29</v>
      </c>
      <c r="M1841">
        <v>30</v>
      </c>
      <c r="N1841" t="str">
        <f>IF(Table13[[#This Row],[Price USD]]&lt;20,"Budget",IF(Table13[[#This Row],[Price USD]]&lt;=50,"Mid-range","Premium"))</f>
        <v>Mid-range</v>
      </c>
      <c r="O1841">
        <v>0</v>
      </c>
      <c r="P1841">
        <v>1</v>
      </c>
    </row>
    <row r="1842" spans="1:16" x14ac:dyDescent="0.25">
      <c r="A1842" t="s">
        <v>3405</v>
      </c>
      <c r="B1842" t="s">
        <v>3406</v>
      </c>
      <c r="C1842">
        <v>1254</v>
      </c>
      <c r="D1842" t="s">
        <v>136</v>
      </c>
      <c r="E1842" t="s">
        <v>13</v>
      </c>
      <c r="F1842">
        <v>5508</v>
      </c>
      <c r="G18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2">
        <v>4.3849999999999998</v>
      </c>
      <c r="J1842" t="str">
        <f>IF(ISBLANK(Table13[[#This Row],[Rating]]), "No", "Yes")</f>
        <v>Yes</v>
      </c>
      <c r="K1842" t="str">
        <f>IF(ISBLANK(Table13[[#This Row],[Rating]]), "Not Rated", IF(Table13[[#This Row],[Rating]] &lt; 3, "Low", IF(Table13[[#This Row],[Rating]] &lt; 4, "Medium", "High")))</f>
        <v>High</v>
      </c>
      <c r="L1842">
        <v>226</v>
      </c>
      <c r="M1842">
        <v>20</v>
      </c>
      <c r="N1842" t="str">
        <f>IF(Table13[[#This Row],[Price USD]]&lt;20,"Budget",IF(Table13[[#This Row],[Price USD]]&lt;=50,"Mid-range","Premium"))</f>
        <v>Mid-range</v>
      </c>
      <c r="O1842">
        <v>0</v>
      </c>
      <c r="P1842">
        <v>0</v>
      </c>
    </row>
    <row r="1843" spans="1:16" x14ac:dyDescent="0.25">
      <c r="A1843" t="s">
        <v>3403</v>
      </c>
      <c r="B1843" t="s">
        <v>3404</v>
      </c>
      <c r="C1843">
        <v>1741</v>
      </c>
      <c r="D1843" t="s">
        <v>388</v>
      </c>
      <c r="E1843" t="s">
        <v>149</v>
      </c>
      <c r="F1843">
        <v>5509</v>
      </c>
      <c r="G18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3">
        <v>4.6093999999999999</v>
      </c>
      <c r="J1843" t="str">
        <f>IF(ISBLANK(Table13[[#This Row],[Rating]]), "No", "Yes")</f>
        <v>Yes</v>
      </c>
      <c r="K1843" t="str">
        <f>IF(ISBLANK(Table13[[#This Row],[Rating]]), "Not Rated", IF(Table13[[#This Row],[Rating]] &lt; 3, "Low", IF(Table13[[#This Row],[Rating]] &lt; 4, "Medium", "High")))</f>
        <v>High</v>
      </c>
      <c r="L1843">
        <v>128</v>
      </c>
      <c r="M1843">
        <v>135</v>
      </c>
      <c r="N1843" t="str">
        <f>IF(Table13[[#This Row],[Price USD]]&lt;20,"Budget",IF(Table13[[#This Row],[Price USD]]&lt;=50,"Mid-range","Premium"))</f>
        <v>Premium</v>
      </c>
      <c r="O1843">
        <v>0</v>
      </c>
      <c r="P1843">
        <v>0</v>
      </c>
    </row>
    <row r="1844" spans="1:16" x14ac:dyDescent="0.25">
      <c r="A1844" t="s">
        <v>3401</v>
      </c>
      <c r="B1844" t="s">
        <v>3402</v>
      </c>
      <c r="C1844">
        <v>5648</v>
      </c>
      <c r="D1844" t="s">
        <v>408</v>
      </c>
      <c r="E1844" t="s">
        <v>144</v>
      </c>
      <c r="F1844">
        <v>5514</v>
      </c>
      <c r="G18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4">
        <v>4.1111000000000004</v>
      </c>
      <c r="J1844" t="str">
        <f>IF(ISBLANK(Table13[[#This Row],[Rating]]), "No", "Yes")</f>
        <v>Yes</v>
      </c>
      <c r="K1844" t="str">
        <f>IF(ISBLANK(Table13[[#This Row],[Rating]]), "Not Rated", IF(Table13[[#This Row],[Rating]] &lt; 3, "Low", IF(Table13[[#This Row],[Rating]] &lt; 4, "Medium", "High")))</f>
        <v>High</v>
      </c>
      <c r="L1844">
        <v>36</v>
      </c>
      <c r="M1844">
        <v>14</v>
      </c>
      <c r="N1844" t="str">
        <f>IF(Table13[[#This Row],[Price USD]]&lt;20,"Budget",IF(Table13[[#This Row],[Price USD]]&lt;=50,"Mid-range","Premium"))</f>
        <v>Budget</v>
      </c>
      <c r="O1844">
        <v>0</v>
      </c>
      <c r="P1844">
        <v>0</v>
      </c>
    </row>
    <row r="1845" spans="1:16" x14ac:dyDescent="0.25">
      <c r="A1845" t="s">
        <v>3399</v>
      </c>
      <c r="B1845" t="s">
        <v>3400</v>
      </c>
      <c r="C1845">
        <v>4164</v>
      </c>
      <c r="D1845" t="s">
        <v>623</v>
      </c>
      <c r="E1845" t="s">
        <v>21</v>
      </c>
      <c r="F1845">
        <v>5518</v>
      </c>
      <c r="G18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5">
        <v>4.4272</v>
      </c>
      <c r="J1845" t="str">
        <f>IF(ISBLANK(Table13[[#This Row],[Rating]]), "No", "Yes")</f>
        <v>Yes</v>
      </c>
      <c r="K1845" t="str">
        <f>IF(ISBLANK(Table13[[#This Row],[Rating]]), "Not Rated", IF(Table13[[#This Row],[Rating]] &lt; 3, "Low", IF(Table13[[#This Row],[Rating]] &lt; 4, "Medium", "High")))</f>
        <v>High</v>
      </c>
      <c r="L1845">
        <v>103</v>
      </c>
      <c r="M1845">
        <v>85</v>
      </c>
      <c r="N1845" t="str">
        <f>IF(Table13[[#This Row],[Price USD]]&lt;20,"Budget",IF(Table13[[#This Row],[Price USD]]&lt;=50,"Mid-range","Premium"))</f>
        <v>Premium</v>
      </c>
      <c r="O1845">
        <v>0</v>
      </c>
      <c r="P1845">
        <v>0</v>
      </c>
    </row>
    <row r="1846" spans="1:16" x14ac:dyDescent="0.25">
      <c r="A1846" t="s">
        <v>3397</v>
      </c>
      <c r="B1846" t="s">
        <v>3398</v>
      </c>
      <c r="C1846">
        <v>5337</v>
      </c>
      <c r="D1846" t="s">
        <v>209</v>
      </c>
      <c r="E1846" t="s">
        <v>21</v>
      </c>
      <c r="F1846">
        <v>5520</v>
      </c>
      <c r="G18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6">
        <v>4.4722</v>
      </c>
      <c r="J1846" t="str">
        <f>IF(ISBLANK(Table13[[#This Row],[Rating]]), "No", "Yes")</f>
        <v>Yes</v>
      </c>
      <c r="K1846" t="str">
        <f>IF(ISBLANK(Table13[[#This Row],[Rating]]), "Not Rated", IF(Table13[[#This Row],[Rating]] &lt; 3, "Low", IF(Table13[[#This Row],[Rating]] &lt; 4, "Medium", "High")))</f>
        <v>High</v>
      </c>
      <c r="L1846">
        <v>36</v>
      </c>
      <c r="M1846">
        <v>97</v>
      </c>
      <c r="N1846" t="str">
        <f>IF(Table13[[#This Row],[Price USD]]&lt;20,"Budget",IF(Table13[[#This Row],[Price USD]]&lt;=50,"Mid-range","Premium"))</f>
        <v>Premium</v>
      </c>
      <c r="O1846">
        <v>0</v>
      </c>
      <c r="P1846">
        <v>0</v>
      </c>
    </row>
    <row r="1847" spans="1:16" x14ac:dyDescent="0.25">
      <c r="A1847" t="s">
        <v>3395</v>
      </c>
      <c r="B1847" t="s">
        <v>3396</v>
      </c>
      <c r="C1847">
        <v>3902</v>
      </c>
      <c r="D1847" t="s">
        <v>72</v>
      </c>
      <c r="E1847" t="s">
        <v>69</v>
      </c>
      <c r="F1847">
        <v>5527</v>
      </c>
      <c r="G18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7">
        <v>4.8268000000000004</v>
      </c>
      <c r="J1847" t="str">
        <f>IF(ISBLANK(Table13[[#This Row],[Rating]]), "No", "Yes")</f>
        <v>Yes</v>
      </c>
      <c r="K1847" t="str">
        <f>IF(ISBLANK(Table13[[#This Row],[Rating]]), "Not Rated", IF(Table13[[#This Row],[Rating]] &lt; 3, "Low", IF(Table13[[#This Row],[Rating]] &lt; 4, "Medium", "High")))</f>
        <v>High</v>
      </c>
      <c r="L1847">
        <v>231</v>
      </c>
      <c r="M1847">
        <v>16</v>
      </c>
      <c r="N1847" t="str">
        <f>IF(Table13[[#This Row],[Price USD]]&lt;20,"Budget",IF(Table13[[#This Row],[Price USD]]&lt;=50,"Mid-range","Premium"))</f>
        <v>Budget</v>
      </c>
      <c r="O1847">
        <v>1</v>
      </c>
      <c r="P1847">
        <v>0</v>
      </c>
    </row>
    <row r="1848" spans="1:16" x14ac:dyDescent="0.25">
      <c r="A1848" t="s">
        <v>3393</v>
      </c>
      <c r="B1848" t="s">
        <v>3394</v>
      </c>
      <c r="C1848">
        <v>6041</v>
      </c>
      <c r="D1848" t="s">
        <v>33</v>
      </c>
      <c r="E1848" t="s">
        <v>220</v>
      </c>
      <c r="F1848">
        <v>5528</v>
      </c>
      <c r="G18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8">
        <v>4.875</v>
      </c>
      <c r="J1848" t="str">
        <f>IF(ISBLANK(Table13[[#This Row],[Rating]]), "No", "Yes")</f>
        <v>Yes</v>
      </c>
      <c r="K1848" t="str">
        <f>IF(ISBLANK(Table13[[#This Row],[Rating]]), "Not Rated", IF(Table13[[#This Row],[Rating]] &lt; 3, "Low", IF(Table13[[#This Row],[Rating]] &lt; 4, "Medium", "High")))</f>
        <v>High</v>
      </c>
      <c r="L1848">
        <v>8</v>
      </c>
      <c r="M1848">
        <v>95</v>
      </c>
      <c r="N1848" t="str">
        <f>IF(Table13[[#This Row],[Price USD]]&lt;20,"Budget",IF(Table13[[#This Row],[Price USD]]&lt;=50,"Mid-range","Premium"))</f>
        <v>Premium</v>
      </c>
      <c r="O1848">
        <v>1</v>
      </c>
      <c r="P1848">
        <v>0</v>
      </c>
    </row>
    <row r="1849" spans="1:16" x14ac:dyDescent="0.25">
      <c r="A1849" t="s">
        <v>3391</v>
      </c>
      <c r="B1849" t="s">
        <v>3392</v>
      </c>
      <c r="C1849">
        <v>6488</v>
      </c>
      <c r="D1849" t="s">
        <v>2933</v>
      </c>
      <c r="E1849" t="s">
        <v>21</v>
      </c>
      <c r="F1849">
        <v>5533</v>
      </c>
      <c r="G18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49">
        <v>4.6224999999999996</v>
      </c>
      <c r="J1849" t="str">
        <f>IF(ISBLANK(Table13[[#This Row],[Rating]]), "No", "Yes")</f>
        <v>Yes</v>
      </c>
      <c r="K1849" t="str">
        <f>IF(ISBLANK(Table13[[#This Row],[Rating]]), "Not Rated", IF(Table13[[#This Row],[Rating]] &lt; 3, "Low", IF(Table13[[#This Row],[Rating]] &lt; 4, "Medium", "High")))</f>
        <v>High</v>
      </c>
      <c r="L1849">
        <v>151</v>
      </c>
      <c r="M1849">
        <v>54</v>
      </c>
      <c r="N1849" t="str">
        <f>IF(Table13[[#This Row],[Price USD]]&lt;20,"Budget",IF(Table13[[#This Row],[Price USD]]&lt;=50,"Mid-range","Premium"))</f>
        <v>Premium</v>
      </c>
      <c r="O1849">
        <v>0</v>
      </c>
      <c r="P1849">
        <v>0</v>
      </c>
    </row>
    <row r="1850" spans="1:16" x14ac:dyDescent="0.25">
      <c r="A1850" t="s">
        <v>3389</v>
      </c>
      <c r="B1850" t="s">
        <v>3390</v>
      </c>
      <c r="C1850">
        <v>6272</v>
      </c>
      <c r="D1850" t="s">
        <v>1711</v>
      </c>
      <c r="E1850" t="s">
        <v>21</v>
      </c>
      <c r="F1850">
        <v>5539</v>
      </c>
      <c r="G18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0">
        <v>4.4062999999999999</v>
      </c>
      <c r="J1850" t="str">
        <f>IF(ISBLANK(Table13[[#This Row],[Rating]]), "No", "Yes")</f>
        <v>Yes</v>
      </c>
      <c r="K1850" t="str">
        <f>IF(ISBLANK(Table13[[#This Row],[Rating]]), "Not Rated", IF(Table13[[#This Row],[Rating]] &lt; 3, "Low", IF(Table13[[#This Row],[Rating]] &lt; 4, "Medium", "High")))</f>
        <v>High</v>
      </c>
      <c r="L1850">
        <v>192</v>
      </c>
      <c r="M1850">
        <v>69</v>
      </c>
      <c r="N1850" t="str">
        <f>IF(Table13[[#This Row],[Price USD]]&lt;20,"Budget",IF(Table13[[#This Row],[Price USD]]&lt;=50,"Mid-range","Premium"))</f>
        <v>Premium</v>
      </c>
      <c r="O1850">
        <v>0</v>
      </c>
      <c r="P1850">
        <v>0</v>
      </c>
    </row>
    <row r="1851" spans="1:16" x14ac:dyDescent="0.25">
      <c r="A1851" t="s">
        <v>3385</v>
      </c>
      <c r="B1851" t="s">
        <v>3386</v>
      </c>
      <c r="C1851">
        <v>8017</v>
      </c>
      <c r="D1851" t="s">
        <v>620</v>
      </c>
      <c r="E1851" t="s">
        <v>21</v>
      </c>
      <c r="F1851">
        <v>5546</v>
      </c>
      <c r="G18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1">
        <v>3.9714</v>
      </c>
      <c r="J1851" t="str">
        <f>IF(ISBLANK(Table13[[#This Row],[Rating]]), "No", "Yes")</f>
        <v>Yes</v>
      </c>
      <c r="K1851" t="str">
        <f>IF(ISBLANK(Table13[[#This Row],[Rating]]), "Not Rated", IF(Table13[[#This Row],[Rating]] &lt; 3, "Low", IF(Table13[[#This Row],[Rating]] &lt; 4, "Medium", "High")))</f>
        <v>Medium</v>
      </c>
      <c r="L1851">
        <v>35</v>
      </c>
      <c r="M1851">
        <v>18</v>
      </c>
      <c r="N1851" t="str">
        <f>IF(Table13[[#This Row],[Price USD]]&lt;20,"Budget",IF(Table13[[#This Row],[Price USD]]&lt;=50,"Mid-range","Premium"))</f>
        <v>Budget</v>
      </c>
      <c r="O1851">
        <v>0</v>
      </c>
      <c r="P1851">
        <v>0</v>
      </c>
    </row>
    <row r="1852" spans="1:16" x14ac:dyDescent="0.25">
      <c r="A1852" t="s">
        <v>3387</v>
      </c>
      <c r="B1852" t="s">
        <v>3388</v>
      </c>
      <c r="C1852">
        <v>6089</v>
      </c>
      <c r="D1852" t="s">
        <v>605</v>
      </c>
      <c r="E1852" t="s">
        <v>13</v>
      </c>
      <c r="F1852">
        <v>5546</v>
      </c>
      <c r="G18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2">
        <v>4.2142999999999997</v>
      </c>
      <c r="J1852" t="str">
        <f>IF(ISBLANK(Table13[[#This Row],[Rating]]), "No", "Yes")</f>
        <v>Yes</v>
      </c>
      <c r="K1852" t="str">
        <f>IF(ISBLANK(Table13[[#This Row],[Rating]]), "Not Rated", IF(Table13[[#This Row],[Rating]] &lt; 3, "Low", IF(Table13[[#This Row],[Rating]] &lt; 4, "Medium", "High")))</f>
        <v>High</v>
      </c>
      <c r="L1852">
        <v>28</v>
      </c>
      <c r="M1852">
        <v>30</v>
      </c>
      <c r="N1852" t="str">
        <f>IF(Table13[[#This Row],[Price USD]]&lt;20,"Budget",IF(Table13[[#This Row],[Price USD]]&lt;=50,"Mid-range","Premium"))</f>
        <v>Mid-range</v>
      </c>
      <c r="O1852">
        <v>0</v>
      </c>
      <c r="P1852">
        <v>0</v>
      </c>
    </row>
    <row r="1853" spans="1:16" x14ac:dyDescent="0.25">
      <c r="A1853" t="s">
        <v>3383</v>
      </c>
      <c r="B1853" t="s">
        <v>3384</v>
      </c>
      <c r="C1853">
        <v>6500</v>
      </c>
      <c r="D1853" t="s">
        <v>2632</v>
      </c>
      <c r="E1853" t="s">
        <v>49</v>
      </c>
      <c r="F1853">
        <v>5554</v>
      </c>
      <c r="G18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3">
        <v>4.7080000000000002</v>
      </c>
      <c r="J1853" t="str">
        <f>IF(ISBLANK(Table13[[#This Row],[Rating]]), "No", "Yes")</f>
        <v>Yes</v>
      </c>
      <c r="K1853" t="str">
        <f>IF(ISBLANK(Table13[[#This Row],[Rating]]), "Not Rated", IF(Table13[[#This Row],[Rating]] &lt; 3, "Low", IF(Table13[[#This Row],[Rating]] &lt; 4, "Medium", "High")))</f>
        <v>High</v>
      </c>
      <c r="L1853">
        <v>137</v>
      </c>
      <c r="M1853">
        <v>30</v>
      </c>
      <c r="N1853" t="str">
        <f>IF(Table13[[#This Row],[Price USD]]&lt;20,"Budget",IF(Table13[[#This Row],[Price USD]]&lt;=50,"Mid-range","Premium"))</f>
        <v>Mid-range</v>
      </c>
      <c r="O1853">
        <v>0</v>
      </c>
      <c r="P1853">
        <v>0</v>
      </c>
    </row>
    <row r="1854" spans="1:16" x14ac:dyDescent="0.25">
      <c r="A1854" t="s">
        <v>3381</v>
      </c>
      <c r="B1854" t="s">
        <v>3382</v>
      </c>
      <c r="C1854">
        <v>6294</v>
      </c>
      <c r="D1854" t="s">
        <v>1520</v>
      </c>
      <c r="E1854" t="s">
        <v>8</v>
      </c>
      <c r="F1854">
        <v>5557</v>
      </c>
      <c r="G18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4">
        <v>4.75</v>
      </c>
      <c r="J1854" t="str">
        <f>IF(ISBLANK(Table13[[#This Row],[Rating]]), "No", "Yes")</f>
        <v>Yes</v>
      </c>
      <c r="K1854" t="str">
        <f>IF(ISBLANK(Table13[[#This Row],[Rating]]), "Not Rated", IF(Table13[[#This Row],[Rating]] &lt; 3, "Low", IF(Table13[[#This Row],[Rating]] &lt; 4, "Medium", "High")))</f>
        <v>High</v>
      </c>
      <c r="L1854">
        <v>100</v>
      </c>
      <c r="M1854">
        <v>90</v>
      </c>
      <c r="N1854" t="str">
        <f>IF(Table13[[#This Row],[Price USD]]&lt;20,"Budget",IF(Table13[[#This Row],[Price USD]]&lt;=50,"Mid-range","Premium"))</f>
        <v>Premium</v>
      </c>
      <c r="O1854">
        <v>0</v>
      </c>
      <c r="P1854">
        <v>0</v>
      </c>
    </row>
    <row r="1855" spans="1:16" x14ac:dyDescent="0.25">
      <c r="A1855" t="s">
        <v>3379</v>
      </c>
      <c r="B1855" t="s">
        <v>3380</v>
      </c>
      <c r="C1855">
        <v>4164</v>
      </c>
      <c r="D1855" t="s">
        <v>623</v>
      </c>
      <c r="E1855" t="s">
        <v>49</v>
      </c>
      <c r="F1855">
        <v>5567</v>
      </c>
      <c r="G18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5">
        <v>4.3333000000000004</v>
      </c>
      <c r="J1855" t="str">
        <f>IF(ISBLANK(Table13[[#This Row],[Rating]]), "No", "Yes")</f>
        <v>Yes</v>
      </c>
      <c r="K1855" t="str">
        <f>IF(ISBLANK(Table13[[#This Row],[Rating]]), "Not Rated", IF(Table13[[#This Row],[Rating]] &lt; 3, "Low", IF(Table13[[#This Row],[Rating]] &lt; 4, "Medium", "High")))</f>
        <v>High</v>
      </c>
      <c r="L1855">
        <v>3</v>
      </c>
      <c r="M1855">
        <v>25</v>
      </c>
      <c r="N1855" t="str">
        <f>IF(Table13[[#This Row],[Price USD]]&lt;20,"Budget",IF(Table13[[#This Row],[Price USD]]&lt;=50,"Mid-range","Premium"))</f>
        <v>Mid-range</v>
      </c>
      <c r="O1855">
        <v>0</v>
      </c>
      <c r="P1855">
        <v>0</v>
      </c>
    </row>
    <row r="1856" spans="1:16" x14ac:dyDescent="0.25">
      <c r="A1856" t="s">
        <v>3377</v>
      </c>
      <c r="B1856" t="s">
        <v>3378</v>
      </c>
      <c r="C1856">
        <v>6367</v>
      </c>
      <c r="D1856" t="s">
        <v>2766</v>
      </c>
      <c r="E1856" t="s">
        <v>21</v>
      </c>
      <c r="F1856">
        <v>5567</v>
      </c>
      <c r="G18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6">
        <v>4.6561000000000003</v>
      </c>
      <c r="J1856" t="str">
        <f>IF(ISBLANK(Table13[[#This Row],[Rating]]), "No", "Yes")</f>
        <v>Yes</v>
      </c>
      <c r="K1856" t="str">
        <f>IF(ISBLANK(Table13[[#This Row],[Rating]]), "Not Rated", IF(Table13[[#This Row],[Rating]] &lt; 3, "Low", IF(Table13[[#This Row],[Rating]] &lt; 4, "Medium", "High")))</f>
        <v>High</v>
      </c>
      <c r="L1856">
        <v>189</v>
      </c>
      <c r="M1856">
        <v>70</v>
      </c>
      <c r="N1856" t="str">
        <f>IF(Table13[[#This Row],[Price USD]]&lt;20,"Budget",IF(Table13[[#This Row],[Price USD]]&lt;=50,"Mid-range","Premium"))</f>
        <v>Premium</v>
      </c>
      <c r="O1856">
        <v>0</v>
      </c>
      <c r="P1856">
        <v>0</v>
      </c>
    </row>
    <row r="1857" spans="1:16" x14ac:dyDescent="0.25">
      <c r="A1857" t="s">
        <v>3375</v>
      </c>
      <c r="B1857" t="s">
        <v>3376</v>
      </c>
      <c r="C1857">
        <v>4164</v>
      </c>
      <c r="D1857" t="s">
        <v>623</v>
      </c>
      <c r="E1857" t="s">
        <v>49</v>
      </c>
      <c r="F1857">
        <v>5581</v>
      </c>
      <c r="G18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7">
        <v>4.7366000000000001</v>
      </c>
      <c r="J1857" t="str">
        <f>IF(ISBLANK(Table13[[#This Row],[Rating]]), "No", "Yes")</f>
        <v>Yes</v>
      </c>
      <c r="K1857" t="str">
        <f>IF(ISBLANK(Table13[[#This Row],[Rating]]), "Not Rated", IF(Table13[[#This Row],[Rating]] &lt; 3, "Low", IF(Table13[[#This Row],[Rating]] &lt; 4, "Medium", "High")))</f>
        <v>High</v>
      </c>
      <c r="L1857">
        <v>467</v>
      </c>
      <c r="M1857">
        <v>69</v>
      </c>
      <c r="N1857" t="str">
        <f>IF(Table13[[#This Row],[Price USD]]&lt;20,"Budget",IF(Table13[[#This Row],[Price USD]]&lt;=50,"Mid-range","Premium"))</f>
        <v>Premium</v>
      </c>
      <c r="O1857">
        <v>0</v>
      </c>
      <c r="P1857">
        <v>0</v>
      </c>
    </row>
    <row r="1858" spans="1:16" x14ac:dyDescent="0.25">
      <c r="A1858" t="s">
        <v>3373</v>
      </c>
      <c r="B1858" t="s">
        <v>3374</v>
      </c>
      <c r="C1858">
        <v>3902</v>
      </c>
      <c r="D1858" t="s">
        <v>72</v>
      </c>
      <c r="E1858" t="s">
        <v>201</v>
      </c>
      <c r="F1858">
        <v>5602</v>
      </c>
      <c r="G18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8">
        <v>3.5</v>
      </c>
      <c r="J1858" t="str">
        <f>IF(ISBLANK(Table13[[#This Row],[Rating]]), "No", "Yes")</f>
        <v>Yes</v>
      </c>
      <c r="K1858" t="str">
        <f>IF(ISBLANK(Table13[[#This Row],[Rating]]), "Not Rated", IF(Table13[[#This Row],[Rating]] &lt; 3, "Low", IF(Table13[[#This Row],[Rating]] &lt; 4, "Medium", "High")))</f>
        <v>Medium</v>
      </c>
      <c r="L1858">
        <v>2</v>
      </c>
      <c r="M1858">
        <v>40</v>
      </c>
      <c r="N1858" t="str">
        <f>IF(Table13[[#This Row],[Price USD]]&lt;20,"Budget",IF(Table13[[#This Row],[Price USD]]&lt;=50,"Mid-range","Premium"))</f>
        <v>Mid-range</v>
      </c>
      <c r="O1858">
        <v>0</v>
      </c>
      <c r="P1858">
        <v>0</v>
      </c>
    </row>
    <row r="1859" spans="1:16" x14ac:dyDescent="0.25">
      <c r="A1859" t="s">
        <v>3371</v>
      </c>
      <c r="B1859" t="s">
        <v>3372</v>
      </c>
      <c r="C1859">
        <v>1254</v>
      </c>
      <c r="D1859" t="s">
        <v>136</v>
      </c>
      <c r="E1859" t="s">
        <v>13</v>
      </c>
      <c r="F1859">
        <v>5608</v>
      </c>
      <c r="G18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59">
        <v>4.3684000000000003</v>
      </c>
      <c r="J1859" t="str">
        <f>IF(ISBLANK(Table13[[#This Row],[Rating]]), "No", "Yes")</f>
        <v>Yes</v>
      </c>
      <c r="K1859" t="str">
        <f>IF(ISBLANK(Table13[[#This Row],[Rating]]), "Not Rated", IF(Table13[[#This Row],[Rating]] &lt; 3, "Low", IF(Table13[[#This Row],[Rating]] &lt; 4, "Medium", "High")))</f>
        <v>High</v>
      </c>
      <c r="L1859">
        <v>38</v>
      </c>
      <c r="M1859">
        <v>39</v>
      </c>
      <c r="N1859" t="str">
        <f>IF(Table13[[#This Row],[Price USD]]&lt;20,"Budget",IF(Table13[[#This Row],[Price USD]]&lt;=50,"Mid-range","Premium"))</f>
        <v>Mid-range</v>
      </c>
      <c r="O1859">
        <v>0</v>
      </c>
      <c r="P1859">
        <v>0</v>
      </c>
    </row>
    <row r="1860" spans="1:16" x14ac:dyDescent="0.25">
      <c r="A1860" t="s">
        <v>3369</v>
      </c>
      <c r="B1860" t="s">
        <v>3370</v>
      </c>
      <c r="C1860">
        <v>1254</v>
      </c>
      <c r="D1860" t="s">
        <v>136</v>
      </c>
      <c r="E1860" t="s">
        <v>49</v>
      </c>
      <c r="F1860">
        <v>5615</v>
      </c>
      <c r="G18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0">
        <v>3.6932</v>
      </c>
      <c r="J1860" t="str">
        <f>IF(ISBLANK(Table13[[#This Row],[Rating]]), "No", "Yes")</f>
        <v>Yes</v>
      </c>
      <c r="K1860" t="str">
        <f>IF(ISBLANK(Table13[[#This Row],[Rating]]), "Not Rated", IF(Table13[[#This Row],[Rating]] &lt; 3, "Low", IF(Table13[[#This Row],[Rating]] &lt; 4, "Medium", "High")))</f>
        <v>Medium</v>
      </c>
      <c r="L1860">
        <v>88</v>
      </c>
      <c r="M1860">
        <v>32</v>
      </c>
      <c r="N1860" t="str">
        <f>IF(Table13[[#This Row],[Price USD]]&lt;20,"Budget",IF(Table13[[#This Row],[Price USD]]&lt;=50,"Mid-range","Premium"))</f>
        <v>Mid-range</v>
      </c>
      <c r="O1860">
        <v>0</v>
      </c>
      <c r="P1860">
        <v>0</v>
      </c>
    </row>
    <row r="1861" spans="1:16" x14ac:dyDescent="0.25">
      <c r="A1861" t="s">
        <v>3367</v>
      </c>
      <c r="B1861" t="s">
        <v>3368</v>
      </c>
      <c r="C1861">
        <v>3728</v>
      </c>
      <c r="D1861" t="s">
        <v>458</v>
      </c>
      <c r="E1861" t="s">
        <v>8</v>
      </c>
      <c r="F1861">
        <v>5639</v>
      </c>
      <c r="G18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1">
        <v>4.2702</v>
      </c>
      <c r="J1861" t="str">
        <f>IF(ISBLANK(Table13[[#This Row],[Rating]]), "No", "Yes")</f>
        <v>Yes</v>
      </c>
      <c r="K1861" t="str">
        <f>IF(ISBLANK(Table13[[#This Row],[Rating]]), "Not Rated", IF(Table13[[#This Row],[Rating]] &lt; 3, "Low", IF(Table13[[#This Row],[Rating]] &lt; 4, "Medium", "High")))</f>
        <v>High</v>
      </c>
      <c r="L1861">
        <v>459</v>
      </c>
      <c r="M1861">
        <v>44</v>
      </c>
      <c r="N1861" t="str">
        <f>IF(Table13[[#This Row],[Price USD]]&lt;20,"Budget",IF(Table13[[#This Row],[Price USD]]&lt;=50,"Mid-range","Premium"))</f>
        <v>Mid-range</v>
      </c>
      <c r="O1861">
        <v>0</v>
      </c>
      <c r="P1861">
        <v>0</v>
      </c>
    </row>
    <row r="1862" spans="1:16" x14ac:dyDescent="0.25">
      <c r="A1862" t="s">
        <v>3364</v>
      </c>
      <c r="B1862" t="s">
        <v>3365</v>
      </c>
      <c r="C1862">
        <v>5651</v>
      </c>
      <c r="D1862" t="s">
        <v>3366</v>
      </c>
      <c r="E1862" t="s">
        <v>347</v>
      </c>
      <c r="F1862">
        <v>5661</v>
      </c>
      <c r="G18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2">
        <v>2.7105000000000001</v>
      </c>
      <c r="J1862" t="str">
        <f>IF(ISBLANK(Table13[[#This Row],[Rating]]), "No", "Yes")</f>
        <v>Yes</v>
      </c>
      <c r="K1862" t="str">
        <f>IF(ISBLANK(Table13[[#This Row],[Rating]]), "Not Rated", IF(Table13[[#This Row],[Rating]] &lt; 3, "Low", IF(Table13[[#This Row],[Rating]] &lt; 4, "Medium", "High")))</f>
        <v>Low</v>
      </c>
      <c r="L1862">
        <v>38</v>
      </c>
      <c r="M1862">
        <v>10</v>
      </c>
      <c r="N1862" t="str">
        <f>IF(Table13[[#This Row],[Price USD]]&lt;20,"Budget",IF(Table13[[#This Row],[Price USD]]&lt;=50,"Mid-range","Premium"))</f>
        <v>Budget</v>
      </c>
      <c r="O1862">
        <v>0</v>
      </c>
      <c r="P1862">
        <v>0</v>
      </c>
    </row>
    <row r="1863" spans="1:16" x14ac:dyDescent="0.25">
      <c r="A1863" t="s">
        <v>3362</v>
      </c>
      <c r="B1863" t="s">
        <v>3363</v>
      </c>
      <c r="C1863">
        <v>6014</v>
      </c>
      <c r="D1863" t="s">
        <v>102</v>
      </c>
      <c r="E1863" t="s">
        <v>8</v>
      </c>
      <c r="F1863">
        <v>5678</v>
      </c>
      <c r="G18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3">
        <v>4.5740999999999996</v>
      </c>
      <c r="J1863" t="str">
        <f>IF(ISBLANK(Table13[[#This Row],[Rating]]), "No", "Yes")</f>
        <v>Yes</v>
      </c>
      <c r="K1863" t="str">
        <f>IF(ISBLANK(Table13[[#This Row],[Rating]]), "Not Rated", IF(Table13[[#This Row],[Rating]] &lt; 3, "Low", IF(Table13[[#This Row],[Rating]] &lt; 4, "Medium", "High")))</f>
        <v>High</v>
      </c>
      <c r="L1863">
        <v>108</v>
      </c>
      <c r="M1863">
        <v>40</v>
      </c>
      <c r="N1863" t="str">
        <f>IF(Table13[[#This Row],[Price USD]]&lt;20,"Budget",IF(Table13[[#This Row],[Price USD]]&lt;=50,"Mid-range","Premium"))</f>
        <v>Mid-range</v>
      </c>
      <c r="O1863">
        <v>0</v>
      </c>
      <c r="P1863">
        <v>0</v>
      </c>
    </row>
    <row r="1864" spans="1:16" x14ac:dyDescent="0.25">
      <c r="A1864" t="s">
        <v>3359</v>
      </c>
      <c r="B1864" t="s">
        <v>3360</v>
      </c>
      <c r="C1864">
        <v>7055</v>
      </c>
      <c r="D1864" t="s">
        <v>3361</v>
      </c>
      <c r="E1864" t="s">
        <v>21</v>
      </c>
      <c r="F1864">
        <v>5697</v>
      </c>
      <c r="G18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4">
        <v>4.0789</v>
      </c>
      <c r="J1864" t="str">
        <f>IF(ISBLANK(Table13[[#This Row],[Rating]]), "No", "Yes")</f>
        <v>Yes</v>
      </c>
      <c r="K1864" t="str">
        <f>IF(ISBLANK(Table13[[#This Row],[Rating]]), "Not Rated", IF(Table13[[#This Row],[Rating]] &lt; 3, "Low", IF(Table13[[#This Row],[Rating]] &lt; 4, "Medium", "High")))</f>
        <v>High</v>
      </c>
      <c r="L1864">
        <v>152</v>
      </c>
      <c r="M1864">
        <v>36</v>
      </c>
      <c r="N1864" t="str">
        <f>IF(Table13[[#This Row],[Price USD]]&lt;20,"Budget",IF(Table13[[#This Row],[Price USD]]&lt;=50,"Mid-range","Premium"))</f>
        <v>Mid-range</v>
      </c>
      <c r="O1864">
        <v>0</v>
      </c>
      <c r="P1864">
        <v>0</v>
      </c>
    </row>
    <row r="1865" spans="1:16" x14ac:dyDescent="0.25">
      <c r="A1865" t="s">
        <v>3357</v>
      </c>
      <c r="B1865" t="s">
        <v>3358</v>
      </c>
      <c r="C1865">
        <v>6373</v>
      </c>
      <c r="D1865" t="s">
        <v>1652</v>
      </c>
      <c r="E1865" t="s">
        <v>220</v>
      </c>
      <c r="F1865">
        <v>5711</v>
      </c>
      <c r="G18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5">
        <v>4.2366000000000001</v>
      </c>
      <c r="J1865" t="str">
        <f>IF(ISBLANK(Table13[[#This Row],[Rating]]), "No", "Yes")</f>
        <v>Yes</v>
      </c>
      <c r="K1865" t="str">
        <f>IF(ISBLANK(Table13[[#This Row],[Rating]]), "Not Rated", IF(Table13[[#This Row],[Rating]] &lt; 3, "Low", IF(Table13[[#This Row],[Rating]] &lt; 4, "Medium", "High")))</f>
        <v>High</v>
      </c>
      <c r="L1865">
        <v>93</v>
      </c>
      <c r="M1865">
        <v>49</v>
      </c>
      <c r="N1865" t="str">
        <f>IF(Table13[[#This Row],[Price USD]]&lt;20,"Budget",IF(Table13[[#This Row],[Price USD]]&lt;=50,"Mid-range","Premium"))</f>
        <v>Mid-range</v>
      </c>
      <c r="O1865">
        <v>0</v>
      </c>
      <c r="P1865">
        <v>0</v>
      </c>
    </row>
    <row r="1866" spans="1:16" x14ac:dyDescent="0.25">
      <c r="A1866" t="s">
        <v>3355</v>
      </c>
      <c r="B1866" t="s">
        <v>3356</v>
      </c>
      <c r="C1866">
        <v>5337</v>
      </c>
      <c r="D1866" t="s">
        <v>209</v>
      </c>
      <c r="E1866" t="s">
        <v>8</v>
      </c>
      <c r="F1866">
        <v>5722</v>
      </c>
      <c r="G18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6">
        <v>4.5805999999999996</v>
      </c>
      <c r="J1866" t="str">
        <f>IF(ISBLANK(Table13[[#This Row],[Rating]]), "No", "Yes")</f>
        <v>Yes</v>
      </c>
      <c r="K1866" t="str">
        <f>IF(ISBLANK(Table13[[#This Row],[Rating]]), "Not Rated", IF(Table13[[#This Row],[Rating]] &lt; 3, "Low", IF(Table13[[#This Row],[Rating]] &lt; 4, "Medium", "High")))</f>
        <v>High</v>
      </c>
      <c r="L1866">
        <v>937</v>
      </c>
      <c r="M1866">
        <v>75</v>
      </c>
      <c r="N1866" t="str">
        <f>IF(Table13[[#This Row],[Price USD]]&lt;20,"Budget",IF(Table13[[#This Row],[Price USD]]&lt;=50,"Mid-range","Premium"))</f>
        <v>Premium</v>
      </c>
      <c r="O1866">
        <v>0</v>
      </c>
      <c r="P1866">
        <v>0</v>
      </c>
    </row>
    <row r="1867" spans="1:16" x14ac:dyDescent="0.25">
      <c r="A1867" t="s">
        <v>3353</v>
      </c>
      <c r="B1867" t="s">
        <v>3354</v>
      </c>
      <c r="C1867">
        <v>3902</v>
      </c>
      <c r="D1867" t="s">
        <v>72</v>
      </c>
      <c r="E1867" t="s">
        <v>8</v>
      </c>
      <c r="F1867">
        <v>5748</v>
      </c>
      <c r="G18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7">
        <v>3.6206999999999998</v>
      </c>
      <c r="J1867" t="str">
        <f>IF(ISBLANK(Table13[[#This Row],[Rating]]), "No", "Yes")</f>
        <v>Yes</v>
      </c>
      <c r="K1867" t="str">
        <f>IF(ISBLANK(Table13[[#This Row],[Rating]]), "Not Rated", IF(Table13[[#This Row],[Rating]] &lt; 3, "Low", IF(Table13[[#This Row],[Rating]] &lt; 4, "Medium", "High")))</f>
        <v>Medium</v>
      </c>
      <c r="L1867">
        <v>29</v>
      </c>
      <c r="M1867">
        <v>16</v>
      </c>
      <c r="N1867" t="str">
        <f>IF(Table13[[#This Row],[Price USD]]&lt;20,"Budget",IF(Table13[[#This Row],[Price USD]]&lt;=50,"Mid-range","Premium"))</f>
        <v>Budget</v>
      </c>
      <c r="O1867">
        <v>0</v>
      </c>
      <c r="P1867">
        <v>0</v>
      </c>
    </row>
    <row r="1868" spans="1:16" x14ac:dyDescent="0.25">
      <c r="A1868" t="s">
        <v>3351</v>
      </c>
      <c r="B1868" t="s">
        <v>3352</v>
      </c>
      <c r="C1868">
        <v>8008</v>
      </c>
      <c r="D1868" t="s">
        <v>105</v>
      </c>
      <c r="E1868" t="s">
        <v>21</v>
      </c>
      <c r="F1868">
        <v>5750</v>
      </c>
      <c r="G18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8">
        <v>3.04</v>
      </c>
      <c r="J1868" t="str">
        <f>IF(ISBLANK(Table13[[#This Row],[Rating]]), "No", "Yes")</f>
        <v>Yes</v>
      </c>
      <c r="K1868" t="str">
        <f>IF(ISBLANK(Table13[[#This Row],[Rating]]), "Not Rated", IF(Table13[[#This Row],[Rating]] &lt; 3, "Low", IF(Table13[[#This Row],[Rating]] &lt; 4, "Medium", "High")))</f>
        <v>Medium</v>
      </c>
      <c r="L1868">
        <v>25</v>
      </c>
      <c r="M1868">
        <v>30</v>
      </c>
      <c r="N1868" t="str">
        <f>IF(Table13[[#This Row],[Price USD]]&lt;20,"Budget",IF(Table13[[#This Row],[Price USD]]&lt;=50,"Mid-range","Premium"))</f>
        <v>Mid-range</v>
      </c>
      <c r="O1868">
        <v>0</v>
      </c>
      <c r="P1868">
        <v>0</v>
      </c>
    </row>
    <row r="1869" spans="1:16" x14ac:dyDescent="0.25">
      <c r="A1869" t="s">
        <v>3349</v>
      </c>
      <c r="B1869" t="s">
        <v>3350</v>
      </c>
      <c r="C1869">
        <v>5337</v>
      </c>
      <c r="D1869" t="s">
        <v>209</v>
      </c>
      <c r="E1869" t="s">
        <v>21</v>
      </c>
      <c r="F1869">
        <v>5752</v>
      </c>
      <c r="G18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69">
        <v>4.3076999999999996</v>
      </c>
      <c r="J1869" t="str">
        <f>IF(ISBLANK(Table13[[#This Row],[Rating]]), "No", "Yes")</f>
        <v>Yes</v>
      </c>
      <c r="K1869" t="str">
        <f>IF(ISBLANK(Table13[[#This Row],[Rating]]), "Not Rated", IF(Table13[[#This Row],[Rating]] &lt; 3, "Low", IF(Table13[[#This Row],[Rating]] &lt; 4, "Medium", "High")))</f>
        <v>High</v>
      </c>
      <c r="L1869">
        <v>26</v>
      </c>
      <c r="M1869">
        <v>50</v>
      </c>
      <c r="N1869" t="str">
        <f>IF(Table13[[#This Row],[Price USD]]&lt;20,"Budget",IF(Table13[[#This Row],[Price USD]]&lt;=50,"Mid-range","Premium"))</f>
        <v>Mid-range</v>
      </c>
      <c r="O1869">
        <v>0</v>
      </c>
      <c r="P1869">
        <v>0</v>
      </c>
    </row>
    <row r="1870" spans="1:16" x14ac:dyDescent="0.25">
      <c r="A1870" t="s">
        <v>3347</v>
      </c>
      <c r="B1870" t="s">
        <v>3348</v>
      </c>
      <c r="C1870">
        <v>6312</v>
      </c>
      <c r="D1870" t="s">
        <v>1242</v>
      </c>
      <c r="E1870" t="s">
        <v>13</v>
      </c>
      <c r="F1870">
        <v>5754</v>
      </c>
      <c r="G18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0">
        <v>4.8949999999999996</v>
      </c>
      <c r="J1870" t="str">
        <f>IF(ISBLANK(Table13[[#This Row],[Rating]]), "No", "Yes")</f>
        <v>Yes</v>
      </c>
      <c r="K1870" t="str">
        <f>IF(ISBLANK(Table13[[#This Row],[Rating]]), "Not Rated", IF(Table13[[#This Row],[Rating]] &lt; 3, "Low", IF(Table13[[#This Row],[Rating]] &lt; 4, "Medium", "High")))</f>
        <v>High</v>
      </c>
      <c r="L1870">
        <v>238</v>
      </c>
      <c r="M1870">
        <v>39</v>
      </c>
      <c r="N1870" t="str">
        <f>IF(Table13[[#This Row],[Price USD]]&lt;20,"Budget",IF(Table13[[#This Row],[Price USD]]&lt;=50,"Mid-range","Premium"))</f>
        <v>Mid-range</v>
      </c>
      <c r="O1870">
        <v>0</v>
      </c>
      <c r="P1870">
        <v>0</v>
      </c>
    </row>
    <row r="1871" spans="1:16" x14ac:dyDescent="0.25">
      <c r="A1871" t="s">
        <v>3345</v>
      </c>
      <c r="B1871" t="s">
        <v>3346</v>
      </c>
      <c r="C1871">
        <v>6316</v>
      </c>
      <c r="D1871" t="s">
        <v>563</v>
      </c>
      <c r="E1871" t="s">
        <v>69</v>
      </c>
      <c r="F1871">
        <v>5771</v>
      </c>
      <c r="G18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1">
        <v>4.4154</v>
      </c>
      <c r="J1871" t="str">
        <f>IF(ISBLANK(Table13[[#This Row],[Rating]]), "No", "Yes")</f>
        <v>Yes</v>
      </c>
      <c r="K1871" t="str">
        <f>IF(ISBLANK(Table13[[#This Row],[Rating]]), "Not Rated", IF(Table13[[#This Row],[Rating]] &lt; 3, "Low", IF(Table13[[#This Row],[Rating]] &lt; 4, "Medium", "High")))</f>
        <v>High</v>
      </c>
      <c r="L1871">
        <v>65</v>
      </c>
      <c r="M1871">
        <v>39</v>
      </c>
      <c r="N1871" t="str">
        <f>IF(Table13[[#This Row],[Price USD]]&lt;20,"Budget",IF(Table13[[#This Row],[Price USD]]&lt;=50,"Mid-range","Premium"))</f>
        <v>Mid-range</v>
      </c>
      <c r="O1871">
        <v>0</v>
      </c>
      <c r="P1871">
        <v>0</v>
      </c>
    </row>
    <row r="1872" spans="1:16" x14ac:dyDescent="0.25">
      <c r="A1872" t="s">
        <v>3343</v>
      </c>
      <c r="B1872" t="s">
        <v>3344</v>
      </c>
      <c r="C1872">
        <v>6302</v>
      </c>
      <c r="D1872" t="s">
        <v>2721</v>
      </c>
      <c r="E1872" t="s">
        <v>69</v>
      </c>
      <c r="F1872">
        <v>5780</v>
      </c>
      <c r="G18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2">
        <v>4.5185000000000004</v>
      </c>
      <c r="J1872" t="str">
        <f>IF(ISBLANK(Table13[[#This Row],[Rating]]), "No", "Yes")</f>
        <v>Yes</v>
      </c>
      <c r="K1872" t="str">
        <f>IF(ISBLANK(Table13[[#This Row],[Rating]]), "Not Rated", IF(Table13[[#This Row],[Rating]] &lt; 3, "Low", IF(Table13[[#This Row],[Rating]] &lt; 4, "Medium", "High")))</f>
        <v>High</v>
      </c>
      <c r="L1872">
        <v>54</v>
      </c>
      <c r="M1872">
        <v>125</v>
      </c>
      <c r="N1872" t="str">
        <f>IF(Table13[[#This Row],[Price USD]]&lt;20,"Budget",IF(Table13[[#This Row],[Price USD]]&lt;=50,"Mid-range","Premium"))</f>
        <v>Premium</v>
      </c>
      <c r="O1872">
        <v>0</v>
      </c>
      <c r="P1872">
        <v>0</v>
      </c>
    </row>
    <row r="1873" spans="1:16" x14ac:dyDescent="0.25">
      <c r="A1873" t="s">
        <v>3341</v>
      </c>
      <c r="B1873" t="s">
        <v>3342</v>
      </c>
      <c r="C1873">
        <v>3902</v>
      </c>
      <c r="D1873" t="s">
        <v>72</v>
      </c>
      <c r="E1873" t="s">
        <v>8</v>
      </c>
      <c r="F1873">
        <v>5783</v>
      </c>
      <c r="G18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3">
        <v>4.3571</v>
      </c>
      <c r="J1873" t="str">
        <f>IF(ISBLANK(Table13[[#This Row],[Rating]]), "No", "Yes")</f>
        <v>Yes</v>
      </c>
      <c r="K1873" t="str">
        <f>IF(ISBLANK(Table13[[#This Row],[Rating]]), "Not Rated", IF(Table13[[#This Row],[Rating]] &lt; 3, "Low", IF(Table13[[#This Row],[Rating]] &lt; 4, "Medium", "High")))</f>
        <v>High</v>
      </c>
      <c r="L1873">
        <v>28</v>
      </c>
      <c r="M1873">
        <v>20</v>
      </c>
      <c r="N1873" t="str">
        <f>IF(Table13[[#This Row],[Price USD]]&lt;20,"Budget",IF(Table13[[#This Row],[Price USD]]&lt;=50,"Mid-range","Premium"))</f>
        <v>Mid-range</v>
      </c>
      <c r="O1873">
        <v>0</v>
      </c>
      <c r="P1873">
        <v>0</v>
      </c>
    </row>
    <row r="1874" spans="1:16" x14ac:dyDescent="0.25">
      <c r="A1874" t="s">
        <v>3339</v>
      </c>
      <c r="B1874" t="s">
        <v>3340</v>
      </c>
      <c r="C1874">
        <v>6272</v>
      </c>
      <c r="D1874" t="s">
        <v>1711</v>
      </c>
      <c r="E1874" t="s">
        <v>220</v>
      </c>
      <c r="F1874">
        <v>5810</v>
      </c>
      <c r="G18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4">
        <v>3.5385</v>
      </c>
      <c r="J1874" t="str">
        <f>IF(ISBLANK(Table13[[#This Row],[Rating]]), "No", "Yes")</f>
        <v>Yes</v>
      </c>
      <c r="K1874" t="str">
        <f>IF(ISBLANK(Table13[[#This Row],[Rating]]), "Not Rated", IF(Table13[[#This Row],[Rating]] &lt; 3, "Low", IF(Table13[[#This Row],[Rating]] &lt; 4, "Medium", "High")))</f>
        <v>Medium</v>
      </c>
      <c r="L1874">
        <v>13</v>
      </c>
      <c r="M1874">
        <v>249</v>
      </c>
      <c r="N1874" t="str">
        <f>IF(Table13[[#This Row],[Price USD]]&lt;20,"Budget",IF(Table13[[#This Row],[Price USD]]&lt;=50,"Mid-range","Premium"))</f>
        <v>Premium</v>
      </c>
      <c r="O1874">
        <v>0</v>
      </c>
      <c r="P1874">
        <v>0</v>
      </c>
    </row>
    <row r="1875" spans="1:16" x14ac:dyDescent="0.25">
      <c r="A1875" t="s">
        <v>3337</v>
      </c>
      <c r="B1875" t="s">
        <v>3338</v>
      </c>
      <c r="C1875">
        <v>6751</v>
      </c>
      <c r="D1875" t="s">
        <v>1738</v>
      </c>
      <c r="E1875" t="s">
        <v>21</v>
      </c>
      <c r="F1875">
        <v>5826</v>
      </c>
      <c r="G18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5">
        <v>4.6666999999999996</v>
      </c>
      <c r="J1875" t="str">
        <f>IF(ISBLANK(Table13[[#This Row],[Rating]]), "No", "Yes")</f>
        <v>Yes</v>
      </c>
      <c r="K1875" t="str">
        <f>IF(ISBLANK(Table13[[#This Row],[Rating]]), "Not Rated", IF(Table13[[#This Row],[Rating]] &lt; 3, "Low", IF(Table13[[#This Row],[Rating]] &lt; 4, "Medium", "High")))</f>
        <v>High</v>
      </c>
      <c r="L1875">
        <v>9</v>
      </c>
      <c r="M1875">
        <v>25</v>
      </c>
      <c r="N1875" t="str">
        <f>IF(Table13[[#This Row],[Price USD]]&lt;20,"Budget",IF(Table13[[#This Row],[Price USD]]&lt;=50,"Mid-range","Premium"))</f>
        <v>Mid-range</v>
      </c>
      <c r="O1875">
        <v>1</v>
      </c>
      <c r="P1875">
        <v>0</v>
      </c>
    </row>
    <row r="1876" spans="1:16" x14ac:dyDescent="0.25">
      <c r="A1876" t="s">
        <v>3335</v>
      </c>
      <c r="B1876" t="s">
        <v>3336</v>
      </c>
      <c r="C1876">
        <v>2082</v>
      </c>
      <c r="D1876" t="s">
        <v>594</v>
      </c>
      <c r="E1876" t="s">
        <v>21</v>
      </c>
      <c r="F1876">
        <v>5829</v>
      </c>
      <c r="G18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6">
        <v>4.25</v>
      </c>
      <c r="J1876" t="str">
        <f>IF(ISBLANK(Table13[[#This Row],[Rating]]), "No", "Yes")</f>
        <v>Yes</v>
      </c>
      <c r="K1876" t="str">
        <f>IF(ISBLANK(Table13[[#This Row],[Rating]]), "Not Rated", IF(Table13[[#This Row],[Rating]] &lt; 3, "Low", IF(Table13[[#This Row],[Rating]] &lt; 4, "Medium", "High")))</f>
        <v>High</v>
      </c>
      <c r="L1876">
        <v>8</v>
      </c>
      <c r="M1876">
        <v>98</v>
      </c>
      <c r="N1876" t="str">
        <f>IF(Table13[[#This Row],[Price USD]]&lt;20,"Budget",IF(Table13[[#This Row],[Price USD]]&lt;=50,"Mid-range","Premium"))</f>
        <v>Premium</v>
      </c>
      <c r="O1876">
        <v>0</v>
      </c>
      <c r="P1876">
        <v>0</v>
      </c>
    </row>
    <row r="1877" spans="1:16" x14ac:dyDescent="0.25">
      <c r="A1877" t="s">
        <v>3333</v>
      </c>
      <c r="B1877" t="s">
        <v>3334</v>
      </c>
      <c r="C1877">
        <v>6272</v>
      </c>
      <c r="D1877" t="s">
        <v>1711</v>
      </c>
      <c r="E1877" t="s">
        <v>220</v>
      </c>
      <c r="F1877">
        <v>5836</v>
      </c>
      <c r="G18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7">
        <v>4.7229000000000001</v>
      </c>
      <c r="J1877" t="str">
        <f>IF(ISBLANK(Table13[[#This Row],[Rating]]), "No", "Yes")</f>
        <v>Yes</v>
      </c>
      <c r="K1877" t="str">
        <f>IF(ISBLANK(Table13[[#This Row],[Rating]]), "Not Rated", IF(Table13[[#This Row],[Rating]] &lt; 3, "Low", IF(Table13[[#This Row],[Rating]] &lt; 4, "Medium", "High")))</f>
        <v>High</v>
      </c>
      <c r="L1877">
        <v>166</v>
      </c>
      <c r="M1877">
        <v>199</v>
      </c>
      <c r="N1877" t="str">
        <f>IF(Table13[[#This Row],[Price USD]]&lt;20,"Budget",IF(Table13[[#This Row],[Price USD]]&lt;=50,"Mid-range","Premium"))</f>
        <v>Premium</v>
      </c>
      <c r="O1877">
        <v>0</v>
      </c>
      <c r="P1877">
        <v>0</v>
      </c>
    </row>
    <row r="1878" spans="1:16" x14ac:dyDescent="0.25">
      <c r="A1878" t="s">
        <v>3331</v>
      </c>
      <c r="B1878" t="s">
        <v>3332</v>
      </c>
      <c r="C1878">
        <v>6001</v>
      </c>
      <c r="D1878" t="s">
        <v>1836</v>
      </c>
      <c r="E1878" t="s">
        <v>347</v>
      </c>
      <c r="F1878">
        <v>5875</v>
      </c>
      <c r="G18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8">
        <v>3.5385</v>
      </c>
      <c r="J1878" t="str">
        <f>IF(ISBLANK(Table13[[#This Row],[Rating]]), "No", "Yes")</f>
        <v>Yes</v>
      </c>
      <c r="K1878" t="str">
        <f>IF(ISBLANK(Table13[[#This Row],[Rating]]), "Not Rated", IF(Table13[[#This Row],[Rating]] &lt; 3, "Low", IF(Table13[[#This Row],[Rating]] &lt; 4, "Medium", "High")))</f>
        <v>Medium</v>
      </c>
      <c r="L1878">
        <v>13</v>
      </c>
      <c r="M1878">
        <v>449</v>
      </c>
      <c r="N1878" t="str">
        <f>IF(Table13[[#This Row],[Price USD]]&lt;20,"Budget",IF(Table13[[#This Row],[Price USD]]&lt;=50,"Mid-range","Premium"))</f>
        <v>Premium</v>
      </c>
      <c r="O1878">
        <v>0</v>
      </c>
      <c r="P1878">
        <v>0</v>
      </c>
    </row>
    <row r="1879" spans="1:16" x14ac:dyDescent="0.25">
      <c r="A1879" t="s">
        <v>3329</v>
      </c>
      <c r="B1879" t="s">
        <v>3330</v>
      </c>
      <c r="C1879">
        <v>5715</v>
      </c>
      <c r="D1879" t="s">
        <v>979</v>
      </c>
      <c r="E1879" t="s">
        <v>21</v>
      </c>
      <c r="F1879">
        <v>5890</v>
      </c>
      <c r="G18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79">
        <v>4.4025999999999996</v>
      </c>
      <c r="J1879" t="str">
        <f>IF(ISBLANK(Table13[[#This Row],[Rating]]), "No", "Yes")</f>
        <v>Yes</v>
      </c>
      <c r="K1879" t="str">
        <f>IF(ISBLANK(Table13[[#This Row],[Rating]]), "Not Rated", IF(Table13[[#This Row],[Rating]] &lt; 3, "Low", IF(Table13[[#This Row],[Rating]] &lt; 4, "Medium", "High")))</f>
        <v>High</v>
      </c>
      <c r="L1879">
        <v>3167</v>
      </c>
      <c r="M1879">
        <v>38.5</v>
      </c>
      <c r="N1879" t="str">
        <f>IF(Table13[[#This Row],[Price USD]]&lt;20,"Budget",IF(Table13[[#This Row],[Price USD]]&lt;=50,"Mid-range","Premium"))</f>
        <v>Mid-range</v>
      </c>
      <c r="O1879">
        <v>0</v>
      </c>
      <c r="P1879">
        <v>0</v>
      </c>
    </row>
    <row r="1880" spans="1:16" x14ac:dyDescent="0.25">
      <c r="A1880" t="s">
        <v>3327</v>
      </c>
      <c r="B1880" t="s">
        <v>3328</v>
      </c>
      <c r="C1880">
        <v>6073</v>
      </c>
      <c r="D1880" t="s">
        <v>78</v>
      </c>
      <c r="E1880" t="s">
        <v>21</v>
      </c>
      <c r="F1880">
        <v>5905</v>
      </c>
      <c r="G18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0">
        <v>3.9918</v>
      </c>
      <c r="J1880" t="str">
        <f>IF(ISBLANK(Table13[[#This Row],[Rating]]), "No", "Yes")</f>
        <v>Yes</v>
      </c>
      <c r="K1880" t="str">
        <f>IF(ISBLANK(Table13[[#This Row],[Rating]]), "Not Rated", IF(Table13[[#This Row],[Rating]] &lt; 3, "Low", IF(Table13[[#This Row],[Rating]] &lt; 4, "Medium", "High")))</f>
        <v>Medium</v>
      </c>
      <c r="L1880">
        <v>1101</v>
      </c>
      <c r="M1880">
        <v>22</v>
      </c>
      <c r="N1880" t="str">
        <f>IF(Table13[[#This Row],[Price USD]]&lt;20,"Budget",IF(Table13[[#This Row],[Price USD]]&lt;=50,"Mid-range","Premium"))</f>
        <v>Mid-range</v>
      </c>
      <c r="O1880">
        <v>0</v>
      </c>
      <c r="P1880">
        <v>0</v>
      </c>
    </row>
    <row r="1881" spans="1:16" x14ac:dyDescent="0.25">
      <c r="A1881" t="s">
        <v>3325</v>
      </c>
      <c r="B1881" t="s">
        <v>3326</v>
      </c>
      <c r="C1881">
        <v>6751</v>
      </c>
      <c r="D1881" t="s">
        <v>1738</v>
      </c>
      <c r="E1881" t="s">
        <v>21</v>
      </c>
      <c r="F1881">
        <v>5907</v>
      </c>
      <c r="G18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1">
        <v>4.05</v>
      </c>
      <c r="J1881" t="str">
        <f>IF(ISBLANK(Table13[[#This Row],[Rating]]), "No", "Yes")</f>
        <v>Yes</v>
      </c>
      <c r="K1881" t="str">
        <f>IF(ISBLANK(Table13[[#This Row],[Rating]]), "Not Rated", IF(Table13[[#This Row],[Rating]] &lt; 3, "Low", IF(Table13[[#This Row],[Rating]] &lt; 4, "Medium", "High")))</f>
        <v>High</v>
      </c>
      <c r="L1881">
        <v>20</v>
      </c>
      <c r="M1881">
        <v>35</v>
      </c>
      <c r="N1881" t="str">
        <f>IF(Table13[[#This Row],[Price USD]]&lt;20,"Budget",IF(Table13[[#This Row],[Price USD]]&lt;=50,"Mid-range","Premium"))</f>
        <v>Mid-range</v>
      </c>
      <c r="O1881">
        <v>1</v>
      </c>
      <c r="P1881">
        <v>0</v>
      </c>
    </row>
    <row r="1882" spans="1:16" x14ac:dyDescent="0.25">
      <c r="A1882" t="s">
        <v>3323</v>
      </c>
      <c r="B1882" t="s">
        <v>3324</v>
      </c>
      <c r="C1882">
        <v>1073</v>
      </c>
      <c r="D1882" t="s">
        <v>767</v>
      </c>
      <c r="E1882" t="s">
        <v>149</v>
      </c>
      <c r="F1882">
        <v>5908</v>
      </c>
      <c r="G18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2">
        <v>4.3333000000000004</v>
      </c>
      <c r="J1882" t="str">
        <f>IF(ISBLANK(Table13[[#This Row],[Rating]]), "No", "Yes")</f>
        <v>Yes</v>
      </c>
      <c r="K1882" t="str">
        <f>IF(ISBLANK(Table13[[#This Row],[Rating]]), "Not Rated", IF(Table13[[#This Row],[Rating]] &lt; 3, "Low", IF(Table13[[#This Row],[Rating]] &lt; 4, "Medium", "High")))</f>
        <v>High</v>
      </c>
      <c r="L1882">
        <v>27</v>
      </c>
      <c r="M1882">
        <v>72</v>
      </c>
      <c r="N1882" t="str">
        <f>IF(Table13[[#This Row],[Price USD]]&lt;20,"Budget",IF(Table13[[#This Row],[Price USD]]&lt;=50,"Mid-range","Premium"))</f>
        <v>Premium</v>
      </c>
      <c r="O1882">
        <v>0</v>
      </c>
      <c r="P1882">
        <v>0</v>
      </c>
    </row>
    <row r="1883" spans="1:16" x14ac:dyDescent="0.25">
      <c r="A1883" t="s">
        <v>3321</v>
      </c>
      <c r="B1883" t="s">
        <v>3322</v>
      </c>
      <c r="C1883">
        <v>6014</v>
      </c>
      <c r="D1883" t="s">
        <v>102</v>
      </c>
      <c r="E1883" t="s">
        <v>13</v>
      </c>
      <c r="F1883">
        <v>5912</v>
      </c>
      <c r="G18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3">
        <v>4.6364000000000001</v>
      </c>
      <c r="J1883" t="str">
        <f>IF(ISBLANK(Table13[[#This Row],[Rating]]), "No", "Yes")</f>
        <v>Yes</v>
      </c>
      <c r="K1883" t="str">
        <f>IF(ISBLANK(Table13[[#This Row],[Rating]]), "Not Rated", IF(Table13[[#This Row],[Rating]] &lt; 3, "Low", IF(Table13[[#This Row],[Rating]] &lt; 4, "Medium", "High")))</f>
        <v>High</v>
      </c>
      <c r="L1883">
        <v>341</v>
      </c>
      <c r="M1883">
        <v>39</v>
      </c>
      <c r="N1883" t="str">
        <f>IF(Table13[[#This Row],[Price USD]]&lt;20,"Budget",IF(Table13[[#This Row],[Price USD]]&lt;=50,"Mid-range","Premium"))</f>
        <v>Mid-range</v>
      </c>
      <c r="O1883">
        <v>1</v>
      </c>
      <c r="P1883">
        <v>0</v>
      </c>
    </row>
    <row r="1884" spans="1:16" x14ac:dyDescent="0.25">
      <c r="A1884" t="s">
        <v>3319</v>
      </c>
      <c r="B1884" t="s">
        <v>3320</v>
      </c>
      <c r="C1884">
        <v>1741</v>
      </c>
      <c r="D1884" t="s">
        <v>388</v>
      </c>
      <c r="E1884" t="s">
        <v>21</v>
      </c>
      <c r="F1884">
        <v>5913</v>
      </c>
      <c r="G18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4">
        <v>4.6763000000000003</v>
      </c>
      <c r="J1884" t="str">
        <f>IF(ISBLANK(Table13[[#This Row],[Rating]]), "No", "Yes")</f>
        <v>Yes</v>
      </c>
      <c r="K1884" t="str">
        <f>IF(ISBLANK(Table13[[#This Row],[Rating]]), "Not Rated", IF(Table13[[#This Row],[Rating]] &lt; 3, "Low", IF(Table13[[#This Row],[Rating]] &lt; 4, "Medium", "High")))</f>
        <v>High</v>
      </c>
      <c r="L1884">
        <v>139</v>
      </c>
      <c r="M1884">
        <v>150</v>
      </c>
      <c r="N1884" t="str">
        <f>IF(Table13[[#This Row],[Price USD]]&lt;20,"Budget",IF(Table13[[#This Row],[Price USD]]&lt;=50,"Mid-range","Premium"))</f>
        <v>Premium</v>
      </c>
      <c r="O1884">
        <v>0</v>
      </c>
      <c r="P1884">
        <v>0</v>
      </c>
    </row>
    <row r="1885" spans="1:16" x14ac:dyDescent="0.25">
      <c r="A1885" t="s">
        <v>3317</v>
      </c>
      <c r="B1885" t="s">
        <v>3318</v>
      </c>
      <c r="C1885">
        <v>3728</v>
      </c>
      <c r="D1885" t="s">
        <v>458</v>
      </c>
      <c r="E1885" t="s">
        <v>149</v>
      </c>
      <c r="F1885">
        <v>5917</v>
      </c>
      <c r="G18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5">
        <v>3.4594999999999998</v>
      </c>
      <c r="J1885" t="str">
        <f>IF(ISBLANK(Table13[[#This Row],[Rating]]), "No", "Yes")</f>
        <v>Yes</v>
      </c>
      <c r="K1885" t="str">
        <f>IF(ISBLANK(Table13[[#This Row],[Rating]]), "Not Rated", IF(Table13[[#This Row],[Rating]] &lt; 3, "Low", IF(Table13[[#This Row],[Rating]] &lt; 4, "Medium", "High")))</f>
        <v>Medium</v>
      </c>
      <c r="L1885">
        <v>37</v>
      </c>
      <c r="M1885">
        <v>43</v>
      </c>
      <c r="N1885" t="str">
        <f>IF(Table13[[#This Row],[Price USD]]&lt;20,"Budget",IF(Table13[[#This Row],[Price USD]]&lt;=50,"Mid-range","Premium"))</f>
        <v>Mid-range</v>
      </c>
      <c r="O1885">
        <v>0</v>
      </c>
      <c r="P1885">
        <v>0</v>
      </c>
    </row>
    <row r="1886" spans="1:16" x14ac:dyDescent="0.25">
      <c r="A1886" t="s">
        <v>3315</v>
      </c>
      <c r="B1886" t="s">
        <v>3316</v>
      </c>
      <c r="C1886">
        <v>5972</v>
      </c>
      <c r="D1886" t="s">
        <v>54</v>
      </c>
      <c r="E1886" t="s">
        <v>220</v>
      </c>
      <c r="F1886">
        <v>5918</v>
      </c>
      <c r="G18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6">
        <v>4.6154000000000002</v>
      </c>
      <c r="J1886" t="str">
        <f>IF(ISBLANK(Table13[[#This Row],[Rating]]), "No", "Yes")</f>
        <v>Yes</v>
      </c>
      <c r="K1886" t="str">
        <f>IF(ISBLANK(Table13[[#This Row],[Rating]]), "Not Rated", IF(Table13[[#This Row],[Rating]] &lt; 3, "Low", IF(Table13[[#This Row],[Rating]] &lt; 4, "Medium", "High")))</f>
        <v>High</v>
      </c>
      <c r="L1886">
        <v>13</v>
      </c>
      <c r="M1886">
        <v>46</v>
      </c>
      <c r="N1886" t="str">
        <f>IF(Table13[[#This Row],[Price USD]]&lt;20,"Budget",IF(Table13[[#This Row],[Price USD]]&lt;=50,"Mid-range","Premium"))</f>
        <v>Mid-range</v>
      </c>
      <c r="O1886">
        <v>1</v>
      </c>
      <c r="P1886">
        <v>0</v>
      </c>
    </row>
    <row r="1887" spans="1:16" x14ac:dyDescent="0.25">
      <c r="A1887" t="s">
        <v>3313</v>
      </c>
      <c r="B1887" t="s">
        <v>3314</v>
      </c>
      <c r="C1887">
        <v>6089</v>
      </c>
      <c r="D1887" t="s">
        <v>605</v>
      </c>
      <c r="E1887" t="s">
        <v>13</v>
      </c>
      <c r="F1887">
        <v>5931</v>
      </c>
      <c r="G18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7">
        <v>4.6393000000000004</v>
      </c>
      <c r="J1887" t="str">
        <f>IF(ISBLANK(Table13[[#This Row],[Rating]]), "No", "Yes")</f>
        <v>Yes</v>
      </c>
      <c r="K1887" t="str">
        <f>IF(ISBLANK(Table13[[#This Row],[Rating]]), "Not Rated", IF(Table13[[#This Row],[Rating]] &lt; 3, "Low", IF(Table13[[#This Row],[Rating]] &lt; 4, "Medium", "High")))</f>
        <v>High</v>
      </c>
      <c r="L1887">
        <v>61</v>
      </c>
      <c r="M1887">
        <v>48</v>
      </c>
      <c r="N1887" t="str">
        <f>IF(Table13[[#This Row],[Price USD]]&lt;20,"Budget",IF(Table13[[#This Row],[Price USD]]&lt;=50,"Mid-range","Premium"))</f>
        <v>Mid-range</v>
      </c>
      <c r="O1887">
        <v>0</v>
      </c>
      <c r="P1887">
        <v>0</v>
      </c>
    </row>
    <row r="1888" spans="1:16" x14ac:dyDescent="0.25">
      <c r="A1888" t="s">
        <v>3311</v>
      </c>
      <c r="B1888" t="s">
        <v>3312</v>
      </c>
      <c r="C1888">
        <v>6334</v>
      </c>
      <c r="D1888" t="s">
        <v>2819</v>
      </c>
      <c r="E1888" t="s">
        <v>21</v>
      </c>
      <c r="F1888">
        <v>5968</v>
      </c>
      <c r="G18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8">
        <v>4.5808999999999997</v>
      </c>
      <c r="J1888" t="str">
        <f>IF(ISBLANK(Table13[[#This Row],[Rating]]), "No", "Yes")</f>
        <v>Yes</v>
      </c>
      <c r="K1888" t="str">
        <f>IF(ISBLANK(Table13[[#This Row],[Rating]]), "Not Rated", IF(Table13[[#This Row],[Rating]] &lt; 3, "Low", IF(Table13[[#This Row],[Rating]] &lt; 4, "Medium", "High")))</f>
        <v>High</v>
      </c>
      <c r="L1888">
        <v>377</v>
      </c>
      <c r="M1888">
        <v>38</v>
      </c>
      <c r="N1888" t="str">
        <f>IF(Table13[[#This Row],[Price USD]]&lt;20,"Budget",IF(Table13[[#This Row],[Price USD]]&lt;=50,"Mid-range","Premium"))</f>
        <v>Mid-range</v>
      </c>
      <c r="O1888">
        <v>0</v>
      </c>
      <c r="P1888">
        <v>0</v>
      </c>
    </row>
    <row r="1889" spans="1:16" x14ac:dyDescent="0.25">
      <c r="A1889" t="s">
        <v>3309</v>
      </c>
      <c r="B1889" t="s">
        <v>3310</v>
      </c>
      <c r="C1889">
        <v>5626</v>
      </c>
      <c r="D1889" t="s">
        <v>1069</v>
      </c>
      <c r="E1889" t="s">
        <v>220</v>
      </c>
      <c r="F1889">
        <v>5979</v>
      </c>
      <c r="G18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89">
        <v>3.5263</v>
      </c>
      <c r="J1889" t="str">
        <f>IF(ISBLANK(Table13[[#This Row],[Rating]]), "No", "Yes")</f>
        <v>Yes</v>
      </c>
      <c r="K1889" t="str">
        <f>IF(ISBLANK(Table13[[#This Row],[Rating]]), "Not Rated", IF(Table13[[#This Row],[Rating]] &lt; 3, "Low", IF(Table13[[#This Row],[Rating]] &lt; 4, "Medium", "High")))</f>
        <v>Medium</v>
      </c>
      <c r="L1889">
        <v>19</v>
      </c>
      <c r="M1889">
        <v>20</v>
      </c>
      <c r="N1889" t="str">
        <f>IF(Table13[[#This Row],[Price USD]]&lt;20,"Budget",IF(Table13[[#This Row],[Price USD]]&lt;=50,"Mid-range","Premium"))</f>
        <v>Mid-range</v>
      </c>
      <c r="O1889">
        <v>0</v>
      </c>
      <c r="P1889">
        <v>0</v>
      </c>
    </row>
    <row r="1890" spans="1:16" x14ac:dyDescent="0.25">
      <c r="A1890" t="s">
        <v>3307</v>
      </c>
      <c r="B1890" t="s">
        <v>3308</v>
      </c>
      <c r="C1890">
        <v>5922</v>
      </c>
      <c r="D1890" t="s">
        <v>204</v>
      </c>
      <c r="E1890" t="s">
        <v>220</v>
      </c>
      <c r="F1890">
        <v>5990</v>
      </c>
      <c r="G18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0">
        <v>4.5</v>
      </c>
      <c r="J1890" t="str">
        <f>IF(ISBLANK(Table13[[#This Row],[Rating]]), "No", "Yes")</f>
        <v>Yes</v>
      </c>
      <c r="K1890" t="str">
        <f>IF(ISBLANK(Table13[[#This Row],[Rating]]), "Not Rated", IF(Table13[[#This Row],[Rating]] &lt; 3, "Low", IF(Table13[[#This Row],[Rating]] &lt; 4, "Medium", "High")))</f>
        <v>High</v>
      </c>
      <c r="L1890">
        <v>10</v>
      </c>
      <c r="M1890">
        <v>30</v>
      </c>
      <c r="N1890" t="str">
        <f>IF(Table13[[#This Row],[Price USD]]&lt;20,"Budget",IF(Table13[[#This Row],[Price USD]]&lt;=50,"Mid-range","Premium"))</f>
        <v>Mid-range</v>
      </c>
      <c r="O1890">
        <v>0</v>
      </c>
      <c r="P1890">
        <v>0</v>
      </c>
    </row>
    <row r="1891" spans="1:16" x14ac:dyDescent="0.25">
      <c r="A1891" t="s">
        <v>3305</v>
      </c>
      <c r="B1891" t="s">
        <v>3306</v>
      </c>
      <c r="C1891">
        <v>5337</v>
      </c>
      <c r="D1891" t="s">
        <v>209</v>
      </c>
      <c r="E1891" t="s">
        <v>13</v>
      </c>
      <c r="F1891">
        <v>6015</v>
      </c>
      <c r="G18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1">
        <v>4.1957000000000004</v>
      </c>
      <c r="J1891" t="str">
        <f>IF(ISBLANK(Table13[[#This Row],[Rating]]), "No", "Yes")</f>
        <v>Yes</v>
      </c>
      <c r="K1891" t="str">
        <f>IF(ISBLANK(Table13[[#This Row],[Rating]]), "Not Rated", IF(Table13[[#This Row],[Rating]] &lt; 3, "Low", IF(Table13[[#This Row],[Rating]] &lt; 4, "Medium", "High")))</f>
        <v>High</v>
      </c>
      <c r="L1891">
        <v>46</v>
      </c>
      <c r="M1891">
        <v>36</v>
      </c>
      <c r="N1891" t="str">
        <f>IF(Table13[[#This Row],[Price USD]]&lt;20,"Budget",IF(Table13[[#This Row],[Price USD]]&lt;=50,"Mid-range","Premium"))</f>
        <v>Mid-range</v>
      </c>
      <c r="O1891">
        <v>0</v>
      </c>
      <c r="P1891">
        <v>0</v>
      </c>
    </row>
    <row r="1892" spans="1:16" x14ac:dyDescent="0.25">
      <c r="A1892" t="s">
        <v>3303</v>
      </c>
      <c r="B1892" t="s">
        <v>3304</v>
      </c>
      <c r="C1892">
        <v>3902</v>
      </c>
      <c r="D1892" t="s">
        <v>72</v>
      </c>
      <c r="E1892" t="s">
        <v>220</v>
      </c>
      <c r="F1892">
        <v>6017</v>
      </c>
      <c r="G18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2">
        <v>3.6667000000000001</v>
      </c>
      <c r="J1892" t="str">
        <f>IF(ISBLANK(Table13[[#This Row],[Rating]]), "No", "Yes")</f>
        <v>Yes</v>
      </c>
      <c r="K1892" t="str">
        <f>IF(ISBLANK(Table13[[#This Row],[Rating]]), "Not Rated", IF(Table13[[#This Row],[Rating]] &lt; 3, "Low", IF(Table13[[#This Row],[Rating]] &lt; 4, "Medium", "High")))</f>
        <v>Medium</v>
      </c>
      <c r="L1892">
        <v>3</v>
      </c>
      <c r="M1892">
        <v>20</v>
      </c>
      <c r="N1892" t="str">
        <f>IF(Table13[[#This Row],[Price USD]]&lt;20,"Budget",IF(Table13[[#This Row],[Price USD]]&lt;=50,"Mid-range","Premium"))</f>
        <v>Mid-range</v>
      </c>
      <c r="O1892">
        <v>0</v>
      </c>
      <c r="P1892">
        <v>0</v>
      </c>
    </row>
    <row r="1893" spans="1:16" x14ac:dyDescent="0.25">
      <c r="A1893" t="s">
        <v>3301</v>
      </c>
      <c r="B1893" t="s">
        <v>3302</v>
      </c>
      <c r="C1893">
        <v>7020</v>
      </c>
      <c r="D1893" t="s">
        <v>657</v>
      </c>
      <c r="E1893" t="s">
        <v>21</v>
      </c>
      <c r="F1893">
        <v>6030</v>
      </c>
      <c r="G18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3">
        <v>3.4117999999999999</v>
      </c>
      <c r="J1893" t="str">
        <f>IF(ISBLANK(Table13[[#This Row],[Rating]]), "No", "Yes")</f>
        <v>Yes</v>
      </c>
      <c r="K1893" t="str">
        <f>IF(ISBLANK(Table13[[#This Row],[Rating]]), "Not Rated", IF(Table13[[#This Row],[Rating]] &lt; 3, "Low", IF(Table13[[#This Row],[Rating]] &lt; 4, "Medium", "High")))</f>
        <v>Medium</v>
      </c>
      <c r="L1893">
        <v>136</v>
      </c>
      <c r="M1893">
        <v>130</v>
      </c>
      <c r="N1893" t="str">
        <f>IF(Table13[[#This Row],[Price USD]]&lt;20,"Budget",IF(Table13[[#This Row],[Price USD]]&lt;=50,"Mid-range","Premium"))</f>
        <v>Premium</v>
      </c>
      <c r="O1893">
        <v>0</v>
      </c>
      <c r="P1893">
        <v>0</v>
      </c>
    </row>
    <row r="1894" spans="1:16" x14ac:dyDescent="0.25">
      <c r="A1894" t="s">
        <v>3299</v>
      </c>
      <c r="B1894" t="s">
        <v>3300</v>
      </c>
      <c r="C1894">
        <v>5857</v>
      </c>
      <c r="D1894" t="s">
        <v>433</v>
      </c>
      <c r="E1894" t="s">
        <v>13</v>
      </c>
      <c r="F1894">
        <v>6031</v>
      </c>
      <c r="G18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4">
        <v>4.0263</v>
      </c>
      <c r="J1894" t="str">
        <f>IF(ISBLANK(Table13[[#This Row],[Rating]]), "No", "Yes")</f>
        <v>Yes</v>
      </c>
      <c r="K1894" t="str">
        <f>IF(ISBLANK(Table13[[#This Row],[Rating]]), "Not Rated", IF(Table13[[#This Row],[Rating]] &lt; 3, "Low", IF(Table13[[#This Row],[Rating]] &lt; 4, "Medium", "High")))</f>
        <v>High</v>
      </c>
      <c r="L1894">
        <v>266</v>
      </c>
      <c r="M1894">
        <v>37</v>
      </c>
      <c r="N1894" t="str">
        <f>IF(Table13[[#This Row],[Price USD]]&lt;20,"Budget",IF(Table13[[#This Row],[Price USD]]&lt;=50,"Mid-range","Premium"))</f>
        <v>Mid-range</v>
      </c>
      <c r="O1894">
        <v>0</v>
      </c>
      <c r="P1894">
        <v>0</v>
      </c>
    </row>
    <row r="1895" spans="1:16" x14ac:dyDescent="0.25">
      <c r="A1895" t="s">
        <v>3297</v>
      </c>
      <c r="B1895" t="s">
        <v>3298</v>
      </c>
      <c r="C1895">
        <v>6018</v>
      </c>
      <c r="D1895" t="s">
        <v>517</v>
      </c>
      <c r="E1895" t="s">
        <v>8</v>
      </c>
      <c r="F1895">
        <v>6040</v>
      </c>
      <c r="G18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5">
        <v>4.6086999999999998</v>
      </c>
      <c r="J1895" t="str">
        <f>IF(ISBLANK(Table13[[#This Row],[Rating]]), "No", "Yes")</f>
        <v>Yes</v>
      </c>
      <c r="K1895" t="str">
        <f>IF(ISBLANK(Table13[[#This Row],[Rating]]), "Not Rated", IF(Table13[[#This Row],[Rating]] &lt; 3, "Low", IF(Table13[[#This Row],[Rating]] &lt; 4, "Medium", "High")))</f>
        <v>High</v>
      </c>
      <c r="L1895">
        <v>207</v>
      </c>
      <c r="M1895">
        <v>72</v>
      </c>
      <c r="N1895" t="str">
        <f>IF(Table13[[#This Row],[Price USD]]&lt;20,"Budget",IF(Table13[[#This Row],[Price USD]]&lt;=50,"Mid-range","Premium"))</f>
        <v>Premium</v>
      </c>
      <c r="O1895">
        <v>0</v>
      </c>
      <c r="P1895">
        <v>0</v>
      </c>
    </row>
    <row r="1896" spans="1:16" x14ac:dyDescent="0.25">
      <c r="A1896" t="s">
        <v>3295</v>
      </c>
      <c r="B1896" t="s">
        <v>3296</v>
      </c>
      <c r="C1896">
        <v>6218</v>
      </c>
      <c r="D1896" t="s">
        <v>116</v>
      </c>
      <c r="E1896" t="s">
        <v>21</v>
      </c>
      <c r="F1896">
        <v>6043</v>
      </c>
      <c r="G18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6">
        <v>4.5152000000000001</v>
      </c>
      <c r="J1896" t="str">
        <f>IF(ISBLANK(Table13[[#This Row],[Rating]]), "No", "Yes")</f>
        <v>Yes</v>
      </c>
      <c r="K1896" t="str">
        <f>IF(ISBLANK(Table13[[#This Row],[Rating]]), "Not Rated", IF(Table13[[#This Row],[Rating]] &lt; 3, "Low", IF(Table13[[#This Row],[Rating]] &lt; 4, "Medium", "High")))</f>
        <v>High</v>
      </c>
      <c r="L1896">
        <v>33</v>
      </c>
      <c r="M1896">
        <v>46</v>
      </c>
      <c r="N1896" t="str">
        <f>IF(Table13[[#This Row],[Price USD]]&lt;20,"Budget",IF(Table13[[#This Row],[Price USD]]&lt;=50,"Mid-range","Premium"))</f>
        <v>Mid-range</v>
      </c>
      <c r="O1896">
        <v>0</v>
      </c>
      <c r="P1896">
        <v>1</v>
      </c>
    </row>
    <row r="1897" spans="1:16" x14ac:dyDescent="0.25">
      <c r="A1897" t="s">
        <v>3293</v>
      </c>
      <c r="B1897" t="s">
        <v>3294</v>
      </c>
      <c r="C1897">
        <v>4372</v>
      </c>
      <c r="D1897" t="s">
        <v>1513</v>
      </c>
      <c r="E1897" t="s">
        <v>21</v>
      </c>
      <c r="F1897">
        <v>6052</v>
      </c>
      <c r="G18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7">
        <v>3.7742</v>
      </c>
      <c r="J1897" t="str">
        <f>IF(ISBLANK(Table13[[#This Row],[Rating]]), "No", "Yes")</f>
        <v>Yes</v>
      </c>
      <c r="K1897" t="str">
        <f>IF(ISBLANK(Table13[[#This Row],[Rating]]), "Not Rated", IF(Table13[[#This Row],[Rating]] &lt; 3, "Low", IF(Table13[[#This Row],[Rating]] &lt; 4, "Medium", "High")))</f>
        <v>Medium</v>
      </c>
      <c r="L1897">
        <v>31</v>
      </c>
      <c r="M1897">
        <v>95</v>
      </c>
      <c r="N1897" t="str">
        <f>IF(Table13[[#This Row],[Price USD]]&lt;20,"Budget",IF(Table13[[#This Row],[Price USD]]&lt;=50,"Mid-range","Premium"))</f>
        <v>Premium</v>
      </c>
      <c r="O1897">
        <v>0</v>
      </c>
      <c r="P1897">
        <v>0</v>
      </c>
    </row>
    <row r="1898" spans="1:16" x14ac:dyDescent="0.25">
      <c r="A1898" t="s">
        <v>3291</v>
      </c>
      <c r="B1898" t="s">
        <v>3292</v>
      </c>
      <c r="C1898">
        <v>6283</v>
      </c>
      <c r="D1898" t="s">
        <v>1696</v>
      </c>
      <c r="E1898" t="s">
        <v>8</v>
      </c>
      <c r="F1898">
        <v>6057</v>
      </c>
      <c r="G18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8">
        <v>4.5999999999999996</v>
      </c>
      <c r="J1898" t="str">
        <f>IF(ISBLANK(Table13[[#This Row],[Rating]]), "No", "Yes")</f>
        <v>Yes</v>
      </c>
      <c r="K1898" t="str">
        <f>IF(ISBLANK(Table13[[#This Row],[Rating]]), "Not Rated", IF(Table13[[#This Row],[Rating]] &lt; 3, "Low", IF(Table13[[#This Row],[Rating]] &lt; 4, "Medium", "High")))</f>
        <v>High</v>
      </c>
      <c r="L1898">
        <v>15</v>
      </c>
      <c r="M1898">
        <v>106</v>
      </c>
      <c r="N1898" t="str">
        <f>IF(Table13[[#This Row],[Price USD]]&lt;20,"Budget",IF(Table13[[#This Row],[Price USD]]&lt;=50,"Mid-range","Premium"))</f>
        <v>Premium</v>
      </c>
      <c r="O1898">
        <v>0</v>
      </c>
      <c r="P1898">
        <v>0</v>
      </c>
    </row>
    <row r="1899" spans="1:16" x14ac:dyDescent="0.25">
      <c r="A1899" t="s">
        <v>3289</v>
      </c>
      <c r="B1899" t="s">
        <v>3290</v>
      </c>
      <c r="C1899">
        <v>5857</v>
      </c>
      <c r="D1899" t="s">
        <v>433</v>
      </c>
      <c r="E1899" t="s">
        <v>21</v>
      </c>
      <c r="F1899">
        <v>6074</v>
      </c>
      <c r="G18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8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899">
        <v>4.5824999999999996</v>
      </c>
      <c r="J1899" t="str">
        <f>IF(ISBLANK(Table13[[#This Row],[Rating]]), "No", "Yes")</f>
        <v>Yes</v>
      </c>
      <c r="K1899" t="str">
        <f>IF(ISBLANK(Table13[[#This Row],[Rating]]), "Not Rated", IF(Table13[[#This Row],[Rating]] &lt; 3, "Low", IF(Table13[[#This Row],[Rating]] &lt; 4, "Medium", "High")))</f>
        <v>High</v>
      </c>
      <c r="L1899">
        <v>194</v>
      </c>
      <c r="M1899">
        <v>54</v>
      </c>
      <c r="N1899" t="str">
        <f>IF(Table13[[#This Row],[Price USD]]&lt;20,"Budget",IF(Table13[[#This Row],[Price USD]]&lt;=50,"Mid-range","Premium"))</f>
        <v>Premium</v>
      </c>
      <c r="O1899">
        <v>0</v>
      </c>
      <c r="P1899">
        <v>0</v>
      </c>
    </row>
    <row r="1900" spans="1:16" x14ac:dyDescent="0.25">
      <c r="A1900" t="s">
        <v>3287</v>
      </c>
      <c r="B1900" t="s">
        <v>3288</v>
      </c>
      <c r="C1900">
        <v>6225</v>
      </c>
      <c r="D1900" t="s">
        <v>640</v>
      </c>
      <c r="E1900" t="s">
        <v>106</v>
      </c>
      <c r="F1900">
        <v>6083</v>
      </c>
      <c r="G19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0">
        <v>4.0769000000000002</v>
      </c>
      <c r="J1900" t="str">
        <f>IF(ISBLANK(Table13[[#This Row],[Rating]]), "No", "Yes")</f>
        <v>Yes</v>
      </c>
      <c r="K1900" t="str">
        <f>IF(ISBLANK(Table13[[#This Row],[Rating]]), "Not Rated", IF(Table13[[#This Row],[Rating]] &lt; 3, "Low", IF(Table13[[#This Row],[Rating]] &lt; 4, "Medium", "High")))</f>
        <v>High</v>
      </c>
      <c r="L1900">
        <v>65</v>
      </c>
      <c r="M1900">
        <v>49</v>
      </c>
      <c r="N1900" t="str">
        <f>IF(Table13[[#This Row],[Price USD]]&lt;20,"Budget",IF(Table13[[#This Row],[Price USD]]&lt;=50,"Mid-range","Premium"))</f>
        <v>Mid-range</v>
      </c>
      <c r="O1900">
        <v>0</v>
      </c>
      <c r="P1900">
        <v>0</v>
      </c>
    </row>
    <row r="1901" spans="1:16" x14ac:dyDescent="0.25">
      <c r="A1901" t="s">
        <v>3285</v>
      </c>
      <c r="B1901" t="s">
        <v>3286</v>
      </c>
      <c r="C1901">
        <v>4372</v>
      </c>
      <c r="D1901" t="s">
        <v>1513</v>
      </c>
      <c r="E1901" t="s">
        <v>21</v>
      </c>
      <c r="F1901">
        <v>6096</v>
      </c>
      <c r="G19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1">
        <v>3.7745000000000002</v>
      </c>
      <c r="J1901" t="str">
        <f>IF(ISBLANK(Table13[[#This Row],[Rating]]), "No", "Yes")</f>
        <v>Yes</v>
      </c>
      <c r="K1901" t="str">
        <f>IF(ISBLANK(Table13[[#This Row],[Rating]]), "Not Rated", IF(Table13[[#This Row],[Rating]] &lt; 3, "Low", IF(Table13[[#This Row],[Rating]] &lt; 4, "Medium", "High")))</f>
        <v>Medium</v>
      </c>
      <c r="L1901">
        <v>102</v>
      </c>
      <c r="M1901">
        <v>67</v>
      </c>
      <c r="N1901" t="str">
        <f>IF(Table13[[#This Row],[Price USD]]&lt;20,"Budget",IF(Table13[[#This Row],[Price USD]]&lt;=50,"Mid-range","Premium"))</f>
        <v>Premium</v>
      </c>
      <c r="O1901">
        <v>0</v>
      </c>
      <c r="P1901">
        <v>0</v>
      </c>
    </row>
    <row r="1902" spans="1:16" x14ac:dyDescent="0.25">
      <c r="A1902" t="s">
        <v>3283</v>
      </c>
      <c r="B1902" t="s">
        <v>3284</v>
      </c>
      <c r="C1902">
        <v>5946</v>
      </c>
      <c r="D1902" t="s">
        <v>341</v>
      </c>
      <c r="E1902" t="s">
        <v>21</v>
      </c>
      <c r="F1902">
        <v>6101</v>
      </c>
      <c r="G19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2">
        <v>4.0349000000000004</v>
      </c>
      <c r="J1902" t="str">
        <f>IF(ISBLANK(Table13[[#This Row],[Rating]]), "No", "Yes")</f>
        <v>Yes</v>
      </c>
      <c r="K1902" t="str">
        <f>IF(ISBLANK(Table13[[#This Row],[Rating]]), "Not Rated", IF(Table13[[#This Row],[Rating]] &lt; 3, "Low", IF(Table13[[#This Row],[Rating]] &lt; 4, "Medium", "High")))</f>
        <v>High</v>
      </c>
      <c r="L1902">
        <v>86</v>
      </c>
      <c r="M1902">
        <v>98</v>
      </c>
      <c r="N1902" t="str">
        <f>IF(Table13[[#This Row],[Price USD]]&lt;20,"Budget",IF(Table13[[#This Row],[Price USD]]&lt;=50,"Mid-range","Premium"))</f>
        <v>Premium</v>
      </c>
      <c r="O1902">
        <v>0</v>
      </c>
      <c r="P1902">
        <v>0</v>
      </c>
    </row>
    <row r="1903" spans="1:16" x14ac:dyDescent="0.25">
      <c r="A1903" t="s">
        <v>3281</v>
      </c>
      <c r="B1903" t="s">
        <v>3282</v>
      </c>
      <c r="C1903">
        <v>5987</v>
      </c>
      <c r="D1903" t="s">
        <v>48</v>
      </c>
      <c r="E1903" t="s">
        <v>49</v>
      </c>
      <c r="F1903">
        <v>6119</v>
      </c>
      <c r="G19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3">
        <v>3.9582999999999999</v>
      </c>
      <c r="J1903" t="str">
        <f>IF(ISBLANK(Table13[[#This Row],[Rating]]), "No", "Yes")</f>
        <v>Yes</v>
      </c>
      <c r="K1903" t="str">
        <f>IF(ISBLANK(Table13[[#This Row],[Rating]]), "Not Rated", IF(Table13[[#This Row],[Rating]] &lt; 3, "Low", IF(Table13[[#This Row],[Rating]] &lt; 4, "Medium", "High")))</f>
        <v>Medium</v>
      </c>
      <c r="L1903">
        <v>24</v>
      </c>
      <c r="M1903">
        <v>34</v>
      </c>
      <c r="N1903" t="str">
        <f>IF(Table13[[#This Row],[Price USD]]&lt;20,"Budget",IF(Table13[[#This Row],[Price USD]]&lt;=50,"Mid-range","Premium"))</f>
        <v>Mid-range</v>
      </c>
      <c r="O1903">
        <v>0</v>
      </c>
      <c r="P1903">
        <v>0</v>
      </c>
    </row>
    <row r="1904" spans="1:16" x14ac:dyDescent="0.25">
      <c r="A1904" t="s">
        <v>3279</v>
      </c>
      <c r="B1904" t="s">
        <v>3280</v>
      </c>
      <c r="C1904">
        <v>6285</v>
      </c>
      <c r="D1904" t="s">
        <v>119</v>
      </c>
      <c r="E1904" t="s">
        <v>13</v>
      </c>
      <c r="F1904">
        <v>6148</v>
      </c>
      <c r="G19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4">
        <v>3.7722000000000002</v>
      </c>
      <c r="J1904" t="str">
        <f>IF(ISBLANK(Table13[[#This Row],[Rating]]), "No", "Yes")</f>
        <v>Yes</v>
      </c>
      <c r="K1904" t="str">
        <f>IF(ISBLANK(Table13[[#This Row],[Rating]]), "Not Rated", IF(Table13[[#This Row],[Rating]] &lt; 3, "Low", IF(Table13[[#This Row],[Rating]] &lt; 4, "Medium", "High")))</f>
        <v>Medium</v>
      </c>
      <c r="L1904">
        <v>79</v>
      </c>
      <c r="M1904">
        <v>17.989999999999998</v>
      </c>
      <c r="N1904" t="str">
        <f>IF(Table13[[#This Row],[Price USD]]&lt;20,"Budget",IF(Table13[[#This Row],[Price USD]]&lt;=50,"Mid-range","Premium"))</f>
        <v>Budget</v>
      </c>
      <c r="O1904">
        <v>0</v>
      </c>
      <c r="P1904">
        <v>0</v>
      </c>
    </row>
    <row r="1905" spans="1:16" x14ac:dyDescent="0.25">
      <c r="A1905" t="s">
        <v>3277</v>
      </c>
      <c r="B1905" t="s">
        <v>3278</v>
      </c>
      <c r="C1905">
        <v>2366</v>
      </c>
      <c r="D1905" t="s">
        <v>2276</v>
      </c>
      <c r="E1905" t="s">
        <v>21</v>
      </c>
      <c r="F1905">
        <v>6151</v>
      </c>
      <c r="G19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5">
        <v>3.8805000000000001</v>
      </c>
      <c r="J1905" t="str">
        <f>IF(ISBLANK(Table13[[#This Row],[Rating]]), "No", "Yes")</f>
        <v>Yes</v>
      </c>
      <c r="K1905" t="str">
        <f>IF(ISBLANK(Table13[[#This Row],[Rating]]), "Not Rated", IF(Table13[[#This Row],[Rating]] &lt; 3, "Low", IF(Table13[[#This Row],[Rating]] &lt; 4, "Medium", "High")))</f>
        <v>Medium</v>
      </c>
      <c r="L1905">
        <v>159</v>
      </c>
      <c r="M1905">
        <v>115</v>
      </c>
      <c r="N1905" t="str">
        <f>IF(Table13[[#This Row],[Price USD]]&lt;20,"Budget",IF(Table13[[#This Row],[Price USD]]&lt;=50,"Mid-range","Premium"))</f>
        <v>Premium</v>
      </c>
      <c r="O1905">
        <v>0</v>
      </c>
      <c r="P1905">
        <v>0</v>
      </c>
    </row>
    <row r="1906" spans="1:16" x14ac:dyDescent="0.25">
      <c r="A1906" t="s">
        <v>3275</v>
      </c>
      <c r="B1906" t="s">
        <v>3276</v>
      </c>
      <c r="C1906">
        <v>5337</v>
      </c>
      <c r="D1906" t="s">
        <v>209</v>
      </c>
      <c r="E1906" t="s">
        <v>21</v>
      </c>
      <c r="F1906">
        <v>6154</v>
      </c>
      <c r="G19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6">
        <v>3.4847999999999999</v>
      </c>
      <c r="J1906" t="str">
        <f>IF(ISBLANK(Table13[[#This Row],[Rating]]), "No", "Yes")</f>
        <v>Yes</v>
      </c>
      <c r="K1906" t="str">
        <f>IF(ISBLANK(Table13[[#This Row],[Rating]]), "Not Rated", IF(Table13[[#This Row],[Rating]] &lt; 3, "Low", IF(Table13[[#This Row],[Rating]] &lt; 4, "Medium", "High")))</f>
        <v>Medium</v>
      </c>
      <c r="L1906">
        <v>33</v>
      </c>
      <c r="M1906">
        <v>75</v>
      </c>
      <c r="N1906" t="str">
        <f>IF(Table13[[#This Row],[Price USD]]&lt;20,"Budget",IF(Table13[[#This Row],[Price USD]]&lt;=50,"Mid-range","Premium"))</f>
        <v>Premium</v>
      </c>
      <c r="O1906">
        <v>0</v>
      </c>
      <c r="P1906">
        <v>0</v>
      </c>
    </row>
    <row r="1907" spans="1:16" x14ac:dyDescent="0.25">
      <c r="A1907" t="s">
        <v>3271</v>
      </c>
      <c r="B1907" t="s">
        <v>3272</v>
      </c>
      <c r="C1907">
        <v>6373</v>
      </c>
      <c r="D1907" t="s">
        <v>1652</v>
      </c>
      <c r="E1907" t="s">
        <v>21</v>
      </c>
      <c r="F1907">
        <v>6166</v>
      </c>
      <c r="G19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7">
        <v>4.4061000000000003</v>
      </c>
      <c r="J1907" t="str">
        <f>IF(ISBLANK(Table13[[#This Row],[Rating]]), "No", "Yes")</f>
        <v>Yes</v>
      </c>
      <c r="K1907" t="str">
        <f>IF(ISBLANK(Table13[[#This Row],[Rating]]), "Not Rated", IF(Table13[[#This Row],[Rating]] &lt; 3, "Low", IF(Table13[[#This Row],[Rating]] &lt; 4, "Medium", "High")))</f>
        <v>High</v>
      </c>
      <c r="L1907">
        <v>229</v>
      </c>
      <c r="M1907">
        <v>56</v>
      </c>
      <c r="N1907" t="str">
        <f>IF(Table13[[#This Row],[Price USD]]&lt;20,"Budget",IF(Table13[[#This Row],[Price USD]]&lt;=50,"Mid-range","Premium"))</f>
        <v>Premium</v>
      </c>
      <c r="O1907">
        <v>0</v>
      </c>
      <c r="P1907">
        <v>0</v>
      </c>
    </row>
    <row r="1908" spans="1:16" x14ac:dyDescent="0.25">
      <c r="A1908" t="s">
        <v>3273</v>
      </c>
      <c r="B1908" t="s">
        <v>3274</v>
      </c>
      <c r="C1908">
        <v>6358</v>
      </c>
      <c r="D1908" t="s">
        <v>2301</v>
      </c>
      <c r="E1908" t="s">
        <v>149</v>
      </c>
      <c r="F1908">
        <v>6166</v>
      </c>
      <c r="G19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8">
        <v>4.4893999999999998</v>
      </c>
      <c r="J1908" t="str">
        <f>IF(ISBLANK(Table13[[#This Row],[Rating]]), "No", "Yes")</f>
        <v>Yes</v>
      </c>
      <c r="K1908" t="str">
        <f>IF(ISBLANK(Table13[[#This Row],[Rating]]), "Not Rated", IF(Table13[[#This Row],[Rating]] &lt; 3, "Low", IF(Table13[[#This Row],[Rating]] &lt; 4, "Medium", "High")))</f>
        <v>High</v>
      </c>
      <c r="L1908">
        <v>47</v>
      </c>
      <c r="M1908">
        <v>72</v>
      </c>
      <c r="N1908" t="str">
        <f>IF(Table13[[#This Row],[Price USD]]&lt;20,"Budget",IF(Table13[[#This Row],[Price USD]]&lt;=50,"Mid-range","Premium"))</f>
        <v>Premium</v>
      </c>
      <c r="O1908">
        <v>0</v>
      </c>
      <c r="P1908">
        <v>0</v>
      </c>
    </row>
    <row r="1909" spans="1:16" x14ac:dyDescent="0.25">
      <c r="A1909" t="s">
        <v>3269</v>
      </c>
      <c r="B1909" t="s">
        <v>3270</v>
      </c>
      <c r="C1909">
        <v>3297</v>
      </c>
      <c r="D1909" t="s">
        <v>238</v>
      </c>
      <c r="E1909" t="s">
        <v>4</v>
      </c>
      <c r="F1909">
        <v>6167</v>
      </c>
      <c r="G19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09">
        <v>4.8947000000000003</v>
      </c>
      <c r="J1909" t="str">
        <f>IF(ISBLANK(Table13[[#This Row],[Rating]]), "No", "Yes")</f>
        <v>Yes</v>
      </c>
      <c r="K1909" t="str">
        <f>IF(ISBLANK(Table13[[#This Row],[Rating]]), "Not Rated", IF(Table13[[#This Row],[Rating]] &lt; 3, "Low", IF(Table13[[#This Row],[Rating]] &lt; 4, "Medium", "High")))</f>
        <v>High</v>
      </c>
      <c r="L1909">
        <v>19</v>
      </c>
      <c r="M1909">
        <v>13</v>
      </c>
      <c r="N1909" t="str">
        <f>IF(Table13[[#This Row],[Price USD]]&lt;20,"Budget",IF(Table13[[#This Row],[Price USD]]&lt;=50,"Mid-range","Premium"))</f>
        <v>Budget</v>
      </c>
      <c r="O1909">
        <v>0</v>
      </c>
      <c r="P1909">
        <v>0</v>
      </c>
    </row>
    <row r="1910" spans="1:16" x14ac:dyDescent="0.25">
      <c r="A1910" t="s">
        <v>3266</v>
      </c>
      <c r="B1910" t="s">
        <v>3267</v>
      </c>
      <c r="C1910">
        <v>6331</v>
      </c>
      <c r="D1910" t="s">
        <v>3268</v>
      </c>
      <c r="E1910" t="s">
        <v>106</v>
      </c>
      <c r="F1910">
        <v>6187</v>
      </c>
      <c r="G19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0">
        <v>4.2702999999999998</v>
      </c>
      <c r="J1910" t="str">
        <f>IF(ISBLANK(Table13[[#This Row],[Rating]]), "No", "Yes")</f>
        <v>Yes</v>
      </c>
      <c r="K1910" t="str">
        <f>IF(ISBLANK(Table13[[#This Row],[Rating]]), "Not Rated", IF(Table13[[#This Row],[Rating]] &lt; 3, "Low", IF(Table13[[#This Row],[Rating]] &lt; 4, "Medium", "High")))</f>
        <v>High</v>
      </c>
      <c r="L1910">
        <v>37</v>
      </c>
      <c r="M1910">
        <v>29</v>
      </c>
      <c r="N1910" t="str">
        <f>IF(Table13[[#This Row],[Price USD]]&lt;20,"Budget",IF(Table13[[#This Row],[Price USD]]&lt;=50,"Mid-range","Premium"))</f>
        <v>Mid-range</v>
      </c>
      <c r="O1910">
        <v>0</v>
      </c>
      <c r="P1910">
        <v>0</v>
      </c>
    </row>
    <row r="1911" spans="1:16" x14ac:dyDescent="0.25">
      <c r="A1911" t="s">
        <v>3264</v>
      </c>
      <c r="B1911" t="s">
        <v>3265</v>
      </c>
      <c r="C1911">
        <v>6334</v>
      </c>
      <c r="D1911" t="s">
        <v>2819</v>
      </c>
      <c r="E1911" t="s">
        <v>220</v>
      </c>
      <c r="F1911">
        <v>6191</v>
      </c>
      <c r="G19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1">
        <v>4.5084</v>
      </c>
      <c r="J1911" t="str">
        <f>IF(ISBLANK(Table13[[#This Row],[Rating]]), "No", "Yes")</f>
        <v>Yes</v>
      </c>
      <c r="K1911" t="str">
        <f>IF(ISBLANK(Table13[[#This Row],[Rating]]), "Not Rated", IF(Table13[[#This Row],[Rating]] &lt; 3, "Low", IF(Table13[[#This Row],[Rating]] &lt; 4, "Medium", "High")))</f>
        <v>High</v>
      </c>
      <c r="L1911">
        <v>297</v>
      </c>
      <c r="M1911">
        <v>35</v>
      </c>
      <c r="N1911" t="str">
        <f>IF(Table13[[#This Row],[Price USD]]&lt;20,"Budget",IF(Table13[[#This Row],[Price USD]]&lt;=50,"Mid-range","Premium"))</f>
        <v>Mid-range</v>
      </c>
      <c r="O1911">
        <v>0</v>
      </c>
      <c r="P1911">
        <v>0</v>
      </c>
    </row>
    <row r="1912" spans="1:16" x14ac:dyDescent="0.25">
      <c r="A1912" t="s">
        <v>3262</v>
      </c>
      <c r="B1912" t="s">
        <v>3263</v>
      </c>
      <c r="C1912">
        <v>5337</v>
      </c>
      <c r="D1912" t="s">
        <v>209</v>
      </c>
      <c r="E1912" t="s">
        <v>21</v>
      </c>
      <c r="F1912">
        <v>6215</v>
      </c>
      <c r="G19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2">
        <v>4.6036999999999999</v>
      </c>
      <c r="J1912" t="str">
        <f>IF(ISBLANK(Table13[[#This Row],[Rating]]), "No", "Yes")</f>
        <v>Yes</v>
      </c>
      <c r="K1912" t="str">
        <f>IF(ISBLANK(Table13[[#This Row],[Rating]]), "Not Rated", IF(Table13[[#This Row],[Rating]] &lt; 3, "Low", IF(Table13[[#This Row],[Rating]] &lt; 4, "Medium", "High")))</f>
        <v>High</v>
      </c>
      <c r="L1912">
        <v>164</v>
      </c>
      <c r="M1912">
        <v>75</v>
      </c>
      <c r="N1912" t="str">
        <f>IF(Table13[[#This Row],[Price USD]]&lt;20,"Budget",IF(Table13[[#This Row],[Price USD]]&lt;=50,"Mid-range","Premium"))</f>
        <v>Premium</v>
      </c>
      <c r="O1912">
        <v>0</v>
      </c>
      <c r="P1912">
        <v>0</v>
      </c>
    </row>
    <row r="1913" spans="1:16" x14ac:dyDescent="0.25">
      <c r="A1913" t="s">
        <v>3260</v>
      </c>
      <c r="B1913" t="s">
        <v>3261</v>
      </c>
      <c r="C1913">
        <v>3728</v>
      </c>
      <c r="D1913" t="s">
        <v>458</v>
      </c>
      <c r="E1913" t="s">
        <v>8</v>
      </c>
      <c r="F1913">
        <v>6220</v>
      </c>
      <c r="G19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3">
        <v>4.3836000000000004</v>
      </c>
      <c r="J1913" t="str">
        <f>IF(ISBLANK(Table13[[#This Row],[Rating]]), "No", "Yes")</f>
        <v>Yes</v>
      </c>
      <c r="K1913" t="str">
        <f>IF(ISBLANK(Table13[[#This Row],[Rating]]), "Not Rated", IF(Table13[[#This Row],[Rating]] &lt; 3, "Low", IF(Table13[[#This Row],[Rating]] &lt; 4, "Medium", "High")))</f>
        <v>High</v>
      </c>
      <c r="L1913">
        <v>438</v>
      </c>
      <c r="M1913">
        <v>58</v>
      </c>
      <c r="N1913" t="str">
        <f>IF(Table13[[#This Row],[Price USD]]&lt;20,"Budget",IF(Table13[[#This Row],[Price USD]]&lt;=50,"Mid-range","Premium"))</f>
        <v>Premium</v>
      </c>
      <c r="O1913">
        <v>0</v>
      </c>
      <c r="P1913">
        <v>0</v>
      </c>
    </row>
    <row r="1914" spans="1:16" x14ac:dyDescent="0.25">
      <c r="A1914" t="s">
        <v>3258</v>
      </c>
      <c r="B1914" t="s">
        <v>3259</v>
      </c>
      <c r="C1914">
        <v>1132</v>
      </c>
      <c r="D1914" t="s">
        <v>1319</v>
      </c>
      <c r="E1914" t="s">
        <v>144</v>
      </c>
      <c r="F1914">
        <v>6222</v>
      </c>
      <c r="G19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4">
        <v>4.3464999999999998</v>
      </c>
      <c r="J1914" t="str">
        <f>IF(ISBLANK(Table13[[#This Row],[Rating]]), "No", "Yes")</f>
        <v>Yes</v>
      </c>
      <c r="K1914" t="str">
        <f>IF(ISBLANK(Table13[[#This Row],[Rating]]), "Not Rated", IF(Table13[[#This Row],[Rating]] &lt; 3, "Low", IF(Table13[[#This Row],[Rating]] &lt; 4, "Medium", "High")))</f>
        <v>High</v>
      </c>
      <c r="L1914">
        <v>1215</v>
      </c>
      <c r="M1914">
        <v>55</v>
      </c>
      <c r="N1914" t="str">
        <f>IF(Table13[[#This Row],[Price USD]]&lt;20,"Budget",IF(Table13[[#This Row],[Price USD]]&lt;=50,"Mid-range","Premium"))</f>
        <v>Premium</v>
      </c>
      <c r="O1914">
        <v>0</v>
      </c>
      <c r="P1914">
        <v>0</v>
      </c>
    </row>
    <row r="1915" spans="1:16" x14ac:dyDescent="0.25">
      <c r="A1915" t="s">
        <v>3256</v>
      </c>
      <c r="B1915" t="s">
        <v>3257</v>
      </c>
      <c r="C1915">
        <v>6310</v>
      </c>
      <c r="D1915" t="s">
        <v>3083</v>
      </c>
      <c r="E1915" t="s">
        <v>21</v>
      </c>
      <c r="F1915">
        <v>6228</v>
      </c>
      <c r="G19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5">
        <v>4.5301999999999998</v>
      </c>
      <c r="J1915" t="str">
        <f>IF(ISBLANK(Table13[[#This Row],[Rating]]), "No", "Yes")</f>
        <v>Yes</v>
      </c>
      <c r="K1915" t="str">
        <f>IF(ISBLANK(Table13[[#This Row],[Rating]]), "Not Rated", IF(Table13[[#This Row],[Rating]] &lt; 3, "Low", IF(Table13[[#This Row],[Rating]] &lt; 4, "Medium", "High")))</f>
        <v>High</v>
      </c>
      <c r="L1915">
        <v>381</v>
      </c>
      <c r="M1915">
        <v>68</v>
      </c>
      <c r="N1915" t="str">
        <f>IF(Table13[[#This Row],[Price USD]]&lt;20,"Budget",IF(Table13[[#This Row],[Price USD]]&lt;=50,"Mid-range","Premium"))</f>
        <v>Premium</v>
      </c>
      <c r="O1915">
        <v>0</v>
      </c>
      <c r="P1915">
        <v>1</v>
      </c>
    </row>
    <row r="1916" spans="1:16" x14ac:dyDescent="0.25">
      <c r="A1916" t="s">
        <v>3254</v>
      </c>
      <c r="B1916" t="s">
        <v>3255</v>
      </c>
      <c r="C1916">
        <v>6209</v>
      </c>
      <c r="D1916" t="s">
        <v>45</v>
      </c>
      <c r="E1916" t="s">
        <v>220</v>
      </c>
      <c r="F1916">
        <v>6248</v>
      </c>
      <c r="G19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6">
        <v>4.7073</v>
      </c>
      <c r="J1916" t="str">
        <f>IF(ISBLANK(Table13[[#This Row],[Rating]]), "No", "Yes")</f>
        <v>Yes</v>
      </c>
      <c r="K1916" t="str">
        <f>IF(ISBLANK(Table13[[#This Row],[Rating]]), "Not Rated", IF(Table13[[#This Row],[Rating]] &lt; 3, "Low", IF(Table13[[#This Row],[Rating]] &lt; 4, "Medium", "High")))</f>
        <v>High</v>
      </c>
      <c r="L1916">
        <v>82</v>
      </c>
      <c r="M1916">
        <v>19</v>
      </c>
      <c r="N1916" t="str">
        <f>IF(Table13[[#This Row],[Price USD]]&lt;20,"Budget",IF(Table13[[#This Row],[Price USD]]&lt;=50,"Mid-range","Premium"))</f>
        <v>Budget</v>
      </c>
      <c r="O1916">
        <v>0</v>
      </c>
      <c r="P1916">
        <v>0</v>
      </c>
    </row>
    <row r="1917" spans="1:16" x14ac:dyDescent="0.25">
      <c r="A1917" t="s">
        <v>3252</v>
      </c>
      <c r="B1917" t="s">
        <v>3253</v>
      </c>
      <c r="C1917">
        <v>6201</v>
      </c>
      <c r="D1917" t="s">
        <v>367</v>
      </c>
      <c r="E1917" t="s">
        <v>69</v>
      </c>
      <c r="F1917">
        <v>6256</v>
      </c>
      <c r="G19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7">
        <v>4.4570999999999996</v>
      </c>
      <c r="J1917" t="str">
        <f>IF(ISBLANK(Table13[[#This Row],[Rating]]), "No", "Yes")</f>
        <v>Yes</v>
      </c>
      <c r="K1917" t="str">
        <f>IF(ISBLANK(Table13[[#This Row],[Rating]]), "Not Rated", IF(Table13[[#This Row],[Rating]] &lt; 3, "Low", IF(Table13[[#This Row],[Rating]] &lt; 4, "Medium", "High")))</f>
        <v>High</v>
      </c>
      <c r="L1917">
        <v>35</v>
      </c>
      <c r="M1917">
        <v>200</v>
      </c>
      <c r="N1917" t="str">
        <f>IF(Table13[[#This Row],[Price USD]]&lt;20,"Budget",IF(Table13[[#This Row],[Price USD]]&lt;=50,"Mid-range","Premium"))</f>
        <v>Premium</v>
      </c>
      <c r="O1917">
        <v>0</v>
      </c>
      <c r="P1917">
        <v>0</v>
      </c>
    </row>
    <row r="1918" spans="1:16" x14ac:dyDescent="0.25">
      <c r="A1918" t="s">
        <v>3250</v>
      </c>
      <c r="B1918" t="s">
        <v>3251</v>
      </c>
      <c r="C1918">
        <v>6335</v>
      </c>
      <c r="D1918" t="s">
        <v>2128</v>
      </c>
      <c r="E1918" t="s">
        <v>13</v>
      </c>
      <c r="F1918">
        <v>6260</v>
      </c>
      <c r="G19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8">
        <v>4.0991999999999997</v>
      </c>
      <c r="J1918" t="str">
        <f>IF(ISBLANK(Table13[[#This Row],[Rating]]), "No", "Yes")</f>
        <v>Yes</v>
      </c>
      <c r="K1918" t="str">
        <f>IF(ISBLANK(Table13[[#This Row],[Rating]]), "Not Rated", IF(Table13[[#This Row],[Rating]] &lt; 3, "Low", IF(Table13[[#This Row],[Rating]] &lt; 4, "Medium", "High")))</f>
        <v>High</v>
      </c>
      <c r="L1918">
        <v>363</v>
      </c>
      <c r="M1918">
        <v>39</v>
      </c>
      <c r="N1918" t="str">
        <f>IF(Table13[[#This Row],[Price USD]]&lt;20,"Budget",IF(Table13[[#This Row],[Price USD]]&lt;=50,"Mid-range","Premium"))</f>
        <v>Mid-range</v>
      </c>
      <c r="O1918">
        <v>0</v>
      </c>
      <c r="P1918">
        <v>0</v>
      </c>
    </row>
    <row r="1919" spans="1:16" x14ac:dyDescent="0.25">
      <c r="A1919" t="s">
        <v>3248</v>
      </c>
      <c r="B1919" t="s">
        <v>3249</v>
      </c>
      <c r="C1919">
        <v>6302</v>
      </c>
      <c r="D1919" t="s">
        <v>2721</v>
      </c>
      <c r="E1919" t="s">
        <v>13</v>
      </c>
      <c r="F1919">
        <v>6271</v>
      </c>
      <c r="G19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19">
        <v>4.2</v>
      </c>
      <c r="J1919" t="str">
        <f>IF(ISBLANK(Table13[[#This Row],[Rating]]), "No", "Yes")</f>
        <v>Yes</v>
      </c>
      <c r="K1919" t="str">
        <f>IF(ISBLANK(Table13[[#This Row],[Rating]]), "Not Rated", IF(Table13[[#This Row],[Rating]] &lt; 3, "Low", IF(Table13[[#This Row],[Rating]] &lt; 4, "Medium", "High")))</f>
        <v>High</v>
      </c>
      <c r="L1919">
        <v>70</v>
      </c>
      <c r="M1919">
        <v>75</v>
      </c>
      <c r="N1919" t="str">
        <f>IF(Table13[[#This Row],[Price USD]]&lt;20,"Budget",IF(Table13[[#This Row],[Price USD]]&lt;=50,"Mid-range","Premium"))</f>
        <v>Premium</v>
      </c>
      <c r="O1919">
        <v>0</v>
      </c>
      <c r="P1919">
        <v>0</v>
      </c>
    </row>
    <row r="1920" spans="1:16" x14ac:dyDescent="0.25">
      <c r="A1920" t="s">
        <v>3245</v>
      </c>
      <c r="B1920" t="s">
        <v>3246</v>
      </c>
      <c r="C1920">
        <v>6303</v>
      </c>
      <c r="D1920" t="s">
        <v>3247</v>
      </c>
      <c r="E1920" t="s">
        <v>8</v>
      </c>
      <c r="F1920">
        <v>6274</v>
      </c>
      <c r="G19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0">
        <v>4.4459</v>
      </c>
      <c r="J1920" t="str">
        <f>IF(ISBLANK(Table13[[#This Row],[Rating]]), "No", "Yes")</f>
        <v>Yes</v>
      </c>
      <c r="K1920" t="str">
        <f>IF(ISBLANK(Table13[[#This Row],[Rating]]), "Not Rated", IF(Table13[[#This Row],[Rating]] &lt; 3, "Low", IF(Table13[[#This Row],[Rating]] &lt; 4, "Medium", "High")))</f>
        <v>High</v>
      </c>
      <c r="L1920">
        <v>148</v>
      </c>
      <c r="M1920">
        <v>105</v>
      </c>
      <c r="N1920" t="str">
        <f>IF(Table13[[#This Row],[Price USD]]&lt;20,"Budget",IF(Table13[[#This Row],[Price USD]]&lt;=50,"Mid-range","Premium"))</f>
        <v>Premium</v>
      </c>
      <c r="O1920">
        <v>0</v>
      </c>
      <c r="P1920">
        <v>0</v>
      </c>
    </row>
    <row r="1921" spans="1:16" x14ac:dyDescent="0.25">
      <c r="A1921" t="s">
        <v>3243</v>
      </c>
      <c r="B1921" t="s">
        <v>3244</v>
      </c>
      <c r="C1921">
        <v>5987</v>
      </c>
      <c r="D1921" t="s">
        <v>48</v>
      </c>
      <c r="E1921" t="s">
        <v>49</v>
      </c>
      <c r="F1921">
        <v>6277</v>
      </c>
      <c r="G19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1">
        <v>3.3683999999999998</v>
      </c>
      <c r="J1921" t="str">
        <f>IF(ISBLANK(Table13[[#This Row],[Rating]]), "No", "Yes")</f>
        <v>Yes</v>
      </c>
      <c r="K1921" t="str">
        <f>IF(ISBLANK(Table13[[#This Row],[Rating]]), "Not Rated", IF(Table13[[#This Row],[Rating]] &lt; 3, "Low", IF(Table13[[#This Row],[Rating]] &lt; 4, "Medium", "High")))</f>
        <v>Medium</v>
      </c>
      <c r="L1921">
        <v>19</v>
      </c>
      <c r="M1921">
        <v>21</v>
      </c>
      <c r="N1921" t="str">
        <f>IF(Table13[[#This Row],[Price USD]]&lt;20,"Budget",IF(Table13[[#This Row],[Price USD]]&lt;=50,"Mid-range","Premium"))</f>
        <v>Mid-range</v>
      </c>
      <c r="O1921">
        <v>0</v>
      </c>
      <c r="P1921">
        <v>0</v>
      </c>
    </row>
    <row r="1922" spans="1:16" x14ac:dyDescent="0.25">
      <c r="A1922" t="s">
        <v>3241</v>
      </c>
      <c r="B1922" t="s">
        <v>3242</v>
      </c>
      <c r="C1922">
        <v>8017</v>
      </c>
      <c r="D1922" t="s">
        <v>620</v>
      </c>
      <c r="E1922" t="s">
        <v>13</v>
      </c>
      <c r="F1922">
        <v>6291</v>
      </c>
      <c r="G19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2">
        <v>3.75</v>
      </c>
      <c r="J1922" t="str">
        <f>IF(ISBLANK(Table13[[#This Row],[Rating]]), "No", "Yes")</f>
        <v>Yes</v>
      </c>
      <c r="K1922" t="str">
        <f>IF(ISBLANK(Table13[[#This Row],[Rating]]), "Not Rated", IF(Table13[[#This Row],[Rating]] &lt; 3, "Low", IF(Table13[[#This Row],[Rating]] &lt; 4, "Medium", "High")))</f>
        <v>Medium</v>
      </c>
      <c r="L1922">
        <v>72</v>
      </c>
      <c r="M1922">
        <v>14</v>
      </c>
      <c r="N1922" t="str">
        <f>IF(Table13[[#This Row],[Price USD]]&lt;20,"Budget",IF(Table13[[#This Row],[Price USD]]&lt;=50,"Mid-range","Premium"))</f>
        <v>Budget</v>
      </c>
      <c r="O1922">
        <v>0</v>
      </c>
      <c r="P1922">
        <v>0</v>
      </c>
    </row>
    <row r="1923" spans="1:16" x14ac:dyDescent="0.25">
      <c r="A1923" t="s">
        <v>3239</v>
      </c>
      <c r="B1923" t="s">
        <v>3240</v>
      </c>
      <c r="C1923">
        <v>4348</v>
      </c>
      <c r="D1923" t="s">
        <v>61</v>
      </c>
      <c r="E1923" t="s">
        <v>21</v>
      </c>
      <c r="F1923">
        <v>6292</v>
      </c>
      <c r="G19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3">
        <v>4.8433999999999999</v>
      </c>
      <c r="J1923" t="str">
        <f>IF(ISBLANK(Table13[[#This Row],[Rating]]), "No", "Yes")</f>
        <v>Yes</v>
      </c>
      <c r="K1923" t="str">
        <f>IF(ISBLANK(Table13[[#This Row],[Rating]]), "Not Rated", IF(Table13[[#This Row],[Rating]] &lt; 3, "Low", IF(Table13[[#This Row],[Rating]] &lt; 4, "Medium", "High")))</f>
        <v>High</v>
      </c>
      <c r="L1923">
        <v>1386</v>
      </c>
      <c r="M1923">
        <v>95</v>
      </c>
      <c r="N1923" t="str">
        <f>IF(Table13[[#This Row],[Price USD]]&lt;20,"Budget",IF(Table13[[#This Row],[Price USD]]&lt;=50,"Mid-range","Premium"))</f>
        <v>Premium</v>
      </c>
      <c r="O1923">
        <v>0</v>
      </c>
      <c r="P1923">
        <v>0</v>
      </c>
    </row>
    <row r="1924" spans="1:16" x14ac:dyDescent="0.25">
      <c r="A1924" t="s">
        <v>3235</v>
      </c>
      <c r="B1924" t="s">
        <v>3236</v>
      </c>
      <c r="C1924">
        <v>7091</v>
      </c>
      <c r="D1924" t="s">
        <v>879</v>
      </c>
      <c r="E1924" t="s">
        <v>4</v>
      </c>
      <c r="F1924">
        <v>6293</v>
      </c>
      <c r="G19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4">
        <v>2.4211</v>
      </c>
      <c r="J1924" t="str">
        <f>IF(ISBLANK(Table13[[#This Row],[Rating]]), "No", "Yes")</f>
        <v>Yes</v>
      </c>
      <c r="K1924" t="str">
        <f>IF(ISBLANK(Table13[[#This Row],[Rating]]), "Not Rated", IF(Table13[[#This Row],[Rating]] &lt; 3, "Low", IF(Table13[[#This Row],[Rating]] &lt; 4, "Medium", "High")))</f>
        <v>Low</v>
      </c>
      <c r="L1924">
        <v>19</v>
      </c>
      <c r="M1924">
        <v>18</v>
      </c>
      <c r="N1924" t="str">
        <f>IF(Table13[[#This Row],[Price USD]]&lt;20,"Budget",IF(Table13[[#This Row],[Price USD]]&lt;=50,"Mid-range","Premium"))</f>
        <v>Budget</v>
      </c>
      <c r="O1924">
        <v>0</v>
      </c>
      <c r="P1924">
        <v>0</v>
      </c>
    </row>
    <row r="1925" spans="1:16" x14ac:dyDescent="0.25">
      <c r="A1925" t="s">
        <v>3237</v>
      </c>
      <c r="B1925" t="s">
        <v>3238</v>
      </c>
      <c r="C1925">
        <v>6089</v>
      </c>
      <c r="D1925" t="s">
        <v>605</v>
      </c>
      <c r="E1925" t="s">
        <v>69</v>
      </c>
      <c r="F1925">
        <v>6293</v>
      </c>
      <c r="G19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5">
        <v>4.25</v>
      </c>
      <c r="J1925" t="str">
        <f>IF(ISBLANK(Table13[[#This Row],[Rating]]), "No", "Yes")</f>
        <v>Yes</v>
      </c>
      <c r="K1925" t="str">
        <f>IF(ISBLANK(Table13[[#This Row],[Rating]]), "Not Rated", IF(Table13[[#This Row],[Rating]] &lt; 3, "Low", IF(Table13[[#This Row],[Rating]] &lt; 4, "Medium", "High")))</f>
        <v>High</v>
      </c>
      <c r="L1925">
        <v>24</v>
      </c>
      <c r="M1925">
        <v>75</v>
      </c>
      <c r="N1925" t="str">
        <f>IF(Table13[[#This Row],[Price USD]]&lt;20,"Budget",IF(Table13[[#This Row],[Price USD]]&lt;=50,"Mid-range","Premium"))</f>
        <v>Premium</v>
      </c>
      <c r="O1925">
        <v>0</v>
      </c>
      <c r="P1925">
        <v>0</v>
      </c>
    </row>
    <row r="1926" spans="1:16" x14ac:dyDescent="0.25">
      <c r="A1926" t="s">
        <v>3232</v>
      </c>
      <c r="B1926" t="s">
        <v>3233</v>
      </c>
      <c r="C1926">
        <v>6375</v>
      </c>
      <c r="D1926" t="s">
        <v>3234</v>
      </c>
      <c r="E1926" t="s">
        <v>201</v>
      </c>
      <c r="F1926">
        <v>6299</v>
      </c>
      <c r="G19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6">
        <v>4.5999999999999996</v>
      </c>
      <c r="J1926" t="str">
        <f>IF(ISBLANK(Table13[[#This Row],[Rating]]), "No", "Yes")</f>
        <v>Yes</v>
      </c>
      <c r="K1926" t="str">
        <f>IF(ISBLANK(Table13[[#This Row],[Rating]]), "Not Rated", IF(Table13[[#This Row],[Rating]] &lt; 3, "Low", IF(Table13[[#This Row],[Rating]] &lt; 4, "Medium", "High")))</f>
        <v>High</v>
      </c>
      <c r="L1926">
        <v>25</v>
      </c>
      <c r="M1926">
        <v>18</v>
      </c>
      <c r="N1926" t="str">
        <f>IF(Table13[[#This Row],[Price USD]]&lt;20,"Budget",IF(Table13[[#This Row],[Price USD]]&lt;=50,"Mid-range","Premium"))</f>
        <v>Budget</v>
      </c>
      <c r="O1926">
        <v>0</v>
      </c>
      <c r="P1926">
        <v>0</v>
      </c>
    </row>
    <row r="1927" spans="1:16" x14ac:dyDescent="0.25">
      <c r="A1927" t="s">
        <v>3230</v>
      </c>
      <c r="B1927" t="s">
        <v>3231</v>
      </c>
      <c r="C1927">
        <v>6089</v>
      </c>
      <c r="D1927" t="s">
        <v>605</v>
      </c>
      <c r="E1927" t="s">
        <v>21</v>
      </c>
      <c r="F1927">
        <v>6300</v>
      </c>
      <c r="G19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7">
        <v>4.3154000000000003</v>
      </c>
      <c r="J1927" t="str">
        <f>IF(ISBLANK(Table13[[#This Row],[Rating]]), "No", "Yes")</f>
        <v>Yes</v>
      </c>
      <c r="K1927" t="str">
        <f>IF(ISBLANK(Table13[[#This Row],[Rating]]), "Not Rated", IF(Table13[[#This Row],[Rating]] &lt; 3, "Low", IF(Table13[[#This Row],[Rating]] &lt; 4, "Medium", "High")))</f>
        <v>High</v>
      </c>
      <c r="L1927">
        <v>298</v>
      </c>
      <c r="M1927">
        <v>36</v>
      </c>
      <c r="N1927" t="str">
        <f>IF(Table13[[#This Row],[Price USD]]&lt;20,"Budget",IF(Table13[[#This Row],[Price USD]]&lt;=50,"Mid-range","Premium"))</f>
        <v>Mid-range</v>
      </c>
      <c r="O1927">
        <v>0</v>
      </c>
      <c r="P1927">
        <v>0</v>
      </c>
    </row>
    <row r="1928" spans="1:16" x14ac:dyDescent="0.25">
      <c r="A1928" t="s">
        <v>3228</v>
      </c>
      <c r="B1928" t="s">
        <v>3229</v>
      </c>
      <c r="C1928">
        <v>6201</v>
      </c>
      <c r="D1928" t="s">
        <v>367</v>
      </c>
      <c r="E1928" t="s">
        <v>144</v>
      </c>
      <c r="F1928">
        <v>6304</v>
      </c>
      <c r="G19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8">
        <v>4.3076999999999996</v>
      </c>
      <c r="J1928" t="str">
        <f>IF(ISBLANK(Table13[[#This Row],[Rating]]), "No", "Yes")</f>
        <v>Yes</v>
      </c>
      <c r="K1928" t="str">
        <f>IF(ISBLANK(Table13[[#This Row],[Rating]]), "Not Rated", IF(Table13[[#This Row],[Rating]] &lt; 3, "Low", IF(Table13[[#This Row],[Rating]] &lt; 4, "Medium", "High")))</f>
        <v>High</v>
      </c>
      <c r="L1928">
        <v>13</v>
      </c>
      <c r="M1928">
        <v>145</v>
      </c>
      <c r="N1928" t="str">
        <f>IF(Table13[[#This Row],[Price USD]]&lt;20,"Budget",IF(Table13[[#This Row],[Price USD]]&lt;=50,"Mid-range","Premium"))</f>
        <v>Premium</v>
      </c>
      <c r="O1928">
        <v>0</v>
      </c>
      <c r="P1928">
        <v>0</v>
      </c>
    </row>
    <row r="1929" spans="1:16" x14ac:dyDescent="0.25">
      <c r="A1929" t="s">
        <v>3226</v>
      </c>
      <c r="B1929" t="s">
        <v>3227</v>
      </c>
      <c r="C1929">
        <v>5668</v>
      </c>
      <c r="D1929" t="s">
        <v>93</v>
      </c>
      <c r="E1929" t="s">
        <v>144</v>
      </c>
      <c r="F1929">
        <v>6308</v>
      </c>
      <c r="G19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29">
        <v>2.8824000000000001</v>
      </c>
      <c r="J1929" t="str">
        <f>IF(ISBLANK(Table13[[#This Row],[Rating]]), "No", "Yes")</f>
        <v>Yes</v>
      </c>
      <c r="K1929" t="str">
        <f>IF(ISBLANK(Table13[[#This Row],[Rating]]), "Not Rated", IF(Table13[[#This Row],[Rating]] &lt; 3, "Low", IF(Table13[[#This Row],[Rating]] &lt; 4, "Medium", "High")))</f>
        <v>Low</v>
      </c>
      <c r="L1929">
        <v>17</v>
      </c>
      <c r="M1929">
        <v>18</v>
      </c>
      <c r="N1929" t="str">
        <f>IF(Table13[[#This Row],[Price USD]]&lt;20,"Budget",IF(Table13[[#This Row],[Price USD]]&lt;=50,"Mid-range","Premium"))</f>
        <v>Budget</v>
      </c>
      <c r="O1929">
        <v>0</v>
      </c>
      <c r="P1929">
        <v>0</v>
      </c>
    </row>
    <row r="1930" spans="1:16" x14ac:dyDescent="0.25">
      <c r="A1930" t="s">
        <v>3224</v>
      </c>
      <c r="B1930" t="s">
        <v>3225</v>
      </c>
      <c r="C1930">
        <v>3902</v>
      </c>
      <c r="D1930" t="s">
        <v>72</v>
      </c>
      <c r="E1930" t="s">
        <v>13</v>
      </c>
      <c r="F1930">
        <v>6314</v>
      </c>
      <c r="G19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0">
        <v>2.8666999999999998</v>
      </c>
      <c r="J1930" t="str">
        <f>IF(ISBLANK(Table13[[#This Row],[Rating]]), "No", "Yes")</f>
        <v>Yes</v>
      </c>
      <c r="K1930" t="str">
        <f>IF(ISBLANK(Table13[[#This Row],[Rating]]), "Not Rated", IF(Table13[[#This Row],[Rating]] &lt; 3, "Low", IF(Table13[[#This Row],[Rating]] &lt; 4, "Medium", "High")))</f>
        <v>Low</v>
      </c>
      <c r="L1930">
        <v>15</v>
      </c>
      <c r="M1930">
        <v>4</v>
      </c>
      <c r="N1930" t="str">
        <f>IF(Table13[[#This Row],[Price USD]]&lt;20,"Budget",IF(Table13[[#This Row],[Price USD]]&lt;=50,"Mid-range","Premium"))</f>
        <v>Budget</v>
      </c>
      <c r="O1930">
        <v>0</v>
      </c>
      <c r="P1930">
        <v>0</v>
      </c>
    </row>
    <row r="1931" spans="1:16" x14ac:dyDescent="0.25">
      <c r="A1931" t="s">
        <v>3222</v>
      </c>
      <c r="B1931" t="s">
        <v>3223</v>
      </c>
      <c r="C1931">
        <v>6219</v>
      </c>
      <c r="D1931" t="s">
        <v>277</v>
      </c>
      <c r="E1931" t="s">
        <v>21</v>
      </c>
      <c r="F1931">
        <v>6322</v>
      </c>
      <c r="G19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1">
        <v>4.3571</v>
      </c>
      <c r="J1931" t="str">
        <f>IF(ISBLANK(Table13[[#This Row],[Rating]]), "No", "Yes")</f>
        <v>Yes</v>
      </c>
      <c r="K1931" t="str">
        <f>IF(ISBLANK(Table13[[#This Row],[Rating]]), "Not Rated", IF(Table13[[#This Row],[Rating]] &lt; 3, "Low", IF(Table13[[#This Row],[Rating]] &lt; 4, "Medium", "High")))</f>
        <v>High</v>
      </c>
      <c r="L1931">
        <v>140</v>
      </c>
      <c r="M1931">
        <v>69</v>
      </c>
      <c r="N1931" t="str">
        <f>IF(Table13[[#This Row],[Price USD]]&lt;20,"Budget",IF(Table13[[#This Row],[Price USD]]&lt;=50,"Mid-range","Premium"))</f>
        <v>Premium</v>
      </c>
      <c r="O1931">
        <v>0</v>
      </c>
      <c r="P1931">
        <v>0</v>
      </c>
    </row>
    <row r="1932" spans="1:16" x14ac:dyDescent="0.25">
      <c r="A1932" t="s">
        <v>3220</v>
      </c>
      <c r="B1932" t="s">
        <v>3221</v>
      </c>
      <c r="C1932">
        <v>5972</v>
      </c>
      <c r="D1932" t="s">
        <v>54</v>
      </c>
      <c r="E1932" t="s">
        <v>220</v>
      </c>
      <c r="F1932">
        <v>6327</v>
      </c>
      <c r="G19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2">
        <v>5</v>
      </c>
      <c r="J1932" t="str">
        <f>IF(ISBLANK(Table13[[#This Row],[Rating]]), "No", "Yes")</f>
        <v>Yes</v>
      </c>
      <c r="K1932" t="str">
        <f>IF(ISBLANK(Table13[[#This Row],[Rating]]), "Not Rated", IF(Table13[[#This Row],[Rating]] &lt; 3, "Low", IF(Table13[[#This Row],[Rating]] &lt; 4, "Medium", "High")))</f>
        <v>High</v>
      </c>
      <c r="L1932">
        <v>1</v>
      </c>
      <c r="M1932">
        <v>20</v>
      </c>
      <c r="N1932" t="str">
        <f>IF(Table13[[#This Row],[Price USD]]&lt;20,"Budget",IF(Table13[[#This Row],[Price USD]]&lt;=50,"Mid-range","Premium"))</f>
        <v>Mid-range</v>
      </c>
      <c r="O1932">
        <v>0</v>
      </c>
      <c r="P1932">
        <v>0</v>
      </c>
    </row>
    <row r="1933" spans="1:16" x14ac:dyDescent="0.25">
      <c r="A1933" t="s">
        <v>3218</v>
      </c>
      <c r="B1933" t="s">
        <v>3219</v>
      </c>
      <c r="C1933">
        <v>6283</v>
      </c>
      <c r="D1933" t="s">
        <v>1696</v>
      </c>
      <c r="E1933" t="s">
        <v>8</v>
      </c>
      <c r="F1933">
        <v>6331</v>
      </c>
      <c r="G19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3">
        <v>4.2618999999999998</v>
      </c>
      <c r="J1933" t="str">
        <f>IF(ISBLANK(Table13[[#This Row],[Rating]]), "No", "Yes")</f>
        <v>Yes</v>
      </c>
      <c r="K1933" t="str">
        <f>IF(ISBLANK(Table13[[#This Row],[Rating]]), "Not Rated", IF(Table13[[#This Row],[Rating]] &lt; 3, "Low", IF(Table13[[#This Row],[Rating]] &lt; 4, "Medium", "High")))</f>
        <v>High</v>
      </c>
      <c r="L1933">
        <v>84</v>
      </c>
      <c r="M1933">
        <v>65</v>
      </c>
      <c r="N1933" t="str">
        <f>IF(Table13[[#This Row],[Price USD]]&lt;20,"Budget",IF(Table13[[#This Row],[Price USD]]&lt;=50,"Mid-range","Premium"))</f>
        <v>Premium</v>
      </c>
      <c r="O1933">
        <v>0</v>
      </c>
      <c r="P1933">
        <v>0</v>
      </c>
    </row>
    <row r="1934" spans="1:16" x14ac:dyDescent="0.25">
      <c r="A1934" t="s">
        <v>3216</v>
      </c>
      <c r="B1934" t="s">
        <v>3217</v>
      </c>
      <c r="C1934">
        <v>6219</v>
      </c>
      <c r="D1934" t="s">
        <v>277</v>
      </c>
      <c r="E1934" t="s">
        <v>13</v>
      </c>
      <c r="F1934">
        <v>6366</v>
      </c>
      <c r="G19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4">
        <v>4.6086999999999998</v>
      </c>
      <c r="J1934" t="str">
        <f>IF(ISBLANK(Table13[[#This Row],[Rating]]), "No", "Yes")</f>
        <v>Yes</v>
      </c>
      <c r="K1934" t="str">
        <f>IF(ISBLANK(Table13[[#This Row],[Rating]]), "Not Rated", IF(Table13[[#This Row],[Rating]] &lt; 3, "Low", IF(Table13[[#This Row],[Rating]] &lt; 4, "Medium", "High")))</f>
        <v>High</v>
      </c>
      <c r="L1934">
        <v>23</v>
      </c>
      <c r="M1934">
        <v>42</v>
      </c>
      <c r="N1934" t="str">
        <f>IF(Table13[[#This Row],[Price USD]]&lt;20,"Budget",IF(Table13[[#This Row],[Price USD]]&lt;=50,"Mid-range","Premium"))</f>
        <v>Mid-range</v>
      </c>
      <c r="O1934">
        <v>0</v>
      </c>
      <c r="P1934">
        <v>0</v>
      </c>
    </row>
    <row r="1935" spans="1:16" x14ac:dyDescent="0.25">
      <c r="A1935" t="s">
        <v>3214</v>
      </c>
      <c r="B1935" t="s">
        <v>3215</v>
      </c>
      <c r="C1935">
        <v>8017</v>
      </c>
      <c r="D1935" t="s">
        <v>620</v>
      </c>
      <c r="E1935" t="s">
        <v>8</v>
      </c>
      <c r="F1935">
        <v>6384</v>
      </c>
      <c r="G19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5">
        <v>4.3939000000000004</v>
      </c>
      <c r="J1935" t="str">
        <f>IF(ISBLANK(Table13[[#This Row],[Rating]]), "No", "Yes")</f>
        <v>Yes</v>
      </c>
      <c r="K1935" t="str">
        <f>IF(ISBLANK(Table13[[#This Row],[Rating]]), "Not Rated", IF(Table13[[#This Row],[Rating]] &lt; 3, "Low", IF(Table13[[#This Row],[Rating]] &lt; 4, "Medium", "High")))</f>
        <v>High</v>
      </c>
      <c r="L1935">
        <v>33</v>
      </c>
      <c r="M1935">
        <v>12</v>
      </c>
      <c r="N1935" t="str">
        <f>IF(Table13[[#This Row],[Price USD]]&lt;20,"Budget",IF(Table13[[#This Row],[Price USD]]&lt;=50,"Mid-range","Premium"))</f>
        <v>Budget</v>
      </c>
      <c r="O1935">
        <v>0</v>
      </c>
      <c r="P1935">
        <v>0</v>
      </c>
    </row>
    <row r="1936" spans="1:16" x14ac:dyDescent="0.25">
      <c r="A1936" t="s">
        <v>3212</v>
      </c>
      <c r="B1936" t="s">
        <v>3213</v>
      </c>
      <c r="C1936">
        <v>7091</v>
      </c>
      <c r="D1936" t="s">
        <v>879</v>
      </c>
      <c r="E1936" t="s">
        <v>49</v>
      </c>
      <c r="F1936">
        <v>6396</v>
      </c>
      <c r="G19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6">
        <v>3.9148999999999998</v>
      </c>
      <c r="J1936" t="str">
        <f>IF(ISBLANK(Table13[[#This Row],[Rating]]), "No", "Yes")</f>
        <v>Yes</v>
      </c>
      <c r="K1936" t="str">
        <f>IF(ISBLANK(Table13[[#This Row],[Rating]]), "Not Rated", IF(Table13[[#This Row],[Rating]] &lt; 3, "Low", IF(Table13[[#This Row],[Rating]] &lt; 4, "Medium", "High")))</f>
        <v>Medium</v>
      </c>
      <c r="L1936">
        <v>47</v>
      </c>
      <c r="M1936">
        <v>32</v>
      </c>
      <c r="N1936" t="str">
        <f>IF(Table13[[#This Row],[Price USD]]&lt;20,"Budget",IF(Table13[[#This Row],[Price USD]]&lt;=50,"Mid-range","Premium"))</f>
        <v>Mid-range</v>
      </c>
      <c r="O1936">
        <v>0</v>
      </c>
      <c r="P1936">
        <v>0</v>
      </c>
    </row>
    <row r="1937" spans="1:16" x14ac:dyDescent="0.25">
      <c r="A1937" t="s">
        <v>3210</v>
      </c>
      <c r="B1937" t="s">
        <v>3211</v>
      </c>
      <c r="C1937">
        <v>5337</v>
      </c>
      <c r="D1937" t="s">
        <v>209</v>
      </c>
      <c r="E1937" t="s">
        <v>149</v>
      </c>
      <c r="F1937">
        <v>6410</v>
      </c>
      <c r="G19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7">
        <v>4.0833000000000004</v>
      </c>
      <c r="J1937" t="str">
        <f>IF(ISBLANK(Table13[[#This Row],[Rating]]), "No", "Yes")</f>
        <v>Yes</v>
      </c>
      <c r="K1937" t="str">
        <f>IF(ISBLANK(Table13[[#This Row],[Rating]]), "Not Rated", IF(Table13[[#This Row],[Rating]] &lt; 3, "Low", IF(Table13[[#This Row],[Rating]] &lt; 4, "Medium", "High")))</f>
        <v>High</v>
      </c>
      <c r="L1937">
        <v>36</v>
      </c>
      <c r="M1937">
        <v>155</v>
      </c>
      <c r="N1937" t="str">
        <f>IF(Table13[[#This Row],[Price USD]]&lt;20,"Budget",IF(Table13[[#This Row],[Price USD]]&lt;=50,"Mid-range","Premium"))</f>
        <v>Premium</v>
      </c>
      <c r="O1937">
        <v>0</v>
      </c>
      <c r="P1937">
        <v>0</v>
      </c>
    </row>
    <row r="1938" spans="1:16" x14ac:dyDescent="0.25">
      <c r="A1938" t="s">
        <v>3208</v>
      </c>
      <c r="B1938" t="s">
        <v>3209</v>
      </c>
      <c r="C1938">
        <v>4348</v>
      </c>
      <c r="D1938" t="s">
        <v>61</v>
      </c>
      <c r="E1938" t="s">
        <v>69</v>
      </c>
      <c r="F1938">
        <v>6419</v>
      </c>
      <c r="G19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8">
        <v>4.5</v>
      </c>
      <c r="J1938" t="str">
        <f>IF(ISBLANK(Table13[[#This Row],[Rating]]), "No", "Yes")</f>
        <v>Yes</v>
      </c>
      <c r="K1938" t="str">
        <f>IF(ISBLANK(Table13[[#This Row],[Rating]]), "Not Rated", IF(Table13[[#This Row],[Rating]] &lt; 3, "Low", IF(Table13[[#This Row],[Rating]] &lt; 4, "Medium", "High")))</f>
        <v>High</v>
      </c>
      <c r="L1938">
        <v>4</v>
      </c>
      <c r="M1938">
        <v>58</v>
      </c>
      <c r="N1938" t="str">
        <f>IF(Table13[[#This Row],[Price USD]]&lt;20,"Budget",IF(Table13[[#This Row],[Price USD]]&lt;=50,"Mid-range","Premium"))</f>
        <v>Premium</v>
      </c>
      <c r="O1938">
        <v>0</v>
      </c>
      <c r="P1938">
        <v>0</v>
      </c>
    </row>
    <row r="1939" spans="1:16" x14ac:dyDescent="0.25">
      <c r="A1939" t="s">
        <v>3206</v>
      </c>
      <c r="B1939" t="s">
        <v>3207</v>
      </c>
      <c r="C1939">
        <v>6219</v>
      </c>
      <c r="D1939" t="s">
        <v>277</v>
      </c>
      <c r="E1939" t="s">
        <v>13</v>
      </c>
      <c r="F1939">
        <v>6435</v>
      </c>
      <c r="G19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39">
        <v>4.1071</v>
      </c>
      <c r="J1939" t="str">
        <f>IF(ISBLANK(Table13[[#This Row],[Rating]]), "No", "Yes")</f>
        <v>Yes</v>
      </c>
      <c r="K1939" t="str">
        <f>IF(ISBLANK(Table13[[#This Row],[Rating]]), "Not Rated", IF(Table13[[#This Row],[Rating]] &lt; 3, "Low", IF(Table13[[#This Row],[Rating]] &lt; 4, "Medium", "High")))</f>
        <v>High</v>
      </c>
      <c r="L1939">
        <v>28</v>
      </c>
      <c r="M1939">
        <v>48</v>
      </c>
      <c r="N1939" t="str">
        <f>IF(Table13[[#This Row],[Price USD]]&lt;20,"Budget",IF(Table13[[#This Row],[Price USD]]&lt;=50,"Mid-range","Premium"))</f>
        <v>Mid-range</v>
      </c>
      <c r="O1939">
        <v>0</v>
      </c>
      <c r="P1939">
        <v>0</v>
      </c>
    </row>
    <row r="1940" spans="1:16" x14ac:dyDescent="0.25">
      <c r="A1940" t="s">
        <v>3204</v>
      </c>
      <c r="B1940" t="s">
        <v>3205</v>
      </c>
      <c r="C1940">
        <v>6201</v>
      </c>
      <c r="D1940" t="s">
        <v>367</v>
      </c>
      <c r="E1940" t="s">
        <v>144</v>
      </c>
      <c r="F1940">
        <v>6441</v>
      </c>
      <c r="G19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0">
        <v>4.4443999999999999</v>
      </c>
      <c r="J1940" t="str">
        <f>IF(ISBLANK(Table13[[#This Row],[Rating]]), "No", "Yes")</f>
        <v>Yes</v>
      </c>
      <c r="K1940" t="str">
        <f>IF(ISBLANK(Table13[[#This Row],[Rating]]), "Not Rated", IF(Table13[[#This Row],[Rating]] &lt; 3, "Low", IF(Table13[[#This Row],[Rating]] &lt; 4, "Medium", "High")))</f>
        <v>High</v>
      </c>
      <c r="L1940">
        <v>18</v>
      </c>
      <c r="M1940">
        <v>220</v>
      </c>
      <c r="N1940" t="str">
        <f>IF(Table13[[#This Row],[Price USD]]&lt;20,"Budget",IF(Table13[[#This Row],[Price USD]]&lt;=50,"Mid-range","Premium"))</f>
        <v>Premium</v>
      </c>
      <c r="O1940">
        <v>0</v>
      </c>
      <c r="P1940">
        <v>0</v>
      </c>
    </row>
    <row r="1941" spans="1:16" x14ac:dyDescent="0.25">
      <c r="A1941" t="s">
        <v>3202</v>
      </c>
      <c r="B1941" t="s">
        <v>3203</v>
      </c>
      <c r="C1941">
        <v>5668</v>
      </c>
      <c r="D1941" t="s">
        <v>93</v>
      </c>
      <c r="E1941" t="s">
        <v>69</v>
      </c>
      <c r="F1941">
        <v>6445</v>
      </c>
      <c r="G19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1">
        <v>4.5896999999999997</v>
      </c>
      <c r="J1941" t="str">
        <f>IF(ISBLANK(Table13[[#This Row],[Rating]]), "No", "Yes")</f>
        <v>Yes</v>
      </c>
      <c r="K1941" t="str">
        <f>IF(ISBLANK(Table13[[#This Row],[Rating]]), "Not Rated", IF(Table13[[#This Row],[Rating]] &lt; 3, "Low", IF(Table13[[#This Row],[Rating]] &lt; 4, "Medium", "High")))</f>
        <v>High</v>
      </c>
      <c r="L1941">
        <v>117</v>
      </c>
      <c r="M1941">
        <v>12</v>
      </c>
      <c r="N1941" t="str">
        <f>IF(Table13[[#This Row],[Price USD]]&lt;20,"Budget",IF(Table13[[#This Row],[Price USD]]&lt;=50,"Mid-range","Premium"))</f>
        <v>Budget</v>
      </c>
      <c r="O1941">
        <v>1</v>
      </c>
      <c r="P1941">
        <v>0</v>
      </c>
    </row>
    <row r="1942" spans="1:16" x14ac:dyDescent="0.25">
      <c r="A1942" t="s">
        <v>3200</v>
      </c>
      <c r="B1942" t="s">
        <v>3201</v>
      </c>
      <c r="C1942">
        <v>6236</v>
      </c>
      <c r="D1942" t="s">
        <v>272</v>
      </c>
      <c r="E1942" t="s">
        <v>69</v>
      </c>
      <c r="F1942">
        <v>6446</v>
      </c>
      <c r="G19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2">
        <v>3.0832999999999999</v>
      </c>
      <c r="J1942" t="str">
        <f>IF(ISBLANK(Table13[[#This Row],[Rating]]), "No", "Yes")</f>
        <v>Yes</v>
      </c>
      <c r="K1942" t="str">
        <f>IF(ISBLANK(Table13[[#This Row],[Rating]]), "Not Rated", IF(Table13[[#This Row],[Rating]] &lt; 3, "Low", IF(Table13[[#This Row],[Rating]] &lt; 4, "Medium", "High")))</f>
        <v>Medium</v>
      </c>
      <c r="L1942">
        <v>12</v>
      </c>
      <c r="M1942">
        <v>16</v>
      </c>
      <c r="N1942" t="str">
        <f>IF(Table13[[#This Row],[Price USD]]&lt;20,"Budget",IF(Table13[[#This Row],[Price USD]]&lt;=50,"Mid-range","Premium"))</f>
        <v>Budget</v>
      </c>
      <c r="O1942">
        <v>0</v>
      </c>
      <c r="P1942">
        <v>0</v>
      </c>
    </row>
    <row r="1943" spans="1:16" x14ac:dyDescent="0.25">
      <c r="A1943" t="s">
        <v>3198</v>
      </c>
      <c r="B1943" t="s">
        <v>3199</v>
      </c>
      <c r="C1943">
        <v>6089</v>
      </c>
      <c r="D1943" t="s">
        <v>605</v>
      </c>
      <c r="E1943" t="s">
        <v>8</v>
      </c>
      <c r="F1943">
        <v>6458</v>
      </c>
      <c r="G19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3">
        <v>4.1303999999999998</v>
      </c>
      <c r="J1943" t="str">
        <f>IF(ISBLANK(Table13[[#This Row],[Rating]]), "No", "Yes")</f>
        <v>Yes</v>
      </c>
      <c r="K1943" t="str">
        <f>IF(ISBLANK(Table13[[#This Row],[Rating]]), "Not Rated", IF(Table13[[#This Row],[Rating]] &lt; 3, "Low", IF(Table13[[#This Row],[Rating]] &lt; 4, "Medium", "High")))</f>
        <v>High</v>
      </c>
      <c r="L1943">
        <v>23</v>
      </c>
      <c r="M1943">
        <v>86</v>
      </c>
      <c r="N1943" t="str">
        <f>IF(Table13[[#This Row],[Price USD]]&lt;20,"Budget",IF(Table13[[#This Row],[Price USD]]&lt;=50,"Mid-range","Premium"))</f>
        <v>Premium</v>
      </c>
      <c r="O1943">
        <v>0</v>
      </c>
      <c r="P1943">
        <v>0</v>
      </c>
    </row>
    <row r="1944" spans="1:16" x14ac:dyDescent="0.25">
      <c r="A1944" t="s">
        <v>3196</v>
      </c>
      <c r="B1944" t="s">
        <v>3197</v>
      </c>
      <c r="C1944">
        <v>6312</v>
      </c>
      <c r="D1944" t="s">
        <v>1242</v>
      </c>
      <c r="E1944" t="s">
        <v>220</v>
      </c>
      <c r="F1944">
        <v>6469</v>
      </c>
      <c r="G19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4">
        <v>4.8888999999999996</v>
      </c>
      <c r="J1944" t="str">
        <f>IF(ISBLANK(Table13[[#This Row],[Rating]]), "No", "Yes")</f>
        <v>Yes</v>
      </c>
      <c r="K1944" t="str">
        <f>IF(ISBLANK(Table13[[#This Row],[Rating]]), "Not Rated", IF(Table13[[#This Row],[Rating]] &lt; 3, "Low", IF(Table13[[#This Row],[Rating]] &lt; 4, "Medium", "High")))</f>
        <v>High</v>
      </c>
      <c r="L1944">
        <v>18</v>
      </c>
      <c r="M1944">
        <v>49</v>
      </c>
      <c r="N1944" t="str">
        <f>IF(Table13[[#This Row],[Price USD]]&lt;20,"Budget",IF(Table13[[#This Row],[Price USD]]&lt;=50,"Mid-range","Premium"))</f>
        <v>Mid-range</v>
      </c>
      <c r="O1944">
        <v>0</v>
      </c>
      <c r="P1944">
        <v>1</v>
      </c>
    </row>
    <row r="1945" spans="1:16" x14ac:dyDescent="0.25">
      <c r="A1945" t="s">
        <v>3194</v>
      </c>
      <c r="B1945" t="s">
        <v>3195</v>
      </c>
      <c r="C1945">
        <v>1254</v>
      </c>
      <c r="D1945" t="s">
        <v>136</v>
      </c>
      <c r="E1945" t="s">
        <v>21</v>
      </c>
      <c r="F1945">
        <v>6473</v>
      </c>
      <c r="G19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5">
        <v>3.4687999999999999</v>
      </c>
      <c r="J1945" t="str">
        <f>IF(ISBLANK(Table13[[#This Row],[Rating]]), "No", "Yes")</f>
        <v>Yes</v>
      </c>
      <c r="K1945" t="str">
        <f>IF(ISBLANK(Table13[[#This Row],[Rating]]), "Not Rated", IF(Table13[[#This Row],[Rating]] &lt; 3, "Low", IF(Table13[[#This Row],[Rating]] &lt; 4, "Medium", "High")))</f>
        <v>Medium</v>
      </c>
      <c r="L1945">
        <v>96</v>
      </c>
      <c r="M1945">
        <v>44</v>
      </c>
      <c r="N1945" t="str">
        <f>IF(Table13[[#This Row],[Price USD]]&lt;20,"Budget",IF(Table13[[#This Row],[Price USD]]&lt;=50,"Mid-range","Premium"))</f>
        <v>Mid-range</v>
      </c>
      <c r="O1945">
        <v>0</v>
      </c>
      <c r="P1945">
        <v>0</v>
      </c>
    </row>
    <row r="1946" spans="1:16" x14ac:dyDescent="0.25">
      <c r="A1946" t="s">
        <v>3192</v>
      </c>
      <c r="B1946" t="s">
        <v>3193</v>
      </c>
      <c r="C1946">
        <v>5946</v>
      </c>
      <c r="D1946" t="s">
        <v>341</v>
      </c>
      <c r="E1946" t="s">
        <v>8</v>
      </c>
      <c r="F1946">
        <v>6479</v>
      </c>
      <c r="G19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6">
        <v>4.4297000000000004</v>
      </c>
      <c r="J1946" t="str">
        <f>IF(ISBLANK(Table13[[#This Row],[Rating]]), "No", "Yes")</f>
        <v>Yes</v>
      </c>
      <c r="K1946" t="str">
        <f>IF(ISBLANK(Table13[[#This Row],[Rating]]), "Not Rated", IF(Table13[[#This Row],[Rating]] &lt; 3, "Low", IF(Table13[[#This Row],[Rating]] &lt; 4, "Medium", "High")))</f>
        <v>High</v>
      </c>
      <c r="L1946">
        <v>384</v>
      </c>
      <c r="M1946">
        <v>98</v>
      </c>
      <c r="N1946" t="str">
        <f>IF(Table13[[#This Row],[Price USD]]&lt;20,"Budget",IF(Table13[[#This Row],[Price USD]]&lt;=50,"Mid-range","Premium"))</f>
        <v>Premium</v>
      </c>
      <c r="O1946">
        <v>0</v>
      </c>
      <c r="P1946">
        <v>0</v>
      </c>
    </row>
    <row r="1947" spans="1:16" x14ac:dyDescent="0.25">
      <c r="A1947" t="s">
        <v>3190</v>
      </c>
      <c r="B1947" t="s">
        <v>3191</v>
      </c>
      <c r="C1947">
        <v>1132</v>
      </c>
      <c r="D1947" t="s">
        <v>1319</v>
      </c>
      <c r="E1947" t="s">
        <v>13</v>
      </c>
      <c r="F1947">
        <v>6480</v>
      </c>
      <c r="G19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7">
        <v>4.2565999999999997</v>
      </c>
      <c r="J1947" t="str">
        <f>IF(ISBLANK(Table13[[#This Row],[Rating]]), "No", "Yes")</f>
        <v>Yes</v>
      </c>
      <c r="K1947" t="str">
        <f>IF(ISBLANK(Table13[[#This Row],[Rating]]), "Not Rated", IF(Table13[[#This Row],[Rating]] &lt; 3, "Low", IF(Table13[[#This Row],[Rating]] &lt; 4, "Medium", "High")))</f>
        <v>High</v>
      </c>
      <c r="L1947">
        <v>834</v>
      </c>
      <c r="M1947">
        <v>85</v>
      </c>
      <c r="N1947" t="str">
        <f>IF(Table13[[#This Row],[Price USD]]&lt;20,"Budget",IF(Table13[[#This Row],[Price USD]]&lt;=50,"Mid-range","Premium"))</f>
        <v>Premium</v>
      </c>
      <c r="O1947">
        <v>0</v>
      </c>
      <c r="P1947">
        <v>0</v>
      </c>
    </row>
    <row r="1948" spans="1:16" x14ac:dyDescent="0.25">
      <c r="A1948" t="s">
        <v>3187</v>
      </c>
      <c r="B1948" t="s">
        <v>3188</v>
      </c>
      <c r="C1948">
        <v>1063</v>
      </c>
      <c r="D1948" t="s">
        <v>3189</v>
      </c>
      <c r="E1948" t="s">
        <v>21</v>
      </c>
      <c r="F1948">
        <v>6498</v>
      </c>
      <c r="G19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8">
        <v>4.6651999999999996</v>
      </c>
      <c r="J1948" t="str">
        <f>IF(ISBLANK(Table13[[#This Row],[Rating]]), "No", "Yes")</f>
        <v>Yes</v>
      </c>
      <c r="K1948" t="str">
        <f>IF(ISBLANK(Table13[[#This Row],[Rating]]), "Not Rated", IF(Table13[[#This Row],[Rating]] &lt; 3, "Low", IF(Table13[[#This Row],[Rating]] &lt; 4, "Medium", "High")))</f>
        <v>High</v>
      </c>
      <c r="L1948">
        <v>451</v>
      </c>
      <c r="M1948">
        <v>78</v>
      </c>
      <c r="N1948" t="str">
        <f>IF(Table13[[#This Row],[Price USD]]&lt;20,"Budget",IF(Table13[[#This Row],[Price USD]]&lt;=50,"Mid-range","Premium"))</f>
        <v>Premium</v>
      </c>
      <c r="O1948">
        <v>0</v>
      </c>
      <c r="P1948">
        <v>0</v>
      </c>
    </row>
    <row r="1949" spans="1:16" x14ac:dyDescent="0.25">
      <c r="A1949" t="s">
        <v>3186</v>
      </c>
      <c r="B1949" t="s">
        <v>1011</v>
      </c>
      <c r="C1949">
        <v>6169</v>
      </c>
      <c r="D1949" t="s">
        <v>24</v>
      </c>
      <c r="E1949" t="s">
        <v>13</v>
      </c>
      <c r="F1949">
        <v>6510</v>
      </c>
      <c r="G19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49">
        <v>4.8</v>
      </c>
      <c r="J1949" t="str">
        <f>IF(ISBLANK(Table13[[#This Row],[Rating]]), "No", "Yes")</f>
        <v>Yes</v>
      </c>
      <c r="K1949" t="str">
        <f>IF(ISBLANK(Table13[[#This Row],[Rating]]), "Not Rated", IF(Table13[[#This Row],[Rating]] &lt; 3, "Low", IF(Table13[[#This Row],[Rating]] &lt; 4, "Medium", "High")))</f>
        <v>High</v>
      </c>
      <c r="L1949">
        <v>5</v>
      </c>
      <c r="M1949">
        <v>16</v>
      </c>
      <c r="N1949" t="str">
        <f>IF(Table13[[#This Row],[Price USD]]&lt;20,"Budget",IF(Table13[[#This Row],[Price USD]]&lt;=50,"Mid-range","Premium"))</f>
        <v>Budget</v>
      </c>
      <c r="O1949">
        <v>0</v>
      </c>
      <c r="P1949">
        <v>0</v>
      </c>
    </row>
    <row r="1950" spans="1:16" x14ac:dyDescent="0.25">
      <c r="A1950" t="s">
        <v>3184</v>
      </c>
      <c r="B1950" t="s">
        <v>3185</v>
      </c>
      <c r="C1950">
        <v>6285</v>
      </c>
      <c r="D1950" t="s">
        <v>119</v>
      </c>
      <c r="E1950" t="s">
        <v>21</v>
      </c>
      <c r="F1950">
        <v>6523</v>
      </c>
      <c r="G19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0">
        <v>3.3466999999999998</v>
      </c>
      <c r="J1950" t="str">
        <f>IF(ISBLANK(Table13[[#This Row],[Rating]]), "No", "Yes")</f>
        <v>Yes</v>
      </c>
      <c r="K1950" t="str">
        <f>IF(ISBLANK(Table13[[#This Row],[Rating]]), "Not Rated", IF(Table13[[#This Row],[Rating]] &lt; 3, "Low", IF(Table13[[#This Row],[Rating]] &lt; 4, "Medium", "High")))</f>
        <v>Medium</v>
      </c>
      <c r="L1950">
        <v>75</v>
      </c>
      <c r="M1950">
        <v>13.99</v>
      </c>
      <c r="N1950" t="str">
        <f>IF(Table13[[#This Row],[Price USD]]&lt;20,"Budget",IF(Table13[[#This Row],[Price USD]]&lt;=50,"Mid-range","Premium"))</f>
        <v>Budget</v>
      </c>
      <c r="O1950">
        <v>0</v>
      </c>
      <c r="P1950">
        <v>0</v>
      </c>
    </row>
    <row r="1951" spans="1:16" x14ac:dyDescent="0.25">
      <c r="A1951" t="s">
        <v>3182</v>
      </c>
      <c r="B1951" t="s">
        <v>3183</v>
      </c>
      <c r="C1951">
        <v>1073</v>
      </c>
      <c r="D1951" t="s">
        <v>767</v>
      </c>
      <c r="E1951" t="s">
        <v>149</v>
      </c>
      <c r="F1951">
        <v>6539</v>
      </c>
      <c r="G19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1">
        <v>4.3888999999999996</v>
      </c>
      <c r="J1951" t="str">
        <f>IF(ISBLANK(Table13[[#This Row],[Rating]]), "No", "Yes")</f>
        <v>Yes</v>
      </c>
      <c r="K1951" t="str">
        <f>IF(ISBLANK(Table13[[#This Row],[Rating]]), "Not Rated", IF(Table13[[#This Row],[Rating]] &lt; 3, "Low", IF(Table13[[#This Row],[Rating]] &lt; 4, "Medium", "High")))</f>
        <v>High</v>
      </c>
      <c r="L1951">
        <v>18</v>
      </c>
      <c r="M1951">
        <v>80</v>
      </c>
      <c r="N1951" t="str">
        <f>IF(Table13[[#This Row],[Price USD]]&lt;20,"Budget",IF(Table13[[#This Row],[Price USD]]&lt;=50,"Mid-range","Premium"))</f>
        <v>Premium</v>
      </c>
      <c r="O1951">
        <v>0</v>
      </c>
      <c r="P1951">
        <v>0</v>
      </c>
    </row>
    <row r="1952" spans="1:16" x14ac:dyDescent="0.25">
      <c r="A1952" t="s">
        <v>3180</v>
      </c>
      <c r="B1952" t="s">
        <v>3181</v>
      </c>
      <c r="C1952">
        <v>6089</v>
      </c>
      <c r="D1952" t="s">
        <v>605</v>
      </c>
      <c r="E1952" t="s">
        <v>21</v>
      </c>
      <c r="F1952">
        <v>6546</v>
      </c>
      <c r="G19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2">
        <v>3.8780000000000001</v>
      </c>
      <c r="J1952" t="str">
        <f>IF(ISBLANK(Table13[[#This Row],[Rating]]), "No", "Yes")</f>
        <v>Yes</v>
      </c>
      <c r="K1952" t="str">
        <f>IF(ISBLANK(Table13[[#This Row],[Rating]]), "Not Rated", IF(Table13[[#This Row],[Rating]] &lt; 3, "Low", IF(Table13[[#This Row],[Rating]] &lt; 4, "Medium", "High")))</f>
        <v>Medium</v>
      </c>
      <c r="L1952">
        <v>41</v>
      </c>
      <c r="M1952">
        <v>70</v>
      </c>
      <c r="N1952" t="str">
        <f>IF(Table13[[#This Row],[Price USD]]&lt;20,"Budget",IF(Table13[[#This Row],[Price USD]]&lt;=50,"Mid-range","Premium"))</f>
        <v>Premium</v>
      </c>
      <c r="O1952">
        <v>0</v>
      </c>
      <c r="P1952">
        <v>1</v>
      </c>
    </row>
    <row r="1953" spans="1:16" x14ac:dyDescent="0.25">
      <c r="A1953" t="s">
        <v>3178</v>
      </c>
      <c r="B1953" t="s">
        <v>3179</v>
      </c>
      <c r="C1953">
        <v>7020</v>
      </c>
      <c r="D1953" t="s">
        <v>657</v>
      </c>
      <c r="E1953" t="s">
        <v>21</v>
      </c>
      <c r="F1953">
        <v>6554</v>
      </c>
      <c r="G19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3">
        <v>3.8519000000000001</v>
      </c>
      <c r="J1953" t="str">
        <f>IF(ISBLANK(Table13[[#This Row],[Rating]]), "No", "Yes")</f>
        <v>Yes</v>
      </c>
      <c r="K1953" t="str">
        <f>IF(ISBLANK(Table13[[#This Row],[Rating]]), "Not Rated", IF(Table13[[#This Row],[Rating]] &lt; 3, "Low", IF(Table13[[#This Row],[Rating]] &lt; 4, "Medium", "High")))</f>
        <v>Medium</v>
      </c>
      <c r="L1953">
        <v>81</v>
      </c>
      <c r="M1953">
        <v>130</v>
      </c>
      <c r="N1953" t="str">
        <f>IF(Table13[[#This Row],[Price USD]]&lt;20,"Budget",IF(Table13[[#This Row],[Price USD]]&lt;=50,"Mid-range","Premium"))</f>
        <v>Premium</v>
      </c>
      <c r="O1953">
        <v>0</v>
      </c>
      <c r="P1953">
        <v>0</v>
      </c>
    </row>
    <row r="1954" spans="1:16" x14ac:dyDescent="0.25">
      <c r="A1954" t="s">
        <v>3176</v>
      </c>
      <c r="B1954" t="s">
        <v>3177</v>
      </c>
      <c r="C1954">
        <v>6352</v>
      </c>
      <c r="D1954" t="s">
        <v>251</v>
      </c>
      <c r="E1954" t="s">
        <v>220</v>
      </c>
      <c r="F1954">
        <v>6562</v>
      </c>
      <c r="G19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J1954" t="str">
        <f>IF(ISBLANK(Table13[[#This Row],[Rating]]), "No", "Yes")</f>
        <v>No</v>
      </c>
      <c r="K1954" t="str">
        <f>IF(ISBLANK(Table13[[#This Row],[Rating]]), "Not Rated", IF(Table13[[#This Row],[Rating]] &lt; 3, "Low", IF(Table13[[#This Row],[Rating]] &lt; 4, "Medium", "High")))</f>
        <v>Not Rated</v>
      </c>
      <c r="L1954">
        <v>0</v>
      </c>
      <c r="M1954">
        <v>19</v>
      </c>
      <c r="N1954" t="str">
        <f>IF(Table13[[#This Row],[Price USD]]&lt;20,"Budget",IF(Table13[[#This Row],[Price USD]]&lt;=50,"Mid-range","Premium"))</f>
        <v>Budget</v>
      </c>
      <c r="O1954">
        <v>0</v>
      </c>
      <c r="P1954">
        <v>0</v>
      </c>
    </row>
    <row r="1955" spans="1:16" x14ac:dyDescent="0.25">
      <c r="A1955" t="s">
        <v>3174</v>
      </c>
      <c r="B1955" t="s">
        <v>3175</v>
      </c>
      <c r="C1955">
        <v>6349</v>
      </c>
      <c r="D1955" t="s">
        <v>2031</v>
      </c>
      <c r="E1955" t="s">
        <v>13</v>
      </c>
      <c r="F1955">
        <v>6564</v>
      </c>
      <c r="G19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5">
        <v>4.7602000000000002</v>
      </c>
      <c r="J1955" t="str">
        <f>IF(ISBLANK(Table13[[#This Row],[Rating]]), "No", "Yes")</f>
        <v>Yes</v>
      </c>
      <c r="K1955" t="str">
        <f>IF(ISBLANK(Table13[[#This Row],[Rating]]), "Not Rated", IF(Table13[[#This Row],[Rating]] &lt; 3, "Low", IF(Table13[[#This Row],[Rating]] &lt; 4, "Medium", "High")))</f>
        <v>High</v>
      </c>
      <c r="L1955">
        <v>196</v>
      </c>
      <c r="M1955">
        <v>46</v>
      </c>
      <c r="N1955" t="str">
        <f>IF(Table13[[#This Row],[Price USD]]&lt;20,"Budget",IF(Table13[[#This Row],[Price USD]]&lt;=50,"Mid-range","Premium"))</f>
        <v>Mid-range</v>
      </c>
      <c r="O1955">
        <v>0</v>
      </c>
      <c r="P1955">
        <v>0</v>
      </c>
    </row>
    <row r="1956" spans="1:16" x14ac:dyDescent="0.25">
      <c r="A1956" t="s">
        <v>3171</v>
      </c>
      <c r="B1956" t="s">
        <v>3172</v>
      </c>
      <c r="C1956">
        <v>6749</v>
      </c>
      <c r="D1956" t="s">
        <v>3173</v>
      </c>
      <c r="E1956" t="s">
        <v>4</v>
      </c>
      <c r="F1956">
        <v>6580</v>
      </c>
      <c r="G19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6">
        <v>4.4443999999999999</v>
      </c>
      <c r="J1956" t="str">
        <f>IF(ISBLANK(Table13[[#This Row],[Rating]]), "No", "Yes")</f>
        <v>Yes</v>
      </c>
      <c r="K1956" t="str">
        <f>IF(ISBLANK(Table13[[#This Row],[Rating]]), "Not Rated", IF(Table13[[#This Row],[Rating]] &lt; 3, "Low", IF(Table13[[#This Row],[Rating]] &lt; 4, "Medium", "High")))</f>
        <v>High</v>
      </c>
      <c r="L1956">
        <v>36</v>
      </c>
      <c r="M1956">
        <v>26</v>
      </c>
      <c r="N1956" t="str">
        <f>IF(Table13[[#This Row],[Price USD]]&lt;20,"Budget",IF(Table13[[#This Row],[Price USD]]&lt;=50,"Mid-range","Premium"))</f>
        <v>Mid-range</v>
      </c>
      <c r="O1956">
        <v>1</v>
      </c>
      <c r="P1956">
        <v>0</v>
      </c>
    </row>
    <row r="1957" spans="1:16" x14ac:dyDescent="0.25">
      <c r="A1957" t="s">
        <v>3169</v>
      </c>
      <c r="B1957" t="s">
        <v>3170</v>
      </c>
      <c r="C1957">
        <v>1254</v>
      </c>
      <c r="D1957" t="s">
        <v>136</v>
      </c>
      <c r="E1957" t="s">
        <v>4</v>
      </c>
      <c r="F1957">
        <v>6581</v>
      </c>
      <c r="G19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7">
        <v>4.0178000000000003</v>
      </c>
      <c r="J1957" t="str">
        <f>IF(ISBLANK(Table13[[#This Row],[Rating]]), "No", "Yes")</f>
        <v>Yes</v>
      </c>
      <c r="K1957" t="str">
        <f>IF(ISBLANK(Table13[[#This Row],[Rating]]), "Not Rated", IF(Table13[[#This Row],[Rating]] &lt; 3, "Low", IF(Table13[[#This Row],[Rating]] &lt; 4, "Medium", "High")))</f>
        <v>High</v>
      </c>
      <c r="L1957">
        <v>169</v>
      </c>
      <c r="M1957">
        <v>28</v>
      </c>
      <c r="N1957" t="str">
        <f>IF(Table13[[#This Row],[Price USD]]&lt;20,"Budget",IF(Table13[[#This Row],[Price USD]]&lt;=50,"Mid-range","Premium"))</f>
        <v>Mid-range</v>
      </c>
      <c r="O1957">
        <v>0</v>
      </c>
      <c r="P1957">
        <v>1</v>
      </c>
    </row>
    <row r="1958" spans="1:16" x14ac:dyDescent="0.25">
      <c r="A1958" t="s">
        <v>3167</v>
      </c>
      <c r="B1958" t="s">
        <v>3168</v>
      </c>
      <c r="C1958">
        <v>7091</v>
      </c>
      <c r="D1958" t="s">
        <v>879</v>
      </c>
      <c r="E1958" t="s">
        <v>49</v>
      </c>
      <c r="F1958">
        <v>6587</v>
      </c>
      <c r="G19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8">
        <v>4.5804999999999998</v>
      </c>
      <c r="J1958" t="str">
        <f>IF(ISBLANK(Table13[[#This Row],[Rating]]), "No", "Yes")</f>
        <v>Yes</v>
      </c>
      <c r="K1958" t="str">
        <f>IF(ISBLANK(Table13[[#This Row],[Rating]]), "Not Rated", IF(Table13[[#This Row],[Rating]] &lt; 3, "Low", IF(Table13[[#This Row],[Rating]] &lt; 4, "Medium", "High")))</f>
        <v>High</v>
      </c>
      <c r="L1958">
        <v>267</v>
      </c>
      <c r="M1958">
        <v>48</v>
      </c>
      <c r="N1958" t="str">
        <f>IF(Table13[[#This Row],[Price USD]]&lt;20,"Budget",IF(Table13[[#This Row],[Price USD]]&lt;=50,"Mid-range","Premium"))</f>
        <v>Mid-range</v>
      </c>
      <c r="O1958">
        <v>0</v>
      </c>
      <c r="P1958">
        <v>0</v>
      </c>
    </row>
    <row r="1959" spans="1:16" x14ac:dyDescent="0.25">
      <c r="A1959" t="s">
        <v>3165</v>
      </c>
      <c r="B1959" t="s">
        <v>3166</v>
      </c>
      <c r="C1959">
        <v>1741</v>
      </c>
      <c r="D1959" t="s">
        <v>388</v>
      </c>
      <c r="E1959" t="s">
        <v>13</v>
      </c>
      <c r="F1959">
        <v>6619</v>
      </c>
      <c r="G19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59">
        <v>4.1029999999999998</v>
      </c>
      <c r="J1959" t="str">
        <f>IF(ISBLANK(Table13[[#This Row],[Rating]]), "No", "Yes")</f>
        <v>Yes</v>
      </c>
      <c r="K1959" t="str">
        <f>IF(ISBLANK(Table13[[#This Row],[Rating]]), "Not Rated", IF(Table13[[#This Row],[Rating]] &lt; 3, "Low", IF(Table13[[#This Row],[Rating]] &lt; 4, "Medium", "High")))</f>
        <v>High</v>
      </c>
      <c r="L1959">
        <v>165</v>
      </c>
      <c r="M1959">
        <v>31</v>
      </c>
      <c r="N1959" t="str">
        <f>IF(Table13[[#This Row],[Price USD]]&lt;20,"Budget",IF(Table13[[#This Row],[Price USD]]&lt;=50,"Mid-range","Premium"))</f>
        <v>Mid-range</v>
      </c>
      <c r="O1959">
        <v>0</v>
      </c>
      <c r="P1959">
        <v>1</v>
      </c>
    </row>
    <row r="1960" spans="1:16" x14ac:dyDescent="0.25">
      <c r="A1960" t="s">
        <v>3163</v>
      </c>
      <c r="B1960" t="s">
        <v>3164</v>
      </c>
      <c r="C1960">
        <v>6295</v>
      </c>
      <c r="D1960" t="s">
        <v>184</v>
      </c>
      <c r="E1960" t="s">
        <v>13</v>
      </c>
      <c r="F1960">
        <v>6627</v>
      </c>
      <c r="G19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0">
        <v>4.3076999999999996</v>
      </c>
      <c r="J1960" t="str">
        <f>IF(ISBLANK(Table13[[#This Row],[Rating]]), "No", "Yes")</f>
        <v>Yes</v>
      </c>
      <c r="K1960" t="str">
        <f>IF(ISBLANK(Table13[[#This Row],[Rating]]), "Not Rated", IF(Table13[[#This Row],[Rating]] &lt; 3, "Low", IF(Table13[[#This Row],[Rating]] &lt; 4, "Medium", "High")))</f>
        <v>High</v>
      </c>
      <c r="L1960">
        <v>13</v>
      </c>
      <c r="M1960">
        <v>24</v>
      </c>
      <c r="N1960" t="str">
        <f>IF(Table13[[#This Row],[Price USD]]&lt;20,"Budget",IF(Table13[[#This Row],[Price USD]]&lt;=50,"Mid-range","Premium"))</f>
        <v>Mid-range</v>
      </c>
      <c r="O1960">
        <v>0</v>
      </c>
      <c r="P1960">
        <v>0</v>
      </c>
    </row>
    <row r="1961" spans="1:16" x14ac:dyDescent="0.25">
      <c r="A1961" t="s">
        <v>3161</v>
      </c>
      <c r="B1961" t="s">
        <v>3162</v>
      </c>
      <c r="C1961">
        <v>1073</v>
      </c>
      <c r="D1961" t="s">
        <v>767</v>
      </c>
      <c r="E1961" t="s">
        <v>149</v>
      </c>
      <c r="F1961">
        <v>6630</v>
      </c>
      <c r="G19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1">
        <v>3.3226</v>
      </c>
      <c r="J1961" t="str">
        <f>IF(ISBLANK(Table13[[#This Row],[Rating]]), "No", "Yes")</f>
        <v>Yes</v>
      </c>
      <c r="K1961" t="str">
        <f>IF(ISBLANK(Table13[[#This Row],[Rating]]), "Not Rated", IF(Table13[[#This Row],[Rating]] &lt; 3, "Low", IF(Table13[[#This Row],[Rating]] &lt; 4, "Medium", "High")))</f>
        <v>Medium</v>
      </c>
      <c r="L1961">
        <v>31</v>
      </c>
      <c r="M1961">
        <v>60</v>
      </c>
      <c r="N1961" t="str">
        <f>IF(Table13[[#This Row],[Price USD]]&lt;20,"Budget",IF(Table13[[#This Row],[Price USD]]&lt;=50,"Mid-range","Premium"))</f>
        <v>Premium</v>
      </c>
      <c r="O1961">
        <v>0</v>
      </c>
      <c r="P1961">
        <v>0</v>
      </c>
    </row>
    <row r="1962" spans="1:16" x14ac:dyDescent="0.25">
      <c r="A1962" t="s">
        <v>3159</v>
      </c>
      <c r="B1962" t="s">
        <v>3160</v>
      </c>
      <c r="C1962">
        <v>3733</v>
      </c>
      <c r="D1962" t="s">
        <v>124</v>
      </c>
      <c r="E1962" t="s">
        <v>21</v>
      </c>
      <c r="F1962">
        <v>6634</v>
      </c>
      <c r="G19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2">
        <v>4.4000000000000004</v>
      </c>
      <c r="J1962" t="str">
        <f>IF(ISBLANK(Table13[[#This Row],[Rating]]), "No", "Yes")</f>
        <v>Yes</v>
      </c>
      <c r="K1962" t="str">
        <f>IF(ISBLANK(Table13[[#This Row],[Rating]]), "Not Rated", IF(Table13[[#This Row],[Rating]] &lt; 3, "Low", IF(Table13[[#This Row],[Rating]] &lt; 4, "Medium", "High")))</f>
        <v>High</v>
      </c>
      <c r="L1962">
        <v>45</v>
      </c>
      <c r="M1962">
        <v>73</v>
      </c>
      <c r="N1962" t="str">
        <f>IF(Table13[[#This Row],[Price USD]]&lt;20,"Budget",IF(Table13[[#This Row],[Price USD]]&lt;=50,"Mid-range","Premium"))</f>
        <v>Premium</v>
      </c>
      <c r="O1962">
        <v>0</v>
      </c>
      <c r="P1962">
        <v>0</v>
      </c>
    </row>
    <row r="1963" spans="1:16" x14ac:dyDescent="0.25">
      <c r="A1963" t="s">
        <v>3157</v>
      </c>
      <c r="B1963" t="s">
        <v>3158</v>
      </c>
      <c r="C1963">
        <v>8017</v>
      </c>
      <c r="D1963" t="s">
        <v>620</v>
      </c>
      <c r="E1963" t="s">
        <v>13</v>
      </c>
      <c r="F1963">
        <v>6646</v>
      </c>
      <c r="G19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3">
        <v>4.5404999999999998</v>
      </c>
      <c r="J1963" t="str">
        <f>IF(ISBLANK(Table13[[#This Row],[Rating]]), "No", "Yes")</f>
        <v>Yes</v>
      </c>
      <c r="K1963" t="str">
        <f>IF(ISBLANK(Table13[[#This Row],[Rating]]), "Not Rated", IF(Table13[[#This Row],[Rating]] &lt; 3, "Low", IF(Table13[[#This Row],[Rating]] &lt; 4, "Medium", "High")))</f>
        <v>High</v>
      </c>
      <c r="L1963">
        <v>37</v>
      </c>
      <c r="M1963">
        <v>26</v>
      </c>
      <c r="N1963" t="str">
        <f>IF(Table13[[#This Row],[Price USD]]&lt;20,"Budget",IF(Table13[[#This Row],[Price USD]]&lt;=50,"Mid-range","Premium"))</f>
        <v>Mid-range</v>
      </c>
      <c r="O1963">
        <v>0</v>
      </c>
      <c r="P1963">
        <v>0</v>
      </c>
    </row>
    <row r="1964" spans="1:16" x14ac:dyDescent="0.25">
      <c r="A1964" t="s">
        <v>3155</v>
      </c>
      <c r="B1964" t="s">
        <v>3156</v>
      </c>
      <c r="C1964">
        <v>5337</v>
      </c>
      <c r="D1964" t="s">
        <v>209</v>
      </c>
      <c r="E1964" t="s">
        <v>49</v>
      </c>
      <c r="F1964">
        <v>6649</v>
      </c>
      <c r="G19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4">
        <v>4.2759999999999998</v>
      </c>
      <c r="J1964" t="str">
        <f>IF(ISBLANK(Table13[[#This Row],[Rating]]), "No", "Yes")</f>
        <v>Yes</v>
      </c>
      <c r="K1964" t="str">
        <f>IF(ISBLANK(Table13[[#This Row],[Rating]]), "Not Rated", IF(Table13[[#This Row],[Rating]] &lt; 3, "Low", IF(Table13[[#This Row],[Rating]] &lt; 4, "Medium", "High")))</f>
        <v>High</v>
      </c>
      <c r="L1964">
        <v>605</v>
      </c>
      <c r="M1964">
        <v>40</v>
      </c>
      <c r="N1964" t="str">
        <f>IF(Table13[[#This Row],[Price USD]]&lt;20,"Budget",IF(Table13[[#This Row],[Price USD]]&lt;=50,"Mid-range","Premium"))</f>
        <v>Mid-range</v>
      </c>
      <c r="O1964">
        <v>0</v>
      </c>
      <c r="P1964">
        <v>0</v>
      </c>
    </row>
    <row r="1965" spans="1:16" x14ac:dyDescent="0.25">
      <c r="A1965" t="s">
        <v>3153</v>
      </c>
      <c r="B1965" t="s">
        <v>3154</v>
      </c>
      <c r="C1965">
        <v>5668</v>
      </c>
      <c r="D1965" t="s">
        <v>93</v>
      </c>
      <c r="E1965" t="s">
        <v>21</v>
      </c>
      <c r="F1965">
        <v>6654</v>
      </c>
      <c r="G19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5">
        <v>4.6577000000000002</v>
      </c>
      <c r="J1965" t="str">
        <f>IF(ISBLANK(Table13[[#This Row],[Rating]]), "No", "Yes")</f>
        <v>Yes</v>
      </c>
      <c r="K1965" t="str">
        <f>IF(ISBLANK(Table13[[#This Row],[Rating]]), "Not Rated", IF(Table13[[#This Row],[Rating]] &lt; 3, "Low", IF(Table13[[#This Row],[Rating]] &lt; 4, "Medium", "High")))</f>
        <v>High</v>
      </c>
      <c r="L1965">
        <v>111</v>
      </c>
      <c r="M1965">
        <v>72</v>
      </c>
      <c r="N1965" t="str">
        <f>IF(Table13[[#This Row],[Price USD]]&lt;20,"Budget",IF(Table13[[#This Row],[Price USD]]&lt;=50,"Mid-range","Premium"))</f>
        <v>Premium</v>
      </c>
      <c r="O1965">
        <v>0</v>
      </c>
      <c r="P1965">
        <v>0</v>
      </c>
    </row>
    <row r="1966" spans="1:16" x14ac:dyDescent="0.25">
      <c r="A1966" t="s">
        <v>3151</v>
      </c>
      <c r="B1966" t="s">
        <v>3152</v>
      </c>
      <c r="C1966">
        <v>6285</v>
      </c>
      <c r="D1966" t="s">
        <v>119</v>
      </c>
      <c r="E1966" t="s">
        <v>220</v>
      </c>
      <c r="F1966">
        <v>6671</v>
      </c>
      <c r="G19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6">
        <v>3.75</v>
      </c>
      <c r="J1966" t="str">
        <f>IF(ISBLANK(Table13[[#This Row],[Rating]]), "No", "Yes")</f>
        <v>Yes</v>
      </c>
      <c r="K1966" t="str">
        <f>IF(ISBLANK(Table13[[#This Row],[Rating]]), "Not Rated", IF(Table13[[#This Row],[Rating]] &lt; 3, "Low", IF(Table13[[#This Row],[Rating]] &lt; 4, "Medium", "High")))</f>
        <v>Medium</v>
      </c>
      <c r="L1966">
        <v>4</v>
      </c>
      <c r="M1966">
        <v>27</v>
      </c>
      <c r="N1966" t="str">
        <f>IF(Table13[[#This Row],[Price USD]]&lt;20,"Budget",IF(Table13[[#This Row],[Price USD]]&lt;=50,"Mid-range","Premium"))</f>
        <v>Mid-range</v>
      </c>
      <c r="O1966">
        <v>0</v>
      </c>
      <c r="P1966">
        <v>0</v>
      </c>
    </row>
    <row r="1967" spans="1:16" x14ac:dyDescent="0.25">
      <c r="A1967" t="s">
        <v>3149</v>
      </c>
      <c r="B1967" t="s">
        <v>3150</v>
      </c>
      <c r="C1967">
        <v>5337</v>
      </c>
      <c r="D1967" t="s">
        <v>209</v>
      </c>
      <c r="E1967" t="s">
        <v>49</v>
      </c>
      <c r="F1967">
        <v>6680</v>
      </c>
      <c r="G19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7">
        <v>4.4348000000000001</v>
      </c>
      <c r="J1967" t="str">
        <f>IF(ISBLANK(Table13[[#This Row],[Rating]]), "No", "Yes")</f>
        <v>Yes</v>
      </c>
      <c r="K1967" t="str">
        <f>IF(ISBLANK(Table13[[#This Row],[Rating]]), "Not Rated", IF(Table13[[#This Row],[Rating]] &lt; 3, "Low", IF(Table13[[#This Row],[Rating]] &lt; 4, "Medium", "High")))</f>
        <v>High</v>
      </c>
      <c r="L1967">
        <v>46</v>
      </c>
      <c r="M1967">
        <v>35</v>
      </c>
      <c r="N1967" t="str">
        <f>IF(Table13[[#This Row],[Price USD]]&lt;20,"Budget",IF(Table13[[#This Row],[Price USD]]&lt;=50,"Mid-range","Premium"))</f>
        <v>Mid-range</v>
      </c>
      <c r="O1967">
        <v>0</v>
      </c>
      <c r="P1967">
        <v>0</v>
      </c>
    </row>
    <row r="1968" spans="1:16" x14ac:dyDescent="0.25">
      <c r="A1968" t="s">
        <v>3147</v>
      </c>
      <c r="B1968" t="s">
        <v>3148</v>
      </c>
      <c r="C1968">
        <v>6236</v>
      </c>
      <c r="D1968" t="s">
        <v>272</v>
      </c>
      <c r="E1968" t="s">
        <v>21</v>
      </c>
      <c r="F1968">
        <v>6696</v>
      </c>
      <c r="G19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8">
        <v>3.75</v>
      </c>
      <c r="J1968" t="str">
        <f>IF(ISBLANK(Table13[[#This Row],[Rating]]), "No", "Yes")</f>
        <v>Yes</v>
      </c>
      <c r="K1968" t="str">
        <f>IF(ISBLANK(Table13[[#This Row],[Rating]]), "Not Rated", IF(Table13[[#This Row],[Rating]] &lt; 3, "Low", IF(Table13[[#This Row],[Rating]] &lt; 4, "Medium", "High")))</f>
        <v>Medium</v>
      </c>
      <c r="L1968">
        <v>4</v>
      </c>
      <c r="M1968">
        <v>260</v>
      </c>
      <c r="N1968" t="str">
        <f>IF(Table13[[#This Row],[Price USD]]&lt;20,"Budget",IF(Table13[[#This Row],[Price USD]]&lt;=50,"Mid-range","Premium"))</f>
        <v>Premium</v>
      </c>
      <c r="O1968">
        <v>0</v>
      </c>
      <c r="P1968">
        <v>0</v>
      </c>
    </row>
    <row r="1969" spans="1:16" x14ac:dyDescent="0.25">
      <c r="A1969" t="s">
        <v>3145</v>
      </c>
      <c r="B1969" t="s">
        <v>3146</v>
      </c>
      <c r="C1969">
        <v>6219</v>
      </c>
      <c r="D1969" t="s">
        <v>277</v>
      </c>
      <c r="E1969" t="s">
        <v>13</v>
      </c>
      <c r="F1969">
        <v>6698</v>
      </c>
      <c r="G19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69">
        <v>4.4405999999999999</v>
      </c>
      <c r="J1969" t="str">
        <f>IF(ISBLANK(Table13[[#This Row],[Rating]]), "No", "Yes")</f>
        <v>Yes</v>
      </c>
      <c r="K1969" t="str">
        <f>IF(ISBLANK(Table13[[#This Row],[Rating]]), "Not Rated", IF(Table13[[#This Row],[Rating]] &lt; 3, "Low", IF(Table13[[#This Row],[Rating]] &lt; 4, "Medium", "High")))</f>
        <v>High</v>
      </c>
      <c r="L1969">
        <v>320</v>
      </c>
      <c r="M1969">
        <v>64</v>
      </c>
      <c r="N1969" t="str">
        <f>IF(Table13[[#This Row],[Price USD]]&lt;20,"Budget",IF(Table13[[#This Row],[Price USD]]&lt;=50,"Mid-range","Premium"))</f>
        <v>Premium</v>
      </c>
      <c r="O1969">
        <v>0</v>
      </c>
      <c r="P1969">
        <v>0</v>
      </c>
    </row>
    <row r="1970" spans="1:16" x14ac:dyDescent="0.25">
      <c r="A1970" t="s">
        <v>3143</v>
      </c>
      <c r="B1970" t="s">
        <v>3144</v>
      </c>
      <c r="C1970">
        <v>6201</v>
      </c>
      <c r="D1970" t="s">
        <v>367</v>
      </c>
      <c r="E1970" t="s">
        <v>13</v>
      </c>
      <c r="F1970">
        <v>6735</v>
      </c>
      <c r="G19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0">
        <v>4.2</v>
      </c>
      <c r="J1970" t="str">
        <f>IF(ISBLANK(Table13[[#This Row],[Rating]]), "No", "Yes")</f>
        <v>Yes</v>
      </c>
      <c r="K1970" t="str">
        <f>IF(ISBLANK(Table13[[#This Row],[Rating]]), "Not Rated", IF(Table13[[#This Row],[Rating]] &lt; 3, "Low", IF(Table13[[#This Row],[Rating]] &lt; 4, "Medium", "High")))</f>
        <v>High</v>
      </c>
      <c r="L1970">
        <v>45</v>
      </c>
      <c r="M1970">
        <v>95</v>
      </c>
      <c r="N1970" t="str">
        <f>IF(Table13[[#This Row],[Price USD]]&lt;20,"Budget",IF(Table13[[#This Row],[Price USD]]&lt;=50,"Mid-range","Premium"))</f>
        <v>Premium</v>
      </c>
      <c r="O1970">
        <v>0</v>
      </c>
      <c r="P1970">
        <v>0</v>
      </c>
    </row>
    <row r="1971" spans="1:16" x14ac:dyDescent="0.25">
      <c r="A1971" t="s">
        <v>3141</v>
      </c>
      <c r="B1971" t="s">
        <v>3142</v>
      </c>
      <c r="C1971">
        <v>6295</v>
      </c>
      <c r="D1971" t="s">
        <v>184</v>
      </c>
      <c r="E1971" t="s">
        <v>149</v>
      </c>
      <c r="F1971">
        <v>6741</v>
      </c>
      <c r="G19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1">
        <v>3.8</v>
      </c>
      <c r="J1971" t="str">
        <f>IF(ISBLANK(Table13[[#This Row],[Rating]]), "No", "Yes")</f>
        <v>Yes</v>
      </c>
      <c r="K1971" t="str">
        <f>IF(ISBLANK(Table13[[#This Row],[Rating]]), "Not Rated", IF(Table13[[#This Row],[Rating]] &lt; 3, "Low", IF(Table13[[#This Row],[Rating]] &lt; 4, "Medium", "High")))</f>
        <v>Medium</v>
      </c>
      <c r="L1971">
        <v>10</v>
      </c>
      <c r="M1971">
        <v>22</v>
      </c>
      <c r="N1971" t="str">
        <f>IF(Table13[[#This Row],[Price USD]]&lt;20,"Budget",IF(Table13[[#This Row],[Price USD]]&lt;=50,"Mid-range","Premium"))</f>
        <v>Mid-range</v>
      </c>
      <c r="O1971">
        <v>0</v>
      </c>
      <c r="P1971">
        <v>0</v>
      </c>
    </row>
    <row r="1972" spans="1:16" x14ac:dyDescent="0.25">
      <c r="A1972" t="s">
        <v>3139</v>
      </c>
      <c r="B1972" t="s">
        <v>3140</v>
      </c>
      <c r="C1972">
        <v>3733</v>
      </c>
      <c r="D1972" t="s">
        <v>124</v>
      </c>
      <c r="E1972" t="s">
        <v>21</v>
      </c>
      <c r="F1972">
        <v>6749</v>
      </c>
      <c r="G19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2">
        <v>4.4028</v>
      </c>
      <c r="J1972" t="str">
        <f>IF(ISBLANK(Table13[[#This Row],[Rating]]), "No", "Yes")</f>
        <v>Yes</v>
      </c>
      <c r="K1972" t="str">
        <f>IF(ISBLANK(Table13[[#This Row],[Rating]]), "Not Rated", IF(Table13[[#This Row],[Rating]] &lt; 3, "Low", IF(Table13[[#This Row],[Rating]] &lt; 4, "Medium", "High")))</f>
        <v>High</v>
      </c>
      <c r="L1972">
        <v>571</v>
      </c>
      <c r="M1972">
        <v>40</v>
      </c>
      <c r="N1972" t="str">
        <f>IF(Table13[[#This Row],[Price USD]]&lt;20,"Budget",IF(Table13[[#This Row],[Price USD]]&lt;=50,"Mid-range","Premium"))</f>
        <v>Mid-range</v>
      </c>
      <c r="O1972">
        <v>0</v>
      </c>
      <c r="P1972">
        <v>0</v>
      </c>
    </row>
    <row r="1973" spans="1:16" x14ac:dyDescent="0.25">
      <c r="A1973" t="s">
        <v>3137</v>
      </c>
      <c r="B1973" t="s">
        <v>3138</v>
      </c>
      <c r="C1973">
        <v>3902</v>
      </c>
      <c r="D1973" t="s">
        <v>72</v>
      </c>
      <c r="E1973" t="s">
        <v>8</v>
      </c>
      <c r="F1973">
        <v>6752</v>
      </c>
      <c r="G19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3">
        <v>3.6111</v>
      </c>
      <c r="J1973" t="str">
        <f>IF(ISBLANK(Table13[[#This Row],[Rating]]), "No", "Yes")</f>
        <v>Yes</v>
      </c>
      <c r="K1973" t="str">
        <f>IF(ISBLANK(Table13[[#This Row],[Rating]]), "Not Rated", IF(Table13[[#This Row],[Rating]] &lt; 3, "Low", IF(Table13[[#This Row],[Rating]] &lt; 4, "Medium", "High")))</f>
        <v>Medium</v>
      </c>
      <c r="L1973">
        <v>36</v>
      </c>
      <c r="M1973">
        <v>20</v>
      </c>
      <c r="N1973" t="str">
        <f>IF(Table13[[#This Row],[Price USD]]&lt;20,"Budget",IF(Table13[[#This Row],[Price USD]]&lt;=50,"Mid-range","Premium"))</f>
        <v>Mid-range</v>
      </c>
      <c r="O1973">
        <v>0</v>
      </c>
      <c r="P1973">
        <v>0</v>
      </c>
    </row>
    <row r="1974" spans="1:16" x14ac:dyDescent="0.25">
      <c r="A1974" t="s">
        <v>3135</v>
      </c>
      <c r="B1974" t="s">
        <v>3136</v>
      </c>
      <c r="C1974">
        <v>3902</v>
      </c>
      <c r="D1974" t="s">
        <v>72</v>
      </c>
      <c r="E1974" t="s">
        <v>201</v>
      </c>
      <c r="F1974">
        <v>6754</v>
      </c>
      <c r="G19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4">
        <v>2.9411999999999998</v>
      </c>
      <c r="J1974" t="str">
        <f>IF(ISBLANK(Table13[[#This Row],[Rating]]), "No", "Yes")</f>
        <v>Yes</v>
      </c>
      <c r="K1974" t="str">
        <f>IF(ISBLANK(Table13[[#This Row],[Rating]]), "Not Rated", IF(Table13[[#This Row],[Rating]] &lt; 3, "Low", IF(Table13[[#This Row],[Rating]] &lt; 4, "Medium", "High")))</f>
        <v>Low</v>
      </c>
      <c r="L1974">
        <v>17</v>
      </c>
      <c r="M1974">
        <v>8</v>
      </c>
      <c r="N1974" t="str">
        <f>IF(Table13[[#This Row],[Price USD]]&lt;20,"Budget",IF(Table13[[#This Row],[Price USD]]&lt;=50,"Mid-range","Premium"))</f>
        <v>Budget</v>
      </c>
      <c r="O1974">
        <v>0</v>
      </c>
      <c r="P1974">
        <v>0</v>
      </c>
    </row>
    <row r="1975" spans="1:16" x14ac:dyDescent="0.25">
      <c r="A1975" t="s">
        <v>3133</v>
      </c>
      <c r="B1975" t="s">
        <v>3134</v>
      </c>
      <c r="C1975">
        <v>6125</v>
      </c>
      <c r="D1975" t="s">
        <v>3</v>
      </c>
      <c r="E1975" t="s">
        <v>220</v>
      </c>
      <c r="F1975">
        <v>6757</v>
      </c>
      <c r="G19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5">
        <v>3.6667000000000001</v>
      </c>
      <c r="J1975" t="str">
        <f>IF(ISBLANK(Table13[[#This Row],[Rating]]), "No", "Yes")</f>
        <v>Yes</v>
      </c>
      <c r="K1975" t="str">
        <f>IF(ISBLANK(Table13[[#This Row],[Rating]]), "Not Rated", IF(Table13[[#This Row],[Rating]] &lt; 3, "Low", IF(Table13[[#This Row],[Rating]] &lt; 4, "Medium", "High")))</f>
        <v>Medium</v>
      </c>
      <c r="L1975">
        <v>3</v>
      </c>
      <c r="M1975">
        <v>35</v>
      </c>
      <c r="N1975" t="str">
        <f>IF(Table13[[#This Row],[Price USD]]&lt;20,"Budget",IF(Table13[[#This Row],[Price USD]]&lt;=50,"Mid-range","Premium"))</f>
        <v>Mid-range</v>
      </c>
      <c r="O1975">
        <v>1</v>
      </c>
      <c r="P1975">
        <v>0</v>
      </c>
    </row>
    <row r="1976" spans="1:16" x14ac:dyDescent="0.25">
      <c r="A1976" t="s">
        <v>3131</v>
      </c>
      <c r="B1976" t="s">
        <v>3132</v>
      </c>
      <c r="C1976">
        <v>3902</v>
      </c>
      <c r="D1976" t="s">
        <v>72</v>
      </c>
      <c r="E1976" t="s">
        <v>21</v>
      </c>
      <c r="F1976">
        <v>6763</v>
      </c>
      <c r="G19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6">
        <v>3.3260999999999998</v>
      </c>
      <c r="J1976" t="str">
        <f>IF(ISBLANK(Table13[[#This Row],[Rating]]), "No", "Yes")</f>
        <v>Yes</v>
      </c>
      <c r="K1976" t="str">
        <f>IF(ISBLANK(Table13[[#This Row],[Rating]]), "Not Rated", IF(Table13[[#This Row],[Rating]] &lt; 3, "Low", IF(Table13[[#This Row],[Rating]] &lt; 4, "Medium", "High")))</f>
        <v>Medium</v>
      </c>
      <c r="L1976">
        <v>46</v>
      </c>
      <c r="M1976">
        <v>17</v>
      </c>
      <c r="N1976" t="str">
        <f>IF(Table13[[#This Row],[Price USD]]&lt;20,"Budget",IF(Table13[[#This Row],[Price USD]]&lt;=50,"Mid-range","Premium"))</f>
        <v>Budget</v>
      </c>
      <c r="O1976">
        <v>0</v>
      </c>
      <c r="P1976">
        <v>0</v>
      </c>
    </row>
    <row r="1977" spans="1:16" x14ac:dyDescent="0.25">
      <c r="A1977" t="s">
        <v>3129</v>
      </c>
      <c r="B1977" t="s">
        <v>3130</v>
      </c>
      <c r="C1977">
        <v>5922</v>
      </c>
      <c r="D1977" t="s">
        <v>204</v>
      </c>
      <c r="E1977" t="s">
        <v>49</v>
      </c>
      <c r="F1977">
        <v>6781</v>
      </c>
      <c r="G19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7">
        <v>4.6917</v>
      </c>
      <c r="J1977" t="str">
        <f>IF(ISBLANK(Table13[[#This Row],[Rating]]), "No", "Yes")</f>
        <v>Yes</v>
      </c>
      <c r="K1977" t="str">
        <f>IF(ISBLANK(Table13[[#This Row],[Rating]]), "Not Rated", IF(Table13[[#This Row],[Rating]] &lt; 3, "Low", IF(Table13[[#This Row],[Rating]] &lt; 4, "Medium", "High")))</f>
        <v>High</v>
      </c>
      <c r="L1977">
        <v>266</v>
      </c>
      <c r="M1977">
        <v>46</v>
      </c>
      <c r="N1977" t="str">
        <f>IF(Table13[[#This Row],[Price USD]]&lt;20,"Budget",IF(Table13[[#This Row],[Price USD]]&lt;=50,"Mid-range","Premium"))</f>
        <v>Mid-range</v>
      </c>
      <c r="O1977">
        <v>0</v>
      </c>
      <c r="P1977">
        <v>0</v>
      </c>
    </row>
    <row r="1978" spans="1:16" x14ac:dyDescent="0.25">
      <c r="A1978" t="s">
        <v>3125</v>
      </c>
      <c r="B1978" t="s">
        <v>3126</v>
      </c>
      <c r="C1978">
        <v>8017</v>
      </c>
      <c r="D1978" t="s">
        <v>620</v>
      </c>
      <c r="E1978" t="s">
        <v>21</v>
      </c>
      <c r="F1978">
        <v>6786</v>
      </c>
      <c r="G19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8">
        <v>4.4375</v>
      </c>
      <c r="J1978" t="str">
        <f>IF(ISBLANK(Table13[[#This Row],[Rating]]), "No", "Yes")</f>
        <v>Yes</v>
      </c>
      <c r="K1978" t="str">
        <f>IF(ISBLANK(Table13[[#This Row],[Rating]]), "Not Rated", IF(Table13[[#This Row],[Rating]] &lt; 3, "Low", IF(Table13[[#This Row],[Rating]] &lt; 4, "Medium", "High")))</f>
        <v>High</v>
      </c>
      <c r="L1978">
        <v>32</v>
      </c>
      <c r="M1978">
        <v>7</v>
      </c>
      <c r="N1978" t="str">
        <f>IF(Table13[[#This Row],[Price USD]]&lt;20,"Budget",IF(Table13[[#This Row],[Price USD]]&lt;=50,"Mid-range","Premium"))</f>
        <v>Budget</v>
      </c>
      <c r="O1978">
        <v>0</v>
      </c>
      <c r="P1978">
        <v>0</v>
      </c>
    </row>
    <row r="1979" spans="1:16" x14ac:dyDescent="0.25">
      <c r="A1979" t="s">
        <v>3127</v>
      </c>
      <c r="B1979" t="s">
        <v>3128</v>
      </c>
      <c r="C1979">
        <v>5674</v>
      </c>
      <c r="D1979" t="s">
        <v>141</v>
      </c>
      <c r="E1979" t="s">
        <v>144</v>
      </c>
      <c r="F1979">
        <v>6786</v>
      </c>
      <c r="G19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79">
        <v>4.2371999999999996</v>
      </c>
      <c r="J1979" t="str">
        <f>IF(ISBLANK(Table13[[#This Row],[Rating]]), "No", "Yes")</f>
        <v>Yes</v>
      </c>
      <c r="K1979" t="str">
        <f>IF(ISBLANK(Table13[[#This Row],[Rating]]), "Not Rated", IF(Table13[[#This Row],[Rating]] &lt; 3, "Low", IF(Table13[[#This Row],[Rating]] &lt; 4, "Medium", "High")))</f>
        <v>High</v>
      </c>
      <c r="L1979">
        <v>527</v>
      </c>
      <c r="M1979">
        <v>16</v>
      </c>
      <c r="N1979" t="str">
        <f>IF(Table13[[#This Row],[Price USD]]&lt;20,"Budget",IF(Table13[[#This Row],[Price USD]]&lt;=50,"Mid-range","Premium"))</f>
        <v>Budget</v>
      </c>
      <c r="O1979">
        <v>0</v>
      </c>
      <c r="P1979">
        <v>0</v>
      </c>
    </row>
    <row r="1980" spans="1:16" x14ac:dyDescent="0.25">
      <c r="A1980" t="s">
        <v>3122</v>
      </c>
      <c r="B1980" t="s">
        <v>3123</v>
      </c>
      <c r="C1980">
        <v>6216</v>
      </c>
      <c r="D1980" t="s">
        <v>3124</v>
      </c>
      <c r="E1980" t="s">
        <v>144</v>
      </c>
      <c r="F1980">
        <v>6802</v>
      </c>
      <c r="G19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0">
        <v>3.5882000000000001</v>
      </c>
      <c r="J1980" t="str">
        <f>IF(ISBLANK(Table13[[#This Row],[Rating]]), "No", "Yes")</f>
        <v>Yes</v>
      </c>
      <c r="K1980" t="str">
        <f>IF(ISBLANK(Table13[[#This Row],[Rating]]), "Not Rated", IF(Table13[[#This Row],[Rating]] &lt; 3, "Low", IF(Table13[[#This Row],[Rating]] &lt; 4, "Medium", "High")))</f>
        <v>Medium</v>
      </c>
      <c r="L1980">
        <v>17</v>
      </c>
      <c r="M1980">
        <v>14</v>
      </c>
      <c r="N1980" t="str">
        <f>IF(Table13[[#This Row],[Price USD]]&lt;20,"Budget",IF(Table13[[#This Row],[Price USD]]&lt;=50,"Mid-range","Premium"))</f>
        <v>Budget</v>
      </c>
      <c r="O1980">
        <v>0</v>
      </c>
      <c r="P1980">
        <v>1</v>
      </c>
    </row>
    <row r="1981" spans="1:16" x14ac:dyDescent="0.25">
      <c r="A1981" t="s">
        <v>3120</v>
      </c>
      <c r="B1981" t="s">
        <v>3121</v>
      </c>
      <c r="C1981">
        <v>6226</v>
      </c>
      <c r="D1981" t="s">
        <v>843</v>
      </c>
      <c r="E1981" t="s">
        <v>201</v>
      </c>
      <c r="F1981">
        <v>6806</v>
      </c>
      <c r="G19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1">
        <v>4.8696000000000002</v>
      </c>
      <c r="J1981" t="str">
        <f>IF(ISBLANK(Table13[[#This Row],[Rating]]), "No", "Yes")</f>
        <v>Yes</v>
      </c>
      <c r="K1981" t="str">
        <f>IF(ISBLANK(Table13[[#This Row],[Rating]]), "Not Rated", IF(Table13[[#This Row],[Rating]] &lt; 3, "Low", IF(Table13[[#This Row],[Rating]] &lt; 4, "Medium", "High")))</f>
        <v>High</v>
      </c>
      <c r="L1981">
        <v>69</v>
      </c>
      <c r="M1981">
        <v>60</v>
      </c>
      <c r="N1981" t="str">
        <f>IF(Table13[[#This Row],[Price USD]]&lt;20,"Budget",IF(Table13[[#This Row],[Price USD]]&lt;=50,"Mid-range","Premium"))</f>
        <v>Premium</v>
      </c>
      <c r="O1981">
        <v>0</v>
      </c>
      <c r="P1981">
        <v>1</v>
      </c>
    </row>
    <row r="1982" spans="1:16" x14ac:dyDescent="0.25">
      <c r="A1982" t="s">
        <v>3118</v>
      </c>
      <c r="B1982" t="s">
        <v>3119</v>
      </c>
      <c r="C1982">
        <v>6018</v>
      </c>
      <c r="D1982" t="s">
        <v>517</v>
      </c>
      <c r="E1982" t="s">
        <v>21</v>
      </c>
      <c r="F1982">
        <v>6807</v>
      </c>
      <c r="G19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2">
        <v>4.2714999999999996</v>
      </c>
      <c r="J1982" t="str">
        <f>IF(ISBLANK(Table13[[#This Row],[Rating]]), "No", "Yes")</f>
        <v>Yes</v>
      </c>
      <c r="K1982" t="str">
        <f>IF(ISBLANK(Table13[[#This Row],[Rating]]), "Not Rated", IF(Table13[[#This Row],[Rating]] &lt; 3, "Low", IF(Table13[[#This Row],[Rating]] &lt; 4, "Medium", "High")))</f>
        <v>High</v>
      </c>
      <c r="L1982">
        <v>221</v>
      </c>
      <c r="M1982">
        <v>94</v>
      </c>
      <c r="N1982" t="str">
        <f>IF(Table13[[#This Row],[Price USD]]&lt;20,"Budget",IF(Table13[[#This Row],[Price USD]]&lt;=50,"Mid-range","Premium"))</f>
        <v>Premium</v>
      </c>
      <c r="O1982">
        <v>0</v>
      </c>
      <c r="P1982">
        <v>1</v>
      </c>
    </row>
    <row r="1983" spans="1:16" x14ac:dyDescent="0.25">
      <c r="A1983" t="s">
        <v>3116</v>
      </c>
      <c r="B1983" t="s">
        <v>3117</v>
      </c>
      <c r="C1983">
        <v>5674</v>
      </c>
      <c r="D1983" t="s">
        <v>141</v>
      </c>
      <c r="E1983" t="s">
        <v>220</v>
      </c>
      <c r="F1983">
        <v>6808</v>
      </c>
      <c r="G19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3">
        <v>3.6364000000000001</v>
      </c>
      <c r="J1983" t="str">
        <f>IF(ISBLANK(Table13[[#This Row],[Rating]]), "No", "Yes")</f>
        <v>Yes</v>
      </c>
      <c r="K1983" t="str">
        <f>IF(ISBLANK(Table13[[#This Row],[Rating]]), "Not Rated", IF(Table13[[#This Row],[Rating]] &lt; 3, "Low", IF(Table13[[#This Row],[Rating]] &lt; 4, "Medium", "High")))</f>
        <v>Medium</v>
      </c>
      <c r="L1983">
        <v>22</v>
      </c>
      <c r="M1983">
        <v>40</v>
      </c>
      <c r="N1983" t="str">
        <f>IF(Table13[[#This Row],[Price USD]]&lt;20,"Budget",IF(Table13[[#This Row],[Price USD]]&lt;=50,"Mid-range","Premium"))</f>
        <v>Mid-range</v>
      </c>
      <c r="O1983">
        <v>0</v>
      </c>
      <c r="P1983">
        <v>0</v>
      </c>
    </row>
    <row r="1984" spans="1:16" x14ac:dyDescent="0.25">
      <c r="A1984" t="s">
        <v>3114</v>
      </c>
      <c r="B1984" t="s">
        <v>3115</v>
      </c>
      <c r="C1984">
        <v>6272</v>
      </c>
      <c r="D1984" t="s">
        <v>1711</v>
      </c>
      <c r="E1984" t="s">
        <v>149</v>
      </c>
      <c r="F1984">
        <v>6812</v>
      </c>
      <c r="G19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4">
        <v>4.6909000000000001</v>
      </c>
      <c r="J1984" t="str">
        <f>IF(ISBLANK(Table13[[#This Row],[Rating]]), "No", "Yes")</f>
        <v>Yes</v>
      </c>
      <c r="K1984" t="str">
        <f>IF(ISBLANK(Table13[[#This Row],[Rating]]), "Not Rated", IF(Table13[[#This Row],[Rating]] &lt; 3, "Low", IF(Table13[[#This Row],[Rating]] &lt; 4, "Medium", "High")))</f>
        <v>High</v>
      </c>
      <c r="L1984">
        <v>55</v>
      </c>
      <c r="M1984">
        <v>58</v>
      </c>
      <c r="N1984" t="str">
        <f>IF(Table13[[#This Row],[Price USD]]&lt;20,"Budget",IF(Table13[[#This Row],[Price USD]]&lt;=50,"Mid-range","Premium"))</f>
        <v>Premium</v>
      </c>
      <c r="O1984">
        <v>0</v>
      </c>
      <c r="P1984">
        <v>0</v>
      </c>
    </row>
    <row r="1985" spans="1:16" x14ac:dyDescent="0.25">
      <c r="A1985" t="s">
        <v>3112</v>
      </c>
      <c r="B1985" t="s">
        <v>3113</v>
      </c>
      <c r="C1985">
        <v>6218</v>
      </c>
      <c r="D1985" t="s">
        <v>116</v>
      </c>
      <c r="E1985" t="s">
        <v>21</v>
      </c>
      <c r="F1985">
        <v>6823</v>
      </c>
      <c r="G19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5">
        <v>4.7556000000000003</v>
      </c>
      <c r="J1985" t="str">
        <f>IF(ISBLANK(Table13[[#This Row],[Rating]]), "No", "Yes")</f>
        <v>Yes</v>
      </c>
      <c r="K1985" t="str">
        <f>IF(ISBLANK(Table13[[#This Row],[Rating]]), "Not Rated", IF(Table13[[#This Row],[Rating]] &lt; 3, "Low", IF(Table13[[#This Row],[Rating]] &lt; 4, "Medium", "High")))</f>
        <v>High</v>
      </c>
      <c r="L1985">
        <v>311</v>
      </c>
      <c r="M1985">
        <v>48</v>
      </c>
      <c r="N1985" t="str">
        <f>IF(Table13[[#This Row],[Price USD]]&lt;20,"Budget",IF(Table13[[#This Row],[Price USD]]&lt;=50,"Mid-range","Premium"))</f>
        <v>Mid-range</v>
      </c>
      <c r="O1985">
        <v>1</v>
      </c>
      <c r="P1985">
        <v>0</v>
      </c>
    </row>
    <row r="1986" spans="1:16" x14ac:dyDescent="0.25">
      <c r="A1986" t="s">
        <v>3108</v>
      </c>
      <c r="B1986" t="s">
        <v>3109</v>
      </c>
      <c r="C1986">
        <v>6219</v>
      </c>
      <c r="D1986" t="s">
        <v>277</v>
      </c>
      <c r="E1986" t="s">
        <v>21</v>
      </c>
      <c r="F1986">
        <v>6836</v>
      </c>
      <c r="G19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6">
        <v>4.6383999999999999</v>
      </c>
      <c r="J1986" t="str">
        <f>IF(ISBLANK(Table13[[#This Row],[Rating]]), "No", "Yes")</f>
        <v>Yes</v>
      </c>
      <c r="K1986" t="str">
        <f>IF(ISBLANK(Table13[[#This Row],[Rating]]), "Not Rated", IF(Table13[[#This Row],[Rating]] &lt; 3, "Low", IF(Table13[[#This Row],[Rating]] &lt; 4, "Medium", "High")))</f>
        <v>High</v>
      </c>
      <c r="L1986">
        <v>271</v>
      </c>
      <c r="M1986">
        <v>69</v>
      </c>
      <c r="N1986" t="str">
        <f>IF(Table13[[#This Row],[Price USD]]&lt;20,"Budget",IF(Table13[[#This Row],[Price USD]]&lt;=50,"Mid-range","Premium"))</f>
        <v>Premium</v>
      </c>
      <c r="O1986">
        <v>0</v>
      </c>
      <c r="P1986">
        <v>0</v>
      </c>
    </row>
    <row r="1987" spans="1:16" x14ac:dyDescent="0.25">
      <c r="A1987" t="s">
        <v>3110</v>
      </c>
      <c r="B1987" t="s">
        <v>3111</v>
      </c>
      <c r="C1987">
        <v>5668</v>
      </c>
      <c r="D1987" t="s">
        <v>93</v>
      </c>
      <c r="E1987" t="s">
        <v>347</v>
      </c>
      <c r="F1987">
        <v>6836</v>
      </c>
      <c r="G19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7">
        <v>4.25</v>
      </c>
      <c r="J1987" t="str">
        <f>IF(ISBLANK(Table13[[#This Row],[Rating]]), "No", "Yes")</f>
        <v>Yes</v>
      </c>
      <c r="K1987" t="str">
        <f>IF(ISBLANK(Table13[[#This Row],[Rating]]), "Not Rated", IF(Table13[[#This Row],[Rating]] &lt; 3, "Low", IF(Table13[[#This Row],[Rating]] &lt; 4, "Medium", "High")))</f>
        <v>High</v>
      </c>
      <c r="L1987">
        <v>4</v>
      </c>
      <c r="M1987">
        <v>465</v>
      </c>
      <c r="N1987" t="str">
        <f>IF(Table13[[#This Row],[Price USD]]&lt;20,"Budget",IF(Table13[[#This Row],[Price USD]]&lt;=50,"Mid-range","Premium"))</f>
        <v>Premium</v>
      </c>
      <c r="O1987">
        <v>0</v>
      </c>
      <c r="P1987">
        <v>0</v>
      </c>
    </row>
    <row r="1988" spans="1:16" x14ac:dyDescent="0.25">
      <c r="A1988" t="s">
        <v>3106</v>
      </c>
      <c r="B1988" t="s">
        <v>3107</v>
      </c>
      <c r="C1988">
        <v>4348</v>
      </c>
      <c r="D1988" t="s">
        <v>61</v>
      </c>
      <c r="E1988" t="s">
        <v>220</v>
      </c>
      <c r="F1988">
        <v>6842</v>
      </c>
      <c r="G19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8">
        <v>3.2856999999999998</v>
      </c>
      <c r="J1988" t="str">
        <f>IF(ISBLANK(Table13[[#This Row],[Rating]]), "No", "Yes")</f>
        <v>Yes</v>
      </c>
      <c r="K1988" t="str">
        <f>IF(ISBLANK(Table13[[#This Row],[Rating]]), "Not Rated", IF(Table13[[#This Row],[Rating]] &lt; 3, "Low", IF(Table13[[#This Row],[Rating]] &lt; 4, "Medium", "High")))</f>
        <v>Medium</v>
      </c>
      <c r="L1988">
        <v>7</v>
      </c>
      <c r="M1988">
        <v>59</v>
      </c>
      <c r="N1988" t="str">
        <f>IF(Table13[[#This Row],[Price USD]]&lt;20,"Budget",IF(Table13[[#This Row],[Price USD]]&lt;=50,"Mid-range","Premium"))</f>
        <v>Premium</v>
      </c>
      <c r="O1988">
        <v>1</v>
      </c>
      <c r="P1988">
        <v>0</v>
      </c>
    </row>
    <row r="1989" spans="1:16" x14ac:dyDescent="0.25">
      <c r="A1989" t="s">
        <v>3104</v>
      </c>
      <c r="B1989" t="s">
        <v>3105</v>
      </c>
      <c r="C1989">
        <v>6742</v>
      </c>
      <c r="D1989" t="s">
        <v>1445</v>
      </c>
      <c r="E1989" t="s">
        <v>49</v>
      </c>
      <c r="F1989">
        <v>6848</v>
      </c>
      <c r="G19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89">
        <v>4.5999999999999996</v>
      </c>
      <c r="J1989" t="str">
        <f>IF(ISBLANK(Table13[[#This Row],[Rating]]), "No", "Yes")</f>
        <v>Yes</v>
      </c>
      <c r="K1989" t="str">
        <f>IF(ISBLANK(Table13[[#This Row],[Rating]]), "Not Rated", IF(Table13[[#This Row],[Rating]] &lt; 3, "Low", IF(Table13[[#This Row],[Rating]] &lt; 4, "Medium", "High")))</f>
        <v>High</v>
      </c>
      <c r="L1989">
        <v>10</v>
      </c>
      <c r="M1989">
        <v>32</v>
      </c>
      <c r="N1989" t="str">
        <f>IF(Table13[[#This Row],[Price USD]]&lt;20,"Budget",IF(Table13[[#This Row],[Price USD]]&lt;=50,"Mid-range","Premium"))</f>
        <v>Mid-range</v>
      </c>
      <c r="O1989">
        <v>0</v>
      </c>
      <c r="P1989">
        <v>0</v>
      </c>
    </row>
    <row r="1990" spans="1:16" x14ac:dyDescent="0.25">
      <c r="A1990" t="s">
        <v>3102</v>
      </c>
      <c r="B1990" t="s">
        <v>3103</v>
      </c>
      <c r="C1990">
        <v>6001</v>
      </c>
      <c r="D1990" t="s">
        <v>1836</v>
      </c>
      <c r="E1990" t="s">
        <v>347</v>
      </c>
      <c r="F1990">
        <v>6851</v>
      </c>
      <c r="G19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0">
        <v>4.25</v>
      </c>
      <c r="J1990" t="str">
        <f>IF(ISBLANK(Table13[[#This Row],[Rating]]), "No", "Yes")</f>
        <v>Yes</v>
      </c>
      <c r="K1990" t="str">
        <f>IF(ISBLANK(Table13[[#This Row],[Rating]]), "Not Rated", IF(Table13[[#This Row],[Rating]] &lt; 3, "Low", IF(Table13[[#This Row],[Rating]] &lt; 4, "Medium", "High")))</f>
        <v>High</v>
      </c>
      <c r="L1990">
        <v>20</v>
      </c>
      <c r="M1990">
        <v>399</v>
      </c>
      <c r="N1990" t="str">
        <f>IF(Table13[[#This Row],[Price USD]]&lt;20,"Budget",IF(Table13[[#This Row],[Price USD]]&lt;=50,"Mid-range","Premium"))</f>
        <v>Premium</v>
      </c>
      <c r="O1990">
        <v>0</v>
      </c>
      <c r="P1990">
        <v>0</v>
      </c>
    </row>
    <row r="1991" spans="1:16" x14ac:dyDescent="0.25">
      <c r="A1991" t="s">
        <v>3100</v>
      </c>
      <c r="B1991" t="s">
        <v>3101</v>
      </c>
      <c r="C1991">
        <v>6373</v>
      </c>
      <c r="D1991" t="s">
        <v>1652</v>
      </c>
      <c r="E1991" t="s">
        <v>21</v>
      </c>
      <c r="F1991">
        <v>6853</v>
      </c>
      <c r="G19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1">
        <v>4.1883999999999997</v>
      </c>
      <c r="J1991" t="str">
        <f>IF(ISBLANK(Table13[[#This Row],[Rating]]), "No", "Yes")</f>
        <v>Yes</v>
      </c>
      <c r="K1991" t="str">
        <f>IF(ISBLANK(Table13[[#This Row],[Rating]]), "Not Rated", IF(Table13[[#This Row],[Rating]] &lt; 3, "Low", IF(Table13[[#This Row],[Rating]] &lt; 4, "Medium", "High")))</f>
        <v>High</v>
      </c>
      <c r="L1991">
        <v>398</v>
      </c>
      <c r="M1991">
        <v>26</v>
      </c>
      <c r="N1991" t="str">
        <f>IF(Table13[[#This Row],[Price USD]]&lt;20,"Budget",IF(Table13[[#This Row],[Price USD]]&lt;=50,"Mid-range","Premium"))</f>
        <v>Mid-range</v>
      </c>
      <c r="O1991">
        <v>0</v>
      </c>
      <c r="P1991">
        <v>0</v>
      </c>
    </row>
    <row r="1992" spans="1:16" x14ac:dyDescent="0.25">
      <c r="A1992" t="s">
        <v>3098</v>
      </c>
      <c r="B1992" t="s">
        <v>3099</v>
      </c>
      <c r="C1992">
        <v>6316</v>
      </c>
      <c r="D1992" t="s">
        <v>563</v>
      </c>
      <c r="E1992" t="s">
        <v>220</v>
      </c>
      <c r="F1992">
        <v>6854</v>
      </c>
      <c r="G19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2">
        <v>2.8332999999999999</v>
      </c>
      <c r="J1992" t="str">
        <f>IF(ISBLANK(Table13[[#This Row],[Rating]]), "No", "Yes")</f>
        <v>Yes</v>
      </c>
      <c r="K1992" t="str">
        <f>IF(ISBLANK(Table13[[#This Row],[Rating]]), "Not Rated", IF(Table13[[#This Row],[Rating]] &lt; 3, "Low", IF(Table13[[#This Row],[Rating]] &lt; 4, "Medium", "High")))</f>
        <v>Low</v>
      </c>
      <c r="L1992">
        <v>6</v>
      </c>
      <c r="M1992">
        <v>29</v>
      </c>
      <c r="N1992" t="str">
        <f>IF(Table13[[#This Row],[Price USD]]&lt;20,"Budget",IF(Table13[[#This Row],[Price USD]]&lt;=50,"Mid-range","Premium"))</f>
        <v>Mid-range</v>
      </c>
      <c r="O1992">
        <v>0</v>
      </c>
      <c r="P1992">
        <v>0</v>
      </c>
    </row>
    <row r="1993" spans="1:16" x14ac:dyDescent="0.25">
      <c r="A1993" t="s">
        <v>3096</v>
      </c>
      <c r="B1993" t="s">
        <v>3097</v>
      </c>
      <c r="C1993">
        <v>6368</v>
      </c>
      <c r="D1993" t="s">
        <v>2117</v>
      </c>
      <c r="E1993" t="s">
        <v>69</v>
      </c>
      <c r="F1993">
        <v>6857</v>
      </c>
      <c r="G19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3">
        <v>4.4762000000000004</v>
      </c>
      <c r="J1993" t="str">
        <f>IF(ISBLANK(Table13[[#This Row],[Rating]]), "No", "Yes")</f>
        <v>Yes</v>
      </c>
      <c r="K1993" t="str">
        <f>IF(ISBLANK(Table13[[#This Row],[Rating]]), "Not Rated", IF(Table13[[#This Row],[Rating]] &lt; 3, "Low", IF(Table13[[#This Row],[Rating]] &lt; 4, "Medium", "High")))</f>
        <v>High</v>
      </c>
      <c r="L1993">
        <v>63</v>
      </c>
      <c r="M1993">
        <v>48</v>
      </c>
      <c r="N1993" t="str">
        <f>IF(Table13[[#This Row],[Price USD]]&lt;20,"Budget",IF(Table13[[#This Row],[Price USD]]&lt;=50,"Mid-range","Premium"))</f>
        <v>Mid-range</v>
      </c>
      <c r="O1993">
        <v>0</v>
      </c>
      <c r="P1993">
        <v>0</v>
      </c>
    </row>
    <row r="1994" spans="1:16" x14ac:dyDescent="0.25">
      <c r="A1994" t="s">
        <v>3094</v>
      </c>
      <c r="B1994" t="s">
        <v>3095</v>
      </c>
      <c r="C1994">
        <v>6356</v>
      </c>
      <c r="D1994" t="s">
        <v>1885</v>
      </c>
      <c r="E1994" t="s">
        <v>144</v>
      </c>
      <c r="F1994">
        <v>6863</v>
      </c>
      <c r="G19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4">
        <v>3.7646999999999999</v>
      </c>
      <c r="J1994" t="str">
        <f>IF(ISBLANK(Table13[[#This Row],[Rating]]), "No", "Yes")</f>
        <v>Yes</v>
      </c>
      <c r="K1994" t="str">
        <f>IF(ISBLANK(Table13[[#This Row],[Rating]]), "Not Rated", IF(Table13[[#This Row],[Rating]] &lt; 3, "Low", IF(Table13[[#This Row],[Rating]] &lt; 4, "Medium", "High")))</f>
        <v>Medium</v>
      </c>
      <c r="L1994">
        <v>17</v>
      </c>
      <c r="M1994">
        <v>92</v>
      </c>
      <c r="N1994" t="str">
        <f>IF(Table13[[#This Row],[Price USD]]&lt;20,"Budget",IF(Table13[[#This Row],[Price USD]]&lt;=50,"Mid-range","Premium"))</f>
        <v>Premium</v>
      </c>
      <c r="O1994">
        <v>0</v>
      </c>
      <c r="P1994">
        <v>0</v>
      </c>
    </row>
    <row r="1995" spans="1:16" x14ac:dyDescent="0.25">
      <c r="A1995" t="s">
        <v>3092</v>
      </c>
      <c r="B1995" t="s">
        <v>3093</v>
      </c>
      <c r="C1995">
        <v>6018</v>
      </c>
      <c r="D1995" t="s">
        <v>517</v>
      </c>
      <c r="E1995" t="s">
        <v>149</v>
      </c>
      <c r="F1995">
        <v>6866</v>
      </c>
      <c r="G19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5">
        <v>3.7759</v>
      </c>
      <c r="J1995" t="str">
        <f>IF(ISBLANK(Table13[[#This Row],[Rating]]), "No", "Yes")</f>
        <v>Yes</v>
      </c>
      <c r="K1995" t="str">
        <f>IF(ISBLANK(Table13[[#This Row],[Rating]]), "Not Rated", IF(Table13[[#This Row],[Rating]] &lt; 3, "Low", IF(Table13[[#This Row],[Rating]] &lt; 4, "Medium", "High")))</f>
        <v>Medium</v>
      </c>
      <c r="L1995">
        <v>116</v>
      </c>
      <c r="M1995">
        <v>74</v>
      </c>
      <c r="N1995" t="str">
        <f>IF(Table13[[#This Row],[Price USD]]&lt;20,"Budget",IF(Table13[[#This Row],[Price USD]]&lt;=50,"Mid-range","Premium"))</f>
        <v>Premium</v>
      </c>
      <c r="O1995">
        <v>0</v>
      </c>
      <c r="P1995">
        <v>0</v>
      </c>
    </row>
    <row r="1996" spans="1:16" x14ac:dyDescent="0.25">
      <c r="A1996" t="s">
        <v>3090</v>
      </c>
      <c r="B1996" t="s">
        <v>3091</v>
      </c>
      <c r="C1996">
        <v>6373</v>
      </c>
      <c r="D1996" t="s">
        <v>1652</v>
      </c>
      <c r="E1996" t="s">
        <v>13</v>
      </c>
      <c r="F1996">
        <v>6904</v>
      </c>
      <c r="G19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6">
        <v>3.9064000000000001</v>
      </c>
      <c r="J1996" t="str">
        <f>IF(ISBLANK(Table13[[#This Row],[Rating]]), "No", "Yes")</f>
        <v>Yes</v>
      </c>
      <c r="K1996" t="str">
        <f>IF(ISBLANK(Table13[[#This Row],[Rating]]), "Not Rated", IF(Table13[[#This Row],[Rating]] &lt; 3, "Low", IF(Table13[[#This Row],[Rating]] &lt; 4, "Medium", "High")))</f>
        <v>Medium</v>
      </c>
      <c r="L1996">
        <v>406</v>
      </c>
      <c r="M1996">
        <v>12</v>
      </c>
      <c r="N1996" t="str">
        <f>IF(Table13[[#This Row],[Price USD]]&lt;20,"Budget",IF(Table13[[#This Row],[Price USD]]&lt;=50,"Mid-range","Premium"))</f>
        <v>Budget</v>
      </c>
      <c r="O1996">
        <v>0</v>
      </c>
      <c r="P1996">
        <v>0</v>
      </c>
    </row>
    <row r="1997" spans="1:16" x14ac:dyDescent="0.25">
      <c r="A1997" t="s">
        <v>3088</v>
      </c>
      <c r="B1997" t="s">
        <v>3089</v>
      </c>
      <c r="C1997">
        <v>1254</v>
      </c>
      <c r="D1997" t="s">
        <v>136</v>
      </c>
      <c r="E1997" t="s">
        <v>8</v>
      </c>
      <c r="F1997">
        <v>6909</v>
      </c>
      <c r="G19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7">
        <v>4.3261000000000003</v>
      </c>
      <c r="J1997" t="str">
        <f>IF(ISBLANK(Table13[[#This Row],[Rating]]), "No", "Yes")</f>
        <v>Yes</v>
      </c>
      <c r="K1997" t="str">
        <f>IF(ISBLANK(Table13[[#This Row],[Rating]]), "Not Rated", IF(Table13[[#This Row],[Rating]] &lt; 3, "Low", IF(Table13[[#This Row],[Rating]] &lt; 4, "Medium", "High")))</f>
        <v>High</v>
      </c>
      <c r="L1997">
        <v>138</v>
      </c>
      <c r="M1997">
        <v>53</v>
      </c>
      <c r="N1997" t="str">
        <f>IF(Table13[[#This Row],[Price USD]]&lt;20,"Budget",IF(Table13[[#This Row],[Price USD]]&lt;=50,"Mid-range","Premium"))</f>
        <v>Premium</v>
      </c>
      <c r="O1997">
        <v>0</v>
      </c>
      <c r="P1997">
        <v>0</v>
      </c>
    </row>
    <row r="1998" spans="1:16" x14ac:dyDescent="0.25">
      <c r="A1998" t="s">
        <v>3084</v>
      </c>
      <c r="B1998" t="s">
        <v>3085</v>
      </c>
      <c r="C1998">
        <v>6226</v>
      </c>
      <c r="D1998" t="s">
        <v>843</v>
      </c>
      <c r="E1998" t="s">
        <v>201</v>
      </c>
      <c r="F1998">
        <v>6912</v>
      </c>
      <c r="G19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8">
        <v>3.9607999999999999</v>
      </c>
      <c r="J1998" t="str">
        <f>IF(ISBLANK(Table13[[#This Row],[Rating]]), "No", "Yes")</f>
        <v>Yes</v>
      </c>
      <c r="K1998" t="str">
        <f>IF(ISBLANK(Table13[[#This Row],[Rating]]), "Not Rated", IF(Table13[[#This Row],[Rating]] &lt; 3, "Low", IF(Table13[[#This Row],[Rating]] &lt; 4, "Medium", "High")))</f>
        <v>Medium</v>
      </c>
      <c r="L1998">
        <v>51</v>
      </c>
      <c r="M1998">
        <v>38</v>
      </c>
      <c r="N1998" t="str">
        <f>IF(Table13[[#This Row],[Price USD]]&lt;20,"Budget",IF(Table13[[#This Row],[Price USD]]&lt;=50,"Mid-range","Premium"))</f>
        <v>Mid-range</v>
      </c>
      <c r="O1998">
        <v>0</v>
      </c>
      <c r="P1998">
        <v>0</v>
      </c>
    </row>
    <row r="1999" spans="1:16" x14ac:dyDescent="0.25">
      <c r="A1999" t="s">
        <v>3086</v>
      </c>
      <c r="B1999" t="s">
        <v>3087</v>
      </c>
      <c r="C1999">
        <v>6256</v>
      </c>
      <c r="D1999" t="s">
        <v>346</v>
      </c>
      <c r="E1999" t="s">
        <v>201</v>
      </c>
      <c r="F1999">
        <v>6912</v>
      </c>
      <c r="G19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19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1999">
        <v>4.0909000000000004</v>
      </c>
      <c r="J1999" t="str">
        <f>IF(ISBLANK(Table13[[#This Row],[Rating]]), "No", "Yes")</f>
        <v>Yes</v>
      </c>
      <c r="K1999" t="str">
        <f>IF(ISBLANK(Table13[[#This Row],[Rating]]), "Not Rated", IF(Table13[[#This Row],[Rating]] &lt; 3, "Low", IF(Table13[[#This Row],[Rating]] &lt; 4, "Medium", "High")))</f>
        <v>High</v>
      </c>
      <c r="L1999">
        <v>22</v>
      </c>
      <c r="M1999">
        <v>72</v>
      </c>
      <c r="N1999" t="str">
        <f>IF(Table13[[#This Row],[Price USD]]&lt;20,"Budget",IF(Table13[[#This Row],[Price USD]]&lt;=50,"Mid-range","Premium"))</f>
        <v>Premium</v>
      </c>
      <c r="O1999">
        <v>0</v>
      </c>
      <c r="P1999">
        <v>0</v>
      </c>
    </row>
    <row r="2000" spans="1:16" x14ac:dyDescent="0.25">
      <c r="A2000" t="s">
        <v>3081</v>
      </c>
      <c r="B2000" t="s">
        <v>3082</v>
      </c>
      <c r="C2000">
        <v>6310</v>
      </c>
      <c r="D2000" t="s">
        <v>3083</v>
      </c>
      <c r="E2000" t="s">
        <v>21</v>
      </c>
      <c r="F2000">
        <v>6914</v>
      </c>
      <c r="G20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0">
        <v>4.3487999999999998</v>
      </c>
      <c r="J2000" t="str">
        <f>IF(ISBLANK(Table13[[#This Row],[Rating]]), "No", "Yes")</f>
        <v>Yes</v>
      </c>
      <c r="K2000" t="str">
        <f>IF(ISBLANK(Table13[[#This Row],[Rating]]), "Not Rated", IF(Table13[[#This Row],[Rating]] &lt; 3, "Low", IF(Table13[[#This Row],[Rating]] &lt; 4, "Medium", "High")))</f>
        <v>High</v>
      </c>
      <c r="L2000">
        <v>410</v>
      </c>
      <c r="M2000">
        <v>68</v>
      </c>
      <c r="N2000" t="str">
        <f>IF(Table13[[#This Row],[Price USD]]&lt;20,"Budget",IF(Table13[[#This Row],[Price USD]]&lt;=50,"Mid-range","Premium"))</f>
        <v>Premium</v>
      </c>
      <c r="O2000">
        <v>0</v>
      </c>
      <c r="P2000">
        <v>0</v>
      </c>
    </row>
    <row r="2001" spans="1:16" x14ac:dyDescent="0.25">
      <c r="A2001" t="s">
        <v>3079</v>
      </c>
      <c r="B2001" t="s">
        <v>3080</v>
      </c>
      <c r="C2001">
        <v>6225</v>
      </c>
      <c r="D2001" t="s">
        <v>640</v>
      </c>
      <c r="E2001" t="s">
        <v>106</v>
      </c>
      <c r="F2001">
        <v>6917</v>
      </c>
      <c r="G20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1">
        <v>3.6808999999999998</v>
      </c>
      <c r="J2001" t="str">
        <f>IF(ISBLANK(Table13[[#This Row],[Rating]]), "No", "Yes")</f>
        <v>Yes</v>
      </c>
      <c r="K2001" t="str">
        <f>IF(ISBLANK(Table13[[#This Row],[Rating]]), "Not Rated", IF(Table13[[#This Row],[Rating]] &lt; 3, "Low", IF(Table13[[#This Row],[Rating]] &lt; 4, "Medium", "High")))</f>
        <v>Medium</v>
      </c>
      <c r="L2001">
        <v>47</v>
      </c>
      <c r="M2001">
        <v>49</v>
      </c>
      <c r="N2001" t="str">
        <f>IF(Table13[[#This Row],[Price USD]]&lt;20,"Budget",IF(Table13[[#This Row],[Price USD]]&lt;=50,"Mid-range","Premium"))</f>
        <v>Mid-range</v>
      </c>
      <c r="O2001">
        <v>0</v>
      </c>
      <c r="P2001">
        <v>0</v>
      </c>
    </row>
    <row r="2002" spans="1:16" x14ac:dyDescent="0.25">
      <c r="A2002" t="s">
        <v>3077</v>
      </c>
      <c r="B2002" t="s">
        <v>3078</v>
      </c>
      <c r="C2002">
        <v>4372</v>
      </c>
      <c r="D2002" t="s">
        <v>1513</v>
      </c>
      <c r="E2002" t="s">
        <v>8</v>
      </c>
      <c r="F2002">
        <v>6925</v>
      </c>
      <c r="G20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2">
        <v>4.2039</v>
      </c>
      <c r="J2002" t="str">
        <f>IF(ISBLANK(Table13[[#This Row],[Rating]]), "No", "Yes")</f>
        <v>Yes</v>
      </c>
      <c r="K2002" t="str">
        <f>IF(ISBLANK(Table13[[#This Row],[Rating]]), "Not Rated", IF(Table13[[#This Row],[Rating]] &lt; 3, "Low", IF(Table13[[#This Row],[Rating]] &lt; 4, "Medium", "High")))</f>
        <v>High</v>
      </c>
      <c r="L2002">
        <v>103</v>
      </c>
      <c r="M2002">
        <v>50</v>
      </c>
      <c r="N2002" t="str">
        <f>IF(Table13[[#This Row],[Price USD]]&lt;20,"Budget",IF(Table13[[#This Row],[Price USD]]&lt;=50,"Mid-range","Premium"))</f>
        <v>Mid-range</v>
      </c>
      <c r="O2002">
        <v>0</v>
      </c>
      <c r="P2002">
        <v>0</v>
      </c>
    </row>
    <row r="2003" spans="1:16" x14ac:dyDescent="0.25">
      <c r="A2003" t="s">
        <v>3075</v>
      </c>
      <c r="B2003" t="s">
        <v>3076</v>
      </c>
      <c r="C2003">
        <v>7050</v>
      </c>
      <c r="D2003" t="s">
        <v>721</v>
      </c>
      <c r="E2003" t="s">
        <v>201</v>
      </c>
      <c r="F2003">
        <v>6956</v>
      </c>
      <c r="G20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3">
        <v>4.0434999999999999</v>
      </c>
      <c r="J2003" t="str">
        <f>IF(ISBLANK(Table13[[#This Row],[Rating]]), "No", "Yes")</f>
        <v>Yes</v>
      </c>
      <c r="K2003" t="str">
        <f>IF(ISBLANK(Table13[[#This Row],[Rating]]), "Not Rated", IF(Table13[[#This Row],[Rating]] &lt; 3, "Low", IF(Table13[[#This Row],[Rating]] &lt; 4, "Medium", "High")))</f>
        <v>High</v>
      </c>
      <c r="L2003">
        <v>23</v>
      </c>
      <c r="M2003">
        <v>40</v>
      </c>
      <c r="N2003" t="str">
        <f>IF(Table13[[#This Row],[Price USD]]&lt;20,"Budget",IF(Table13[[#This Row],[Price USD]]&lt;=50,"Mid-range","Premium"))</f>
        <v>Mid-range</v>
      </c>
      <c r="O2003">
        <v>0</v>
      </c>
      <c r="P2003">
        <v>0</v>
      </c>
    </row>
    <row r="2004" spans="1:16" x14ac:dyDescent="0.25">
      <c r="A2004" t="s">
        <v>3073</v>
      </c>
      <c r="B2004" t="s">
        <v>3074</v>
      </c>
      <c r="C2004">
        <v>5946</v>
      </c>
      <c r="D2004" t="s">
        <v>341</v>
      </c>
      <c r="E2004" t="s">
        <v>8</v>
      </c>
      <c r="F2004">
        <v>6963</v>
      </c>
      <c r="G20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4">
        <v>4.7377000000000002</v>
      </c>
      <c r="J2004" t="str">
        <f>IF(ISBLANK(Table13[[#This Row],[Rating]]), "No", "Yes")</f>
        <v>Yes</v>
      </c>
      <c r="K2004" t="str">
        <f>IF(ISBLANK(Table13[[#This Row],[Rating]]), "Not Rated", IF(Table13[[#This Row],[Rating]] &lt; 3, "Low", IF(Table13[[#This Row],[Rating]] &lt; 4, "Medium", "High")))</f>
        <v>High</v>
      </c>
      <c r="L2004">
        <v>122</v>
      </c>
      <c r="M2004">
        <v>98</v>
      </c>
      <c r="N2004" t="str">
        <f>IF(Table13[[#This Row],[Price USD]]&lt;20,"Budget",IF(Table13[[#This Row],[Price USD]]&lt;=50,"Mid-range","Premium"))</f>
        <v>Premium</v>
      </c>
      <c r="O2004">
        <v>0</v>
      </c>
      <c r="P2004">
        <v>0</v>
      </c>
    </row>
    <row r="2005" spans="1:16" x14ac:dyDescent="0.25">
      <c r="A2005" t="s">
        <v>3071</v>
      </c>
      <c r="B2005" t="s">
        <v>3072</v>
      </c>
      <c r="C2005">
        <v>6175</v>
      </c>
      <c r="D2005" t="s">
        <v>338</v>
      </c>
      <c r="E2005" t="s">
        <v>21</v>
      </c>
      <c r="F2005">
        <v>6989</v>
      </c>
      <c r="G20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5">
        <v>4.4419000000000004</v>
      </c>
      <c r="J2005" t="str">
        <f>IF(ISBLANK(Table13[[#This Row],[Rating]]), "No", "Yes")</f>
        <v>Yes</v>
      </c>
      <c r="K2005" t="str">
        <f>IF(ISBLANK(Table13[[#This Row],[Rating]]), "Not Rated", IF(Table13[[#This Row],[Rating]] &lt; 3, "Low", IF(Table13[[#This Row],[Rating]] &lt; 4, "Medium", "High")))</f>
        <v>High</v>
      </c>
      <c r="L2005">
        <v>172</v>
      </c>
      <c r="M2005">
        <v>69</v>
      </c>
      <c r="N2005" t="str">
        <f>IF(Table13[[#This Row],[Price USD]]&lt;20,"Budget",IF(Table13[[#This Row],[Price USD]]&lt;=50,"Mid-range","Premium"))</f>
        <v>Premium</v>
      </c>
      <c r="O2005">
        <v>0</v>
      </c>
      <c r="P2005">
        <v>0</v>
      </c>
    </row>
    <row r="2006" spans="1:16" x14ac:dyDescent="0.25">
      <c r="A2006" t="s">
        <v>3069</v>
      </c>
      <c r="B2006" t="s">
        <v>3070</v>
      </c>
      <c r="C2006">
        <v>8012</v>
      </c>
      <c r="D2006" t="s">
        <v>2864</v>
      </c>
      <c r="E2006" t="s">
        <v>149</v>
      </c>
      <c r="F2006">
        <v>6994</v>
      </c>
      <c r="G20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6">
        <v>4.2154999999999996</v>
      </c>
      <c r="J2006" t="str">
        <f>IF(ISBLANK(Table13[[#This Row],[Rating]]), "No", "Yes")</f>
        <v>Yes</v>
      </c>
      <c r="K2006" t="str">
        <f>IF(ISBLANK(Table13[[#This Row],[Rating]]), "Not Rated", IF(Table13[[#This Row],[Rating]] &lt; 3, "Low", IF(Table13[[#This Row],[Rating]] &lt; 4, "Medium", "High")))</f>
        <v>High</v>
      </c>
      <c r="L2006">
        <v>116</v>
      </c>
      <c r="M2006">
        <v>26</v>
      </c>
      <c r="N2006" t="str">
        <f>IF(Table13[[#This Row],[Price USD]]&lt;20,"Budget",IF(Table13[[#This Row],[Price USD]]&lt;=50,"Mid-range","Premium"))</f>
        <v>Mid-range</v>
      </c>
      <c r="O2006">
        <v>0</v>
      </c>
      <c r="P2006">
        <v>0</v>
      </c>
    </row>
    <row r="2007" spans="1:16" x14ac:dyDescent="0.25">
      <c r="A2007" t="s">
        <v>3067</v>
      </c>
      <c r="B2007" t="s">
        <v>3068</v>
      </c>
      <c r="C2007">
        <v>8012</v>
      </c>
      <c r="D2007" t="s">
        <v>2864</v>
      </c>
      <c r="E2007" t="s">
        <v>21</v>
      </c>
      <c r="F2007">
        <v>6996</v>
      </c>
      <c r="G20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7">
        <v>4.4406999999999996</v>
      </c>
      <c r="J2007" t="str">
        <f>IF(ISBLANK(Table13[[#This Row],[Rating]]), "No", "Yes")</f>
        <v>Yes</v>
      </c>
      <c r="K2007" t="str">
        <f>IF(ISBLANK(Table13[[#This Row],[Rating]]), "Not Rated", IF(Table13[[#This Row],[Rating]] &lt; 3, "Low", IF(Table13[[#This Row],[Rating]] &lt; 4, "Medium", "High")))</f>
        <v>High</v>
      </c>
      <c r="L2007">
        <v>177</v>
      </c>
      <c r="M2007">
        <v>37</v>
      </c>
      <c r="N2007" t="str">
        <f>IF(Table13[[#This Row],[Price USD]]&lt;20,"Budget",IF(Table13[[#This Row],[Price USD]]&lt;=50,"Mid-range","Premium"))</f>
        <v>Mid-range</v>
      </c>
      <c r="O2007">
        <v>0</v>
      </c>
      <c r="P2007">
        <v>0</v>
      </c>
    </row>
    <row r="2008" spans="1:16" x14ac:dyDescent="0.25">
      <c r="A2008" t="s">
        <v>3065</v>
      </c>
      <c r="B2008" t="s">
        <v>3066</v>
      </c>
      <c r="C2008">
        <v>6295</v>
      </c>
      <c r="D2008" t="s">
        <v>184</v>
      </c>
      <c r="E2008" t="s">
        <v>220</v>
      </c>
      <c r="F2008">
        <v>7004</v>
      </c>
      <c r="G20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8">
        <v>3.7059000000000002</v>
      </c>
      <c r="J2008" t="str">
        <f>IF(ISBLANK(Table13[[#This Row],[Rating]]), "No", "Yes")</f>
        <v>Yes</v>
      </c>
      <c r="K2008" t="str">
        <f>IF(ISBLANK(Table13[[#This Row],[Rating]]), "Not Rated", IF(Table13[[#This Row],[Rating]] &lt; 3, "Low", IF(Table13[[#This Row],[Rating]] &lt; 4, "Medium", "High")))</f>
        <v>Medium</v>
      </c>
      <c r="L2008">
        <v>17</v>
      </c>
      <c r="M2008">
        <v>39</v>
      </c>
      <c r="N2008" t="str">
        <f>IF(Table13[[#This Row],[Price USD]]&lt;20,"Budget",IF(Table13[[#This Row],[Price USD]]&lt;=50,"Mid-range","Premium"))</f>
        <v>Mid-range</v>
      </c>
      <c r="O2008">
        <v>0</v>
      </c>
      <c r="P2008">
        <v>0</v>
      </c>
    </row>
    <row r="2009" spans="1:16" x14ac:dyDescent="0.25">
      <c r="A2009" t="s">
        <v>3062</v>
      </c>
      <c r="B2009" t="s">
        <v>3063</v>
      </c>
      <c r="C2009">
        <v>6187</v>
      </c>
      <c r="D2009" t="s">
        <v>3064</v>
      </c>
      <c r="E2009" t="s">
        <v>13</v>
      </c>
      <c r="F2009">
        <v>7009</v>
      </c>
      <c r="G20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09">
        <v>4.2526000000000002</v>
      </c>
      <c r="J2009" t="str">
        <f>IF(ISBLANK(Table13[[#This Row],[Rating]]), "No", "Yes")</f>
        <v>Yes</v>
      </c>
      <c r="K2009" t="str">
        <f>IF(ISBLANK(Table13[[#This Row],[Rating]]), "Not Rated", IF(Table13[[#This Row],[Rating]] &lt; 3, "Low", IF(Table13[[#This Row],[Rating]] &lt; 4, "Medium", "High")))</f>
        <v>High</v>
      </c>
      <c r="L2009">
        <v>194</v>
      </c>
      <c r="M2009">
        <v>20</v>
      </c>
      <c r="N2009" t="str">
        <f>IF(Table13[[#This Row],[Price USD]]&lt;20,"Budget",IF(Table13[[#This Row],[Price USD]]&lt;=50,"Mid-range","Premium"))</f>
        <v>Mid-range</v>
      </c>
      <c r="O2009">
        <v>0</v>
      </c>
      <c r="P2009">
        <v>1</v>
      </c>
    </row>
    <row r="2010" spans="1:16" x14ac:dyDescent="0.25">
      <c r="A2010" t="s">
        <v>3058</v>
      </c>
      <c r="B2010" t="s">
        <v>3059</v>
      </c>
      <c r="C2010">
        <v>6312</v>
      </c>
      <c r="D2010" t="s">
        <v>1242</v>
      </c>
      <c r="E2010" t="s">
        <v>21</v>
      </c>
      <c r="F2010">
        <v>7054</v>
      </c>
      <c r="G20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0">
        <v>4.5805999999999996</v>
      </c>
      <c r="J2010" t="str">
        <f>IF(ISBLANK(Table13[[#This Row],[Rating]]), "No", "Yes")</f>
        <v>Yes</v>
      </c>
      <c r="K2010" t="str">
        <f>IF(ISBLANK(Table13[[#This Row],[Rating]]), "Not Rated", IF(Table13[[#This Row],[Rating]] &lt; 3, "Low", IF(Table13[[#This Row],[Rating]] &lt; 4, "Medium", "High")))</f>
        <v>High</v>
      </c>
      <c r="L2010">
        <v>31</v>
      </c>
      <c r="M2010">
        <v>25</v>
      </c>
      <c r="N2010" t="str">
        <f>IF(Table13[[#This Row],[Price USD]]&lt;20,"Budget",IF(Table13[[#This Row],[Price USD]]&lt;=50,"Mid-range","Premium"))</f>
        <v>Mid-range</v>
      </c>
      <c r="O2010">
        <v>0</v>
      </c>
      <c r="P2010">
        <v>0</v>
      </c>
    </row>
    <row r="2011" spans="1:16" x14ac:dyDescent="0.25">
      <c r="A2011" t="s">
        <v>3060</v>
      </c>
      <c r="B2011" t="s">
        <v>3061</v>
      </c>
      <c r="C2011">
        <v>6219</v>
      </c>
      <c r="D2011" t="s">
        <v>277</v>
      </c>
      <c r="E2011" t="s">
        <v>21</v>
      </c>
      <c r="F2011">
        <v>7054</v>
      </c>
      <c r="G20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1">
        <v>4.6593</v>
      </c>
      <c r="J2011" t="str">
        <f>IF(ISBLANK(Table13[[#This Row],[Rating]]), "No", "Yes")</f>
        <v>Yes</v>
      </c>
      <c r="K2011" t="str">
        <f>IF(ISBLANK(Table13[[#This Row],[Rating]]), "Not Rated", IF(Table13[[#This Row],[Rating]] &lt; 3, "Low", IF(Table13[[#This Row],[Rating]] &lt; 4, "Medium", "High")))</f>
        <v>High</v>
      </c>
      <c r="L2011">
        <v>226</v>
      </c>
      <c r="M2011">
        <v>94</v>
      </c>
      <c r="N2011" t="str">
        <f>IF(Table13[[#This Row],[Price USD]]&lt;20,"Budget",IF(Table13[[#This Row],[Price USD]]&lt;=50,"Mid-range","Premium"))</f>
        <v>Premium</v>
      </c>
      <c r="O2011">
        <v>0</v>
      </c>
      <c r="P2011">
        <v>0</v>
      </c>
    </row>
    <row r="2012" spans="1:16" x14ac:dyDescent="0.25">
      <c r="A2012" t="s">
        <v>3056</v>
      </c>
      <c r="B2012" t="s">
        <v>3057</v>
      </c>
      <c r="C2012">
        <v>5668</v>
      </c>
      <c r="D2012" t="s">
        <v>93</v>
      </c>
      <c r="E2012" t="s">
        <v>13</v>
      </c>
      <c r="F2012">
        <v>7057</v>
      </c>
      <c r="G20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2">
        <v>3.7143000000000002</v>
      </c>
      <c r="J2012" t="str">
        <f>IF(ISBLANK(Table13[[#This Row],[Rating]]), "No", "Yes")</f>
        <v>Yes</v>
      </c>
      <c r="K2012" t="str">
        <f>IF(ISBLANK(Table13[[#This Row],[Rating]]), "Not Rated", IF(Table13[[#This Row],[Rating]] &lt; 3, "Low", IF(Table13[[#This Row],[Rating]] &lt; 4, "Medium", "High")))</f>
        <v>Medium</v>
      </c>
      <c r="L2012">
        <v>14</v>
      </c>
      <c r="M2012">
        <v>15</v>
      </c>
      <c r="N2012" t="str">
        <f>IF(Table13[[#This Row],[Price USD]]&lt;20,"Budget",IF(Table13[[#This Row],[Price USD]]&lt;=50,"Mid-range","Premium"))</f>
        <v>Budget</v>
      </c>
      <c r="O2012">
        <v>0</v>
      </c>
      <c r="P2012">
        <v>0</v>
      </c>
    </row>
    <row r="2013" spans="1:16" x14ac:dyDescent="0.25">
      <c r="A2013" t="s">
        <v>3054</v>
      </c>
      <c r="B2013" t="s">
        <v>3055</v>
      </c>
      <c r="C2013">
        <v>6357</v>
      </c>
      <c r="D2013" t="s">
        <v>876</v>
      </c>
      <c r="E2013" t="s">
        <v>13</v>
      </c>
      <c r="F2013">
        <v>7064</v>
      </c>
      <c r="G20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3">
        <v>4.3907999999999996</v>
      </c>
      <c r="J2013" t="str">
        <f>IF(ISBLANK(Table13[[#This Row],[Rating]]), "No", "Yes")</f>
        <v>Yes</v>
      </c>
      <c r="K2013" t="str">
        <f>IF(ISBLANK(Table13[[#This Row],[Rating]]), "Not Rated", IF(Table13[[#This Row],[Rating]] &lt; 3, "Low", IF(Table13[[#This Row],[Rating]] &lt; 4, "Medium", "High")))</f>
        <v>High</v>
      </c>
      <c r="L2013">
        <v>87</v>
      </c>
      <c r="M2013">
        <v>22</v>
      </c>
      <c r="N2013" t="str">
        <f>IF(Table13[[#This Row],[Price USD]]&lt;20,"Budget",IF(Table13[[#This Row],[Price USD]]&lt;=50,"Mid-range","Premium"))</f>
        <v>Mid-range</v>
      </c>
      <c r="O2013">
        <v>0</v>
      </c>
      <c r="P2013">
        <v>0</v>
      </c>
    </row>
    <row r="2014" spans="1:16" x14ac:dyDescent="0.25">
      <c r="A2014" t="s">
        <v>3052</v>
      </c>
      <c r="B2014" t="s">
        <v>3053</v>
      </c>
      <c r="C2014">
        <v>1073</v>
      </c>
      <c r="D2014" t="s">
        <v>767</v>
      </c>
      <c r="E2014" t="s">
        <v>21</v>
      </c>
      <c r="F2014">
        <v>7071</v>
      </c>
      <c r="G20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4">
        <v>4.5167999999999999</v>
      </c>
      <c r="J2014" t="str">
        <f>IF(ISBLANK(Table13[[#This Row],[Rating]]), "No", "Yes")</f>
        <v>Yes</v>
      </c>
      <c r="K2014" t="str">
        <f>IF(ISBLANK(Table13[[#This Row],[Rating]]), "Not Rated", IF(Table13[[#This Row],[Rating]] &lt; 3, "Low", IF(Table13[[#This Row],[Rating]] &lt; 4, "Medium", "High")))</f>
        <v>High</v>
      </c>
      <c r="L2014">
        <v>654</v>
      </c>
      <c r="M2014">
        <v>130</v>
      </c>
      <c r="N2014" t="str">
        <f>IF(Table13[[#This Row],[Price USD]]&lt;20,"Budget",IF(Table13[[#This Row],[Price USD]]&lt;=50,"Mid-range","Premium"))</f>
        <v>Premium</v>
      </c>
      <c r="O2014">
        <v>0</v>
      </c>
      <c r="P2014">
        <v>0</v>
      </c>
    </row>
    <row r="2015" spans="1:16" x14ac:dyDescent="0.25">
      <c r="A2015" t="s">
        <v>3050</v>
      </c>
      <c r="B2015" t="s">
        <v>3051</v>
      </c>
      <c r="C2015">
        <v>6283</v>
      </c>
      <c r="D2015" t="s">
        <v>1696</v>
      </c>
      <c r="E2015" t="s">
        <v>8</v>
      </c>
      <c r="F2015">
        <v>7074</v>
      </c>
      <c r="G20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5">
        <v>4.3578999999999999</v>
      </c>
      <c r="J2015" t="str">
        <f>IF(ISBLANK(Table13[[#This Row],[Rating]]), "No", "Yes")</f>
        <v>Yes</v>
      </c>
      <c r="K2015" t="str">
        <f>IF(ISBLANK(Table13[[#This Row],[Rating]]), "Not Rated", IF(Table13[[#This Row],[Rating]] &lt; 3, "Low", IF(Table13[[#This Row],[Rating]] &lt; 4, "Medium", "High")))</f>
        <v>High</v>
      </c>
      <c r="L2015">
        <v>95</v>
      </c>
      <c r="M2015">
        <v>65</v>
      </c>
      <c r="N2015" t="str">
        <f>IF(Table13[[#This Row],[Price USD]]&lt;20,"Budget",IF(Table13[[#This Row],[Price USD]]&lt;=50,"Mid-range","Premium"))</f>
        <v>Premium</v>
      </c>
      <c r="O2015">
        <v>0</v>
      </c>
      <c r="P2015">
        <v>0</v>
      </c>
    </row>
    <row r="2016" spans="1:16" x14ac:dyDescent="0.25">
      <c r="A2016" t="s">
        <v>3048</v>
      </c>
      <c r="B2016" t="s">
        <v>3049</v>
      </c>
      <c r="C2016">
        <v>6314</v>
      </c>
      <c r="D2016" t="s">
        <v>558</v>
      </c>
      <c r="E2016" t="s">
        <v>8</v>
      </c>
      <c r="F2016">
        <v>7097</v>
      </c>
      <c r="G20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6">
        <v>4.8760000000000003</v>
      </c>
      <c r="J2016" t="str">
        <f>IF(ISBLANK(Table13[[#This Row],[Rating]]), "No", "Yes")</f>
        <v>Yes</v>
      </c>
      <c r="K2016" t="str">
        <f>IF(ISBLANK(Table13[[#This Row],[Rating]]), "Not Rated", IF(Table13[[#This Row],[Rating]] &lt; 3, "Low", IF(Table13[[#This Row],[Rating]] &lt; 4, "Medium", "High")))</f>
        <v>High</v>
      </c>
      <c r="L2016">
        <v>129</v>
      </c>
      <c r="M2016">
        <v>125</v>
      </c>
      <c r="N2016" t="str">
        <f>IF(Table13[[#This Row],[Price USD]]&lt;20,"Budget",IF(Table13[[#This Row],[Price USD]]&lt;=50,"Mid-range","Premium"))</f>
        <v>Premium</v>
      </c>
      <c r="O2016">
        <v>1</v>
      </c>
      <c r="P2016">
        <v>0</v>
      </c>
    </row>
    <row r="2017" spans="1:16" x14ac:dyDescent="0.25">
      <c r="A2017" t="s">
        <v>3046</v>
      </c>
      <c r="B2017" t="s">
        <v>3047</v>
      </c>
      <c r="C2017">
        <v>6358</v>
      </c>
      <c r="D2017" t="s">
        <v>2301</v>
      </c>
      <c r="E2017" t="s">
        <v>8</v>
      </c>
      <c r="F2017">
        <v>7120</v>
      </c>
      <c r="G20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7">
        <v>4.75</v>
      </c>
      <c r="J2017" t="str">
        <f>IF(ISBLANK(Table13[[#This Row],[Rating]]), "No", "Yes")</f>
        <v>Yes</v>
      </c>
      <c r="K2017" t="str">
        <f>IF(ISBLANK(Table13[[#This Row],[Rating]]), "Not Rated", IF(Table13[[#This Row],[Rating]] &lt; 3, "Low", IF(Table13[[#This Row],[Rating]] &lt; 4, "Medium", "High")))</f>
        <v>High</v>
      </c>
      <c r="L2017">
        <v>64</v>
      </c>
      <c r="M2017">
        <v>45</v>
      </c>
      <c r="N2017" t="str">
        <f>IF(Table13[[#This Row],[Price USD]]&lt;20,"Budget",IF(Table13[[#This Row],[Price USD]]&lt;=50,"Mid-range","Premium"))</f>
        <v>Mid-range</v>
      </c>
      <c r="O2017">
        <v>0</v>
      </c>
      <c r="P2017">
        <v>0</v>
      </c>
    </row>
    <row r="2018" spans="1:16" x14ac:dyDescent="0.25">
      <c r="A2018" t="s">
        <v>3044</v>
      </c>
      <c r="B2018" t="s">
        <v>3045</v>
      </c>
      <c r="C2018">
        <v>3902</v>
      </c>
      <c r="D2018" t="s">
        <v>72</v>
      </c>
      <c r="E2018" t="s">
        <v>201</v>
      </c>
      <c r="F2018">
        <v>7125</v>
      </c>
      <c r="G20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8">
        <v>4</v>
      </c>
      <c r="J2018" t="str">
        <f>IF(ISBLANK(Table13[[#This Row],[Rating]]), "No", "Yes")</f>
        <v>Yes</v>
      </c>
      <c r="K2018" t="str">
        <f>IF(ISBLANK(Table13[[#This Row],[Rating]]), "Not Rated", IF(Table13[[#This Row],[Rating]] &lt; 3, "Low", IF(Table13[[#This Row],[Rating]] &lt; 4, "Medium", "High")))</f>
        <v>High</v>
      </c>
      <c r="L2018">
        <v>11</v>
      </c>
      <c r="M2018">
        <v>15</v>
      </c>
      <c r="N2018" t="str">
        <f>IF(Table13[[#This Row],[Price USD]]&lt;20,"Budget",IF(Table13[[#This Row],[Price USD]]&lt;=50,"Mid-range","Premium"))</f>
        <v>Budget</v>
      </c>
      <c r="O2018">
        <v>0</v>
      </c>
      <c r="P2018">
        <v>0</v>
      </c>
    </row>
    <row r="2019" spans="1:16" x14ac:dyDescent="0.25">
      <c r="A2019" t="s">
        <v>3042</v>
      </c>
      <c r="B2019" t="s">
        <v>3043</v>
      </c>
      <c r="C2019">
        <v>4164</v>
      </c>
      <c r="D2019" t="s">
        <v>623</v>
      </c>
      <c r="E2019" t="s">
        <v>8</v>
      </c>
      <c r="F2019">
        <v>7135</v>
      </c>
      <c r="G20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19">
        <v>4.7389999999999999</v>
      </c>
      <c r="J2019" t="str">
        <f>IF(ISBLANK(Table13[[#This Row],[Rating]]), "No", "Yes")</f>
        <v>Yes</v>
      </c>
      <c r="K2019" t="str">
        <f>IF(ISBLANK(Table13[[#This Row],[Rating]]), "Not Rated", IF(Table13[[#This Row],[Rating]] &lt; 3, "Low", IF(Table13[[#This Row],[Rating]] &lt; 4, "Medium", "High")))</f>
        <v>High</v>
      </c>
      <c r="L2019">
        <v>341</v>
      </c>
      <c r="M2019">
        <v>44</v>
      </c>
      <c r="N2019" t="str">
        <f>IF(Table13[[#This Row],[Price USD]]&lt;20,"Budget",IF(Table13[[#This Row],[Price USD]]&lt;=50,"Mid-range","Premium"))</f>
        <v>Mid-range</v>
      </c>
      <c r="O2019">
        <v>0</v>
      </c>
      <c r="P2019">
        <v>0</v>
      </c>
    </row>
    <row r="2020" spans="1:16" x14ac:dyDescent="0.25">
      <c r="A2020" t="s">
        <v>3040</v>
      </c>
      <c r="B2020" t="s">
        <v>3041</v>
      </c>
      <c r="C2020">
        <v>6334</v>
      </c>
      <c r="D2020" t="s">
        <v>2819</v>
      </c>
      <c r="E2020" t="s">
        <v>8</v>
      </c>
      <c r="F2020">
        <v>7160</v>
      </c>
      <c r="G20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0">
        <v>4.4020999999999999</v>
      </c>
      <c r="J2020" t="str">
        <f>IF(ISBLANK(Table13[[#This Row],[Rating]]), "No", "Yes")</f>
        <v>Yes</v>
      </c>
      <c r="K2020" t="str">
        <f>IF(ISBLANK(Table13[[#This Row],[Rating]]), "Not Rated", IF(Table13[[#This Row],[Rating]] &lt; 3, "Low", IF(Table13[[#This Row],[Rating]] &lt; 4, "Medium", "High")))</f>
        <v>High</v>
      </c>
      <c r="L2020">
        <v>286</v>
      </c>
      <c r="M2020">
        <v>25</v>
      </c>
      <c r="N2020" t="str">
        <f>IF(Table13[[#This Row],[Price USD]]&lt;20,"Budget",IF(Table13[[#This Row],[Price USD]]&lt;=50,"Mid-range","Premium"))</f>
        <v>Mid-range</v>
      </c>
      <c r="O2020">
        <v>0</v>
      </c>
      <c r="P2020">
        <v>0</v>
      </c>
    </row>
    <row r="2021" spans="1:16" x14ac:dyDescent="0.25">
      <c r="A2021" t="s">
        <v>3038</v>
      </c>
      <c r="B2021" t="s">
        <v>3039</v>
      </c>
      <c r="C2021">
        <v>6302</v>
      </c>
      <c r="D2021" t="s">
        <v>2721</v>
      </c>
      <c r="E2021" t="s">
        <v>13</v>
      </c>
      <c r="F2021">
        <v>7182</v>
      </c>
      <c r="G20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1">
        <v>3.8275999999999999</v>
      </c>
      <c r="J2021" t="str">
        <f>IF(ISBLANK(Table13[[#This Row],[Rating]]), "No", "Yes")</f>
        <v>Yes</v>
      </c>
      <c r="K2021" t="str">
        <f>IF(ISBLANK(Table13[[#This Row],[Rating]]), "Not Rated", IF(Table13[[#This Row],[Rating]] &lt; 3, "Low", IF(Table13[[#This Row],[Rating]] &lt; 4, "Medium", "High")))</f>
        <v>Medium</v>
      </c>
      <c r="L2021">
        <v>58</v>
      </c>
      <c r="M2021">
        <v>75</v>
      </c>
      <c r="N2021" t="str">
        <f>IF(Table13[[#This Row],[Price USD]]&lt;20,"Budget",IF(Table13[[#This Row],[Price USD]]&lt;=50,"Mid-range","Premium"))</f>
        <v>Premium</v>
      </c>
      <c r="O2021">
        <v>0</v>
      </c>
      <c r="P2021">
        <v>0</v>
      </c>
    </row>
    <row r="2022" spans="1:16" x14ac:dyDescent="0.25">
      <c r="A2022" t="s">
        <v>3036</v>
      </c>
      <c r="B2022" t="s">
        <v>3037</v>
      </c>
      <c r="C2022">
        <v>6014</v>
      </c>
      <c r="D2022" t="s">
        <v>102</v>
      </c>
      <c r="E2022" t="s">
        <v>13</v>
      </c>
      <c r="F2022">
        <v>7201</v>
      </c>
      <c r="G20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2">
        <v>4.2553000000000001</v>
      </c>
      <c r="J2022" t="str">
        <f>IF(ISBLANK(Table13[[#This Row],[Rating]]), "No", "Yes")</f>
        <v>Yes</v>
      </c>
      <c r="K2022" t="str">
        <f>IF(ISBLANK(Table13[[#This Row],[Rating]]), "Not Rated", IF(Table13[[#This Row],[Rating]] &lt; 3, "Low", IF(Table13[[#This Row],[Rating]] &lt; 4, "Medium", "High")))</f>
        <v>High</v>
      </c>
      <c r="L2022">
        <v>470</v>
      </c>
      <c r="M2022">
        <v>30</v>
      </c>
      <c r="N2022" t="str">
        <f>IF(Table13[[#This Row],[Price USD]]&lt;20,"Budget",IF(Table13[[#This Row],[Price USD]]&lt;=50,"Mid-range","Premium"))</f>
        <v>Mid-range</v>
      </c>
      <c r="O2022">
        <v>0</v>
      </c>
      <c r="P2022">
        <v>0</v>
      </c>
    </row>
    <row r="2023" spans="1:16" x14ac:dyDescent="0.25">
      <c r="A2023" t="s">
        <v>3034</v>
      </c>
      <c r="B2023" t="s">
        <v>3035</v>
      </c>
      <c r="C2023">
        <v>5668</v>
      </c>
      <c r="D2023" t="s">
        <v>93</v>
      </c>
      <c r="E2023" t="s">
        <v>144</v>
      </c>
      <c r="F2023">
        <v>7204</v>
      </c>
      <c r="G20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3">
        <v>3.6364000000000001</v>
      </c>
      <c r="J2023" t="str">
        <f>IF(ISBLANK(Table13[[#This Row],[Rating]]), "No", "Yes")</f>
        <v>Yes</v>
      </c>
      <c r="K2023" t="str">
        <f>IF(ISBLANK(Table13[[#This Row],[Rating]]), "Not Rated", IF(Table13[[#This Row],[Rating]] &lt; 3, "Low", IF(Table13[[#This Row],[Rating]] &lt; 4, "Medium", "High")))</f>
        <v>Medium</v>
      </c>
      <c r="L2023">
        <v>11</v>
      </c>
      <c r="M2023">
        <v>20</v>
      </c>
      <c r="N2023" t="str">
        <f>IF(Table13[[#This Row],[Price USD]]&lt;20,"Budget",IF(Table13[[#This Row],[Price USD]]&lt;=50,"Mid-range","Premium"))</f>
        <v>Mid-range</v>
      </c>
      <c r="O2023">
        <v>0</v>
      </c>
      <c r="P2023">
        <v>0</v>
      </c>
    </row>
    <row r="2024" spans="1:16" x14ac:dyDescent="0.25">
      <c r="A2024" t="s">
        <v>3032</v>
      </c>
      <c r="B2024" t="s">
        <v>3033</v>
      </c>
      <c r="C2024">
        <v>5648</v>
      </c>
      <c r="D2024" t="s">
        <v>408</v>
      </c>
      <c r="E2024" t="s">
        <v>144</v>
      </c>
      <c r="F2024">
        <v>7205</v>
      </c>
      <c r="G20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4">
        <v>4.2888999999999999</v>
      </c>
      <c r="J2024" t="str">
        <f>IF(ISBLANK(Table13[[#This Row],[Rating]]), "No", "Yes")</f>
        <v>Yes</v>
      </c>
      <c r="K2024" t="str">
        <f>IF(ISBLANK(Table13[[#This Row],[Rating]]), "Not Rated", IF(Table13[[#This Row],[Rating]] &lt; 3, "Low", IF(Table13[[#This Row],[Rating]] &lt; 4, "Medium", "High")))</f>
        <v>High</v>
      </c>
      <c r="L2024">
        <v>45</v>
      </c>
      <c r="M2024">
        <v>12</v>
      </c>
      <c r="N2024" t="str">
        <f>IF(Table13[[#This Row],[Price USD]]&lt;20,"Budget",IF(Table13[[#This Row],[Price USD]]&lt;=50,"Mid-range","Premium"))</f>
        <v>Budget</v>
      </c>
      <c r="O2024">
        <v>0</v>
      </c>
      <c r="P2024">
        <v>1</v>
      </c>
    </row>
    <row r="2025" spans="1:16" x14ac:dyDescent="0.25">
      <c r="A2025" t="s">
        <v>3030</v>
      </c>
      <c r="B2025" t="s">
        <v>3031</v>
      </c>
      <c r="C2025">
        <v>5972</v>
      </c>
      <c r="D2025" t="s">
        <v>54</v>
      </c>
      <c r="E2025" t="s">
        <v>8</v>
      </c>
      <c r="F2025">
        <v>7214</v>
      </c>
      <c r="G20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5">
        <v>4.7272999999999996</v>
      </c>
      <c r="J2025" t="str">
        <f>IF(ISBLANK(Table13[[#This Row],[Rating]]), "No", "Yes")</f>
        <v>Yes</v>
      </c>
      <c r="K2025" t="str">
        <f>IF(ISBLANK(Table13[[#This Row],[Rating]]), "Not Rated", IF(Table13[[#This Row],[Rating]] &lt; 3, "Low", IF(Table13[[#This Row],[Rating]] &lt; 4, "Medium", "High")))</f>
        <v>High</v>
      </c>
      <c r="L2025">
        <v>88</v>
      </c>
      <c r="M2025">
        <v>44</v>
      </c>
      <c r="N2025" t="str">
        <f>IF(Table13[[#This Row],[Price USD]]&lt;20,"Budget",IF(Table13[[#This Row],[Price USD]]&lt;=50,"Mid-range","Premium"))</f>
        <v>Mid-range</v>
      </c>
      <c r="O2025">
        <v>1</v>
      </c>
      <c r="P2025">
        <v>0</v>
      </c>
    </row>
    <row r="2026" spans="1:16" x14ac:dyDescent="0.25">
      <c r="A2026" t="s">
        <v>3026</v>
      </c>
      <c r="B2026" t="s">
        <v>3027</v>
      </c>
      <c r="C2026">
        <v>1254</v>
      </c>
      <c r="D2026" t="s">
        <v>136</v>
      </c>
      <c r="E2026" t="s">
        <v>8</v>
      </c>
      <c r="F2026">
        <v>7215</v>
      </c>
      <c r="G20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6">
        <v>3.8725000000000001</v>
      </c>
      <c r="J2026" t="str">
        <f>IF(ISBLANK(Table13[[#This Row],[Rating]]), "No", "Yes")</f>
        <v>Yes</v>
      </c>
      <c r="K2026" t="str">
        <f>IF(ISBLANK(Table13[[#This Row],[Rating]]), "Not Rated", IF(Table13[[#This Row],[Rating]] &lt; 3, "Low", IF(Table13[[#This Row],[Rating]] &lt; 4, "Medium", "High")))</f>
        <v>Medium</v>
      </c>
      <c r="L2026">
        <v>102</v>
      </c>
      <c r="M2026">
        <v>23.5</v>
      </c>
      <c r="N2026" t="str">
        <f>IF(Table13[[#This Row],[Price USD]]&lt;20,"Budget",IF(Table13[[#This Row],[Price USD]]&lt;=50,"Mid-range","Premium"))</f>
        <v>Mid-range</v>
      </c>
      <c r="O2026">
        <v>0</v>
      </c>
      <c r="P2026">
        <v>0</v>
      </c>
    </row>
    <row r="2027" spans="1:16" x14ac:dyDescent="0.25">
      <c r="A2027" t="s">
        <v>3028</v>
      </c>
      <c r="B2027" t="s">
        <v>3029</v>
      </c>
      <c r="C2027">
        <v>5668</v>
      </c>
      <c r="D2027" t="s">
        <v>93</v>
      </c>
      <c r="E2027" t="s">
        <v>8</v>
      </c>
      <c r="F2027">
        <v>7215</v>
      </c>
      <c r="G20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7">
        <v>4.4615</v>
      </c>
      <c r="J2027" t="str">
        <f>IF(ISBLANK(Table13[[#This Row],[Rating]]), "No", "Yes")</f>
        <v>Yes</v>
      </c>
      <c r="K2027" t="str">
        <f>IF(ISBLANK(Table13[[#This Row],[Rating]]), "Not Rated", IF(Table13[[#This Row],[Rating]] &lt; 3, "Low", IF(Table13[[#This Row],[Rating]] &lt; 4, "Medium", "High")))</f>
        <v>High</v>
      </c>
      <c r="L2027">
        <v>26</v>
      </c>
      <c r="M2027">
        <v>92</v>
      </c>
      <c r="N2027" t="str">
        <f>IF(Table13[[#This Row],[Price USD]]&lt;20,"Budget",IF(Table13[[#This Row],[Price USD]]&lt;=50,"Mid-range","Premium"))</f>
        <v>Premium</v>
      </c>
      <c r="O2027">
        <v>0</v>
      </c>
      <c r="P2027">
        <v>0</v>
      </c>
    </row>
    <row r="2028" spans="1:16" x14ac:dyDescent="0.25">
      <c r="A2028" t="s">
        <v>3024</v>
      </c>
      <c r="B2028" t="s">
        <v>3025</v>
      </c>
      <c r="C2028">
        <v>6357</v>
      </c>
      <c r="D2028" t="s">
        <v>876</v>
      </c>
      <c r="E2028" t="s">
        <v>13</v>
      </c>
      <c r="F2028">
        <v>7237</v>
      </c>
      <c r="G20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8">
        <v>4.5225999999999997</v>
      </c>
      <c r="J2028" t="str">
        <f>IF(ISBLANK(Table13[[#This Row],[Rating]]), "No", "Yes")</f>
        <v>Yes</v>
      </c>
      <c r="K2028" t="str">
        <f>IF(ISBLANK(Table13[[#This Row],[Rating]]), "Not Rated", IF(Table13[[#This Row],[Rating]] &lt; 3, "Low", IF(Table13[[#This Row],[Rating]] &lt; 4, "Medium", "High")))</f>
        <v>High</v>
      </c>
      <c r="L2028">
        <v>155</v>
      </c>
      <c r="M2028">
        <v>26</v>
      </c>
      <c r="N2028" t="str">
        <f>IF(Table13[[#This Row],[Price USD]]&lt;20,"Budget",IF(Table13[[#This Row],[Price USD]]&lt;=50,"Mid-range","Premium"))</f>
        <v>Mid-range</v>
      </c>
      <c r="O2028">
        <v>0</v>
      </c>
      <c r="P2028">
        <v>0</v>
      </c>
    </row>
    <row r="2029" spans="1:16" x14ac:dyDescent="0.25">
      <c r="A2029" t="s">
        <v>3022</v>
      </c>
      <c r="B2029" t="s">
        <v>3023</v>
      </c>
      <c r="C2029">
        <v>6341</v>
      </c>
      <c r="D2029" t="s">
        <v>66</v>
      </c>
      <c r="E2029" t="s">
        <v>8</v>
      </c>
      <c r="F2029">
        <v>7239</v>
      </c>
      <c r="G20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29">
        <v>4.4130000000000003</v>
      </c>
      <c r="J2029" t="str">
        <f>IF(ISBLANK(Table13[[#This Row],[Rating]]), "No", "Yes")</f>
        <v>Yes</v>
      </c>
      <c r="K2029" t="str">
        <f>IF(ISBLANK(Table13[[#This Row],[Rating]]), "Not Rated", IF(Table13[[#This Row],[Rating]] &lt; 3, "Low", IF(Table13[[#This Row],[Rating]] &lt; 4, "Medium", "High")))</f>
        <v>High</v>
      </c>
      <c r="L2029">
        <v>46</v>
      </c>
      <c r="M2029">
        <v>39</v>
      </c>
      <c r="N2029" t="str">
        <f>IF(Table13[[#This Row],[Price USD]]&lt;20,"Budget",IF(Table13[[#This Row],[Price USD]]&lt;=50,"Mid-range","Premium"))</f>
        <v>Mid-range</v>
      </c>
      <c r="O2029">
        <v>0</v>
      </c>
      <c r="P2029">
        <v>0</v>
      </c>
    </row>
    <row r="2030" spans="1:16" x14ac:dyDescent="0.25">
      <c r="A2030" t="s">
        <v>3020</v>
      </c>
      <c r="B2030" t="s">
        <v>3021</v>
      </c>
      <c r="C2030">
        <v>3902</v>
      </c>
      <c r="D2030" t="s">
        <v>72</v>
      </c>
      <c r="E2030" t="s">
        <v>69</v>
      </c>
      <c r="F2030">
        <v>7245</v>
      </c>
      <c r="G20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0">
        <v>4.4545000000000003</v>
      </c>
      <c r="J2030" t="str">
        <f>IF(ISBLANK(Table13[[#This Row],[Rating]]), "No", "Yes")</f>
        <v>Yes</v>
      </c>
      <c r="K2030" t="str">
        <f>IF(ISBLANK(Table13[[#This Row],[Rating]]), "Not Rated", IF(Table13[[#This Row],[Rating]] &lt; 3, "Low", IF(Table13[[#This Row],[Rating]] &lt; 4, "Medium", "High")))</f>
        <v>High</v>
      </c>
      <c r="L2030">
        <v>22</v>
      </c>
      <c r="M2030">
        <v>5.5</v>
      </c>
      <c r="N2030" t="str">
        <f>IF(Table13[[#This Row],[Price USD]]&lt;20,"Budget",IF(Table13[[#This Row],[Price USD]]&lt;=50,"Mid-range","Premium"))</f>
        <v>Budget</v>
      </c>
      <c r="O2030">
        <v>0</v>
      </c>
      <c r="P2030">
        <v>1</v>
      </c>
    </row>
    <row r="2031" spans="1:16" x14ac:dyDescent="0.25">
      <c r="A2031" t="s">
        <v>3018</v>
      </c>
      <c r="B2031" t="s">
        <v>3019</v>
      </c>
      <c r="C2031">
        <v>5337</v>
      </c>
      <c r="D2031" t="s">
        <v>209</v>
      </c>
      <c r="E2031" t="s">
        <v>220</v>
      </c>
      <c r="F2031">
        <v>7247</v>
      </c>
      <c r="G20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1">
        <v>4.4000000000000004</v>
      </c>
      <c r="J2031" t="str">
        <f>IF(ISBLANK(Table13[[#This Row],[Rating]]), "No", "Yes")</f>
        <v>Yes</v>
      </c>
      <c r="K2031" t="str">
        <f>IF(ISBLANK(Table13[[#This Row],[Rating]]), "Not Rated", IF(Table13[[#This Row],[Rating]] &lt; 3, "Low", IF(Table13[[#This Row],[Rating]] &lt; 4, "Medium", "High")))</f>
        <v>High</v>
      </c>
      <c r="L2031">
        <v>10</v>
      </c>
      <c r="M2031">
        <v>66</v>
      </c>
      <c r="N2031" t="str">
        <f>IF(Table13[[#This Row],[Price USD]]&lt;20,"Budget",IF(Table13[[#This Row],[Price USD]]&lt;=50,"Mid-range","Premium"))</f>
        <v>Premium</v>
      </c>
      <c r="O2031">
        <v>1</v>
      </c>
      <c r="P2031">
        <v>0</v>
      </c>
    </row>
    <row r="2032" spans="1:16" x14ac:dyDescent="0.25">
      <c r="A2032" t="s">
        <v>3016</v>
      </c>
      <c r="B2032" t="s">
        <v>3017</v>
      </c>
      <c r="C2032">
        <v>6751</v>
      </c>
      <c r="D2032" t="s">
        <v>1738</v>
      </c>
      <c r="E2032" t="s">
        <v>21</v>
      </c>
      <c r="F2032">
        <v>7249</v>
      </c>
      <c r="G20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2">
        <v>4.2142999999999997</v>
      </c>
      <c r="J2032" t="str">
        <f>IF(ISBLANK(Table13[[#This Row],[Rating]]), "No", "Yes")</f>
        <v>Yes</v>
      </c>
      <c r="K2032" t="str">
        <f>IF(ISBLANK(Table13[[#This Row],[Rating]]), "Not Rated", IF(Table13[[#This Row],[Rating]] &lt; 3, "Low", IF(Table13[[#This Row],[Rating]] &lt; 4, "Medium", "High")))</f>
        <v>High</v>
      </c>
      <c r="L2032">
        <v>14</v>
      </c>
      <c r="M2032">
        <v>24</v>
      </c>
      <c r="N2032" t="str">
        <f>IF(Table13[[#This Row],[Price USD]]&lt;20,"Budget",IF(Table13[[#This Row],[Price USD]]&lt;=50,"Mid-range","Premium"))</f>
        <v>Mid-range</v>
      </c>
      <c r="O2032">
        <v>1</v>
      </c>
      <c r="P2032">
        <v>0</v>
      </c>
    </row>
    <row r="2033" spans="1:16" x14ac:dyDescent="0.25">
      <c r="A2033" t="s">
        <v>3014</v>
      </c>
      <c r="B2033" t="s">
        <v>3015</v>
      </c>
      <c r="C2033">
        <v>6302</v>
      </c>
      <c r="D2033" t="s">
        <v>2721</v>
      </c>
      <c r="E2033" t="s">
        <v>8</v>
      </c>
      <c r="F2033">
        <v>7257</v>
      </c>
      <c r="G20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3">
        <v>3.9386000000000001</v>
      </c>
      <c r="J2033" t="str">
        <f>IF(ISBLANK(Table13[[#This Row],[Rating]]), "No", "Yes")</f>
        <v>Yes</v>
      </c>
      <c r="K2033" t="str">
        <f>IF(ISBLANK(Table13[[#This Row],[Rating]]), "Not Rated", IF(Table13[[#This Row],[Rating]] &lt; 3, "Low", IF(Table13[[#This Row],[Rating]] &lt; 4, "Medium", "High")))</f>
        <v>Medium</v>
      </c>
      <c r="L2033">
        <v>879</v>
      </c>
      <c r="M2033">
        <v>320</v>
      </c>
      <c r="N2033" t="str">
        <f>IF(Table13[[#This Row],[Price USD]]&lt;20,"Budget",IF(Table13[[#This Row],[Price USD]]&lt;=50,"Mid-range","Premium"))</f>
        <v>Premium</v>
      </c>
      <c r="O2033">
        <v>0</v>
      </c>
      <c r="P2033">
        <v>0</v>
      </c>
    </row>
    <row r="2034" spans="1:16" x14ac:dyDescent="0.25">
      <c r="A2034" t="s">
        <v>3012</v>
      </c>
      <c r="B2034" t="s">
        <v>3013</v>
      </c>
      <c r="C2034">
        <v>6373</v>
      </c>
      <c r="D2034" t="s">
        <v>1652</v>
      </c>
      <c r="E2034" t="s">
        <v>13</v>
      </c>
      <c r="F2034">
        <v>7262</v>
      </c>
      <c r="G20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4">
        <v>3.9037999999999999</v>
      </c>
      <c r="J2034" t="str">
        <f>IF(ISBLANK(Table13[[#This Row],[Rating]]), "No", "Yes")</f>
        <v>Yes</v>
      </c>
      <c r="K2034" t="str">
        <f>IF(ISBLANK(Table13[[#This Row],[Rating]]), "Not Rated", IF(Table13[[#This Row],[Rating]] &lt; 3, "Low", IF(Table13[[#This Row],[Rating]] &lt; 4, "Medium", "High")))</f>
        <v>Medium</v>
      </c>
      <c r="L2034">
        <v>52</v>
      </c>
      <c r="M2034">
        <v>34</v>
      </c>
      <c r="N2034" t="str">
        <f>IF(Table13[[#This Row],[Price USD]]&lt;20,"Budget",IF(Table13[[#This Row],[Price USD]]&lt;=50,"Mid-range","Premium"))</f>
        <v>Mid-range</v>
      </c>
      <c r="O2034">
        <v>0</v>
      </c>
      <c r="P2034">
        <v>0</v>
      </c>
    </row>
    <row r="2035" spans="1:16" x14ac:dyDescent="0.25">
      <c r="A2035" t="s">
        <v>3009</v>
      </c>
      <c r="B2035" t="s">
        <v>3010</v>
      </c>
      <c r="C2035">
        <v>6475</v>
      </c>
      <c r="D2035" t="s">
        <v>3011</v>
      </c>
      <c r="E2035" t="s">
        <v>8</v>
      </c>
      <c r="F2035">
        <v>7269</v>
      </c>
      <c r="G20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5">
        <v>4.7824</v>
      </c>
      <c r="J2035" t="str">
        <f>IF(ISBLANK(Table13[[#This Row],[Rating]]), "No", "Yes")</f>
        <v>Yes</v>
      </c>
      <c r="K2035" t="str">
        <f>IF(ISBLANK(Table13[[#This Row],[Rating]]), "Not Rated", IF(Table13[[#This Row],[Rating]] &lt; 3, "Low", IF(Table13[[#This Row],[Rating]] &lt; 4, "Medium", "High")))</f>
        <v>High</v>
      </c>
      <c r="L2035">
        <v>216</v>
      </c>
      <c r="M2035">
        <v>135</v>
      </c>
      <c r="N2035" t="str">
        <f>IF(Table13[[#This Row],[Price USD]]&lt;20,"Budget",IF(Table13[[#This Row],[Price USD]]&lt;=50,"Mid-range","Premium"))</f>
        <v>Premium</v>
      </c>
      <c r="O2035">
        <v>0</v>
      </c>
      <c r="P2035">
        <v>0</v>
      </c>
    </row>
    <row r="2036" spans="1:16" x14ac:dyDescent="0.25">
      <c r="A2036" t="s">
        <v>3007</v>
      </c>
      <c r="B2036" t="s">
        <v>3008</v>
      </c>
      <c r="C2036">
        <v>3733</v>
      </c>
      <c r="D2036" t="s">
        <v>124</v>
      </c>
      <c r="E2036" t="s">
        <v>13</v>
      </c>
      <c r="F2036">
        <v>7274</v>
      </c>
      <c r="G20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6">
        <v>4.4623999999999997</v>
      </c>
      <c r="J2036" t="str">
        <f>IF(ISBLANK(Table13[[#This Row],[Rating]]), "No", "Yes")</f>
        <v>Yes</v>
      </c>
      <c r="K2036" t="str">
        <f>IF(ISBLANK(Table13[[#This Row],[Rating]]), "Not Rated", IF(Table13[[#This Row],[Rating]] &lt; 3, "Low", IF(Table13[[#This Row],[Rating]] &lt; 4, "Medium", "High")))</f>
        <v>High</v>
      </c>
      <c r="L2036">
        <v>93</v>
      </c>
      <c r="M2036">
        <v>27</v>
      </c>
      <c r="N2036" t="str">
        <f>IF(Table13[[#This Row],[Price USD]]&lt;20,"Budget",IF(Table13[[#This Row],[Price USD]]&lt;=50,"Mid-range","Premium"))</f>
        <v>Mid-range</v>
      </c>
      <c r="O2036">
        <v>0</v>
      </c>
      <c r="P2036">
        <v>0</v>
      </c>
    </row>
    <row r="2037" spans="1:16" x14ac:dyDescent="0.25">
      <c r="A2037" t="s">
        <v>3005</v>
      </c>
      <c r="B2037" t="s">
        <v>3006</v>
      </c>
      <c r="C2037">
        <v>3728</v>
      </c>
      <c r="D2037" t="s">
        <v>458</v>
      </c>
      <c r="E2037" t="s">
        <v>220</v>
      </c>
      <c r="F2037">
        <v>7286</v>
      </c>
      <c r="G20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7">
        <v>4</v>
      </c>
      <c r="J2037" t="str">
        <f>IF(ISBLANK(Table13[[#This Row],[Rating]]), "No", "Yes")</f>
        <v>Yes</v>
      </c>
      <c r="K2037" t="str">
        <f>IF(ISBLANK(Table13[[#This Row],[Rating]]), "Not Rated", IF(Table13[[#This Row],[Rating]] &lt; 3, "Low", IF(Table13[[#This Row],[Rating]] &lt; 4, "Medium", "High")))</f>
        <v>High</v>
      </c>
      <c r="L2037">
        <v>5</v>
      </c>
      <c r="M2037">
        <v>58</v>
      </c>
      <c r="N2037" t="str">
        <f>IF(Table13[[#This Row],[Price USD]]&lt;20,"Budget",IF(Table13[[#This Row],[Price USD]]&lt;=50,"Mid-range","Premium"))</f>
        <v>Premium</v>
      </c>
      <c r="O2037">
        <v>0</v>
      </c>
      <c r="P2037">
        <v>0</v>
      </c>
    </row>
    <row r="2038" spans="1:16" x14ac:dyDescent="0.25">
      <c r="A2038" t="s">
        <v>3003</v>
      </c>
      <c r="B2038" t="s">
        <v>3004</v>
      </c>
      <c r="C2038">
        <v>5648</v>
      </c>
      <c r="D2038" t="s">
        <v>408</v>
      </c>
      <c r="E2038" t="s">
        <v>144</v>
      </c>
      <c r="F2038">
        <v>7287</v>
      </c>
      <c r="G20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8">
        <v>3.6667000000000001</v>
      </c>
      <c r="J2038" t="str">
        <f>IF(ISBLANK(Table13[[#This Row],[Rating]]), "No", "Yes")</f>
        <v>Yes</v>
      </c>
      <c r="K2038" t="str">
        <f>IF(ISBLANK(Table13[[#This Row],[Rating]]), "Not Rated", IF(Table13[[#This Row],[Rating]] &lt; 3, "Low", IF(Table13[[#This Row],[Rating]] &lt; 4, "Medium", "High")))</f>
        <v>Medium</v>
      </c>
      <c r="L2038">
        <v>21</v>
      </c>
      <c r="M2038">
        <v>15</v>
      </c>
      <c r="N2038" t="str">
        <f>IF(Table13[[#This Row],[Price USD]]&lt;20,"Budget",IF(Table13[[#This Row],[Price USD]]&lt;=50,"Mid-range","Premium"))</f>
        <v>Budget</v>
      </c>
      <c r="O2038">
        <v>0</v>
      </c>
      <c r="P2038">
        <v>1</v>
      </c>
    </row>
    <row r="2039" spans="1:16" x14ac:dyDescent="0.25">
      <c r="A2039" t="s">
        <v>3001</v>
      </c>
      <c r="B2039" t="s">
        <v>3002</v>
      </c>
      <c r="C2039">
        <v>6373</v>
      </c>
      <c r="D2039" t="s">
        <v>1652</v>
      </c>
      <c r="E2039" t="s">
        <v>149</v>
      </c>
      <c r="F2039">
        <v>7302</v>
      </c>
      <c r="G20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39">
        <v>4.2595000000000001</v>
      </c>
      <c r="J2039" t="str">
        <f>IF(ISBLANK(Table13[[#This Row],[Rating]]), "No", "Yes")</f>
        <v>Yes</v>
      </c>
      <c r="K2039" t="str">
        <f>IF(ISBLANK(Table13[[#This Row],[Rating]]), "Not Rated", IF(Table13[[#This Row],[Rating]] &lt; 3, "Low", IF(Table13[[#This Row],[Rating]] &lt; 4, "Medium", "High")))</f>
        <v>High</v>
      </c>
      <c r="L2039">
        <v>185</v>
      </c>
      <c r="M2039">
        <v>38</v>
      </c>
      <c r="N2039" t="str">
        <f>IF(Table13[[#This Row],[Price USD]]&lt;20,"Budget",IF(Table13[[#This Row],[Price USD]]&lt;=50,"Mid-range","Premium"))</f>
        <v>Mid-range</v>
      </c>
      <c r="O2039">
        <v>0</v>
      </c>
      <c r="P2039">
        <v>0</v>
      </c>
    </row>
    <row r="2040" spans="1:16" x14ac:dyDescent="0.25">
      <c r="A2040" t="s">
        <v>2999</v>
      </c>
      <c r="B2040" t="s">
        <v>3000</v>
      </c>
      <c r="C2040">
        <v>6294</v>
      </c>
      <c r="D2040" t="s">
        <v>1520</v>
      </c>
      <c r="E2040" t="s">
        <v>149</v>
      </c>
      <c r="F2040">
        <v>7304</v>
      </c>
      <c r="G20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0">
        <v>4.2948000000000004</v>
      </c>
      <c r="J2040" t="str">
        <f>IF(ISBLANK(Table13[[#This Row],[Rating]]), "No", "Yes")</f>
        <v>Yes</v>
      </c>
      <c r="K2040" t="str">
        <f>IF(ISBLANK(Table13[[#This Row],[Rating]]), "Not Rated", IF(Table13[[#This Row],[Rating]] &lt; 3, "Low", IF(Table13[[#This Row],[Rating]] &lt; 4, "Medium", "High")))</f>
        <v>High</v>
      </c>
      <c r="L2040">
        <v>173</v>
      </c>
      <c r="M2040">
        <v>65</v>
      </c>
      <c r="N2040" t="str">
        <f>IF(Table13[[#This Row],[Price USD]]&lt;20,"Budget",IF(Table13[[#This Row],[Price USD]]&lt;=50,"Mid-range","Premium"))</f>
        <v>Premium</v>
      </c>
      <c r="O2040">
        <v>0</v>
      </c>
      <c r="P2040">
        <v>0</v>
      </c>
    </row>
    <row r="2041" spans="1:16" x14ac:dyDescent="0.25">
      <c r="A2041" t="s">
        <v>2997</v>
      </c>
      <c r="B2041" t="s">
        <v>2998</v>
      </c>
      <c r="C2041">
        <v>6125</v>
      </c>
      <c r="D2041" t="s">
        <v>3</v>
      </c>
      <c r="E2041" t="s">
        <v>13</v>
      </c>
      <c r="F2041">
        <v>7317</v>
      </c>
      <c r="G20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1">
        <v>3.9285999999999999</v>
      </c>
      <c r="J2041" t="str">
        <f>IF(ISBLANK(Table13[[#This Row],[Rating]]), "No", "Yes")</f>
        <v>Yes</v>
      </c>
      <c r="K2041" t="str">
        <f>IF(ISBLANK(Table13[[#This Row],[Rating]]), "Not Rated", IF(Table13[[#This Row],[Rating]] &lt; 3, "Low", IF(Table13[[#This Row],[Rating]] &lt; 4, "Medium", "High")))</f>
        <v>Medium</v>
      </c>
      <c r="L2041">
        <v>28</v>
      </c>
      <c r="M2041">
        <v>25</v>
      </c>
      <c r="N2041" t="str">
        <f>IF(Table13[[#This Row],[Price USD]]&lt;20,"Budget",IF(Table13[[#This Row],[Price USD]]&lt;=50,"Mid-range","Premium"))</f>
        <v>Mid-range</v>
      </c>
      <c r="O2041">
        <v>0</v>
      </c>
      <c r="P2041">
        <v>0</v>
      </c>
    </row>
    <row r="2042" spans="1:16" x14ac:dyDescent="0.25">
      <c r="A2042" t="s">
        <v>2995</v>
      </c>
      <c r="B2042" t="s">
        <v>2996</v>
      </c>
      <c r="C2042">
        <v>1254</v>
      </c>
      <c r="D2042" t="s">
        <v>136</v>
      </c>
      <c r="E2042" t="s">
        <v>49</v>
      </c>
      <c r="F2042">
        <v>7325</v>
      </c>
      <c r="G20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2">
        <v>4.1146000000000003</v>
      </c>
      <c r="J2042" t="str">
        <f>IF(ISBLANK(Table13[[#This Row],[Rating]]), "No", "Yes")</f>
        <v>Yes</v>
      </c>
      <c r="K2042" t="str">
        <f>IF(ISBLANK(Table13[[#This Row],[Rating]]), "Not Rated", IF(Table13[[#This Row],[Rating]] &lt; 3, "Low", IF(Table13[[#This Row],[Rating]] &lt; 4, "Medium", "High")))</f>
        <v>High</v>
      </c>
      <c r="L2042">
        <v>480</v>
      </c>
      <c r="M2042">
        <v>30</v>
      </c>
      <c r="N2042" t="str">
        <f>IF(Table13[[#This Row],[Price USD]]&lt;20,"Budget",IF(Table13[[#This Row],[Price USD]]&lt;=50,"Mid-range","Premium"))</f>
        <v>Mid-range</v>
      </c>
      <c r="O2042">
        <v>0</v>
      </c>
      <c r="P2042">
        <v>0</v>
      </c>
    </row>
    <row r="2043" spans="1:16" x14ac:dyDescent="0.25">
      <c r="A2043" t="s">
        <v>2993</v>
      </c>
      <c r="B2043" t="s">
        <v>2994</v>
      </c>
      <c r="C2043">
        <v>6219</v>
      </c>
      <c r="D2043" t="s">
        <v>277</v>
      </c>
      <c r="E2043" t="s">
        <v>8</v>
      </c>
      <c r="F2043">
        <v>7347</v>
      </c>
      <c r="G20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3">
        <v>4.3076999999999996</v>
      </c>
      <c r="J2043" t="str">
        <f>IF(ISBLANK(Table13[[#This Row],[Rating]]), "No", "Yes")</f>
        <v>Yes</v>
      </c>
      <c r="K2043" t="str">
        <f>IF(ISBLANK(Table13[[#This Row],[Rating]]), "Not Rated", IF(Table13[[#This Row],[Rating]] &lt; 3, "Low", IF(Table13[[#This Row],[Rating]] &lt; 4, "Medium", "High")))</f>
        <v>High</v>
      </c>
      <c r="L2043">
        <v>156</v>
      </c>
      <c r="M2043">
        <v>66</v>
      </c>
      <c r="N2043" t="str">
        <f>IF(Table13[[#This Row],[Price USD]]&lt;20,"Budget",IF(Table13[[#This Row],[Price USD]]&lt;=50,"Mid-range","Premium"))</f>
        <v>Premium</v>
      </c>
      <c r="O2043">
        <v>0</v>
      </c>
      <c r="P2043">
        <v>0</v>
      </c>
    </row>
    <row r="2044" spans="1:16" x14ac:dyDescent="0.25">
      <c r="A2044" t="s">
        <v>2991</v>
      </c>
      <c r="B2044" t="s">
        <v>2992</v>
      </c>
      <c r="C2044">
        <v>3728</v>
      </c>
      <c r="D2044" t="s">
        <v>458</v>
      </c>
      <c r="E2044" t="s">
        <v>8</v>
      </c>
      <c r="F2044">
        <v>7390</v>
      </c>
      <c r="G20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4">
        <v>4.444</v>
      </c>
      <c r="J2044" t="str">
        <f>IF(ISBLANK(Table13[[#This Row],[Rating]]), "No", "Yes")</f>
        <v>Yes</v>
      </c>
      <c r="K2044" t="str">
        <f>IF(ISBLANK(Table13[[#This Row],[Rating]]), "Not Rated", IF(Table13[[#This Row],[Rating]] &lt; 3, "Low", IF(Table13[[#This Row],[Rating]] &lt; 4, "Medium", "High")))</f>
        <v>High</v>
      </c>
      <c r="L2044">
        <v>482</v>
      </c>
      <c r="M2044">
        <v>72</v>
      </c>
      <c r="N2044" t="str">
        <f>IF(Table13[[#This Row],[Price USD]]&lt;20,"Budget",IF(Table13[[#This Row],[Price USD]]&lt;=50,"Mid-range","Premium"))</f>
        <v>Premium</v>
      </c>
      <c r="O2044">
        <v>0</v>
      </c>
      <c r="P2044">
        <v>0</v>
      </c>
    </row>
    <row r="2045" spans="1:16" x14ac:dyDescent="0.25">
      <c r="A2045" t="s">
        <v>2989</v>
      </c>
      <c r="B2045" t="s">
        <v>2990</v>
      </c>
      <c r="C2045">
        <v>7037</v>
      </c>
      <c r="D2045" t="s">
        <v>1718</v>
      </c>
      <c r="E2045" t="s">
        <v>347</v>
      </c>
      <c r="F2045">
        <v>7401</v>
      </c>
      <c r="G20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5">
        <v>4.1227999999999998</v>
      </c>
      <c r="J2045" t="str">
        <f>IF(ISBLANK(Table13[[#This Row],[Rating]]), "No", "Yes")</f>
        <v>Yes</v>
      </c>
      <c r="K2045" t="str">
        <f>IF(ISBLANK(Table13[[#This Row],[Rating]]), "Not Rated", IF(Table13[[#This Row],[Rating]] &lt; 3, "Low", IF(Table13[[#This Row],[Rating]] &lt; 4, "Medium", "High")))</f>
        <v>High</v>
      </c>
      <c r="L2045">
        <v>114</v>
      </c>
      <c r="M2045">
        <v>219</v>
      </c>
      <c r="N2045" t="str">
        <f>IF(Table13[[#This Row],[Price USD]]&lt;20,"Budget",IF(Table13[[#This Row],[Price USD]]&lt;=50,"Mid-range","Premium"))</f>
        <v>Premium</v>
      </c>
      <c r="O2045">
        <v>0</v>
      </c>
      <c r="P2045">
        <v>0</v>
      </c>
    </row>
    <row r="2046" spans="1:16" x14ac:dyDescent="0.25">
      <c r="A2046" t="s">
        <v>2987</v>
      </c>
      <c r="B2046" t="s">
        <v>2988</v>
      </c>
      <c r="C2046">
        <v>6357</v>
      </c>
      <c r="D2046" t="s">
        <v>876</v>
      </c>
      <c r="E2046" t="s">
        <v>69</v>
      </c>
      <c r="F2046">
        <v>7419</v>
      </c>
      <c r="G20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6">
        <v>4.6531000000000002</v>
      </c>
      <c r="J2046" t="str">
        <f>IF(ISBLANK(Table13[[#This Row],[Rating]]), "No", "Yes")</f>
        <v>Yes</v>
      </c>
      <c r="K2046" t="str">
        <f>IF(ISBLANK(Table13[[#This Row],[Rating]]), "Not Rated", IF(Table13[[#This Row],[Rating]] &lt; 3, "Low", IF(Table13[[#This Row],[Rating]] &lt; 4, "Medium", "High")))</f>
        <v>High</v>
      </c>
      <c r="L2046">
        <v>49</v>
      </c>
      <c r="M2046">
        <v>30</v>
      </c>
      <c r="N2046" t="str">
        <f>IF(Table13[[#This Row],[Price USD]]&lt;20,"Budget",IF(Table13[[#This Row],[Price USD]]&lt;=50,"Mid-range","Premium"))</f>
        <v>Mid-range</v>
      </c>
      <c r="O2046">
        <v>0</v>
      </c>
      <c r="P2046">
        <v>0</v>
      </c>
    </row>
    <row r="2047" spans="1:16" x14ac:dyDescent="0.25">
      <c r="A2047" t="s">
        <v>2985</v>
      </c>
      <c r="B2047" t="s">
        <v>2986</v>
      </c>
      <c r="C2047">
        <v>6751</v>
      </c>
      <c r="D2047" t="s">
        <v>1738</v>
      </c>
      <c r="E2047" t="s">
        <v>49</v>
      </c>
      <c r="F2047">
        <v>7420</v>
      </c>
      <c r="G20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7">
        <v>4.1818</v>
      </c>
      <c r="J2047" t="str">
        <f>IF(ISBLANK(Table13[[#This Row],[Rating]]), "No", "Yes")</f>
        <v>Yes</v>
      </c>
      <c r="K2047" t="str">
        <f>IF(ISBLANK(Table13[[#This Row],[Rating]]), "Not Rated", IF(Table13[[#This Row],[Rating]] &lt; 3, "Low", IF(Table13[[#This Row],[Rating]] &lt; 4, "Medium", "High")))</f>
        <v>High</v>
      </c>
      <c r="L2047">
        <v>11</v>
      </c>
      <c r="M2047">
        <v>25</v>
      </c>
      <c r="N2047" t="str">
        <f>IF(Table13[[#This Row],[Price USD]]&lt;20,"Budget",IF(Table13[[#This Row],[Price USD]]&lt;=50,"Mid-range","Premium"))</f>
        <v>Mid-range</v>
      </c>
      <c r="O2047">
        <v>1</v>
      </c>
      <c r="P2047">
        <v>0</v>
      </c>
    </row>
    <row r="2048" spans="1:16" x14ac:dyDescent="0.25">
      <c r="A2048" t="s">
        <v>2983</v>
      </c>
      <c r="B2048" t="s">
        <v>2984</v>
      </c>
      <c r="C2048">
        <v>6335</v>
      </c>
      <c r="D2048" t="s">
        <v>2128</v>
      </c>
      <c r="E2048" t="s">
        <v>149</v>
      </c>
      <c r="F2048">
        <v>7449</v>
      </c>
      <c r="G20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8">
        <v>4.1558999999999999</v>
      </c>
      <c r="J2048" t="str">
        <f>IF(ISBLANK(Table13[[#This Row],[Rating]]), "No", "Yes")</f>
        <v>Yes</v>
      </c>
      <c r="K2048" t="str">
        <f>IF(ISBLANK(Table13[[#This Row],[Rating]]), "Not Rated", IF(Table13[[#This Row],[Rating]] &lt; 3, "Low", IF(Table13[[#This Row],[Rating]] &lt; 4, "Medium", "High")))</f>
        <v>High</v>
      </c>
      <c r="L2048">
        <v>449</v>
      </c>
      <c r="M2048">
        <v>49</v>
      </c>
      <c r="N2048" t="str">
        <f>IF(Table13[[#This Row],[Price USD]]&lt;20,"Budget",IF(Table13[[#This Row],[Price USD]]&lt;=50,"Mid-range","Premium"))</f>
        <v>Mid-range</v>
      </c>
      <c r="O2048">
        <v>0</v>
      </c>
      <c r="P2048">
        <v>0</v>
      </c>
    </row>
    <row r="2049" spans="1:16" x14ac:dyDescent="0.25">
      <c r="A2049" t="s">
        <v>2981</v>
      </c>
      <c r="B2049" t="s">
        <v>2982</v>
      </c>
      <c r="C2049">
        <v>4164</v>
      </c>
      <c r="D2049" t="s">
        <v>623</v>
      </c>
      <c r="E2049" t="s">
        <v>8</v>
      </c>
      <c r="F2049">
        <v>7452</v>
      </c>
      <c r="G20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49">
        <v>4.7305999999999999</v>
      </c>
      <c r="J2049" t="str">
        <f>IF(ISBLANK(Table13[[#This Row],[Rating]]), "No", "Yes")</f>
        <v>Yes</v>
      </c>
      <c r="K2049" t="str">
        <f>IF(ISBLANK(Table13[[#This Row],[Rating]]), "Not Rated", IF(Table13[[#This Row],[Rating]] &lt; 3, "Low", IF(Table13[[#This Row],[Rating]] &lt; 4, "Medium", "High")))</f>
        <v>High</v>
      </c>
      <c r="L2049">
        <v>360</v>
      </c>
      <c r="M2049">
        <v>85</v>
      </c>
      <c r="N2049" t="str">
        <f>IF(Table13[[#This Row],[Price USD]]&lt;20,"Budget",IF(Table13[[#This Row],[Price USD]]&lt;=50,"Mid-range","Premium"))</f>
        <v>Premium</v>
      </c>
      <c r="O2049">
        <v>0</v>
      </c>
      <c r="P2049">
        <v>0</v>
      </c>
    </row>
    <row r="2050" spans="1:16" x14ac:dyDescent="0.25">
      <c r="A2050" t="s">
        <v>2979</v>
      </c>
      <c r="B2050" t="s">
        <v>2980</v>
      </c>
      <c r="C2050">
        <v>5946</v>
      </c>
      <c r="D2050" t="s">
        <v>341</v>
      </c>
      <c r="E2050" t="s">
        <v>13</v>
      </c>
      <c r="F2050">
        <v>7501</v>
      </c>
      <c r="G20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0">
        <v>4.1909000000000001</v>
      </c>
      <c r="J2050" t="str">
        <f>IF(ISBLANK(Table13[[#This Row],[Rating]]), "No", "Yes")</f>
        <v>Yes</v>
      </c>
      <c r="K2050" t="str">
        <f>IF(ISBLANK(Table13[[#This Row],[Rating]]), "Not Rated", IF(Table13[[#This Row],[Rating]] &lt; 3, "Low", IF(Table13[[#This Row],[Rating]] &lt; 4, "Medium", "High")))</f>
        <v>High</v>
      </c>
      <c r="L2050">
        <v>220</v>
      </c>
      <c r="M2050">
        <v>44</v>
      </c>
      <c r="N2050" t="str">
        <f>IF(Table13[[#This Row],[Price USD]]&lt;20,"Budget",IF(Table13[[#This Row],[Price USD]]&lt;=50,"Mid-range","Premium"))</f>
        <v>Mid-range</v>
      </c>
      <c r="O2050">
        <v>0</v>
      </c>
      <c r="P2050">
        <v>0</v>
      </c>
    </row>
    <row r="2051" spans="1:16" x14ac:dyDescent="0.25">
      <c r="A2051" t="s">
        <v>2977</v>
      </c>
      <c r="B2051" t="s">
        <v>2978</v>
      </c>
      <c r="C2051">
        <v>6742</v>
      </c>
      <c r="D2051" t="s">
        <v>1445</v>
      </c>
      <c r="E2051" t="s">
        <v>4</v>
      </c>
      <c r="F2051">
        <v>7510</v>
      </c>
      <c r="G20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1">
        <v>4.5818000000000003</v>
      </c>
      <c r="J2051" t="str">
        <f>IF(ISBLANK(Table13[[#This Row],[Rating]]), "No", "Yes")</f>
        <v>Yes</v>
      </c>
      <c r="K2051" t="str">
        <f>IF(ISBLANK(Table13[[#This Row],[Rating]]), "Not Rated", IF(Table13[[#This Row],[Rating]] &lt; 3, "Low", IF(Table13[[#This Row],[Rating]] &lt; 4, "Medium", "High")))</f>
        <v>High</v>
      </c>
      <c r="L2051">
        <v>55</v>
      </c>
      <c r="M2051">
        <v>22</v>
      </c>
      <c r="N2051" t="str">
        <f>IF(Table13[[#This Row],[Price USD]]&lt;20,"Budget",IF(Table13[[#This Row],[Price USD]]&lt;=50,"Mid-range","Premium"))</f>
        <v>Mid-range</v>
      </c>
      <c r="O2051">
        <v>0</v>
      </c>
      <c r="P2051">
        <v>0</v>
      </c>
    </row>
    <row r="2052" spans="1:16" x14ac:dyDescent="0.25">
      <c r="A2052" t="s">
        <v>2975</v>
      </c>
      <c r="B2052" t="s">
        <v>2976</v>
      </c>
      <c r="C2052">
        <v>6201</v>
      </c>
      <c r="D2052" t="s">
        <v>367</v>
      </c>
      <c r="E2052" t="s">
        <v>8</v>
      </c>
      <c r="F2052">
        <v>7514</v>
      </c>
      <c r="G20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2">
        <v>4.5186999999999999</v>
      </c>
      <c r="J2052" t="str">
        <f>IF(ISBLANK(Table13[[#This Row],[Rating]]), "No", "Yes")</f>
        <v>Yes</v>
      </c>
      <c r="K2052" t="str">
        <f>IF(ISBLANK(Table13[[#This Row],[Rating]]), "Not Rated", IF(Table13[[#This Row],[Rating]] &lt; 3, "Low", IF(Table13[[#This Row],[Rating]] &lt; 4, "Medium", "High")))</f>
        <v>High</v>
      </c>
      <c r="L2052">
        <v>563</v>
      </c>
      <c r="M2052">
        <v>425</v>
      </c>
      <c r="N2052" t="str">
        <f>IF(Table13[[#This Row],[Price USD]]&lt;20,"Budget",IF(Table13[[#This Row],[Price USD]]&lt;=50,"Mid-range","Premium"))</f>
        <v>Premium</v>
      </c>
      <c r="O2052">
        <v>0</v>
      </c>
      <c r="P2052">
        <v>0</v>
      </c>
    </row>
    <row r="2053" spans="1:16" x14ac:dyDescent="0.25">
      <c r="A2053" t="s">
        <v>2973</v>
      </c>
      <c r="B2053" t="s">
        <v>2974</v>
      </c>
      <c r="C2053">
        <v>6352</v>
      </c>
      <c r="D2053" t="s">
        <v>251</v>
      </c>
      <c r="E2053" t="s">
        <v>220</v>
      </c>
      <c r="F2053">
        <v>7523</v>
      </c>
      <c r="G20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3">
        <v>5</v>
      </c>
      <c r="J2053" t="str">
        <f>IF(ISBLANK(Table13[[#This Row],[Rating]]), "No", "Yes")</f>
        <v>Yes</v>
      </c>
      <c r="K2053" t="str">
        <f>IF(ISBLANK(Table13[[#This Row],[Rating]]), "Not Rated", IF(Table13[[#This Row],[Rating]] &lt; 3, "Low", IF(Table13[[#This Row],[Rating]] &lt; 4, "Medium", "High")))</f>
        <v>High</v>
      </c>
      <c r="L2053">
        <v>1</v>
      </c>
      <c r="M2053">
        <v>59</v>
      </c>
      <c r="N2053" t="str">
        <f>IF(Table13[[#This Row],[Price USD]]&lt;20,"Budget",IF(Table13[[#This Row],[Price USD]]&lt;=50,"Mid-range","Premium"))</f>
        <v>Premium</v>
      </c>
      <c r="O2053">
        <v>0</v>
      </c>
      <c r="P2053">
        <v>1</v>
      </c>
    </row>
    <row r="2054" spans="1:16" x14ac:dyDescent="0.25">
      <c r="A2054" t="s">
        <v>2971</v>
      </c>
      <c r="B2054" t="s">
        <v>2972</v>
      </c>
      <c r="C2054">
        <v>6358</v>
      </c>
      <c r="D2054" t="s">
        <v>2301</v>
      </c>
      <c r="E2054" t="s">
        <v>21</v>
      </c>
      <c r="F2054">
        <v>7539</v>
      </c>
      <c r="G20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4">
        <v>4.0392000000000001</v>
      </c>
      <c r="J2054" t="str">
        <f>IF(ISBLANK(Table13[[#This Row],[Rating]]), "No", "Yes")</f>
        <v>Yes</v>
      </c>
      <c r="K2054" t="str">
        <f>IF(ISBLANK(Table13[[#This Row],[Rating]]), "Not Rated", IF(Table13[[#This Row],[Rating]] &lt; 3, "Low", IF(Table13[[#This Row],[Rating]] &lt; 4, "Medium", "High")))</f>
        <v>High</v>
      </c>
      <c r="L2054">
        <v>153</v>
      </c>
      <c r="M2054">
        <v>15</v>
      </c>
      <c r="N2054" t="str">
        <f>IF(Table13[[#This Row],[Price USD]]&lt;20,"Budget",IF(Table13[[#This Row],[Price USD]]&lt;=50,"Mid-range","Premium"))</f>
        <v>Budget</v>
      </c>
      <c r="O2054">
        <v>0</v>
      </c>
      <c r="P2054">
        <v>0</v>
      </c>
    </row>
    <row r="2055" spans="1:16" x14ac:dyDescent="0.25">
      <c r="A2055" t="s">
        <v>2969</v>
      </c>
      <c r="B2055" t="s">
        <v>2970</v>
      </c>
      <c r="C2055">
        <v>4164</v>
      </c>
      <c r="D2055" t="s">
        <v>623</v>
      </c>
      <c r="E2055" t="s">
        <v>8</v>
      </c>
      <c r="F2055">
        <v>7556</v>
      </c>
      <c r="G20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5">
        <v>4.3693</v>
      </c>
      <c r="J2055" t="str">
        <f>IF(ISBLANK(Table13[[#This Row],[Rating]]), "No", "Yes")</f>
        <v>Yes</v>
      </c>
      <c r="K2055" t="str">
        <f>IF(ISBLANK(Table13[[#This Row],[Rating]]), "Not Rated", IF(Table13[[#This Row],[Rating]] &lt; 3, "Low", IF(Table13[[#This Row],[Rating]] &lt; 4, "Medium", "High")))</f>
        <v>High</v>
      </c>
      <c r="L2055">
        <v>306</v>
      </c>
      <c r="M2055">
        <v>97</v>
      </c>
      <c r="N2055" t="str">
        <f>IF(Table13[[#This Row],[Price USD]]&lt;20,"Budget",IF(Table13[[#This Row],[Price USD]]&lt;=50,"Mid-range","Premium"))</f>
        <v>Premium</v>
      </c>
      <c r="O2055">
        <v>0</v>
      </c>
      <c r="P2055">
        <v>0</v>
      </c>
    </row>
    <row r="2056" spans="1:16" x14ac:dyDescent="0.25">
      <c r="A2056" t="s">
        <v>2964</v>
      </c>
      <c r="B2056" t="s">
        <v>2965</v>
      </c>
      <c r="C2056">
        <v>5626</v>
      </c>
      <c r="D2056" t="s">
        <v>1069</v>
      </c>
      <c r="E2056" t="s">
        <v>106</v>
      </c>
      <c r="F2056">
        <v>7559</v>
      </c>
      <c r="G20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6">
        <v>4.6334999999999997</v>
      </c>
      <c r="J2056" t="str">
        <f>IF(ISBLANK(Table13[[#This Row],[Rating]]), "No", "Yes")</f>
        <v>Yes</v>
      </c>
      <c r="K2056" t="str">
        <f>IF(ISBLANK(Table13[[#This Row],[Rating]]), "Not Rated", IF(Table13[[#This Row],[Rating]] &lt; 3, "Low", IF(Table13[[#This Row],[Rating]] &lt; 4, "Medium", "High")))</f>
        <v>High</v>
      </c>
      <c r="L2056">
        <v>502</v>
      </c>
      <c r="M2056">
        <v>48</v>
      </c>
      <c r="N2056" t="str">
        <f>IF(Table13[[#This Row],[Price USD]]&lt;20,"Budget",IF(Table13[[#This Row],[Price USD]]&lt;=50,"Mid-range","Premium"))</f>
        <v>Mid-range</v>
      </c>
      <c r="O2056">
        <v>0</v>
      </c>
      <c r="P2056">
        <v>0</v>
      </c>
    </row>
    <row r="2057" spans="1:16" x14ac:dyDescent="0.25">
      <c r="A2057" t="s">
        <v>2966</v>
      </c>
      <c r="B2057" t="s">
        <v>2967</v>
      </c>
      <c r="C2057">
        <v>6482</v>
      </c>
      <c r="D2057" t="s">
        <v>2968</v>
      </c>
      <c r="E2057" t="s">
        <v>347</v>
      </c>
      <c r="F2057">
        <v>7559</v>
      </c>
      <c r="G20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7">
        <v>4.4412000000000003</v>
      </c>
      <c r="J2057" t="str">
        <f>IF(ISBLANK(Table13[[#This Row],[Rating]]), "No", "Yes")</f>
        <v>Yes</v>
      </c>
      <c r="K2057" t="str">
        <f>IF(ISBLANK(Table13[[#This Row],[Rating]]), "Not Rated", IF(Table13[[#This Row],[Rating]] &lt; 3, "Low", IF(Table13[[#This Row],[Rating]] &lt; 4, "Medium", "High")))</f>
        <v>High</v>
      </c>
      <c r="L2057">
        <v>68</v>
      </c>
      <c r="M2057">
        <v>150</v>
      </c>
      <c r="N2057" t="str">
        <f>IF(Table13[[#This Row],[Price USD]]&lt;20,"Budget",IF(Table13[[#This Row],[Price USD]]&lt;=50,"Mid-range","Premium"))</f>
        <v>Premium</v>
      </c>
      <c r="O2057">
        <v>0</v>
      </c>
      <c r="P2057">
        <v>0</v>
      </c>
    </row>
    <row r="2058" spans="1:16" x14ac:dyDescent="0.25">
      <c r="A2058" t="s">
        <v>2962</v>
      </c>
      <c r="B2058" t="s">
        <v>2963</v>
      </c>
      <c r="C2058">
        <v>5857</v>
      </c>
      <c r="D2058" t="s">
        <v>433</v>
      </c>
      <c r="E2058" t="s">
        <v>8</v>
      </c>
      <c r="F2058">
        <v>7564</v>
      </c>
      <c r="G20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8">
        <v>4.6820000000000004</v>
      </c>
      <c r="J2058" t="str">
        <f>IF(ISBLANK(Table13[[#This Row],[Rating]]), "No", "Yes")</f>
        <v>Yes</v>
      </c>
      <c r="K2058" t="str">
        <f>IF(ISBLANK(Table13[[#This Row],[Rating]]), "Not Rated", IF(Table13[[#This Row],[Rating]] &lt; 3, "Low", IF(Table13[[#This Row],[Rating]] &lt; 4, "Medium", "High")))</f>
        <v>High</v>
      </c>
      <c r="L2058">
        <v>412</v>
      </c>
      <c r="M2058">
        <v>69</v>
      </c>
      <c r="N2058" t="str">
        <f>IF(Table13[[#This Row],[Price USD]]&lt;20,"Budget",IF(Table13[[#This Row],[Price USD]]&lt;=50,"Mid-range","Premium"))</f>
        <v>Premium</v>
      </c>
      <c r="O2058">
        <v>0</v>
      </c>
      <c r="P2058">
        <v>0</v>
      </c>
    </row>
    <row r="2059" spans="1:16" x14ac:dyDescent="0.25">
      <c r="A2059" t="s">
        <v>2960</v>
      </c>
      <c r="B2059" t="s">
        <v>2961</v>
      </c>
      <c r="C2059">
        <v>6742</v>
      </c>
      <c r="D2059" t="s">
        <v>1445</v>
      </c>
      <c r="E2059" t="s">
        <v>49</v>
      </c>
      <c r="F2059">
        <v>7565</v>
      </c>
      <c r="G20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59">
        <v>4.617</v>
      </c>
      <c r="J2059" t="str">
        <f>IF(ISBLANK(Table13[[#This Row],[Rating]]), "No", "Yes")</f>
        <v>Yes</v>
      </c>
      <c r="K2059" t="str">
        <f>IF(ISBLANK(Table13[[#This Row],[Rating]]), "Not Rated", IF(Table13[[#This Row],[Rating]] &lt; 3, "Low", IF(Table13[[#This Row],[Rating]] &lt; 4, "Medium", "High")))</f>
        <v>High</v>
      </c>
      <c r="L2059">
        <v>47</v>
      </c>
      <c r="M2059">
        <v>38</v>
      </c>
      <c r="N2059" t="str">
        <f>IF(Table13[[#This Row],[Price USD]]&lt;20,"Budget",IF(Table13[[#This Row],[Price USD]]&lt;=50,"Mid-range","Premium"))</f>
        <v>Mid-range</v>
      </c>
      <c r="O2059">
        <v>0</v>
      </c>
      <c r="P2059">
        <v>0</v>
      </c>
    </row>
    <row r="2060" spans="1:16" x14ac:dyDescent="0.25">
      <c r="A2060" t="s">
        <v>2958</v>
      </c>
      <c r="B2060" t="s">
        <v>2959</v>
      </c>
      <c r="C2060">
        <v>1254</v>
      </c>
      <c r="D2060" t="s">
        <v>136</v>
      </c>
      <c r="E2060" t="s">
        <v>13</v>
      </c>
      <c r="F2060">
        <v>7569</v>
      </c>
      <c r="G20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0">
        <v>4.5149999999999997</v>
      </c>
      <c r="J2060" t="str">
        <f>IF(ISBLANK(Table13[[#This Row],[Rating]]), "No", "Yes")</f>
        <v>Yes</v>
      </c>
      <c r="K2060" t="str">
        <f>IF(ISBLANK(Table13[[#This Row],[Rating]]), "Not Rated", IF(Table13[[#This Row],[Rating]] &lt; 3, "Low", IF(Table13[[#This Row],[Rating]] &lt; 4, "Medium", "High")))</f>
        <v>High</v>
      </c>
      <c r="L2060">
        <v>200</v>
      </c>
      <c r="M2060">
        <v>20</v>
      </c>
      <c r="N2060" t="str">
        <f>IF(Table13[[#This Row],[Price USD]]&lt;20,"Budget",IF(Table13[[#This Row],[Price USD]]&lt;=50,"Mid-range","Premium"))</f>
        <v>Mid-range</v>
      </c>
      <c r="O2060">
        <v>0</v>
      </c>
      <c r="P2060">
        <v>0</v>
      </c>
    </row>
    <row r="2061" spans="1:16" x14ac:dyDescent="0.25">
      <c r="A2061" t="s">
        <v>2956</v>
      </c>
      <c r="B2061" t="s">
        <v>2957</v>
      </c>
      <c r="C2061">
        <v>6201</v>
      </c>
      <c r="D2061" t="s">
        <v>367</v>
      </c>
      <c r="E2061" t="s">
        <v>144</v>
      </c>
      <c r="F2061">
        <v>7589</v>
      </c>
      <c r="G20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1">
        <v>4.3635999999999999</v>
      </c>
      <c r="J2061" t="str">
        <f>IF(ISBLANK(Table13[[#This Row],[Rating]]), "No", "Yes")</f>
        <v>Yes</v>
      </c>
      <c r="K2061" t="str">
        <f>IF(ISBLANK(Table13[[#This Row],[Rating]]), "Not Rated", IF(Table13[[#This Row],[Rating]] &lt; 3, "Low", IF(Table13[[#This Row],[Rating]] &lt; 4, "Medium", "High")))</f>
        <v>High</v>
      </c>
      <c r="L2061">
        <v>22</v>
      </c>
      <c r="M2061">
        <v>95</v>
      </c>
      <c r="N2061" t="str">
        <f>IF(Table13[[#This Row],[Price USD]]&lt;20,"Budget",IF(Table13[[#This Row],[Price USD]]&lt;=50,"Mid-range","Premium"))</f>
        <v>Premium</v>
      </c>
      <c r="O2061">
        <v>0</v>
      </c>
      <c r="P2061">
        <v>0</v>
      </c>
    </row>
    <row r="2062" spans="1:16" x14ac:dyDescent="0.25">
      <c r="A2062" t="s">
        <v>2954</v>
      </c>
      <c r="B2062" t="s">
        <v>2955</v>
      </c>
      <c r="C2062">
        <v>6201</v>
      </c>
      <c r="D2062" t="s">
        <v>367</v>
      </c>
      <c r="E2062" t="s">
        <v>149</v>
      </c>
      <c r="F2062">
        <v>7599</v>
      </c>
      <c r="G20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2">
        <v>3.3332999999999999</v>
      </c>
      <c r="J2062" t="str">
        <f>IF(ISBLANK(Table13[[#This Row],[Rating]]), "No", "Yes")</f>
        <v>Yes</v>
      </c>
      <c r="K2062" t="str">
        <f>IF(ISBLANK(Table13[[#This Row],[Rating]]), "Not Rated", IF(Table13[[#This Row],[Rating]] &lt; 3, "Low", IF(Table13[[#This Row],[Rating]] &lt; 4, "Medium", "High")))</f>
        <v>Medium</v>
      </c>
      <c r="L2062">
        <v>15</v>
      </c>
      <c r="M2062">
        <v>300</v>
      </c>
      <c r="N2062" t="str">
        <f>IF(Table13[[#This Row],[Price USD]]&lt;20,"Budget",IF(Table13[[#This Row],[Price USD]]&lt;=50,"Mid-range","Premium"))</f>
        <v>Premium</v>
      </c>
      <c r="O2062">
        <v>0</v>
      </c>
      <c r="P2062">
        <v>0</v>
      </c>
    </row>
    <row r="2063" spans="1:16" x14ac:dyDescent="0.25">
      <c r="A2063" t="s">
        <v>2952</v>
      </c>
      <c r="B2063" t="s">
        <v>2953</v>
      </c>
      <c r="C2063">
        <v>6236</v>
      </c>
      <c r="D2063" t="s">
        <v>272</v>
      </c>
      <c r="E2063" t="s">
        <v>13</v>
      </c>
      <c r="F2063">
        <v>7612</v>
      </c>
      <c r="G20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3">
        <v>4.1429</v>
      </c>
      <c r="J2063" t="str">
        <f>IF(ISBLANK(Table13[[#This Row],[Rating]]), "No", "Yes")</f>
        <v>Yes</v>
      </c>
      <c r="K2063" t="str">
        <f>IF(ISBLANK(Table13[[#This Row],[Rating]]), "Not Rated", IF(Table13[[#This Row],[Rating]] &lt; 3, "Low", IF(Table13[[#This Row],[Rating]] &lt; 4, "Medium", "High")))</f>
        <v>High</v>
      </c>
      <c r="L2063">
        <v>35</v>
      </c>
      <c r="M2063">
        <v>60</v>
      </c>
      <c r="N2063" t="str">
        <f>IF(Table13[[#This Row],[Price USD]]&lt;20,"Budget",IF(Table13[[#This Row],[Price USD]]&lt;=50,"Mid-range","Premium"))</f>
        <v>Premium</v>
      </c>
      <c r="O2063">
        <v>0</v>
      </c>
      <c r="P2063">
        <v>0</v>
      </c>
    </row>
    <row r="2064" spans="1:16" x14ac:dyDescent="0.25">
      <c r="A2064" t="s">
        <v>2949</v>
      </c>
      <c r="B2064" t="s">
        <v>2950</v>
      </c>
      <c r="C2064">
        <v>5737</v>
      </c>
      <c r="D2064" t="s">
        <v>2951</v>
      </c>
      <c r="E2064" t="s">
        <v>8</v>
      </c>
      <c r="F2064">
        <v>7614</v>
      </c>
      <c r="G20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4">
        <v>4.4339000000000004</v>
      </c>
      <c r="J2064" t="str">
        <f>IF(ISBLANK(Table13[[#This Row],[Rating]]), "No", "Yes")</f>
        <v>Yes</v>
      </c>
      <c r="K2064" t="str">
        <f>IF(ISBLANK(Table13[[#This Row],[Rating]]), "Not Rated", IF(Table13[[#This Row],[Rating]] &lt; 3, "Low", IF(Table13[[#This Row],[Rating]] &lt; 4, "Medium", "High")))</f>
        <v>High</v>
      </c>
      <c r="L2064">
        <v>3727</v>
      </c>
      <c r="M2064">
        <v>65</v>
      </c>
      <c r="N2064" t="str">
        <f>IF(Table13[[#This Row],[Price USD]]&lt;20,"Budget",IF(Table13[[#This Row],[Price USD]]&lt;=50,"Mid-range","Premium"))</f>
        <v>Premium</v>
      </c>
      <c r="O2064">
        <v>0</v>
      </c>
      <c r="P2064">
        <v>0</v>
      </c>
    </row>
    <row r="2065" spans="1:16" x14ac:dyDescent="0.25">
      <c r="A2065" t="s">
        <v>2947</v>
      </c>
      <c r="B2065" t="s">
        <v>2948</v>
      </c>
      <c r="C2065">
        <v>6219</v>
      </c>
      <c r="D2065" t="s">
        <v>277</v>
      </c>
      <c r="E2065" t="s">
        <v>8</v>
      </c>
      <c r="F2065">
        <v>7619</v>
      </c>
      <c r="G20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5">
        <v>4.1822999999999997</v>
      </c>
      <c r="J2065" t="str">
        <f>IF(ISBLANK(Table13[[#This Row],[Rating]]), "No", "Yes")</f>
        <v>Yes</v>
      </c>
      <c r="K2065" t="str">
        <f>IF(ISBLANK(Table13[[#This Row],[Rating]]), "Not Rated", IF(Table13[[#This Row],[Rating]] &lt; 3, "Low", IF(Table13[[#This Row],[Rating]] &lt; 4, "Medium", "High")))</f>
        <v>High</v>
      </c>
      <c r="L2065">
        <v>181</v>
      </c>
      <c r="M2065">
        <v>89</v>
      </c>
      <c r="N2065" t="str">
        <f>IF(Table13[[#This Row],[Price USD]]&lt;20,"Budget",IF(Table13[[#This Row],[Price USD]]&lt;=50,"Mid-range","Premium"))</f>
        <v>Premium</v>
      </c>
      <c r="O2065">
        <v>0</v>
      </c>
      <c r="P2065">
        <v>0</v>
      </c>
    </row>
    <row r="2066" spans="1:16" x14ac:dyDescent="0.25">
      <c r="A2066" t="s">
        <v>2945</v>
      </c>
      <c r="B2066" t="s">
        <v>2946</v>
      </c>
      <c r="C2066">
        <v>3728</v>
      </c>
      <c r="D2066" t="s">
        <v>458</v>
      </c>
      <c r="E2066" t="s">
        <v>8</v>
      </c>
      <c r="F2066">
        <v>7622</v>
      </c>
      <c r="G20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6">
        <v>4.6009000000000002</v>
      </c>
      <c r="J2066" t="str">
        <f>IF(ISBLANK(Table13[[#This Row],[Rating]]), "No", "Yes")</f>
        <v>Yes</v>
      </c>
      <c r="K2066" t="str">
        <f>IF(ISBLANK(Table13[[#This Row],[Rating]]), "Not Rated", IF(Table13[[#This Row],[Rating]] &lt; 3, "Low", IF(Table13[[#This Row],[Rating]] &lt; 4, "Medium", "High")))</f>
        <v>High</v>
      </c>
      <c r="L2066">
        <v>441</v>
      </c>
      <c r="M2066">
        <v>52</v>
      </c>
      <c r="N2066" t="str">
        <f>IF(Table13[[#This Row],[Price USD]]&lt;20,"Budget",IF(Table13[[#This Row],[Price USD]]&lt;=50,"Mid-range","Premium"))</f>
        <v>Premium</v>
      </c>
      <c r="O2066">
        <v>0</v>
      </c>
      <c r="P2066">
        <v>0</v>
      </c>
    </row>
    <row r="2067" spans="1:16" x14ac:dyDescent="0.25">
      <c r="A2067" t="s">
        <v>2943</v>
      </c>
      <c r="B2067" t="s">
        <v>2944</v>
      </c>
      <c r="C2067">
        <v>6175</v>
      </c>
      <c r="D2067" t="s">
        <v>338</v>
      </c>
      <c r="E2067" t="s">
        <v>21</v>
      </c>
      <c r="F2067">
        <v>7661</v>
      </c>
      <c r="G20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7">
        <v>3.5417000000000001</v>
      </c>
      <c r="J2067" t="str">
        <f>IF(ISBLANK(Table13[[#This Row],[Rating]]), "No", "Yes")</f>
        <v>Yes</v>
      </c>
      <c r="K2067" t="str">
        <f>IF(ISBLANK(Table13[[#This Row],[Rating]]), "Not Rated", IF(Table13[[#This Row],[Rating]] &lt; 3, "Low", IF(Table13[[#This Row],[Rating]] &lt; 4, "Medium", "High")))</f>
        <v>Medium</v>
      </c>
      <c r="L2067">
        <v>48</v>
      </c>
      <c r="M2067">
        <v>54</v>
      </c>
      <c r="N2067" t="str">
        <f>IF(Table13[[#This Row],[Price USD]]&lt;20,"Budget",IF(Table13[[#This Row],[Price USD]]&lt;=50,"Mid-range","Premium"))</f>
        <v>Premium</v>
      </c>
      <c r="O2067">
        <v>0</v>
      </c>
      <c r="P2067">
        <v>0</v>
      </c>
    </row>
    <row r="2068" spans="1:16" x14ac:dyDescent="0.25">
      <c r="A2068" t="s">
        <v>2941</v>
      </c>
      <c r="B2068" t="s">
        <v>2942</v>
      </c>
      <c r="C2068">
        <v>6368</v>
      </c>
      <c r="D2068" t="s">
        <v>2117</v>
      </c>
      <c r="E2068" t="s">
        <v>144</v>
      </c>
      <c r="F2068">
        <v>7676</v>
      </c>
      <c r="G20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8">
        <v>3.1429</v>
      </c>
      <c r="J2068" t="str">
        <f>IF(ISBLANK(Table13[[#This Row],[Rating]]), "No", "Yes")</f>
        <v>Yes</v>
      </c>
      <c r="K2068" t="str">
        <f>IF(ISBLANK(Table13[[#This Row],[Rating]]), "Not Rated", IF(Table13[[#This Row],[Rating]] &lt; 3, "Low", IF(Table13[[#This Row],[Rating]] &lt; 4, "Medium", "High")))</f>
        <v>Medium</v>
      </c>
      <c r="L2068">
        <v>14</v>
      </c>
      <c r="M2068">
        <v>36</v>
      </c>
      <c r="N2068" t="str">
        <f>IF(Table13[[#This Row],[Price USD]]&lt;20,"Budget",IF(Table13[[#This Row],[Price USD]]&lt;=50,"Mid-range","Premium"))</f>
        <v>Mid-range</v>
      </c>
      <c r="O2068">
        <v>0</v>
      </c>
      <c r="P2068">
        <v>0</v>
      </c>
    </row>
    <row r="2069" spans="1:16" x14ac:dyDescent="0.25">
      <c r="A2069" t="s">
        <v>2939</v>
      </c>
      <c r="B2069" t="s">
        <v>2940</v>
      </c>
      <c r="C2069">
        <v>6018</v>
      </c>
      <c r="D2069" t="s">
        <v>517</v>
      </c>
      <c r="E2069" t="s">
        <v>13</v>
      </c>
      <c r="F2069">
        <v>7681</v>
      </c>
      <c r="G20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69">
        <v>4.2689000000000004</v>
      </c>
      <c r="J2069" t="str">
        <f>IF(ISBLANK(Table13[[#This Row],[Rating]]), "No", "Yes")</f>
        <v>Yes</v>
      </c>
      <c r="K2069" t="str">
        <f>IF(ISBLANK(Table13[[#This Row],[Rating]]), "Not Rated", IF(Table13[[#This Row],[Rating]] &lt; 3, "Low", IF(Table13[[#This Row],[Rating]] &lt; 4, "Medium", "High")))</f>
        <v>High</v>
      </c>
      <c r="L2069">
        <v>264</v>
      </c>
      <c r="M2069">
        <v>28</v>
      </c>
      <c r="N2069" t="str">
        <f>IF(Table13[[#This Row],[Price USD]]&lt;20,"Budget",IF(Table13[[#This Row],[Price USD]]&lt;=50,"Mid-range","Premium"))</f>
        <v>Mid-range</v>
      </c>
      <c r="O2069">
        <v>0</v>
      </c>
      <c r="P2069">
        <v>0</v>
      </c>
    </row>
    <row r="2070" spans="1:16" x14ac:dyDescent="0.25">
      <c r="A2070" t="s">
        <v>2937</v>
      </c>
      <c r="B2070" t="s">
        <v>2938</v>
      </c>
      <c r="C2070">
        <v>4164</v>
      </c>
      <c r="D2070" t="s">
        <v>623</v>
      </c>
      <c r="E2070" t="s">
        <v>13</v>
      </c>
      <c r="F2070">
        <v>7682</v>
      </c>
      <c r="G20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0">
        <v>4.4645999999999999</v>
      </c>
      <c r="J2070" t="str">
        <f>IF(ISBLANK(Table13[[#This Row],[Rating]]), "No", "Yes")</f>
        <v>Yes</v>
      </c>
      <c r="K2070" t="str">
        <f>IF(ISBLANK(Table13[[#This Row],[Rating]]), "Not Rated", IF(Table13[[#This Row],[Rating]] &lt; 3, "Low", IF(Table13[[#This Row],[Rating]] &lt; 4, "Medium", "High")))</f>
        <v>High</v>
      </c>
      <c r="L2070">
        <v>254</v>
      </c>
      <c r="M2070">
        <v>45</v>
      </c>
      <c r="N2070" t="str">
        <f>IF(Table13[[#This Row],[Price USD]]&lt;20,"Budget",IF(Table13[[#This Row],[Price USD]]&lt;=50,"Mid-range","Premium"))</f>
        <v>Mid-range</v>
      </c>
      <c r="O2070">
        <v>0</v>
      </c>
      <c r="P2070">
        <v>0</v>
      </c>
    </row>
    <row r="2071" spans="1:16" x14ac:dyDescent="0.25">
      <c r="A2071" t="s">
        <v>2936</v>
      </c>
      <c r="B2071" t="s">
        <v>1151</v>
      </c>
      <c r="C2071">
        <v>3902</v>
      </c>
      <c r="D2071" t="s">
        <v>72</v>
      </c>
      <c r="E2071" t="s">
        <v>201</v>
      </c>
      <c r="F2071">
        <v>7684</v>
      </c>
      <c r="G20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1">
        <v>3.2856999999999998</v>
      </c>
      <c r="J2071" t="str">
        <f>IF(ISBLANK(Table13[[#This Row],[Rating]]), "No", "Yes")</f>
        <v>Yes</v>
      </c>
      <c r="K2071" t="str">
        <f>IF(ISBLANK(Table13[[#This Row],[Rating]]), "Not Rated", IF(Table13[[#This Row],[Rating]] &lt; 3, "Low", IF(Table13[[#This Row],[Rating]] &lt; 4, "Medium", "High")))</f>
        <v>Medium</v>
      </c>
      <c r="L2071">
        <v>7</v>
      </c>
      <c r="M2071">
        <v>14</v>
      </c>
      <c r="N2071" t="str">
        <f>IF(Table13[[#This Row],[Price USD]]&lt;20,"Budget",IF(Table13[[#This Row],[Price USD]]&lt;=50,"Mid-range","Premium"))</f>
        <v>Budget</v>
      </c>
      <c r="O2071">
        <v>1</v>
      </c>
      <c r="P2071">
        <v>0</v>
      </c>
    </row>
    <row r="2072" spans="1:16" x14ac:dyDescent="0.25">
      <c r="A2072" t="s">
        <v>2934</v>
      </c>
      <c r="B2072" t="s">
        <v>2935</v>
      </c>
      <c r="C2072">
        <v>6285</v>
      </c>
      <c r="D2072" t="s">
        <v>119</v>
      </c>
      <c r="E2072" t="s">
        <v>8</v>
      </c>
      <c r="F2072">
        <v>7690</v>
      </c>
      <c r="G20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2">
        <v>3.863</v>
      </c>
      <c r="J2072" t="str">
        <f>IF(ISBLANK(Table13[[#This Row],[Rating]]), "No", "Yes")</f>
        <v>Yes</v>
      </c>
      <c r="K2072" t="str">
        <f>IF(ISBLANK(Table13[[#This Row],[Rating]]), "Not Rated", IF(Table13[[#This Row],[Rating]] &lt; 3, "Low", IF(Table13[[#This Row],[Rating]] &lt; 4, "Medium", "High")))</f>
        <v>Medium</v>
      </c>
      <c r="L2072">
        <v>73</v>
      </c>
      <c r="M2072">
        <v>17.989999999999998</v>
      </c>
      <c r="N2072" t="str">
        <f>IF(Table13[[#This Row],[Price USD]]&lt;20,"Budget",IF(Table13[[#This Row],[Price USD]]&lt;=50,"Mid-range","Premium"))</f>
        <v>Budget</v>
      </c>
      <c r="O2072">
        <v>0</v>
      </c>
      <c r="P2072">
        <v>0</v>
      </c>
    </row>
    <row r="2073" spans="1:16" x14ac:dyDescent="0.25">
      <c r="A2073" t="s">
        <v>2931</v>
      </c>
      <c r="B2073" t="s">
        <v>2932</v>
      </c>
      <c r="C2073">
        <v>6488</v>
      </c>
      <c r="D2073" t="s">
        <v>2933</v>
      </c>
      <c r="E2073" t="s">
        <v>8</v>
      </c>
      <c r="F2073">
        <v>7728</v>
      </c>
      <c r="G20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3">
        <v>4.6898</v>
      </c>
      <c r="J2073" t="str">
        <f>IF(ISBLANK(Table13[[#This Row],[Rating]]), "No", "Yes")</f>
        <v>Yes</v>
      </c>
      <c r="K2073" t="str">
        <f>IF(ISBLANK(Table13[[#This Row],[Rating]]), "Not Rated", IF(Table13[[#This Row],[Rating]] &lt; 3, "Low", IF(Table13[[#This Row],[Rating]] &lt; 4, "Medium", "High")))</f>
        <v>High</v>
      </c>
      <c r="L2073">
        <v>187</v>
      </c>
      <c r="M2073">
        <v>46</v>
      </c>
      <c r="N2073" t="str">
        <f>IF(Table13[[#This Row],[Price USD]]&lt;20,"Budget",IF(Table13[[#This Row],[Price USD]]&lt;=50,"Mid-range","Premium"))</f>
        <v>Mid-range</v>
      </c>
      <c r="O2073">
        <v>0</v>
      </c>
      <c r="P2073">
        <v>0</v>
      </c>
    </row>
    <row r="2074" spans="1:16" x14ac:dyDescent="0.25">
      <c r="A2074" t="s">
        <v>2929</v>
      </c>
      <c r="B2074" t="s">
        <v>2930</v>
      </c>
      <c r="C2074">
        <v>6312</v>
      </c>
      <c r="D2074" t="s">
        <v>1242</v>
      </c>
      <c r="E2074" t="s">
        <v>21</v>
      </c>
      <c r="F2074">
        <v>7730</v>
      </c>
      <c r="G20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4">
        <v>4.5422000000000002</v>
      </c>
      <c r="J2074" t="str">
        <f>IF(ISBLANK(Table13[[#This Row],[Rating]]), "No", "Yes")</f>
        <v>Yes</v>
      </c>
      <c r="K2074" t="str">
        <f>IF(ISBLANK(Table13[[#This Row],[Rating]]), "Not Rated", IF(Table13[[#This Row],[Rating]] &lt; 3, "Low", IF(Table13[[#This Row],[Rating]] &lt; 4, "Medium", "High")))</f>
        <v>High</v>
      </c>
      <c r="L2074">
        <v>225</v>
      </c>
      <c r="M2074">
        <v>49</v>
      </c>
      <c r="N2074" t="str">
        <f>IF(Table13[[#This Row],[Price USD]]&lt;20,"Budget",IF(Table13[[#This Row],[Price USD]]&lt;=50,"Mid-range","Premium"))</f>
        <v>Mid-range</v>
      </c>
      <c r="O2074">
        <v>0</v>
      </c>
      <c r="P2074">
        <v>0</v>
      </c>
    </row>
    <row r="2075" spans="1:16" x14ac:dyDescent="0.25">
      <c r="A2075" t="s">
        <v>2927</v>
      </c>
      <c r="B2075" t="s">
        <v>2928</v>
      </c>
      <c r="C2075">
        <v>6084</v>
      </c>
      <c r="D2075" t="s">
        <v>269</v>
      </c>
      <c r="E2075" t="s">
        <v>69</v>
      </c>
      <c r="F2075">
        <v>7740</v>
      </c>
      <c r="G20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5">
        <v>4.4194000000000004</v>
      </c>
      <c r="J2075" t="str">
        <f>IF(ISBLANK(Table13[[#This Row],[Rating]]), "No", "Yes")</f>
        <v>Yes</v>
      </c>
      <c r="K2075" t="str">
        <f>IF(ISBLANK(Table13[[#This Row],[Rating]]), "Not Rated", IF(Table13[[#This Row],[Rating]] &lt; 3, "Low", IF(Table13[[#This Row],[Rating]] &lt; 4, "Medium", "High")))</f>
        <v>High</v>
      </c>
      <c r="L2075">
        <v>62</v>
      </c>
      <c r="M2075">
        <v>170</v>
      </c>
      <c r="N2075" t="str">
        <f>IF(Table13[[#This Row],[Price USD]]&lt;20,"Budget",IF(Table13[[#This Row],[Price USD]]&lt;=50,"Mid-range","Premium"))</f>
        <v>Premium</v>
      </c>
      <c r="O2075">
        <v>0</v>
      </c>
      <c r="P2075">
        <v>0</v>
      </c>
    </row>
    <row r="2076" spans="1:16" x14ac:dyDescent="0.25">
      <c r="A2076" t="s">
        <v>2925</v>
      </c>
      <c r="B2076" t="s">
        <v>2926</v>
      </c>
      <c r="C2076">
        <v>6236</v>
      </c>
      <c r="D2076" t="s">
        <v>272</v>
      </c>
      <c r="E2076" t="s">
        <v>220</v>
      </c>
      <c r="F2076">
        <v>7741</v>
      </c>
      <c r="G20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6">
        <v>4.4545000000000003</v>
      </c>
      <c r="J2076" t="str">
        <f>IF(ISBLANK(Table13[[#This Row],[Rating]]), "No", "Yes")</f>
        <v>Yes</v>
      </c>
      <c r="K2076" t="str">
        <f>IF(ISBLANK(Table13[[#This Row],[Rating]]), "Not Rated", IF(Table13[[#This Row],[Rating]] &lt; 3, "Low", IF(Table13[[#This Row],[Rating]] &lt; 4, "Medium", "High")))</f>
        <v>High</v>
      </c>
      <c r="L2076">
        <v>22</v>
      </c>
      <c r="M2076">
        <v>46</v>
      </c>
      <c r="N2076" t="str">
        <f>IF(Table13[[#This Row],[Price USD]]&lt;20,"Budget",IF(Table13[[#This Row],[Price USD]]&lt;=50,"Mid-range","Premium"))</f>
        <v>Mid-range</v>
      </c>
      <c r="O2076">
        <v>0</v>
      </c>
      <c r="P2076">
        <v>0</v>
      </c>
    </row>
    <row r="2077" spans="1:16" x14ac:dyDescent="0.25">
      <c r="A2077" t="s">
        <v>2923</v>
      </c>
      <c r="B2077" t="s">
        <v>2924</v>
      </c>
      <c r="C2077">
        <v>1073</v>
      </c>
      <c r="D2077" t="s">
        <v>767</v>
      </c>
      <c r="E2077" t="s">
        <v>21</v>
      </c>
      <c r="F2077">
        <v>7745</v>
      </c>
      <c r="G20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7">
        <v>3.9218999999999999</v>
      </c>
      <c r="J2077" t="str">
        <f>IF(ISBLANK(Table13[[#This Row],[Rating]]), "No", "Yes")</f>
        <v>Yes</v>
      </c>
      <c r="K2077" t="str">
        <f>IF(ISBLANK(Table13[[#This Row],[Rating]]), "Not Rated", IF(Table13[[#This Row],[Rating]] &lt; 3, "Low", IF(Table13[[#This Row],[Rating]] &lt; 4, "Medium", "High")))</f>
        <v>Medium</v>
      </c>
      <c r="L2077">
        <v>64</v>
      </c>
      <c r="M2077">
        <v>110</v>
      </c>
      <c r="N2077" t="str">
        <f>IF(Table13[[#This Row],[Price USD]]&lt;20,"Budget",IF(Table13[[#This Row],[Price USD]]&lt;=50,"Mid-range","Premium"))</f>
        <v>Premium</v>
      </c>
      <c r="O2077">
        <v>0</v>
      </c>
      <c r="P2077">
        <v>0</v>
      </c>
    </row>
    <row r="2078" spans="1:16" x14ac:dyDescent="0.25">
      <c r="A2078" t="s">
        <v>2921</v>
      </c>
      <c r="B2078" t="s">
        <v>2922</v>
      </c>
      <c r="C2078">
        <v>6314</v>
      </c>
      <c r="D2078" t="s">
        <v>558</v>
      </c>
      <c r="E2078" t="s">
        <v>347</v>
      </c>
      <c r="F2078">
        <v>7753</v>
      </c>
      <c r="G20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8">
        <v>4.5461999999999998</v>
      </c>
      <c r="J2078" t="str">
        <f>IF(ISBLANK(Table13[[#This Row],[Rating]]), "No", "Yes")</f>
        <v>Yes</v>
      </c>
      <c r="K2078" t="str">
        <f>IF(ISBLANK(Table13[[#This Row],[Rating]]), "Not Rated", IF(Table13[[#This Row],[Rating]] &lt; 3, "Low", IF(Table13[[#This Row],[Rating]] &lt; 4, "Medium", "High")))</f>
        <v>High</v>
      </c>
      <c r="L2078">
        <v>130</v>
      </c>
      <c r="M2078">
        <v>399</v>
      </c>
      <c r="N2078" t="str">
        <f>IF(Table13[[#This Row],[Price USD]]&lt;20,"Budget",IF(Table13[[#This Row],[Price USD]]&lt;=50,"Mid-range","Premium"))</f>
        <v>Premium</v>
      </c>
      <c r="O2078">
        <v>0</v>
      </c>
      <c r="P2078">
        <v>0</v>
      </c>
    </row>
    <row r="2079" spans="1:16" x14ac:dyDescent="0.25">
      <c r="A2079" t="s">
        <v>2919</v>
      </c>
      <c r="B2079" t="s">
        <v>2920</v>
      </c>
      <c r="C2079">
        <v>6314</v>
      </c>
      <c r="D2079" t="s">
        <v>558</v>
      </c>
      <c r="E2079" t="s">
        <v>21</v>
      </c>
      <c r="F2079">
        <v>7756</v>
      </c>
      <c r="G20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79">
        <v>4.2571000000000003</v>
      </c>
      <c r="J2079" t="str">
        <f>IF(ISBLANK(Table13[[#This Row],[Rating]]), "No", "Yes")</f>
        <v>Yes</v>
      </c>
      <c r="K2079" t="str">
        <f>IF(ISBLANK(Table13[[#This Row],[Rating]]), "Not Rated", IF(Table13[[#This Row],[Rating]] &lt; 3, "Low", IF(Table13[[#This Row],[Rating]] &lt; 4, "Medium", "High")))</f>
        <v>High</v>
      </c>
      <c r="L2079">
        <v>140</v>
      </c>
      <c r="M2079">
        <v>48</v>
      </c>
      <c r="N2079" t="str">
        <f>IF(Table13[[#This Row],[Price USD]]&lt;20,"Budget",IF(Table13[[#This Row],[Price USD]]&lt;=50,"Mid-range","Premium"))</f>
        <v>Mid-range</v>
      </c>
      <c r="O2079">
        <v>0</v>
      </c>
      <c r="P2079">
        <v>0</v>
      </c>
    </row>
    <row r="2080" spans="1:16" x14ac:dyDescent="0.25">
      <c r="A2080" t="s">
        <v>2917</v>
      </c>
      <c r="B2080" t="s">
        <v>2918</v>
      </c>
      <c r="C2080">
        <v>4171</v>
      </c>
      <c r="D2080" t="s">
        <v>133</v>
      </c>
      <c r="E2080" t="s">
        <v>21</v>
      </c>
      <c r="F2080">
        <v>7757</v>
      </c>
      <c r="G20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0">
        <v>4.2431999999999999</v>
      </c>
      <c r="J2080" t="str">
        <f>IF(ISBLANK(Table13[[#This Row],[Rating]]), "No", "Yes")</f>
        <v>Yes</v>
      </c>
      <c r="K2080" t="str">
        <f>IF(ISBLANK(Table13[[#This Row],[Rating]]), "Not Rated", IF(Table13[[#This Row],[Rating]] &lt; 3, "Low", IF(Table13[[#This Row],[Rating]] &lt; 4, "Medium", "High")))</f>
        <v>High</v>
      </c>
      <c r="L2080">
        <v>185</v>
      </c>
      <c r="M2080">
        <v>45</v>
      </c>
      <c r="N2080" t="str">
        <f>IF(Table13[[#This Row],[Price USD]]&lt;20,"Budget",IF(Table13[[#This Row],[Price USD]]&lt;=50,"Mid-range","Premium"))</f>
        <v>Mid-range</v>
      </c>
      <c r="O2080">
        <v>0</v>
      </c>
      <c r="P2080">
        <v>0</v>
      </c>
    </row>
    <row r="2081" spans="1:16" x14ac:dyDescent="0.25">
      <c r="A2081" t="s">
        <v>2915</v>
      </c>
      <c r="B2081" t="s">
        <v>2916</v>
      </c>
      <c r="C2081">
        <v>1741</v>
      </c>
      <c r="D2081" t="s">
        <v>388</v>
      </c>
      <c r="E2081" t="s">
        <v>13</v>
      </c>
      <c r="F2081">
        <v>7764</v>
      </c>
      <c r="G20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1">
        <v>3.8048999999999999</v>
      </c>
      <c r="J2081" t="str">
        <f>IF(ISBLANK(Table13[[#This Row],[Rating]]), "No", "Yes")</f>
        <v>Yes</v>
      </c>
      <c r="K2081" t="str">
        <f>IF(ISBLANK(Table13[[#This Row],[Rating]]), "Not Rated", IF(Table13[[#This Row],[Rating]] &lt; 3, "Low", IF(Table13[[#This Row],[Rating]] &lt; 4, "Medium", "High")))</f>
        <v>Medium</v>
      </c>
      <c r="L2081">
        <v>41</v>
      </c>
      <c r="M2081">
        <v>34</v>
      </c>
      <c r="N2081" t="str">
        <f>IF(Table13[[#This Row],[Price USD]]&lt;20,"Budget",IF(Table13[[#This Row],[Price USD]]&lt;=50,"Mid-range","Premium"))</f>
        <v>Mid-range</v>
      </c>
      <c r="O2081">
        <v>0</v>
      </c>
      <c r="P2081">
        <v>1</v>
      </c>
    </row>
    <row r="2082" spans="1:16" x14ac:dyDescent="0.25">
      <c r="A2082" t="s">
        <v>2911</v>
      </c>
      <c r="B2082" t="s">
        <v>2912</v>
      </c>
      <c r="C2082">
        <v>3902</v>
      </c>
      <c r="D2082" t="s">
        <v>72</v>
      </c>
      <c r="E2082" t="s">
        <v>13</v>
      </c>
      <c r="F2082">
        <v>7792</v>
      </c>
      <c r="G20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2">
        <v>4.125</v>
      </c>
      <c r="J2082" t="str">
        <f>IF(ISBLANK(Table13[[#This Row],[Rating]]), "No", "Yes")</f>
        <v>Yes</v>
      </c>
      <c r="K2082" t="str">
        <f>IF(ISBLANK(Table13[[#This Row],[Rating]]), "Not Rated", IF(Table13[[#This Row],[Rating]] &lt; 3, "Low", IF(Table13[[#This Row],[Rating]] &lt; 4, "Medium", "High")))</f>
        <v>High</v>
      </c>
      <c r="L2082">
        <v>24</v>
      </c>
      <c r="M2082">
        <v>14</v>
      </c>
      <c r="N2082" t="str">
        <f>IF(Table13[[#This Row],[Price USD]]&lt;20,"Budget",IF(Table13[[#This Row],[Price USD]]&lt;=50,"Mid-range","Premium"))</f>
        <v>Budget</v>
      </c>
      <c r="O2082">
        <v>0</v>
      </c>
      <c r="P2082">
        <v>0</v>
      </c>
    </row>
    <row r="2083" spans="1:16" x14ac:dyDescent="0.25">
      <c r="A2083" t="s">
        <v>2913</v>
      </c>
      <c r="B2083" t="s">
        <v>2914</v>
      </c>
      <c r="C2083">
        <v>4164</v>
      </c>
      <c r="D2083" t="s">
        <v>623</v>
      </c>
      <c r="E2083" t="s">
        <v>21</v>
      </c>
      <c r="F2083">
        <v>7792</v>
      </c>
      <c r="G20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3">
        <v>4.1723999999999997</v>
      </c>
      <c r="J2083" t="str">
        <f>IF(ISBLANK(Table13[[#This Row],[Rating]]), "No", "Yes")</f>
        <v>Yes</v>
      </c>
      <c r="K2083" t="str">
        <f>IF(ISBLANK(Table13[[#This Row],[Rating]]), "Not Rated", IF(Table13[[#This Row],[Rating]] &lt; 3, "Low", IF(Table13[[#This Row],[Rating]] &lt; 4, "Medium", "High")))</f>
        <v>High</v>
      </c>
      <c r="L2083">
        <v>174</v>
      </c>
      <c r="M2083">
        <v>65</v>
      </c>
      <c r="N2083" t="str">
        <f>IF(Table13[[#This Row],[Price USD]]&lt;20,"Budget",IF(Table13[[#This Row],[Price USD]]&lt;=50,"Mid-range","Premium"))</f>
        <v>Premium</v>
      </c>
      <c r="O2083">
        <v>0</v>
      </c>
      <c r="P2083">
        <v>0</v>
      </c>
    </row>
    <row r="2084" spans="1:16" x14ac:dyDescent="0.25">
      <c r="A2084" t="s">
        <v>2909</v>
      </c>
      <c r="B2084" t="s">
        <v>2910</v>
      </c>
      <c r="C2084">
        <v>6272</v>
      </c>
      <c r="D2084" t="s">
        <v>1711</v>
      </c>
      <c r="E2084" t="s">
        <v>220</v>
      </c>
      <c r="F2084">
        <v>7799</v>
      </c>
      <c r="G20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4">
        <v>4.1212</v>
      </c>
      <c r="J2084" t="str">
        <f>IF(ISBLANK(Table13[[#This Row],[Rating]]), "No", "Yes")</f>
        <v>Yes</v>
      </c>
      <c r="K2084" t="str">
        <f>IF(ISBLANK(Table13[[#This Row],[Rating]]), "Not Rated", IF(Table13[[#This Row],[Rating]] &lt; 3, "Low", IF(Table13[[#This Row],[Rating]] &lt; 4, "Medium", "High")))</f>
        <v>High</v>
      </c>
      <c r="L2084">
        <v>33</v>
      </c>
      <c r="M2084">
        <v>199</v>
      </c>
      <c r="N2084" t="str">
        <f>IF(Table13[[#This Row],[Price USD]]&lt;20,"Budget",IF(Table13[[#This Row],[Price USD]]&lt;=50,"Mid-range","Premium"))</f>
        <v>Premium</v>
      </c>
      <c r="O2084">
        <v>0</v>
      </c>
      <c r="P2084">
        <v>0</v>
      </c>
    </row>
    <row r="2085" spans="1:16" x14ac:dyDescent="0.25">
      <c r="A2085" t="s">
        <v>2907</v>
      </c>
      <c r="B2085" t="s">
        <v>2908</v>
      </c>
      <c r="C2085">
        <v>6367</v>
      </c>
      <c r="D2085" t="s">
        <v>2766</v>
      </c>
      <c r="E2085" t="s">
        <v>149</v>
      </c>
      <c r="F2085">
        <v>7827</v>
      </c>
      <c r="G20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5">
        <v>4.6914999999999996</v>
      </c>
      <c r="J2085" t="str">
        <f>IF(ISBLANK(Table13[[#This Row],[Rating]]), "No", "Yes")</f>
        <v>Yes</v>
      </c>
      <c r="K2085" t="str">
        <f>IF(ISBLANK(Table13[[#This Row],[Rating]]), "Not Rated", IF(Table13[[#This Row],[Rating]] &lt; 3, "Low", IF(Table13[[#This Row],[Rating]] &lt; 4, "Medium", "High")))</f>
        <v>High</v>
      </c>
      <c r="L2085">
        <v>188</v>
      </c>
      <c r="M2085">
        <v>55</v>
      </c>
      <c r="N2085" t="str">
        <f>IF(Table13[[#This Row],[Price USD]]&lt;20,"Budget",IF(Table13[[#This Row],[Price USD]]&lt;=50,"Mid-range","Premium"))</f>
        <v>Premium</v>
      </c>
      <c r="O2085">
        <v>0</v>
      </c>
      <c r="P2085">
        <v>0</v>
      </c>
    </row>
    <row r="2086" spans="1:16" x14ac:dyDescent="0.25">
      <c r="A2086" t="s">
        <v>2905</v>
      </c>
      <c r="B2086" t="s">
        <v>2906</v>
      </c>
      <c r="C2086">
        <v>8017</v>
      </c>
      <c r="D2086" t="s">
        <v>620</v>
      </c>
      <c r="E2086" t="s">
        <v>21</v>
      </c>
      <c r="F2086">
        <v>7833</v>
      </c>
      <c r="G20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6">
        <v>3.8386999999999998</v>
      </c>
      <c r="J2086" t="str">
        <f>IF(ISBLANK(Table13[[#This Row],[Rating]]), "No", "Yes")</f>
        <v>Yes</v>
      </c>
      <c r="K2086" t="str">
        <f>IF(ISBLANK(Table13[[#This Row],[Rating]]), "Not Rated", IF(Table13[[#This Row],[Rating]] &lt; 3, "Low", IF(Table13[[#This Row],[Rating]] &lt; 4, "Medium", "High")))</f>
        <v>Medium</v>
      </c>
      <c r="L2086">
        <v>62</v>
      </c>
      <c r="M2086">
        <v>22</v>
      </c>
      <c r="N2086" t="str">
        <f>IF(Table13[[#This Row],[Price USD]]&lt;20,"Budget",IF(Table13[[#This Row],[Price USD]]&lt;=50,"Mid-range","Premium"))</f>
        <v>Mid-range</v>
      </c>
      <c r="O2086">
        <v>0</v>
      </c>
      <c r="P2086">
        <v>0</v>
      </c>
    </row>
    <row r="2087" spans="1:16" x14ac:dyDescent="0.25">
      <c r="A2087" t="s">
        <v>2903</v>
      </c>
      <c r="B2087" t="s">
        <v>2904</v>
      </c>
      <c r="C2087">
        <v>1254</v>
      </c>
      <c r="D2087" t="s">
        <v>136</v>
      </c>
      <c r="E2087" t="s">
        <v>220</v>
      </c>
      <c r="F2087">
        <v>7837</v>
      </c>
      <c r="G20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7">
        <v>4.7778</v>
      </c>
      <c r="J2087" t="str">
        <f>IF(ISBLANK(Table13[[#This Row],[Rating]]), "No", "Yes")</f>
        <v>Yes</v>
      </c>
      <c r="K2087" t="str">
        <f>IF(ISBLANK(Table13[[#This Row],[Rating]]), "Not Rated", IF(Table13[[#This Row],[Rating]] &lt; 3, "Low", IF(Table13[[#This Row],[Rating]] &lt; 4, "Medium", "High")))</f>
        <v>High</v>
      </c>
      <c r="L2087">
        <v>18</v>
      </c>
      <c r="M2087">
        <v>48</v>
      </c>
      <c r="N2087" t="str">
        <f>IF(Table13[[#This Row],[Price USD]]&lt;20,"Budget",IF(Table13[[#This Row],[Price USD]]&lt;=50,"Mid-range","Premium"))</f>
        <v>Mid-range</v>
      </c>
      <c r="O2087">
        <v>0</v>
      </c>
      <c r="P2087">
        <v>0</v>
      </c>
    </row>
    <row r="2088" spans="1:16" x14ac:dyDescent="0.25">
      <c r="A2088" t="s">
        <v>2901</v>
      </c>
      <c r="B2088" t="s">
        <v>2902</v>
      </c>
      <c r="C2088">
        <v>1254</v>
      </c>
      <c r="D2088" t="s">
        <v>136</v>
      </c>
      <c r="E2088" t="s">
        <v>21</v>
      </c>
      <c r="F2088">
        <v>7842</v>
      </c>
      <c r="G20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8">
        <v>4.0761000000000003</v>
      </c>
      <c r="J2088" t="str">
        <f>IF(ISBLANK(Table13[[#This Row],[Rating]]), "No", "Yes")</f>
        <v>Yes</v>
      </c>
      <c r="K2088" t="str">
        <f>IF(ISBLANK(Table13[[#This Row],[Rating]]), "Not Rated", IF(Table13[[#This Row],[Rating]] &lt; 3, "Low", IF(Table13[[#This Row],[Rating]] &lt; 4, "Medium", "High")))</f>
        <v>High</v>
      </c>
      <c r="L2088">
        <v>92</v>
      </c>
      <c r="M2088">
        <v>44</v>
      </c>
      <c r="N2088" t="str">
        <f>IF(Table13[[#This Row],[Price USD]]&lt;20,"Budget",IF(Table13[[#This Row],[Price USD]]&lt;=50,"Mid-range","Premium"))</f>
        <v>Mid-range</v>
      </c>
      <c r="O2088">
        <v>0</v>
      </c>
      <c r="P2088">
        <v>0</v>
      </c>
    </row>
    <row r="2089" spans="1:16" x14ac:dyDescent="0.25">
      <c r="A2089" t="s">
        <v>2899</v>
      </c>
      <c r="B2089" t="s">
        <v>2900</v>
      </c>
      <c r="C2089">
        <v>7020</v>
      </c>
      <c r="D2089" t="s">
        <v>657</v>
      </c>
      <c r="E2089" t="s">
        <v>8</v>
      </c>
      <c r="F2089">
        <v>7907</v>
      </c>
      <c r="G20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89">
        <v>3.4232</v>
      </c>
      <c r="J2089" t="str">
        <f>IF(ISBLANK(Table13[[#This Row],[Rating]]), "No", "Yes")</f>
        <v>Yes</v>
      </c>
      <c r="K2089" t="str">
        <f>IF(ISBLANK(Table13[[#This Row],[Rating]]), "Not Rated", IF(Table13[[#This Row],[Rating]] &lt; 3, "Low", IF(Table13[[#This Row],[Rating]] &lt; 4, "Medium", "High")))</f>
        <v>Medium</v>
      </c>
      <c r="L2089">
        <v>241</v>
      </c>
      <c r="M2089">
        <v>146</v>
      </c>
      <c r="N2089" t="str">
        <f>IF(Table13[[#This Row],[Price USD]]&lt;20,"Budget",IF(Table13[[#This Row],[Price USD]]&lt;=50,"Mid-range","Premium"))</f>
        <v>Premium</v>
      </c>
      <c r="O2089">
        <v>0</v>
      </c>
      <c r="P2089">
        <v>0</v>
      </c>
    </row>
    <row r="2090" spans="1:16" x14ac:dyDescent="0.25">
      <c r="A2090" t="s">
        <v>2897</v>
      </c>
      <c r="B2090" t="s">
        <v>2898</v>
      </c>
      <c r="C2090">
        <v>6236</v>
      </c>
      <c r="D2090" t="s">
        <v>272</v>
      </c>
      <c r="E2090" t="s">
        <v>13</v>
      </c>
      <c r="F2090">
        <v>7914</v>
      </c>
      <c r="G20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0">
        <v>4.3810000000000002</v>
      </c>
      <c r="J2090" t="str">
        <f>IF(ISBLANK(Table13[[#This Row],[Rating]]), "No", "Yes")</f>
        <v>Yes</v>
      </c>
      <c r="K2090" t="str">
        <f>IF(ISBLANK(Table13[[#This Row],[Rating]]), "Not Rated", IF(Table13[[#This Row],[Rating]] &lt; 3, "Low", IF(Table13[[#This Row],[Rating]] &lt; 4, "Medium", "High")))</f>
        <v>High</v>
      </c>
      <c r="L2090">
        <v>84</v>
      </c>
      <c r="M2090">
        <v>55</v>
      </c>
      <c r="N2090" t="str">
        <f>IF(Table13[[#This Row],[Price USD]]&lt;20,"Budget",IF(Table13[[#This Row],[Price USD]]&lt;=50,"Mid-range","Premium"))</f>
        <v>Premium</v>
      </c>
      <c r="O2090">
        <v>0</v>
      </c>
      <c r="P2090">
        <v>0</v>
      </c>
    </row>
    <row r="2091" spans="1:16" x14ac:dyDescent="0.25">
      <c r="A2091" t="s">
        <v>2895</v>
      </c>
      <c r="B2091" t="s">
        <v>2896</v>
      </c>
      <c r="C2091">
        <v>3728</v>
      </c>
      <c r="D2091" t="s">
        <v>458</v>
      </c>
      <c r="E2091" t="s">
        <v>8</v>
      </c>
      <c r="F2091">
        <v>7915</v>
      </c>
      <c r="G20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1">
        <v>4.7416</v>
      </c>
      <c r="J2091" t="str">
        <f>IF(ISBLANK(Table13[[#This Row],[Rating]]), "No", "Yes")</f>
        <v>Yes</v>
      </c>
      <c r="K2091" t="str">
        <f>IF(ISBLANK(Table13[[#This Row],[Rating]]), "Not Rated", IF(Table13[[#This Row],[Rating]] &lt; 3, "Low", IF(Table13[[#This Row],[Rating]] &lt; 4, "Medium", "High")))</f>
        <v>High</v>
      </c>
      <c r="L2091">
        <v>178</v>
      </c>
      <c r="M2091">
        <v>65</v>
      </c>
      <c r="N2091" t="str">
        <f>IF(Table13[[#This Row],[Price USD]]&lt;20,"Budget",IF(Table13[[#This Row],[Price USD]]&lt;=50,"Mid-range","Premium"))</f>
        <v>Premium</v>
      </c>
      <c r="O2091">
        <v>0</v>
      </c>
      <c r="P2091">
        <v>0</v>
      </c>
    </row>
    <row r="2092" spans="1:16" x14ac:dyDescent="0.25">
      <c r="A2092" t="s">
        <v>2893</v>
      </c>
      <c r="B2092" t="s">
        <v>2894</v>
      </c>
      <c r="C2092">
        <v>6272</v>
      </c>
      <c r="D2092" t="s">
        <v>1711</v>
      </c>
      <c r="E2092" t="s">
        <v>347</v>
      </c>
      <c r="F2092">
        <v>7926</v>
      </c>
      <c r="G20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2">
        <v>3.6667000000000001</v>
      </c>
      <c r="J2092" t="str">
        <f>IF(ISBLANK(Table13[[#This Row],[Rating]]), "No", "Yes")</f>
        <v>Yes</v>
      </c>
      <c r="K2092" t="str">
        <f>IF(ISBLANK(Table13[[#This Row],[Rating]]), "Not Rated", IF(Table13[[#This Row],[Rating]] &lt; 3, "Low", IF(Table13[[#This Row],[Rating]] &lt; 4, "Medium", "High")))</f>
        <v>Medium</v>
      </c>
      <c r="L2092">
        <v>9</v>
      </c>
      <c r="M2092">
        <v>39</v>
      </c>
      <c r="N2092" t="str">
        <f>IF(Table13[[#This Row],[Price USD]]&lt;20,"Budget",IF(Table13[[#This Row],[Price USD]]&lt;=50,"Mid-range","Premium"))</f>
        <v>Mid-range</v>
      </c>
      <c r="O2092">
        <v>0</v>
      </c>
      <c r="P2092">
        <v>0</v>
      </c>
    </row>
    <row r="2093" spans="1:16" x14ac:dyDescent="0.25">
      <c r="A2093" t="s">
        <v>2891</v>
      </c>
      <c r="B2093" t="s">
        <v>2892</v>
      </c>
      <c r="C2093">
        <v>6209</v>
      </c>
      <c r="D2093" t="s">
        <v>45</v>
      </c>
      <c r="E2093" t="s">
        <v>8</v>
      </c>
      <c r="F2093">
        <v>7931</v>
      </c>
      <c r="G20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3">
        <v>4.2262000000000004</v>
      </c>
      <c r="J2093" t="str">
        <f>IF(ISBLANK(Table13[[#This Row],[Rating]]), "No", "Yes")</f>
        <v>Yes</v>
      </c>
      <c r="K2093" t="str">
        <f>IF(ISBLANK(Table13[[#This Row],[Rating]]), "Not Rated", IF(Table13[[#This Row],[Rating]] &lt; 3, "Low", IF(Table13[[#This Row],[Rating]] &lt; 4, "Medium", "High")))</f>
        <v>High</v>
      </c>
      <c r="L2093">
        <v>252</v>
      </c>
      <c r="M2093">
        <v>29</v>
      </c>
      <c r="N2093" t="str">
        <f>IF(Table13[[#This Row],[Price USD]]&lt;20,"Budget",IF(Table13[[#This Row],[Price USD]]&lt;=50,"Mid-range","Premium"))</f>
        <v>Mid-range</v>
      </c>
      <c r="O2093">
        <v>0</v>
      </c>
      <c r="P2093">
        <v>0</v>
      </c>
    </row>
    <row r="2094" spans="1:16" x14ac:dyDescent="0.25">
      <c r="A2094" t="s">
        <v>2889</v>
      </c>
      <c r="B2094" t="s">
        <v>2890</v>
      </c>
      <c r="C2094">
        <v>6089</v>
      </c>
      <c r="D2094" t="s">
        <v>605</v>
      </c>
      <c r="E2094" t="s">
        <v>21</v>
      </c>
      <c r="F2094">
        <v>7948</v>
      </c>
      <c r="G20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4">
        <v>4.2390999999999996</v>
      </c>
      <c r="J2094" t="str">
        <f>IF(ISBLANK(Table13[[#This Row],[Rating]]), "No", "Yes")</f>
        <v>Yes</v>
      </c>
      <c r="K2094" t="str">
        <f>IF(ISBLANK(Table13[[#This Row],[Rating]]), "Not Rated", IF(Table13[[#This Row],[Rating]] &lt; 3, "Low", IF(Table13[[#This Row],[Rating]] &lt; 4, "Medium", "High")))</f>
        <v>High</v>
      </c>
      <c r="L2094">
        <v>46</v>
      </c>
      <c r="M2094">
        <v>63</v>
      </c>
      <c r="N2094" t="str">
        <f>IF(Table13[[#This Row],[Price USD]]&lt;20,"Budget",IF(Table13[[#This Row],[Price USD]]&lt;=50,"Mid-range","Premium"))</f>
        <v>Premium</v>
      </c>
      <c r="O2094">
        <v>0</v>
      </c>
      <c r="P2094">
        <v>0</v>
      </c>
    </row>
    <row r="2095" spans="1:16" x14ac:dyDescent="0.25">
      <c r="A2095" t="s">
        <v>2887</v>
      </c>
      <c r="B2095" t="s">
        <v>2888</v>
      </c>
      <c r="C2095">
        <v>6295</v>
      </c>
      <c r="D2095" t="s">
        <v>184</v>
      </c>
      <c r="E2095" t="s">
        <v>13</v>
      </c>
      <c r="F2095">
        <v>7953</v>
      </c>
      <c r="G20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5">
        <v>4.0385</v>
      </c>
      <c r="J2095" t="str">
        <f>IF(ISBLANK(Table13[[#This Row],[Rating]]), "No", "Yes")</f>
        <v>Yes</v>
      </c>
      <c r="K2095" t="str">
        <f>IF(ISBLANK(Table13[[#This Row],[Rating]]), "Not Rated", IF(Table13[[#This Row],[Rating]] &lt; 3, "Low", IF(Table13[[#This Row],[Rating]] &lt; 4, "Medium", "High")))</f>
        <v>High</v>
      </c>
      <c r="L2095">
        <v>26</v>
      </c>
      <c r="M2095">
        <v>12</v>
      </c>
      <c r="N2095" t="str">
        <f>IF(Table13[[#This Row],[Price USD]]&lt;20,"Budget",IF(Table13[[#This Row],[Price USD]]&lt;=50,"Mid-range","Premium"))</f>
        <v>Budget</v>
      </c>
      <c r="O2095">
        <v>0</v>
      </c>
      <c r="P2095">
        <v>0</v>
      </c>
    </row>
    <row r="2096" spans="1:16" x14ac:dyDescent="0.25">
      <c r="A2096" t="s">
        <v>2885</v>
      </c>
      <c r="B2096" t="s">
        <v>2886</v>
      </c>
      <c r="C2096">
        <v>6089</v>
      </c>
      <c r="D2096" t="s">
        <v>605</v>
      </c>
      <c r="E2096" t="s">
        <v>69</v>
      </c>
      <c r="F2096">
        <v>7994</v>
      </c>
      <c r="G20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6">
        <v>4.5999999999999996</v>
      </c>
      <c r="J2096" t="str">
        <f>IF(ISBLANK(Table13[[#This Row],[Rating]]), "No", "Yes")</f>
        <v>Yes</v>
      </c>
      <c r="K2096" t="str">
        <f>IF(ISBLANK(Table13[[#This Row],[Rating]]), "Not Rated", IF(Table13[[#This Row],[Rating]] &lt; 3, "Low", IF(Table13[[#This Row],[Rating]] &lt; 4, "Medium", "High")))</f>
        <v>High</v>
      </c>
      <c r="L2096">
        <v>20</v>
      </c>
      <c r="M2096">
        <v>74</v>
      </c>
      <c r="N2096" t="str">
        <f>IF(Table13[[#This Row],[Price USD]]&lt;20,"Budget",IF(Table13[[#This Row],[Price USD]]&lt;=50,"Mid-range","Premium"))</f>
        <v>Premium</v>
      </c>
      <c r="O2096">
        <v>0</v>
      </c>
      <c r="P2096">
        <v>1</v>
      </c>
    </row>
    <row r="2097" spans="1:16" x14ac:dyDescent="0.25">
      <c r="A2097" t="s">
        <v>2883</v>
      </c>
      <c r="B2097" t="s">
        <v>2884</v>
      </c>
      <c r="C2097">
        <v>7091</v>
      </c>
      <c r="D2097" t="s">
        <v>879</v>
      </c>
      <c r="E2097" t="s">
        <v>49</v>
      </c>
      <c r="F2097">
        <v>8003</v>
      </c>
      <c r="G20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7">
        <v>4.2691999999999997</v>
      </c>
      <c r="J2097" t="str">
        <f>IF(ISBLANK(Table13[[#This Row],[Rating]]), "No", "Yes")</f>
        <v>Yes</v>
      </c>
      <c r="K2097" t="str">
        <f>IF(ISBLANK(Table13[[#This Row],[Rating]]), "Not Rated", IF(Table13[[#This Row],[Rating]] &lt; 3, "Low", IF(Table13[[#This Row],[Rating]] &lt; 4, "Medium", "High")))</f>
        <v>High</v>
      </c>
      <c r="L2097">
        <v>52</v>
      </c>
      <c r="M2097">
        <v>28</v>
      </c>
      <c r="N2097" t="str">
        <f>IF(Table13[[#This Row],[Price USD]]&lt;20,"Budget",IF(Table13[[#This Row],[Price USD]]&lt;=50,"Mid-range","Premium"))</f>
        <v>Mid-range</v>
      </c>
      <c r="O2097">
        <v>0</v>
      </c>
      <c r="P2097">
        <v>0</v>
      </c>
    </row>
    <row r="2098" spans="1:16" x14ac:dyDescent="0.25">
      <c r="A2098" t="s">
        <v>2881</v>
      </c>
      <c r="B2098" t="s">
        <v>2882</v>
      </c>
      <c r="C2098">
        <v>6125</v>
      </c>
      <c r="D2098" t="s">
        <v>3</v>
      </c>
      <c r="E2098" t="s">
        <v>13</v>
      </c>
      <c r="F2098">
        <v>8013</v>
      </c>
      <c r="G20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8">
        <v>4</v>
      </c>
      <c r="J2098" t="str">
        <f>IF(ISBLANK(Table13[[#This Row],[Rating]]), "No", "Yes")</f>
        <v>Yes</v>
      </c>
      <c r="K2098" t="str">
        <f>IF(ISBLANK(Table13[[#This Row],[Rating]]), "Not Rated", IF(Table13[[#This Row],[Rating]] &lt; 3, "Low", IF(Table13[[#This Row],[Rating]] &lt; 4, "Medium", "High")))</f>
        <v>High</v>
      </c>
      <c r="L2098">
        <v>17</v>
      </c>
      <c r="M2098">
        <v>31</v>
      </c>
      <c r="N2098" t="str">
        <f>IF(Table13[[#This Row],[Price USD]]&lt;20,"Budget",IF(Table13[[#This Row],[Price USD]]&lt;=50,"Mid-range","Premium"))</f>
        <v>Mid-range</v>
      </c>
      <c r="O2098">
        <v>0</v>
      </c>
      <c r="P2098">
        <v>0</v>
      </c>
    </row>
    <row r="2099" spans="1:16" x14ac:dyDescent="0.25">
      <c r="A2099" t="s">
        <v>2879</v>
      </c>
      <c r="B2099" t="s">
        <v>2880</v>
      </c>
      <c r="C2099">
        <v>6136</v>
      </c>
      <c r="D2099" t="s">
        <v>708</v>
      </c>
      <c r="E2099" t="s">
        <v>220</v>
      </c>
      <c r="F2099">
        <v>8018</v>
      </c>
      <c r="G20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0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099">
        <v>4.3125</v>
      </c>
      <c r="J2099" t="str">
        <f>IF(ISBLANK(Table13[[#This Row],[Rating]]), "No", "Yes")</f>
        <v>Yes</v>
      </c>
      <c r="K2099" t="str">
        <f>IF(ISBLANK(Table13[[#This Row],[Rating]]), "Not Rated", IF(Table13[[#This Row],[Rating]] &lt; 3, "Low", IF(Table13[[#This Row],[Rating]] &lt; 4, "Medium", "High")))</f>
        <v>High</v>
      </c>
      <c r="L2099">
        <v>16</v>
      </c>
      <c r="M2099">
        <v>87</v>
      </c>
      <c r="N2099" t="str">
        <f>IF(Table13[[#This Row],[Price USD]]&lt;20,"Budget",IF(Table13[[#This Row],[Price USD]]&lt;=50,"Mid-range","Premium"))</f>
        <v>Premium</v>
      </c>
      <c r="O2099">
        <v>0</v>
      </c>
      <c r="P2099">
        <v>0</v>
      </c>
    </row>
    <row r="2100" spans="1:16" x14ac:dyDescent="0.25">
      <c r="A2100" t="s">
        <v>2877</v>
      </c>
      <c r="B2100" t="s">
        <v>2878</v>
      </c>
      <c r="C2100">
        <v>6136</v>
      </c>
      <c r="D2100" t="s">
        <v>708</v>
      </c>
      <c r="E2100" t="s">
        <v>144</v>
      </c>
      <c r="F2100">
        <v>8046</v>
      </c>
      <c r="G21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0">
        <v>4.0769000000000002</v>
      </c>
      <c r="J2100" t="str">
        <f>IF(ISBLANK(Table13[[#This Row],[Rating]]), "No", "Yes")</f>
        <v>Yes</v>
      </c>
      <c r="K2100" t="str">
        <f>IF(ISBLANK(Table13[[#This Row],[Rating]]), "Not Rated", IF(Table13[[#This Row],[Rating]] &lt; 3, "Low", IF(Table13[[#This Row],[Rating]] &lt; 4, "Medium", "High")))</f>
        <v>High</v>
      </c>
      <c r="L2100">
        <v>26</v>
      </c>
      <c r="M2100">
        <v>69</v>
      </c>
      <c r="N2100" t="str">
        <f>IF(Table13[[#This Row],[Price USD]]&lt;20,"Budget",IF(Table13[[#This Row],[Price USD]]&lt;=50,"Mid-range","Premium"))</f>
        <v>Premium</v>
      </c>
      <c r="O2100">
        <v>0</v>
      </c>
      <c r="P2100">
        <v>0</v>
      </c>
    </row>
    <row r="2101" spans="1:16" x14ac:dyDescent="0.25">
      <c r="A2101" t="s">
        <v>2875</v>
      </c>
      <c r="B2101" t="s">
        <v>2876</v>
      </c>
      <c r="C2101">
        <v>5996</v>
      </c>
      <c r="D2101" t="s">
        <v>327</v>
      </c>
      <c r="E2101" t="s">
        <v>347</v>
      </c>
      <c r="F2101">
        <v>8059</v>
      </c>
      <c r="G21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1">
        <v>4.4889000000000001</v>
      </c>
      <c r="J2101" t="str">
        <f>IF(ISBLANK(Table13[[#This Row],[Rating]]), "No", "Yes")</f>
        <v>Yes</v>
      </c>
      <c r="K2101" t="str">
        <f>IF(ISBLANK(Table13[[#This Row],[Rating]]), "Not Rated", IF(Table13[[#This Row],[Rating]] &lt; 3, "Low", IF(Table13[[#This Row],[Rating]] &lt; 4, "Medium", "High")))</f>
        <v>High</v>
      </c>
      <c r="L2101">
        <v>90</v>
      </c>
      <c r="M2101">
        <v>25</v>
      </c>
      <c r="N2101" t="str">
        <f>IF(Table13[[#This Row],[Price USD]]&lt;20,"Budget",IF(Table13[[#This Row],[Price USD]]&lt;=50,"Mid-range","Premium"))</f>
        <v>Mid-range</v>
      </c>
      <c r="O2101">
        <v>0</v>
      </c>
      <c r="P2101">
        <v>0</v>
      </c>
    </row>
    <row r="2102" spans="1:16" x14ac:dyDescent="0.25">
      <c r="A2102" t="s">
        <v>2873</v>
      </c>
      <c r="B2102" t="s">
        <v>2874</v>
      </c>
      <c r="C2102">
        <v>6201</v>
      </c>
      <c r="D2102" t="s">
        <v>367</v>
      </c>
      <c r="E2102" t="s">
        <v>13</v>
      </c>
      <c r="F2102">
        <v>8063</v>
      </c>
      <c r="G21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2">
        <v>3.6086999999999998</v>
      </c>
      <c r="J2102" t="str">
        <f>IF(ISBLANK(Table13[[#This Row],[Rating]]), "No", "Yes")</f>
        <v>Yes</v>
      </c>
      <c r="K2102" t="str">
        <f>IF(ISBLANK(Table13[[#This Row],[Rating]]), "Not Rated", IF(Table13[[#This Row],[Rating]] &lt; 3, "Low", IF(Table13[[#This Row],[Rating]] &lt; 4, "Medium", "High")))</f>
        <v>Medium</v>
      </c>
      <c r="L2102">
        <v>23</v>
      </c>
      <c r="M2102">
        <v>25</v>
      </c>
      <c r="N2102" t="str">
        <f>IF(Table13[[#This Row],[Price USD]]&lt;20,"Budget",IF(Table13[[#This Row],[Price USD]]&lt;=50,"Mid-range","Premium"))</f>
        <v>Mid-range</v>
      </c>
      <c r="O2102">
        <v>0</v>
      </c>
      <c r="P2102">
        <v>0</v>
      </c>
    </row>
    <row r="2103" spans="1:16" x14ac:dyDescent="0.25">
      <c r="A2103" t="s">
        <v>2871</v>
      </c>
      <c r="B2103" t="s">
        <v>2872</v>
      </c>
      <c r="C2103">
        <v>6125</v>
      </c>
      <c r="D2103" t="s">
        <v>3</v>
      </c>
      <c r="E2103" t="s">
        <v>13</v>
      </c>
      <c r="F2103">
        <v>8064</v>
      </c>
      <c r="G21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3">
        <v>4.4118000000000004</v>
      </c>
      <c r="J2103" t="str">
        <f>IF(ISBLANK(Table13[[#This Row],[Rating]]), "No", "Yes")</f>
        <v>Yes</v>
      </c>
      <c r="K2103" t="str">
        <f>IF(ISBLANK(Table13[[#This Row],[Rating]]), "Not Rated", IF(Table13[[#This Row],[Rating]] &lt; 3, "Low", IF(Table13[[#This Row],[Rating]] &lt; 4, "Medium", "High")))</f>
        <v>High</v>
      </c>
      <c r="L2103">
        <v>17</v>
      </c>
      <c r="M2103">
        <v>31</v>
      </c>
      <c r="N2103" t="str">
        <f>IF(Table13[[#This Row],[Price USD]]&lt;20,"Budget",IF(Table13[[#This Row],[Price USD]]&lt;=50,"Mid-range","Premium"))</f>
        <v>Mid-range</v>
      </c>
      <c r="O2103">
        <v>0</v>
      </c>
      <c r="P2103">
        <v>0</v>
      </c>
    </row>
    <row r="2104" spans="1:16" x14ac:dyDescent="0.25">
      <c r="A2104" t="s">
        <v>2869</v>
      </c>
      <c r="B2104" t="s">
        <v>2870</v>
      </c>
      <c r="C2104">
        <v>6314</v>
      </c>
      <c r="D2104" t="s">
        <v>558</v>
      </c>
      <c r="E2104" t="s">
        <v>21</v>
      </c>
      <c r="F2104">
        <v>8073</v>
      </c>
      <c r="G21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4">
        <v>4.4443999999999999</v>
      </c>
      <c r="J2104" t="str">
        <f>IF(ISBLANK(Table13[[#This Row],[Rating]]), "No", "Yes")</f>
        <v>Yes</v>
      </c>
      <c r="K2104" t="str">
        <f>IF(ISBLANK(Table13[[#This Row],[Rating]]), "Not Rated", IF(Table13[[#This Row],[Rating]] &lt; 3, "Low", IF(Table13[[#This Row],[Rating]] &lt; 4, "Medium", "High")))</f>
        <v>High</v>
      </c>
      <c r="L2104">
        <v>99</v>
      </c>
      <c r="M2104">
        <v>52</v>
      </c>
      <c r="N2104" t="str">
        <f>IF(Table13[[#This Row],[Price USD]]&lt;20,"Budget",IF(Table13[[#This Row],[Price USD]]&lt;=50,"Mid-range","Premium"))</f>
        <v>Premium</v>
      </c>
      <c r="O2104">
        <v>0</v>
      </c>
      <c r="P2104">
        <v>0</v>
      </c>
    </row>
    <row r="2105" spans="1:16" x14ac:dyDescent="0.25">
      <c r="A2105" t="s">
        <v>2867</v>
      </c>
      <c r="B2105" t="s">
        <v>2868</v>
      </c>
      <c r="C2105">
        <v>6201</v>
      </c>
      <c r="D2105" t="s">
        <v>367</v>
      </c>
      <c r="E2105" t="s">
        <v>21</v>
      </c>
      <c r="F2105">
        <v>8097</v>
      </c>
      <c r="G21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5">
        <v>4.6439000000000004</v>
      </c>
      <c r="J2105" t="str">
        <f>IF(ISBLANK(Table13[[#This Row],[Rating]]), "No", "Yes")</f>
        <v>Yes</v>
      </c>
      <c r="K2105" t="str">
        <f>IF(ISBLANK(Table13[[#This Row],[Rating]]), "Not Rated", IF(Table13[[#This Row],[Rating]] &lt; 3, "Low", IF(Table13[[#This Row],[Rating]] &lt; 4, "Medium", "High")))</f>
        <v>High</v>
      </c>
      <c r="L2105">
        <v>424</v>
      </c>
      <c r="M2105">
        <v>180</v>
      </c>
      <c r="N2105" t="str">
        <f>IF(Table13[[#This Row],[Price USD]]&lt;20,"Budget",IF(Table13[[#This Row],[Price USD]]&lt;=50,"Mid-range","Premium"))</f>
        <v>Premium</v>
      </c>
      <c r="O2105">
        <v>0</v>
      </c>
      <c r="P2105">
        <v>0</v>
      </c>
    </row>
    <row r="2106" spans="1:16" x14ac:dyDescent="0.25">
      <c r="A2106" t="s">
        <v>2865</v>
      </c>
      <c r="B2106" t="s">
        <v>2866</v>
      </c>
      <c r="C2106">
        <v>6341</v>
      </c>
      <c r="D2106" t="s">
        <v>66</v>
      </c>
      <c r="E2106" t="s">
        <v>149</v>
      </c>
      <c r="F2106">
        <v>8104</v>
      </c>
      <c r="G21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6">
        <v>4.1162999999999998</v>
      </c>
      <c r="J2106" t="str">
        <f>IF(ISBLANK(Table13[[#This Row],[Rating]]), "No", "Yes")</f>
        <v>Yes</v>
      </c>
      <c r="K2106" t="str">
        <f>IF(ISBLANK(Table13[[#This Row],[Rating]]), "Not Rated", IF(Table13[[#This Row],[Rating]] &lt; 3, "Low", IF(Table13[[#This Row],[Rating]] &lt; 4, "Medium", "High")))</f>
        <v>High</v>
      </c>
      <c r="L2106">
        <v>43</v>
      </c>
      <c r="M2106">
        <v>49</v>
      </c>
      <c r="N2106" t="str">
        <f>IF(Table13[[#This Row],[Price USD]]&lt;20,"Budget",IF(Table13[[#This Row],[Price USD]]&lt;=50,"Mid-range","Premium"))</f>
        <v>Mid-range</v>
      </c>
      <c r="O2106">
        <v>0</v>
      </c>
      <c r="P2106">
        <v>0</v>
      </c>
    </row>
    <row r="2107" spans="1:16" x14ac:dyDescent="0.25">
      <c r="A2107" t="s">
        <v>2862</v>
      </c>
      <c r="B2107" t="s">
        <v>2863</v>
      </c>
      <c r="C2107">
        <v>8012</v>
      </c>
      <c r="D2107" t="s">
        <v>2864</v>
      </c>
      <c r="E2107" t="s">
        <v>8</v>
      </c>
      <c r="F2107">
        <v>8129</v>
      </c>
      <c r="G21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7">
        <v>4.7217000000000002</v>
      </c>
      <c r="J2107" t="str">
        <f>IF(ISBLANK(Table13[[#This Row],[Rating]]), "No", "Yes")</f>
        <v>Yes</v>
      </c>
      <c r="K2107" t="str">
        <f>IF(ISBLANK(Table13[[#This Row],[Rating]]), "Not Rated", IF(Table13[[#This Row],[Rating]] &lt; 3, "Low", IF(Table13[[#This Row],[Rating]] &lt; 4, "Medium", "High")))</f>
        <v>High</v>
      </c>
      <c r="L2107">
        <v>230</v>
      </c>
      <c r="M2107">
        <v>32</v>
      </c>
      <c r="N2107" t="str">
        <f>IF(Table13[[#This Row],[Price USD]]&lt;20,"Budget",IF(Table13[[#This Row],[Price USD]]&lt;=50,"Mid-range","Premium"))</f>
        <v>Mid-range</v>
      </c>
      <c r="O2107">
        <v>0</v>
      </c>
      <c r="P2107">
        <v>0</v>
      </c>
    </row>
    <row r="2108" spans="1:16" x14ac:dyDescent="0.25">
      <c r="A2108" t="s">
        <v>2860</v>
      </c>
      <c r="B2108" t="s">
        <v>2861</v>
      </c>
      <c r="C2108">
        <v>6125</v>
      </c>
      <c r="D2108" t="s">
        <v>3</v>
      </c>
      <c r="E2108" t="s">
        <v>8</v>
      </c>
      <c r="F2108">
        <v>8178</v>
      </c>
      <c r="G21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8">
        <v>4.5728</v>
      </c>
      <c r="J2108" t="str">
        <f>IF(ISBLANK(Table13[[#This Row],[Rating]]), "No", "Yes")</f>
        <v>Yes</v>
      </c>
      <c r="K2108" t="str">
        <f>IF(ISBLANK(Table13[[#This Row],[Rating]]), "Not Rated", IF(Table13[[#This Row],[Rating]] &lt; 3, "Low", IF(Table13[[#This Row],[Rating]] &lt; 4, "Medium", "High")))</f>
        <v>High</v>
      </c>
      <c r="L2108">
        <v>213</v>
      </c>
      <c r="M2108">
        <v>39</v>
      </c>
      <c r="N2108" t="str">
        <f>IF(Table13[[#This Row],[Price USD]]&lt;20,"Budget",IF(Table13[[#This Row],[Price USD]]&lt;=50,"Mid-range","Premium"))</f>
        <v>Mid-range</v>
      </c>
      <c r="O2108">
        <v>0</v>
      </c>
      <c r="P2108">
        <v>0</v>
      </c>
    </row>
    <row r="2109" spans="1:16" x14ac:dyDescent="0.25">
      <c r="A2109" t="s">
        <v>2858</v>
      </c>
      <c r="B2109" t="s">
        <v>2859</v>
      </c>
      <c r="C2109">
        <v>6201</v>
      </c>
      <c r="D2109" t="s">
        <v>367</v>
      </c>
      <c r="E2109" t="s">
        <v>69</v>
      </c>
      <c r="F2109">
        <v>8179</v>
      </c>
      <c r="G21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09">
        <v>4.2609000000000004</v>
      </c>
      <c r="J2109" t="str">
        <f>IF(ISBLANK(Table13[[#This Row],[Rating]]), "No", "Yes")</f>
        <v>Yes</v>
      </c>
      <c r="K2109" t="str">
        <f>IF(ISBLANK(Table13[[#This Row],[Rating]]), "Not Rated", IF(Table13[[#This Row],[Rating]] &lt; 3, "Low", IF(Table13[[#This Row],[Rating]] &lt; 4, "Medium", "High")))</f>
        <v>High</v>
      </c>
      <c r="L2109">
        <v>23</v>
      </c>
      <c r="M2109">
        <v>190</v>
      </c>
      <c r="N2109" t="str">
        <f>IF(Table13[[#This Row],[Price USD]]&lt;20,"Budget",IF(Table13[[#This Row],[Price USD]]&lt;=50,"Mid-range","Premium"))</f>
        <v>Premium</v>
      </c>
      <c r="O2109">
        <v>0</v>
      </c>
      <c r="P2109">
        <v>0</v>
      </c>
    </row>
    <row r="2110" spans="1:16" x14ac:dyDescent="0.25">
      <c r="A2110" t="s">
        <v>2856</v>
      </c>
      <c r="B2110" t="s">
        <v>2857</v>
      </c>
      <c r="C2110">
        <v>6169</v>
      </c>
      <c r="D2110" t="s">
        <v>24</v>
      </c>
      <c r="E2110" t="s">
        <v>220</v>
      </c>
      <c r="F2110">
        <v>8189</v>
      </c>
      <c r="G21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0">
        <v>3</v>
      </c>
      <c r="J2110" t="str">
        <f>IF(ISBLANK(Table13[[#This Row],[Rating]]), "No", "Yes")</f>
        <v>Yes</v>
      </c>
      <c r="K2110" t="str">
        <f>IF(ISBLANK(Table13[[#This Row],[Rating]]), "Not Rated", IF(Table13[[#This Row],[Rating]] &lt; 3, "Low", IF(Table13[[#This Row],[Rating]] &lt; 4, "Medium", "High")))</f>
        <v>Medium</v>
      </c>
      <c r="L2110">
        <v>3</v>
      </c>
      <c r="M2110">
        <v>28</v>
      </c>
      <c r="N2110" t="str">
        <f>IF(Table13[[#This Row],[Price USD]]&lt;20,"Budget",IF(Table13[[#This Row],[Price USD]]&lt;=50,"Mid-range","Premium"))</f>
        <v>Mid-range</v>
      </c>
      <c r="O2110">
        <v>0</v>
      </c>
      <c r="P2110">
        <v>0</v>
      </c>
    </row>
    <row r="2111" spans="1:16" x14ac:dyDescent="0.25">
      <c r="A2111" t="s">
        <v>2854</v>
      </c>
      <c r="B2111" t="s">
        <v>2855</v>
      </c>
      <c r="C2111">
        <v>4372</v>
      </c>
      <c r="D2111" t="s">
        <v>1513</v>
      </c>
      <c r="E2111" t="s">
        <v>21</v>
      </c>
      <c r="F2111">
        <v>8201</v>
      </c>
      <c r="G21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1">
        <v>4.1467999999999998</v>
      </c>
      <c r="J2111" t="str">
        <f>IF(ISBLANK(Table13[[#This Row],[Rating]]), "No", "Yes")</f>
        <v>Yes</v>
      </c>
      <c r="K2111" t="str">
        <f>IF(ISBLANK(Table13[[#This Row],[Rating]]), "Not Rated", IF(Table13[[#This Row],[Rating]] &lt; 3, "Low", IF(Table13[[#This Row],[Rating]] &lt; 4, "Medium", "High")))</f>
        <v>High</v>
      </c>
      <c r="L2111">
        <v>109</v>
      </c>
      <c r="M2111">
        <v>56</v>
      </c>
      <c r="N2111" t="str">
        <f>IF(Table13[[#This Row],[Price USD]]&lt;20,"Budget",IF(Table13[[#This Row],[Price USD]]&lt;=50,"Mid-range","Premium"))</f>
        <v>Premium</v>
      </c>
      <c r="O2111">
        <v>0</v>
      </c>
      <c r="P2111">
        <v>0</v>
      </c>
    </row>
    <row r="2112" spans="1:16" x14ac:dyDescent="0.25">
      <c r="A2112" t="s">
        <v>2852</v>
      </c>
      <c r="B2112" t="s">
        <v>2853</v>
      </c>
      <c r="C2112">
        <v>6352</v>
      </c>
      <c r="D2112" t="s">
        <v>251</v>
      </c>
      <c r="E2112" t="s">
        <v>13</v>
      </c>
      <c r="F2112">
        <v>8214</v>
      </c>
      <c r="G21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2">
        <v>4.0909000000000004</v>
      </c>
      <c r="J2112" t="str">
        <f>IF(ISBLANK(Table13[[#This Row],[Rating]]), "No", "Yes")</f>
        <v>Yes</v>
      </c>
      <c r="K2112" t="str">
        <f>IF(ISBLANK(Table13[[#This Row],[Rating]]), "Not Rated", IF(Table13[[#This Row],[Rating]] &lt; 3, "Low", IF(Table13[[#This Row],[Rating]] &lt; 4, "Medium", "High")))</f>
        <v>High</v>
      </c>
      <c r="L2112">
        <v>11</v>
      </c>
      <c r="M2112">
        <v>34</v>
      </c>
      <c r="N2112" t="str">
        <f>IF(Table13[[#This Row],[Price USD]]&lt;20,"Budget",IF(Table13[[#This Row],[Price USD]]&lt;=50,"Mid-range","Premium"))</f>
        <v>Mid-range</v>
      </c>
      <c r="O2112">
        <v>1</v>
      </c>
      <c r="P2112">
        <v>0</v>
      </c>
    </row>
    <row r="2113" spans="1:16" x14ac:dyDescent="0.25">
      <c r="A2113" t="s">
        <v>2850</v>
      </c>
      <c r="B2113" t="s">
        <v>2851</v>
      </c>
      <c r="C2113">
        <v>5946</v>
      </c>
      <c r="D2113" t="s">
        <v>341</v>
      </c>
      <c r="E2113" t="s">
        <v>8</v>
      </c>
      <c r="F2113">
        <v>8230</v>
      </c>
      <c r="G21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3">
        <v>4.1143000000000001</v>
      </c>
      <c r="J2113" t="str">
        <f>IF(ISBLANK(Table13[[#This Row],[Rating]]), "No", "Yes")</f>
        <v>Yes</v>
      </c>
      <c r="K2113" t="str">
        <f>IF(ISBLANK(Table13[[#This Row],[Rating]]), "Not Rated", IF(Table13[[#This Row],[Rating]] &lt; 3, "Low", IF(Table13[[#This Row],[Rating]] &lt; 4, "Medium", "High")))</f>
        <v>High</v>
      </c>
      <c r="L2113">
        <v>105</v>
      </c>
      <c r="M2113">
        <v>68</v>
      </c>
      <c r="N2113" t="str">
        <f>IF(Table13[[#This Row],[Price USD]]&lt;20,"Budget",IF(Table13[[#This Row],[Price USD]]&lt;=50,"Mid-range","Premium"))</f>
        <v>Premium</v>
      </c>
      <c r="O2113">
        <v>0</v>
      </c>
      <c r="P2113">
        <v>0</v>
      </c>
    </row>
    <row r="2114" spans="1:16" x14ac:dyDescent="0.25">
      <c r="A2114" t="s">
        <v>2848</v>
      </c>
      <c r="B2114" t="s">
        <v>2849</v>
      </c>
      <c r="C2114">
        <v>3297</v>
      </c>
      <c r="D2114" t="s">
        <v>238</v>
      </c>
      <c r="E2114" t="s">
        <v>220</v>
      </c>
      <c r="F2114">
        <v>8231</v>
      </c>
      <c r="G21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4">
        <v>4.5</v>
      </c>
      <c r="J2114" t="str">
        <f>IF(ISBLANK(Table13[[#This Row],[Rating]]), "No", "Yes")</f>
        <v>Yes</v>
      </c>
      <c r="K2114" t="str">
        <f>IF(ISBLANK(Table13[[#This Row],[Rating]]), "Not Rated", IF(Table13[[#This Row],[Rating]] &lt; 3, "Low", IF(Table13[[#This Row],[Rating]] &lt; 4, "Medium", "High")))</f>
        <v>High</v>
      </c>
      <c r="L2114">
        <v>14</v>
      </c>
      <c r="M2114">
        <v>37</v>
      </c>
      <c r="N2114" t="str">
        <f>IF(Table13[[#This Row],[Price USD]]&lt;20,"Budget",IF(Table13[[#This Row],[Price USD]]&lt;=50,"Mid-range","Premium"))</f>
        <v>Mid-range</v>
      </c>
      <c r="O2114">
        <v>0</v>
      </c>
      <c r="P2114">
        <v>0</v>
      </c>
    </row>
    <row r="2115" spans="1:16" x14ac:dyDescent="0.25">
      <c r="A2115" t="s">
        <v>2846</v>
      </c>
      <c r="B2115" t="s">
        <v>2847</v>
      </c>
      <c r="C2115">
        <v>2082</v>
      </c>
      <c r="D2115" t="s">
        <v>594</v>
      </c>
      <c r="E2115" t="s">
        <v>21</v>
      </c>
      <c r="F2115">
        <v>8236</v>
      </c>
      <c r="G21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5">
        <v>4.6528</v>
      </c>
      <c r="J2115" t="str">
        <f>IF(ISBLANK(Table13[[#This Row],[Rating]]), "No", "Yes")</f>
        <v>Yes</v>
      </c>
      <c r="K2115" t="str">
        <f>IF(ISBLANK(Table13[[#This Row],[Rating]]), "Not Rated", IF(Table13[[#This Row],[Rating]] &lt; 3, "Low", IF(Table13[[#This Row],[Rating]] &lt; 4, "Medium", "High")))</f>
        <v>High</v>
      </c>
      <c r="L2115">
        <v>193</v>
      </c>
      <c r="M2115">
        <v>96</v>
      </c>
      <c r="N2115" t="str">
        <f>IF(Table13[[#This Row],[Price USD]]&lt;20,"Budget",IF(Table13[[#This Row],[Price USD]]&lt;=50,"Mid-range","Premium"))</f>
        <v>Premium</v>
      </c>
      <c r="O2115">
        <v>0</v>
      </c>
      <c r="P2115">
        <v>0</v>
      </c>
    </row>
    <row r="2116" spans="1:16" x14ac:dyDescent="0.25">
      <c r="A2116" t="s">
        <v>2844</v>
      </c>
      <c r="B2116" t="s">
        <v>2845</v>
      </c>
      <c r="C2116">
        <v>3728</v>
      </c>
      <c r="D2116" t="s">
        <v>458</v>
      </c>
      <c r="E2116" t="s">
        <v>8</v>
      </c>
      <c r="F2116">
        <v>8238</v>
      </c>
      <c r="G21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6">
        <v>4.3428000000000004</v>
      </c>
      <c r="J2116" t="str">
        <f>IF(ISBLANK(Table13[[#This Row],[Rating]]), "No", "Yes")</f>
        <v>Yes</v>
      </c>
      <c r="K2116" t="str">
        <f>IF(ISBLANK(Table13[[#This Row],[Rating]]), "Not Rated", IF(Table13[[#This Row],[Rating]] &lt; 3, "Low", IF(Table13[[#This Row],[Rating]] &lt; 4, "Medium", "High")))</f>
        <v>High</v>
      </c>
      <c r="L2116">
        <v>318</v>
      </c>
      <c r="M2116">
        <v>62</v>
      </c>
      <c r="N2116" t="str">
        <f>IF(Table13[[#This Row],[Price USD]]&lt;20,"Budget",IF(Table13[[#This Row],[Price USD]]&lt;=50,"Mid-range","Premium"))</f>
        <v>Premium</v>
      </c>
      <c r="O2116">
        <v>0</v>
      </c>
      <c r="P2116">
        <v>1</v>
      </c>
    </row>
    <row r="2117" spans="1:16" x14ac:dyDescent="0.25">
      <c r="A2117" t="s">
        <v>2842</v>
      </c>
      <c r="B2117" t="s">
        <v>2843</v>
      </c>
      <c r="C2117">
        <v>6207</v>
      </c>
      <c r="D2117" t="s">
        <v>914</v>
      </c>
      <c r="E2117" t="s">
        <v>13</v>
      </c>
      <c r="F2117">
        <v>8251</v>
      </c>
      <c r="G21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7">
        <v>4.4596999999999998</v>
      </c>
      <c r="J2117" t="str">
        <f>IF(ISBLANK(Table13[[#This Row],[Rating]]), "No", "Yes")</f>
        <v>Yes</v>
      </c>
      <c r="K2117" t="str">
        <f>IF(ISBLANK(Table13[[#This Row],[Rating]]), "Not Rated", IF(Table13[[#This Row],[Rating]] &lt; 3, "Low", IF(Table13[[#This Row],[Rating]] &lt; 4, "Medium", "High")))</f>
        <v>High</v>
      </c>
      <c r="L2117">
        <v>459</v>
      </c>
      <c r="M2117">
        <v>44</v>
      </c>
      <c r="N2117" t="str">
        <f>IF(Table13[[#This Row],[Price USD]]&lt;20,"Budget",IF(Table13[[#This Row],[Price USD]]&lt;=50,"Mid-range","Premium"))</f>
        <v>Mid-range</v>
      </c>
      <c r="O2117">
        <v>0</v>
      </c>
      <c r="P2117">
        <v>0</v>
      </c>
    </row>
    <row r="2118" spans="1:16" x14ac:dyDescent="0.25">
      <c r="A2118" t="s">
        <v>2840</v>
      </c>
      <c r="B2118" t="s">
        <v>2841</v>
      </c>
      <c r="C2118">
        <v>6209</v>
      </c>
      <c r="D2118" t="s">
        <v>45</v>
      </c>
      <c r="E2118" t="s">
        <v>21</v>
      </c>
      <c r="F2118">
        <v>8255</v>
      </c>
      <c r="G21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8">
        <v>4.2624000000000004</v>
      </c>
      <c r="J2118" t="str">
        <f>IF(ISBLANK(Table13[[#This Row],[Rating]]), "No", "Yes")</f>
        <v>Yes</v>
      </c>
      <c r="K2118" t="str">
        <f>IF(ISBLANK(Table13[[#This Row],[Rating]]), "Not Rated", IF(Table13[[#This Row],[Rating]] &lt; 3, "Low", IF(Table13[[#This Row],[Rating]] &lt; 4, "Medium", "High")))</f>
        <v>High</v>
      </c>
      <c r="L2118">
        <v>221</v>
      </c>
      <c r="M2118">
        <v>28</v>
      </c>
      <c r="N2118" t="str">
        <f>IF(Table13[[#This Row],[Price USD]]&lt;20,"Budget",IF(Table13[[#This Row],[Price USD]]&lt;=50,"Mid-range","Premium"))</f>
        <v>Mid-range</v>
      </c>
      <c r="O2118">
        <v>0</v>
      </c>
      <c r="P2118">
        <v>0</v>
      </c>
    </row>
    <row r="2119" spans="1:16" x14ac:dyDescent="0.25">
      <c r="A2119" t="s">
        <v>2838</v>
      </c>
      <c r="B2119" t="s">
        <v>2839</v>
      </c>
      <c r="C2119">
        <v>6352</v>
      </c>
      <c r="D2119" t="s">
        <v>251</v>
      </c>
      <c r="E2119" t="s">
        <v>21</v>
      </c>
      <c r="F2119">
        <v>8257</v>
      </c>
      <c r="G21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19">
        <v>5</v>
      </c>
      <c r="J2119" t="str">
        <f>IF(ISBLANK(Table13[[#This Row],[Rating]]), "No", "Yes")</f>
        <v>Yes</v>
      </c>
      <c r="K2119" t="str">
        <f>IF(ISBLANK(Table13[[#This Row],[Rating]]), "Not Rated", IF(Table13[[#This Row],[Rating]] &lt; 3, "Low", IF(Table13[[#This Row],[Rating]] &lt; 4, "Medium", "High")))</f>
        <v>High</v>
      </c>
      <c r="L2119">
        <v>8</v>
      </c>
      <c r="M2119">
        <v>40</v>
      </c>
      <c r="N2119" t="str">
        <f>IF(Table13[[#This Row],[Price USD]]&lt;20,"Budget",IF(Table13[[#This Row],[Price USD]]&lt;=50,"Mid-range","Premium"))</f>
        <v>Mid-range</v>
      </c>
      <c r="O2119">
        <v>0</v>
      </c>
      <c r="P2119">
        <v>0</v>
      </c>
    </row>
    <row r="2120" spans="1:16" x14ac:dyDescent="0.25">
      <c r="A2120" t="s">
        <v>2836</v>
      </c>
      <c r="B2120" t="s">
        <v>2837</v>
      </c>
      <c r="C2120">
        <v>6751</v>
      </c>
      <c r="D2120" t="s">
        <v>1738</v>
      </c>
      <c r="E2120" t="s">
        <v>8</v>
      </c>
      <c r="F2120">
        <v>8275</v>
      </c>
      <c r="G21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0">
        <v>2.7778</v>
      </c>
      <c r="J2120" t="str">
        <f>IF(ISBLANK(Table13[[#This Row],[Rating]]), "No", "Yes")</f>
        <v>Yes</v>
      </c>
      <c r="K2120" t="str">
        <f>IF(ISBLANK(Table13[[#This Row],[Rating]]), "Not Rated", IF(Table13[[#This Row],[Rating]] &lt; 3, "Low", IF(Table13[[#This Row],[Rating]] &lt; 4, "Medium", "High")))</f>
        <v>Low</v>
      </c>
      <c r="L2120">
        <v>9</v>
      </c>
      <c r="M2120">
        <v>29</v>
      </c>
      <c r="N2120" t="str">
        <f>IF(Table13[[#This Row],[Price USD]]&lt;20,"Budget",IF(Table13[[#This Row],[Price USD]]&lt;=50,"Mid-range","Premium"))</f>
        <v>Mid-range</v>
      </c>
      <c r="O2120">
        <v>1</v>
      </c>
      <c r="P2120">
        <v>0</v>
      </c>
    </row>
    <row r="2121" spans="1:16" x14ac:dyDescent="0.25">
      <c r="A2121" t="s">
        <v>2834</v>
      </c>
      <c r="B2121" t="s">
        <v>2835</v>
      </c>
      <c r="C2121">
        <v>2366</v>
      </c>
      <c r="D2121" t="s">
        <v>2276</v>
      </c>
      <c r="E2121" t="s">
        <v>220</v>
      </c>
      <c r="F2121">
        <v>8278</v>
      </c>
      <c r="G21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1">
        <v>4.1429</v>
      </c>
      <c r="J2121" t="str">
        <f>IF(ISBLANK(Table13[[#This Row],[Rating]]), "No", "Yes")</f>
        <v>Yes</v>
      </c>
      <c r="K2121" t="str">
        <f>IF(ISBLANK(Table13[[#This Row],[Rating]]), "Not Rated", IF(Table13[[#This Row],[Rating]] &lt; 3, "Low", IF(Table13[[#This Row],[Rating]] &lt; 4, "Medium", "High")))</f>
        <v>High</v>
      </c>
      <c r="L2121">
        <v>7</v>
      </c>
      <c r="M2121">
        <v>29</v>
      </c>
      <c r="N2121" t="str">
        <f>IF(Table13[[#This Row],[Price USD]]&lt;20,"Budget",IF(Table13[[#This Row],[Price USD]]&lt;=50,"Mid-range","Premium"))</f>
        <v>Mid-range</v>
      </c>
      <c r="O2121">
        <v>0</v>
      </c>
      <c r="P2121">
        <v>0</v>
      </c>
    </row>
    <row r="2122" spans="1:16" x14ac:dyDescent="0.25">
      <c r="A2122" t="s">
        <v>2832</v>
      </c>
      <c r="B2122" t="s">
        <v>2833</v>
      </c>
      <c r="C2122">
        <v>5857</v>
      </c>
      <c r="D2122" t="s">
        <v>433</v>
      </c>
      <c r="E2122" t="s">
        <v>21</v>
      </c>
      <c r="F2122">
        <v>8281</v>
      </c>
      <c r="G21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2">
        <v>4.8391000000000002</v>
      </c>
      <c r="J2122" t="str">
        <f>IF(ISBLANK(Table13[[#This Row],[Rating]]), "No", "Yes")</f>
        <v>Yes</v>
      </c>
      <c r="K2122" t="str">
        <f>IF(ISBLANK(Table13[[#This Row],[Rating]]), "Not Rated", IF(Table13[[#This Row],[Rating]] &lt; 3, "Low", IF(Table13[[#This Row],[Rating]] &lt; 4, "Medium", "High")))</f>
        <v>High</v>
      </c>
      <c r="L2122">
        <v>261</v>
      </c>
      <c r="M2122">
        <v>60</v>
      </c>
      <c r="N2122" t="str">
        <f>IF(Table13[[#This Row],[Price USD]]&lt;20,"Budget",IF(Table13[[#This Row],[Price USD]]&lt;=50,"Mid-range","Premium"))</f>
        <v>Premium</v>
      </c>
      <c r="O2122">
        <v>0</v>
      </c>
      <c r="P2122">
        <v>0</v>
      </c>
    </row>
    <row r="2123" spans="1:16" x14ac:dyDescent="0.25">
      <c r="A2123" t="s">
        <v>2830</v>
      </c>
      <c r="B2123" t="s">
        <v>2831</v>
      </c>
      <c r="C2123">
        <v>3733</v>
      </c>
      <c r="D2123" t="s">
        <v>124</v>
      </c>
      <c r="E2123" t="s">
        <v>13</v>
      </c>
      <c r="F2123">
        <v>8293</v>
      </c>
      <c r="G21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3">
        <v>4.2870999999999997</v>
      </c>
      <c r="J2123" t="str">
        <f>IF(ISBLANK(Table13[[#This Row],[Rating]]), "No", "Yes")</f>
        <v>Yes</v>
      </c>
      <c r="K2123" t="str">
        <f>IF(ISBLANK(Table13[[#This Row],[Rating]]), "Not Rated", IF(Table13[[#This Row],[Rating]] &lt; 3, "Low", IF(Table13[[#This Row],[Rating]] &lt; 4, "Medium", "High")))</f>
        <v>High</v>
      </c>
      <c r="L2123">
        <v>101</v>
      </c>
      <c r="M2123">
        <v>36</v>
      </c>
      <c r="N2123" t="str">
        <f>IF(Table13[[#This Row],[Price USD]]&lt;20,"Budget",IF(Table13[[#This Row],[Price USD]]&lt;=50,"Mid-range","Premium"))</f>
        <v>Mid-range</v>
      </c>
      <c r="O2123">
        <v>0</v>
      </c>
      <c r="P2123">
        <v>0</v>
      </c>
    </row>
    <row r="2124" spans="1:16" x14ac:dyDescent="0.25">
      <c r="A2124" t="s">
        <v>2828</v>
      </c>
      <c r="B2124" t="s">
        <v>2829</v>
      </c>
      <c r="C2124">
        <v>1741</v>
      </c>
      <c r="D2124" t="s">
        <v>388</v>
      </c>
      <c r="E2124" t="s">
        <v>21</v>
      </c>
      <c r="F2124">
        <v>8299</v>
      </c>
      <c r="G21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4">
        <v>4.3571</v>
      </c>
      <c r="J2124" t="str">
        <f>IF(ISBLANK(Table13[[#This Row],[Rating]]), "No", "Yes")</f>
        <v>Yes</v>
      </c>
      <c r="K2124" t="str">
        <f>IF(ISBLANK(Table13[[#This Row],[Rating]]), "Not Rated", IF(Table13[[#This Row],[Rating]] &lt; 3, "Low", IF(Table13[[#This Row],[Rating]] &lt; 4, "Medium", "High")))</f>
        <v>High</v>
      </c>
      <c r="L2124">
        <v>56</v>
      </c>
      <c r="M2124">
        <v>160</v>
      </c>
      <c r="N2124" t="str">
        <f>IF(Table13[[#This Row],[Price USD]]&lt;20,"Budget",IF(Table13[[#This Row],[Price USD]]&lt;=50,"Mid-range","Premium"))</f>
        <v>Premium</v>
      </c>
      <c r="O2124">
        <v>0</v>
      </c>
      <c r="P2124">
        <v>0</v>
      </c>
    </row>
    <row r="2125" spans="1:16" x14ac:dyDescent="0.25">
      <c r="A2125" t="s">
        <v>2826</v>
      </c>
      <c r="B2125" t="s">
        <v>2827</v>
      </c>
      <c r="C2125">
        <v>6201</v>
      </c>
      <c r="D2125" t="s">
        <v>367</v>
      </c>
      <c r="E2125" t="s">
        <v>8</v>
      </c>
      <c r="F2125">
        <v>8300</v>
      </c>
      <c r="G21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5">
        <v>4</v>
      </c>
      <c r="J2125" t="str">
        <f>IF(ISBLANK(Table13[[#This Row],[Rating]]), "No", "Yes")</f>
        <v>Yes</v>
      </c>
      <c r="K2125" t="str">
        <f>IF(ISBLANK(Table13[[#This Row],[Rating]]), "Not Rated", IF(Table13[[#This Row],[Rating]] &lt; 3, "Low", IF(Table13[[#This Row],[Rating]] &lt; 4, "Medium", "High")))</f>
        <v>High</v>
      </c>
      <c r="L2125">
        <v>29</v>
      </c>
      <c r="M2125">
        <v>255</v>
      </c>
      <c r="N2125" t="str">
        <f>IF(Table13[[#This Row],[Price USD]]&lt;20,"Budget",IF(Table13[[#This Row],[Price USD]]&lt;=50,"Mid-range","Premium"))</f>
        <v>Premium</v>
      </c>
      <c r="O2125">
        <v>0</v>
      </c>
      <c r="P2125">
        <v>0</v>
      </c>
    </row>
    <row r="2126" spans="1:16" x14ac:dyDescent="0.25">
      <c r="A2126" t="s">
        <v>2824</v>
      </c>
      <c r="B2126" t="s">
        <v>2825</v>
      </c>
      <c r="C2126">
        <v>6219</v>
      </c>
      <c r="D2126" t="s">
        <v>277</v>
      </c>
      <c r="E2126" t="s">
        <v>8</v>
      </c>
      <c r="F2126">
        <v>8306</v>
      </c>
      <c r="G21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6">
        <v>4.7687999999999997</v>
      </c>
      <c r="J2126" t="str">
        <f>IF(ISBLANK(Table13[[#This Row],[Rating]]), "No", "Yes")</f>
        <v>Yes</v>
      </c>
      <c r="K2126" t="str">
        <f>IF(ISBLANK(Table13[[#This Row],[Rating]]), "Not Rated", IF(Table13[[#This Row],[Rating]] &lt; 3, "Low", IF(Table13[[#This Row],[Rating]] &lt; 4, "Medium", "High")))</f>
        <v>High</v>
      </c>
      <c r="L2126">
        <v>372</v>
      </c>
      <c r="M2126">
        <v>64</v>
      </c>
      <c r="N2126" t="str">
        <f>IF(Table13[[#This Row],[Price USD]]&lt;20,"Budget",IF(Table13[[#This Row],[Price USD]]&lt;=50,"Mid-range","Premium"))</f>
        <v>Premium</v>
      </c>
      <c r="O2126">
        <v>0</v>
      </c>
      <c r="P2126">
        <v>0</v>
      </c>
    </row>
    <row r="2127" spans="1:16" x14ac:dyDescent="0.25">
      <c r="A2127" t="s">
        <v>2822</v>
      </c>
      <c r="B2127" t="s">
        <v>2823</v>
      </c>
      <c r="C2127">
        <v>6219</v>
      </c>
      <c r="D2127" t="s">
        <v>277</v>
      </c>
      <c r="E2127" t="s">
        <v>13</v>
      </c>
      <c r="F2127">
        <v>8312</v>
      </c>
      <c r="G21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7">
        <v>4.8823999999999996</v>
      </c>
      <c r="J2127" t="str">
        <f>IF(ISBLANK(Table13[[#This Row],[Rating]]), "No", "Yes")</f>
        <v>Yes</v>
      </c>
      <c r="K2127" t="str">
        <f>IF(ISBLANK(Table13[[#This Row],[Rating]]), "Not Rated", IF(Table13[[#This Row],[Rating]] &lt; 3, "Low", IF(Table13[[#This Row],[Rating]] &lt; 4, "Medium", "High")))</f>
        <v>High</v>
      </c>
      <c r="L2127">
        <v>17</v>
      </c>
      <c r="M2127">
        <v>56</v>
      </c>
      <c r="N2127" t="str">
        <f>IF(Table13[[#This Row],[Price USD]]&lt;20,"Budget",IF(Table13[[#This Row],[Price USD]]&lt;=50,"Mid-range","Premium"))</f>
        <v>Premium</v>
      </c>
      <c r="O2127">
        <v>0</v>
      </c>
      <c r="P2127">
        <v>0</v>
      </c>
    </row>
    <row r="2128" spans="1:16" x14ac:dyDescent="0.25">
      <c r="A2128" t="s">
        <v>2820</v>
      </c>
      <c r="B2128" t="s">
        <v>2821</v>
      </c>
      <c r="C2128">
        <v>6316</v>
      </c>
      <c r="D2128" t="s">
        <v>563</v>
      </c>
      <c r="E2128" t="s">
        <v>13</v>
      </c>
      <c r="F2128">
        <v>8346</v>
      </c>
      <c r="G21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8">
        <v>4.7553999999999998</v>
      </c>
      <c r="J2128" t="str">
        <f>IF(ISBLANK(Table13[[#This Row],[Rating]]), "No", "Yes")</f>
        <v>Yes</v>
      </c>
      <c r="K2128" t="str">
        <f>IF(ISBLANK(Table13[[#This Row],[Rating]]), "Not Rated", IF(Table13[[#This Row],[Rating]] &lt; 3, "Low", IF(Table13[[#This Row],[Rating]] &lt; 4, "Medium", "High")))</f>
        <v>High</v>
      </c>
      <c r="L2128">
        <v>462</v>
      </c>
      <c r="M2128">
        <v>39</v>
      </c>
      <c r="N2128" t="str">
        <f>IF(Table13[[#This Row],[Price USD]]&lt;20,"Budget",IF(Table13[[#This Row],[Price USD]]&lt;=50,"Mid-range","Premium"))</f>
        <v>Mid-range</v>
      </c>
      <c r="O2128">
        <v>0</v>
      </c>
      <c r="P2128">
        <v>0</v>
      </c>
    </row>
    <row r="2129" spans="1:16" x14ac:dyDescent="0.25">
      <c r="A2129" t="s">
        <v>2817</v>
      </c>
      <c r="B2129" t="s">
        <v>2818</v>
      </c>
      <c r="C2129">
        <v>6334</v>
      </c>
      <c r="D2129" t="s">
        <v>2819</v>
      </c>
      <c r="E2129" t="s">
        <v>13</v>
      </c>
      <c r="F2129">
        <v>8366</v>
      </c>
      <c r="G21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29">
        <v>4.4931000000000001</v>
      </c>
      <c r="J2129" t="str">
        <f>IF(ISBLANK(Table13[[#This Row],[Rating]]), "No", "Yes")</f>
        <v>Yes</v>
      </c>
      <c r="K2129" t="str">
        <f>IF(ISBLANK(Table13[[#This Row],[Rating]]), "Not Rated", IF(Table13[[#This Row],[Rating]] &lt; 3, "Low", IF(Table13[[#This Row],[Rating]] &lt; 4, "Medium", "High")))</f>
        <v>High</v>
      </c>
      <c r="L2129">
        <v>434</v>
      </c>
      <c r="M2129">
        <v>30</v>
      </c>
      <c r="N2129" t="str">
        <f>IF(Table13[[#This Row],[Price USD]]&lt;20,"Budget",IF(Table13[[#This Row],[Price USD]]&lt;=50,"Mid-range","Premium"))</f>
        <v>Mid-range</v>
      </c>
      <c r="O2129">
        <v>0</v>
      </c>
      <c r="P2129">
        <v>0</v>
      </c>
    </row>
    <row r="2130" spans="1:16" x14ac:dyDescent="0.25">
      <c r="A2130" t="s">
        <v>2815</v>
      </c>
      <c r="B2130" t="s">
        <v>2816</v>
      </c>
      <c r="C2130">
        <v>6219</v>
      </c>
      <c r="D2130" t="s">
        <v>277</v>
      </c>
      <c r="E2130" t="s">
        <v>149</v>
      </c>
      <c r="F2130">
        <v>8383</v>
      </c>
      <c r="G21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0">
        <v>4.1723999999999997</v>
      </c>
      <c r="J2130" t="str">
        <f>IF(ISBLANK(Table13[[#This Row],[Rating]]), "No", "Yes")</f>
        <v>Yes</v>
      </c>
      <c r="K2130" t="str">
        <f>IF(ISBLANK(Table13[[#This Row],[Rating]]), "Not Rated", IF(Table13[[#This Row],[Rating]] &lt; 3, "Low", IF(Table13[[#This Row],[Rating]] &lt; 4, "Medium", "High")))</f>
        <v>High</v>
      </c>
      <c r="L2130">
        <v>203</v>
      </c>
      <c r="M2130">
        <v>69</v>
      </c>
      <c r="N2130" t="str">
        <f>IF(Table13[[#This Row],[Price USD]]&lt;20,"Budget",IF(Table13[[#This Row],[Price USD]]&lt;=50,"Mid-range","Premium"))</f>
        <v>Premium</v>
      </c>
      <c r="O2130">
        <v>0</v>
      </c>
      <c r="P2130">
        <v>0</v>
      </c>
    </row>
    <row r="2131" spans="1:16" x14ac:dyDescent="0.25">
      <c r="A2131" t="s">
        <v>2813</v>
      </c>
      <c r="B2131" t="s">
        <v>2814</v>
      </c>
      <c r="C2131">
        <v>6218</v>
      </c>
      <c r="D2131" t="s">
        <v>116</v>
      </c>
      <c r="E2131" t="s">
        <v>8</v>
      </c>
      <c r="F2131">
        <v>8391</v>
      </c>
      <c r="G21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1">
        <v>4.5163000000000002</v>
      </c>
      <c r="J2131" t="str">
        <f>IF(ISBLANK(Table13[[#This Row],[Rating]]), "No", "Yes")</f>
        <v>Yes</v>
      </c>
      <c r="K2131" t="str">
        <f>IF(ISBLANK(Table13[[#This Row],[Rating]]), "Not Rated", IF(Table13[[#This Row],[Rating]] &lt; 3, "Low", IF(Table13[[#This Row],[Rating]] &lt; 4, "Medium", "High")))</f>
        <v>High</v>
      </c>
      <c r="L2131">
        <v>614</v>
      </c>
      <c r="M2131">
        <v>85</v>
      </c>
      <c r="N2131" t="str">
        <f>IF(Table13[[#This Row],[Price USD]]&lt;20,"Budget",IF(Table13[[#This Row],[Price USD]]&lt;=50,"Mid-range","Premium"))</f>
        <v>Premium</v>
      </c>
      <c r="O2131">
        <v>0</v>
      </c>
      <c r="P2131">
        <v>0</v>
      </c>
    </row>
    <row r="2132" spans="1:16" x14ac:dyDescent="0.25">
      <c r="A2132" t="s">
        <v>2811</v>
      </c>
      <c r="B2132" t="s">
        <v>2812</v>
      </c>
      <c r="C2132">
        <v>3728</v>
      </c>
      <c r="D2132" t="s">
        <v>458</v>
      </c>
      <c r="E2132" t="s">
        <v>8</v>
      </c>
      <c r="F2132">
        <v>8393</v>
      </c>
      <c r="G21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2">
        <v>4.4471999999999996</v>
      </c>
      <c r="J2132" t="str">
        <f>IF(ISBLANK(Table13[[#This Row],[Rating]]), "No", "Yes")</f>
        <v>Yes</v>
      </c>
      <c r="K2132" t="str">
        <f>IF(ISBLANK(Table13[[#This Row],[Rating]]), "Not Rated", IF(Table13[[#This Row],[Rating]] &lt; 3, "Low", IF(Table13[[#This Row],[Rating]] &lt; 4, "Medium", "High")))</f>
        <v>High</v>
      </c>
      <c r="L2132">
        <v>559</v>
      </c>
      <c r="M2132">
        <v>125</v>
      </c>
      <c r="N2132" t="str">
        <f>IF(Table13[[#This Row],[Price USD]]&lt;20,"Budget",IF(Table13[[#This Row],[Price USD]]&lt;=50,"Mid-range","Premium"))</f>
        <v>Premium</v>
      </c>
      <c r="O2132">
        <v>0</v>
      </c>
      <c r="P2132">
        <v>0</v>
      </c>
    </row>
    <row r="2133" spans="1:16" x14ac:dyDescent="0.25">
      <c r="A2133" t="s">
        <v>2809</v>
      </c>
      <c r="B2133" t="s">
        <v>2810</v>
      </c>
      <c r="C2133">
        <v>6341</v>
      </c>
      <c r="D2133" t="s">
        <v>66</v>
      </c>
      <c r="E2133" t="s">
        <v>21</v>
      </c>
      <c r="F2133">
        <v>8396</v>
      </c>
      <c r="G21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3">
        <v>3.7273000000000001</v>
      </c>
      <c r="J2133" t="str">
        <f>IF(ISBLANK(Table13[[#This Row],[Rating]]), "No", "Yes")</f>
        <v>Yes</v>
      </c>
      <c r="K2133" t="str">
        <f>IF(ISBLANK(Table13[[#This Row],[Rating]]), "Not Rated", IF(Table13[[#This Row],[Rating]] &lt; 3, "Low", IF(Table13[[#This Row],[Rating]] &lt; 4, "Medium", "High")))</f>
        <v>Medium</v>
      </c>
      <c r="L2133">
        <v>44</v>
      </c>
      <c r="M2133">
        <v>37</v>
      </c>
      <c r="N2133" t="str">
        <f>IF(Table13[[#This Row],[Price USD]]&lt;20,"Budget",IF(Table13[[#This Row],[Price USD]]&lt;=50,"Mid-range","Premium"))</f>
        <v>Mid-range</v>
      </c>
      <c r="O2133">
        <v>0</v>
      </c>
      <c r="P2133">
        <v>0</v>
      </c>
    </row>
    <row r="2134" spans="1:16" x14ac:dyDescent="0.25">
      <c r="A2134" t="s">
        <v>2807</v>
      </c>
      <c r="B2134" t="s">
        <v>2808</v>
      </c>
      <c r="C2134">
        <v>5946</v>
      </c>
      <c r="D2134" t="s">
        <v>341</v>
      </c>
      <c r="E2134" t="s">
        <v>8</v>
      </c>
      <c r="F2134">
        <v>8412</v>
      </c>
      <c r="G21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4">
        <v>4.0541</v>
      </c>
      <c r="J2134" t="str">
        <f>IF(ISBLANK(Table13[[#This Row],[Rating]]), "No", "Yes")</f>
        <v>Yes</v>
      </c>
      <c r="K2134" t="str">
        <f>IF(ISBLANK(Table13[[#This Row],[Rating]]), "Not Rated", IF(Table13[[#This Row],[Rating]] &lt; 3, "Low", IF(Table13[[#This Row],[Rating]] &lt; 4, "Medium", "High")))</f>
        <v>High</v>
      </c>
      <c r="L2134">
        <v>74</v>
      </c>
      <c r="M2134">
        <v>110</v>
      </c>
      <c r="N2134" t="str">
        <f>IF(Table13[[#This Row],[Price USD]]&lt;20,"Budget",IF(Table13[[#This Row],[Price USD]]&lt;=50,"Mid-range","Premium"))</f>
        <v>Premium</v>
      </c>
      <c r="O2134">
        <v>0</v>
      </c>
      <c r="P2134">
        <v>0</v>
      </c>
    </row>
    <row r="2135" spans="1:16" x14ac:dyDescent="0.25">
      <c r="A2135" t="s">
        <v>2805</v>
      </c>
      <c r="B2135" t="s">
        <v>2806</v>
      </c>
      <c r="C2135">
        <v>7037</v>
      </c>
      <c r="D2135" t="s">
        <v>1718</v>
      </c>
      <c r="E2135" t="s">
        <v>69</v>
      </c>
      <c r="F2135">
        <v>8426</v>
      </c>
      <c r="G21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5">
        <v>4.5</v>
      </c>
      <c r="J2135" t="str">
        <f>IF(ISBLANK(Table13[[#This Row],[Rating]]), "No", "Yes")</f>
        <v>Yes</v>
      </c>
      <c r="K2135" t="str">
        <f>IF(ISBLANK(Table13[[#This Row],[Rating]]), "Not Rated", IF(Table13[[#This Row],[Rating]] &lt; 3, "Low", IF(Table13[[#This Row],[Rating]] &lt; 4, "Medium", "High")))</f>
        <v>High</v>
      </c>
      <c r="L2135">
        <v>10</v>
      </c>
      <c r="M2135">
        <v>21.99</v>
      </c>
      <c r="N2135" t="str">
        <f>IF(Table13[[#This Row],[Price USD]]&lt;20,"Budget",IF(Table13[[#This Row],[Price USD]]&lt;=50,"Mid-range","Premium"))</f>
        <v>Mid-range</v>
      </c>
      <c r="O2135">
        <v>0</v>
      </c>
      <c r="P2135">
        <v>0</v>
      </c>
    </row>
    <row r="2136" spans="1:16" x14ac:dyDescent="0.25">
      <c r="A2136" t="s">
        <v>2803</v>
      </c>
      <c r="B2136" t="s">
        <v>2804</v>
      </c>
      <c r="C2136">
        <v>5337</v>
      </c>
      <c r="D2136" t="s">
        <v>209</v>
      </c>
      <c r="E2136" t="s">
        <v>8</v>
      </c>
      <c r="F2136">
        <v>8461</v>
      </c>
      <c r="G21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6">
        <v>4.5483000000000002</v>
      </c>
      <c r="J2136" t="str">
        <f>IF(ISBLANK(Table13[[#This Row],[Rating]]), "No", "Yes")</f>
        <v>Yes</v>
      </c>
      <c r="K2136" t="str">
        <f>IF(ISBLANK(Table13[[#This Row],[Rating]]), "Not Rated", IF(Table13[[#This Row],[Rating]] &lt; 3, "Low", IF(Table13[[#This Row],[Rating]] &lt; 4, "Medium", "High")))</f>
        <v>High</v>
      </c>
      <c r="L2136">
        <v>870</v>
      </c>
      <c r="M2136">
        <v>75</v>
      </c>
      <c r="N2136" t="str">
        <f>IF(Table13[[#This Row],[Price USD]]&lt;20,"Budget",IF(Table13[[#This Row],[Price USD]]&lt;=50,"Mid-range","Premium"))</f>
        <v>Premium</v>
      </c>
      <c r="O2136">
        <v>0</v>
      </c>
      <c r="P2136">
        <v>0</v>
      </c>
    </row>
    <row r="2137" spans="1:16" x14ac:dyDescent="0.25">
      <c r="A2137" t="s">
        <v>2801</v>
      </c>
      <c r="B2137" t="s">
        <v>2802</v>
      </c>
      <c r="C2137">
        <v>4372</v>
      </c>
      <c r="D2137" t="s">
        <v>1513</v>
      </c>
      <c r="E2137" t="s">
        <v>149</v>
      </c>
      <c r="F2137">
        <v>8505</v>
      </c>
      <c r="G21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7">
        <v>3.9159000000000002</v>
      </c>
      <c r="J2137" t="str">
        <f>IF(ISBLANK(Table13[[#This Row],[Rating]]), "No", "Yes")</f>
        <v>Yes</v>
      </c>
      <c r="K2137" t="str">
        <f>IF(ISBLANK(Table13[[#This Row],[Rating]]), "Not Rated", IF(Table13[[#This Row],[Rating]] &lt; 3, "Low", IF(Table13[[#This Row],[Rating]] &lt; 4, "Medium", "High")))</f>
        <v>Medium</v>
      </c>
      <c r="L2137">
        <v>107</v>
      </c>
      <c r="M2137">
        <v>58</v>
      </c>
      <c r="N2137" t="str">
        <f>IF(Table13[[#This Row],[Price USD]]&lt;20,"Budget",IF(Table13[[#This Row],[Price USD]]&lt;=50,"Mid-range","Premium"))</f>
        <v>Premium</v>
      </c>
      <c r="O2137">
        <v>0</v>
      </c>
      <c r="P2137">
        <v>0</v>
      </c>
    </row>
    <row r="2138" spans="1:16" x14ac:dyDescent="0.25">
      <c r="A2138" t="s">
        <v>2799</v>
      </c>
      <c r="B2138" t="s">
        <v>2800</v>
      </c>
      <c r="C2138">
        <v>3902</v>
      </c>
      <c r="D2138" t="s">
        <v>72</v>
      </c>
      <c r="E2138" t="s">
        <v>347</v>
      </c>
      <c r="F2138">
        <v>8525</v>
      </c>
      <c r="G21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8">
        <v>4</v>
      </c>
      <c r="J2138" t="str">
        <f>IF(ISBLANK(Table13[[#This Row],[Rating]]), "No", "Yes")</f>
        <v>Yes</v>
      </c>
      <c r="K2138" t="str">
        <f>IF(ISBLANK(Table13[[#This Row],[Rating]]), "Not Rated", IF(Table13[[#This Row],[Rating]] &lt; 3, "Low", IF(Table13[[#This Row],[Rating]] &lt; 4, "Medium", "High")))</f>
        <v>High</v>
      </c>
      <c r="L2138">
        <v>4</v>
      </c>
      <c r="M2138">
        <v>28</v>
      </c>
      <c r="N2138" t="str">
        <f>IF(Table13[[#This Row],[Price USD]]&lt;20,"Budget",IF(Table13[[#This Row],[Price USD]]&lt;=50,"Mid-range","Premium"))</f>
        <v>Mid-range</v>
      </c>
      <c r="O2138">
        <v>0</v>
      </c>
      <c r="P2138">
        <v>0</v>
      </c>
    </row>
    <row r="2139" spans="1:16" x14ac:dyDescent="0.25">
      <c r="A2139" t="s">
        <v>2797</v>
      </c>
      <c r="B2139" t="s">
        <v>2798</v>
      </c>
      <c r="C2139">
        <v>1073</v>
      </c>
      <c r="D2139" t="s">
        <v>767</v>
      </c>
      <c r="E2139" t="s">
        <v>149</v>
      </c>
      <c r="F2139">
        <v>8533</v>
      </c>
      <c r="G21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39">
        <v>4.3830999999999998</v>
      </c>
      <c r="J2139" t="str">
        <f>IF(ISBLANK(Table13[[#This Row],[Rating]]), "No", "Yes")</f>
        <v>Yes</v>
      </c>
      <c r="K2139" t="str">
        <f>IF(ISBLANK(Table13[[#This Row],[Rating]]), "Not Rated", IF(Table13[[#This Row],[Rating]] &lt; 3, "Low", IF(Table13[[#This Row],[Rating]] &lt; 4, "Medium", "High")))</f>
        <v>High</v>
      </c>
      <c r="L2139">
        <v>1091</v>
      </c>
      <c r="M2139">
        <v>85</v>
      </c>
      <c r="N2139" t="str">
        <f>IF(Table13[[#This Row],[Price USD]]&lt;20,"Budget",IF(Table13[[#This Row],[Price USD]]&lt;=50,"Mid-range","Premium"))</f>
        <v>Premium</v>
      </c>
      <c r="O2139">
        <v>0</v>
      </c>
      <c r="P2139">
        <v>0</v>
      </c>
    </row>
    <row r="2140" spans="1:16" x14ac:dyDescent="0.25">
      <c r="A2140" t="s">
        <v>2795</v>
      </c>
      <c r="B2140" t="s">
        <v>2796</v>
      </c>
      <c r="C2140">
        <v>1254</v>
      </c>
      <c r="D2140" t="s">
        <v>136</v>
      </c>
      <c r="E2140" t="s">
        <v>21</v>
      </c>
      <c r="F2140">
        <v>8553</v>
      </c>
      <c r="G21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0">
        <v>4.4085000000000001</v>
      </c>
      <c r="J2140" t="str">
        <f>IF(ISBLANK(Table13[[#This Row],[Rating]]), "No", "Yes")</f>
        <v>Yes</v>
      </c>
      <c r="K2140" t="str">
        <f>IF(ISBLANK(Table13[[#This Row],[Rating]]), "Not Rated", IF(Table13[[#This Row],[Rating]] &lt; 3, "Low", IF(Table13[[#This Row],[Rating]] &lt; 4, "Medium", "High")))</f>
        <v>High</v>
      </c>
      <c r="L2140">
        <v>164</v>
      </c>
      <c r="M2140">
        <v>32.5</v>
      </c>
      <c r="N2140" t="str">
        <f>IF(Table13[[#This Row],[Price USD]]&lt;20,"Budget",IF(Table13[[#This Row],[Price USD]]&lt;=50,"Mid-range","Premium"))</f>
        <v>Mid-range</v>
      </c>
      <c r="O2140">
        <v>0</v>
      </c>
      <c r="P2140">
        <v>0</v>
      </c>
    </row>
    <row r="2141" spans="1:16" x14ac:dyDescent="0.25">
      <c r="A2141" t="s">
        <v>2793</v>
      </c>
      <c r="B2141" t="s">
        <v>2794</v>
      </c>
      <c r="C2141">
        <v>2082</v>
      </c>
      <c r="D2141" t="s">
        <v>594</v>
      </c>
      <c r="E2141" t="s">
        <v>21</v>
      </c>
      <c r="F2141">
        <v>8559</v>
      </c>
      <c r="G21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1">
        <v>4.76</v>
      </c>
      <c r="J2141" t="str">
        <f>IF(ISBLANK(Table13[[#This Row],[Rating]]), "No", "Yes")</f>
        <v>Yes</v>
      </c>
      <c r="K2141" t="str">
        <f>IF(ISBLANK(Table13[[#This Row],[Rating]]), "Not Rated", IF(Table13[[#This Row],[Rating]] &lt; 3, "Low", IF(Table13[[#This Row],[Rating]] &lt; 4, "Medium", "High")))</f>
        <v>High</v>
      </c>
      <c r="L2141">
        <v>25</v>
      </c>
      <c r="M2141">
        <v>65</v>
      </c>
      <c r="N2141" t="str">
        <f>IF(Table13[[#This Row],[Price USD]]&lt;20,"Budget",IF(Table13[[#This Row],[Price USD]]&lt;=50,"Mid-range","Premium"))</f>
        <v>Premium</v>
      </c>
      <c r="O2141">
        <v>0</v>
      </c>
      <c r="P2141">
        <v>0</v>
      </c>
    </row>
    <row r="2142" spans="1:16" x14ac:dyDescent="0.25">
      <c r="A2142" t="s">
        <v>2791</v>
      </c>
      <c r="B2142" t="s">
        <v>2792</v>
      </c>
      <c r="C2142">
        <v>3297</v>
      </c>
      <c r="D2142" t="s">
        <v>238</v>
      </c>
      <c r="E2142" t="s">
        <v>220</v>
      </c>
      <c r="F2142">
        <v>8564</v>
      </c>
      <c r="G21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2">
        <v>4.7222</v>
      </c>
      <c r="J2142" t="str">
        <f>IF(ISBLANK(Table13[[#This Row],[Rating]]), "No", "Yes")</f>
        <v>Yes</v>
      </c>
      <c r="K2142" t="str">
        <f>IF(ISBLANK(Table13[[#This Row],[Rating]]), "Not Rated", IF(Table13[[#This Row],[Rating]] &lt; 3, "Low", IF(Table13[[#This Row],[Rating]] &lt; 4, "Medium", "High")))</f>
        <v>High</v>
      </c>
      <c r="L2142">
        <v>18</v>
      </c>
      <c r="M2142">
        <v>22</v>
      </c>
      <c r="N2142" t="str">
        <f>IF(Table13[[#This Row],[Price USD]]&lt;20,"Budget",IF(Table13[[#This Row],[Price USD]]&lt;=50,"Mid-range","Premium"))</f>
        <v>Mid-range</v>
      </c>
      <c r="O2142">
        <v>0</v>
      </c>
      <c r="P2142">
        <v>0</v>
      </c>
    </row>
    <row r="2143" spans="1:16" x14ac:dyDescent="0.25">
      <c r="A2143" t="s">
        <v>2789</v>
      </c>
      <c r="B2143" t="s">
        <v>2790</v>
      </c>
      <c r="C2143">
        <v>4348</v>
      </c>
      <c r="D2143" t="s">
        <v>61</v>
      </c>
      <c r="E2143" t="s">
        <v>220</v>
      </c>
      <c r="F2143">
        <v>8577</v>
      </c>
      <c r="G21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3">
        <v>4</v>
      </c>
      <c r="J2143" t="str">
        <f>IF(ISBLANK(Table13[[#This Row],[Rating]]), "No", "Yes")</f>
        <v>Yes</v>
      </c>
      <c r="K2143" t="str">
        <f>IF(ISBLANK(Table13[[#This Row],[Rating]]), "Not Rated", IF(Table13[[#This Row],[Rating]] &lt; 3, "Low", IF(Table13[[#This Row],[Rating]] &lt; 4, "Medium", "High")))</f>
        <v>High</v>
      </c>
      <c r="L2143">
        <v>5</v>
      </c>
      <c r="M2143">
        <v>35</v>
      </c>
      <c r="N2143" t="str">
        <f>IF(Table13[[#This Row],[Price USD]]&lt;20,"Budget",IF(Table13[[#This Row],[Price USD]]&lt;=50,"Mid-range","Premium"))</f>
        <v>Mid-range</v>
      </c>
      <c r="O2143">
        <v>1</v>
      </c>
      <c r="P2143">
        <v>0</v>
      </c>
    </row>
    <row r="2144" spans="1:16" x14ac:dyDescent="0.25">
      <c r="A2144" t="s">
        <v>2787</v>
      </c>
      <c r="B2144" t="s">
        <v>2788</v>
      </c>
      <c r="C2144">
        <v>6089</v>
      </c>
      <c r="D2144" t="s">
        <v>605</v>
      </c>
      <c r="E2144" t="s">
        <v>13</v>
      </c>
      <c r="F2144">
        <v>8588</v>
      </c>
      <c r="G21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4">
        <v>4.4397000000000002</v>
      </c>
      <c r="J2144" t="str">
        <f>IF(ISBLANK(Table13[[#This Row],[Rating]]), "No", "Yes")</f>
        <v>Yes</v>
      </c>
      <c r="K2144" t="str">
        <f>IF(ISBLANK(Table13[[#This Row],[Rating]]), "Not Rated", IF(Table13[[#This Row],[Rating]] &lt; 3, "Low", IF(Table13[[#This Row],[Rating]] &lt; 4, "Medium", "High")))</f>
        <v>High</v>
      </c>
      <c r="L2144">
        <v>116</v>
      </c>
      <c r="M2144">
        <v>30</v>
      </c>
      <c r="N2144" t="str">
        <f>IF(Table13[[#This Row],[Price USD]]&lt;20,"Budget",IF(Table13[[#This Row],[Price USD]]&lt;=50,"Mid-range","Premium"))</f>
        <v>Mid-range</v>
      </c>
      <c r="O2144">
        <v>0</v>
      </c>
      <c r="P2144">
        <v>0</v>
      </c>
    </row>
    <row r="2145" spans="1:16" x14ac:dyDescent="0.25">
      <c r="A2145" t="s">
        <v>2785</v>
      </c>
      <c r="B2145" t="s">
        <v>2786</v>
      </c>
      <c r="C2145">
        <v>6089</v>
      </c>
      <c r="D2145" t="s">
        <v>605</v>
      </c>
      <c r="E2145" t="s">
        <v>21</v>
      </c>
      <c r="F2145">
        <v>8588</v>
      </c>
      <c r="G21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5">
        <v>4.4808000000000003</v>
      </c>
      <c r="J2145" t="str">
        <f>IF(ISBLANK(Table13[[#This Row],[Rating]]), "No", "Yes")</f>
        <v>Yes</v>
      </c>
      <c r="K2145" t="str">
        <f>IF(ISBLANK(Table13[[#This Row],[Rating]]), "Not Rated", IF(Table13[[#This Row],[Rating]] &lt; 3, "Low", IF(Table13[[#This Row],[Rating]] &lt; 4, "Medium", "High")))</f>
        <v>High</v>
      </c>
      <c r="L2145">
        <v>52</v>
      </c>
      <c r="M2145">
        <v>59</v>
      </c>
      <c r="N2145" t="str">
        <f>IF(Table13[[#This Row],[Price USD]]&lt;20,"Budget",IF(Table13[[#This Row],[Price USD]]&lt;=50,"Mid-range","Premium"))</f>
        <v>Premium</v>
      </c>
      <c r="O2145">
        <v>0</v>
      </c>
      <c r="P2145">
        <v>0</v>
      </c>
    </row>
    <row r="2146" spans="1:16" x14ac:dyDescent="0.25">
      <c r="A2146" t="s">
        <v>2783</v>
      </c>
      <c r="B2146" t="s">
        <v>2784</v>
      </c>
      <c r="C2146">
        <v>5946</v>
      </c>
      <c r="D2146" t="s">
        <v>341</v>
      </c>
      <c r="E2146" t="s">
        <v>144</v>
      </c>
      <c r="F2146">
        <v>8596</v>
      </c>
      <c r="G21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6">
        <v>4.1176000000000004</v>
      </c>
      <c r="J2146" t="str">
        <f>IF(ISBLANK(Table13[[#This Row],[Rating]]), "No", "Yes")</f>
        <v>Yes</v>
      </c>
      <c r="K2146" t="str">
        <f>IF(ISBLANK(Table13[[#This Row],[Rating]]), "Not Rated", IF(Table13[[#This Row],[Rating]] &lt; 3, "Low", IF(Table13[[#This Row],[Rating]] &lt; 4, "Medium", "High")))</f>
        <v>High</v>
      </c>
      <c r="L2146">
        <v>17</v>
      </c>
      <c r="M2146">
        <v>24</v>
      </c>
      <c r="N2146" t="str">
        <f>IF(Table13[[#This Row],[Price USD]]&lt;20,"Budget",IF(Table13[[#This Row],[Price USD]]&lt;=50,"Mid-range","Premium"))</f>
        <v>Mid-range</v>
      </c>
      <c r="O2146">
        <v>0</v>
      </c>
      <c r="P2146">
        <v>0</v>
      </c>
    </row>
    <row r="2147" spans="1:16" x14ac:dyDescent="0.25">
      <c r="A2147" t="s">
        <v>2781</v>
      </c>
      <c r="B2147" t="s">
        <v>2782</v>
      </c>
      <c r="C2147">
        <v>4164</v>
      </c>
      <c r="D2147" t="s">
        <v>623</v>
      </c>
      <c r="E2147" t="s">
        <v>8</v>
      </c>
      <c r="F2147">
        <v>8621</v>
      </c>
      <c r="G21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7">
        <v>4.6105999999999998</v>
      </c>
      <c r="J2147" t="str">
        <f>IF(ISBLANK(Table13[[#This Row],[Rating]]), "No", "Yes")</f>
        <v>Yes</v>
      </c>
      <c r="K2147" t="str">
        <f>IF(ISBLANK(Table13[[#This Row],[Rating]]), "Not Rated", IF(Table13[[#This Row],[Rating]] &lt; 3, "Low", IF(Table13[[#This Row],[Rating]] &lt; 4, "Medium", "High")))</f>
        <v>High</v>
      </c>
      <c r="L2147">
        <v>357</v>
      </c>
      <c r="M2147">
        <v>79</v>
      </c>
      <c r="N2147" t="str">
        <f>IF(Table13[[#This Row],[Price USD]]&lt;20,"Budget",IF(Table13[[#This Row],[Price USD]]&lt;=50,"Mid-range","Premium"))</f>
        <v>Premium</v>
      </c>
      <c r="O2147">
        <v>0</v>
      </c>
      <c r="P2147">
        <v>0</v>
      </c>
    </row>
    <row r="2148" spans="1:16" x14ac:dyDescent="0.25">
      <c r="A2148" t="s">
        <v>2779</v>
      </c>
      <c r="B2148" t="s">
        <v>2780</v>
      </c>
      <c r="C2148">
        <v>5337</v>
      </c>
      <c r="D2148" t="s">
        <v>209</v>
      </c>
      <c r="E2148" t="s">
        <v>49</v>
      </c>
      <c r="F2148">
        <v>8629</v>
      </c>
      <c r="G21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8">
        <v>4.6311</v>
      </c>
      <c r="J2148" t="str">
        <f>IF(ISBLANK(Table13[[#This Row],[Rating]]), "No", "Yes")</f>
        <v>Yes</v>
      </c>
      <c r="K2148" t="str">
        <f>IF(ISBLANK(Table13[[#This Row],[Rating]]), "Not Rated", IF(Table13[[#This Row],[Rating]] &lt; 3, "Low", IF(Table13[[#This Row],[Rating]] &lt; 4, "Medium", "High")))</f>
        <v>High</v>
      </c>
      <c r="L2148">
        <v>1190</v>
      </c>
      <c r="M2148">
        <v>38</v>
      </c>
      <c r="N2148" t="str">
        <f>IF(Table13[[#This Row],[Price USD]]&lt;20,"Budget",IF(Table13[[#This Row],[Price USD]]&lt;=50,"Mid-range","Premium"))</f>
        <v>Mid-range</v>
      </c>
      <c r="O2148">
        <v>0</v>
      </c>
      <c r="P2148">
        <v>0</v>
      </c>
    </row>
    <row r="2149" spans="1:16" x14ac:dyDescent="0.25">
      <c r="A2149" t="s">
        <v>2775</v>
      </c>
      <c r="B2149" t="s">
        <v>2776</v>
      </c>
      <c r="C2149">
        <v>8017</v>
      </c>
      <c r="D2149" t="s">
        <v>620</v>
      </c>
      <c r="E2149" t="s">
        <v>13</v>
      </c>
      <c r="F2149">
        <v>8640</v>
      </c>
      <c r="G21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49">
        <v>4.1289999999999996</v>
      </c>
      <c r="J2149" t="str">
        <f>IF(ISBLANK(Table13[[#This Row],[Rating]]), "No", "Yes")</f>
        <v>Yes</v>
      </c>
      <c r="K2149" t="str">
        <f>IF(ISBLANK(Table13[[#This Row],[Rating]]), "Not Rated", IF(Table13[[#This Row],[Rating]] &lt; 3, "Low", IF(Table13[[#This Row],[Rating]] &lt; 4, "Medium", "High")))</f>
        <v>High</v>
      </c>
      <c r="L2149">
        <v>62</v>
      </c>
      <c r="M2149">
        <v>16</v>
      </c>
      <c r="N2149" t="str">
        <f>IF(Table13[[#This Row],[Price USD]]&lt;20,"Budget",IF(Table13[[#This Row],[Price USD]]&lt;=50,"Mid-range","Premium"))</f>
        <v>Budget</v>
      </c>
      <c r="O2149">
        <v>0</v>
      </c>
      <c r="P2149">
        <v>0</v>
      </c>
    </row>
    <row r="2150" spans="1:16" x14ac:dyDescent="0.25">
      <c r="A2150" t="s">
        <v>2777</v>
      </c>
      <c r="B2150" t="s">
        <v>2778</v>
      </c>
      <c r="C2150">
        <v>6302</v>
      </c>
      <c r="D2150" t="s">
        <v>2721</v>
      </c>
      <c r="E2150" t="s">
        <v>144</v>
      </c>
      <c r="F2150">
        <v>8640</v>
      </c>
      <c r="G21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0">
        <v>4.0601000000000003</v>
      </c>
      <c r="J2150" t="str">
        <f>IF(ISBLANK(Table13[[#This Row],[Rating]]), "No", "Yes")</f>
        <v>Yes</v>
      </c>
      <c r="K2150" t="str">
        <f>IF(ISBLANK(Table13[[#This Row],[Rating]]), "Not Rated", IF(Table13[[#This Row],[Rating]] &lt; 3, "Low", IF(Table13[[#This Row],[Rating]] &lt; 4, "Medium", "High")))</f>
        <v>High</v>
      </c>
      <c r="L2150">
        <v>815</v>
      </c>
      <c r="M2150">
        <v>60</v>
      </c>
      <c r="N2150" t="str">
        <f>IF(Table13[[#This Row],[Price USD]]&lt;20,"Budget",IF(Table13[[#This Row],[Price USD]]&lt;=50,"Mid-range","Premium"))</f>
        <v>Premium</v>
      </c>
      <c r="O2150">
        <v>0</v>
      </c>
      <c r="P2150">
        <v>0</v>
      </c>
    </row>
    <row r="2151" spans="1:16" x14ac:dyDescent="0.25">
      <c r="A2151" t="s">
        <v>2773</v>
      </c>
      <c r="B2151" t="s">
        <v>2774</v>
      </c>
      <c r="C2151">
        <v>2082</v>
      </c>
      <c r="D2151" t="s">
        <v>594</v>
      </c>
      <c r="E2151" t="s">
        <v>21</v>
      </c>
      <c r="F2151">
        <v>8646</v>
      </c>
      <c r="G21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1">
        <v>4.2537000000000003</v>
      </c>
      <c r="J2151" t="str">
        <f>IF(ISBLANK(Table13[[#This Row],[Rating]]), "No", "Yes")</f>
        <v>Yes</v>
      </c>
      <c r="K2151" t="str">
        <f>IF(ISBLANK(Table13[[#This Row],[Rating]]), "Not Rated", IF(Table13[[#This Row],[Rating]] &lt; 3, "Low", IF(Table13[[#This Row],[Rating]] &lt; 4, "Medium", "High")))</f>
        <v>High</v>
      </c>
      <c r="L2151">
        <v>67</v>
      </c>
      <c r="M2151">
        <v>62</v>
      </c>
      <c r="N2151" t="str">
        <f>IF(Table13[[#This Row],[Price USD]]&lt;20,"Budget",IF(Table13[[#This Row],[Price USD]]&lt;=50,"Mid-range","Premium"))</f>
        <v>Premium</v>
      </c>
      <c r="O2151">
        <v>0</v>
      </c>
      <c r="P2151">
        <v>0</v>
      </c>
    </row>
    <row r="2152" spans="1:16" x14ac:dyDescent="0.25">
      <c r="A2152" t="s">
        <v>2771</v>
      </c>
      <c r="B2152" t="s">
        <v>2772</v>
      </c>
      <c r="C2152">
        <v>6201</v>
      </c>
      <c r="D2152" t="s">
        <v>367</v>
      </c>
      <c r="E2152" t="s">
        <v>13</v>
      </c>
      <c r="F2152">
        <v>8653</v>
      </c>
      <c r="G21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2">
        <v>4.6596000000000002</v>
      </c>
      <c r="J2152" t="str">
        <f>IF(ISBLANK(Table13[[#This Row],[Rating]]), "No", "Yes")</f>
        <v>Yes</v>
      </c>
      <c r="K2152" t="str">
        <f>IF(ISBLANK(Table13[[#This Row],[Rating]]), "Not Rated", IF(Table13[[#This Row],[Rating]] &lt; 3, "Low", IF(Table13[[#This Row],[Rating]] &lt; 4, "Medium", "High")))</f>
        <v>High</v>
      </c>
      <c r="L2152">
        <v>47</v>
      </c>
      <c r="M2152">
        <v>135</v>
      </c>
      <c r="N2152" t="str">
        <f>IF(Table13[[#This Row],[Price USD]]&lt;20,"Budget",IF(Table13[[#This Row],[Price USD]]&lt;=50,"Mid-range","Premium"))</f>
        <v>Premium</v>
      </c>
      <c r="O2152">
        <v>0</v>
      </c>
      <c r="P2152">
        <v>0</v>
      </c>
    </row>
    <row r="2153" spans="1:16" x14ac:dyDescent="0.25">
      <c r="A2153" t="s">
        <v>2769</v>
      </c>
      <c r="B2153" t="s">
        <v>2770</v>
      </c>
      <c r="C2153">
        <v>5668</v>
      </c>
      <c r="D2153" t="s">
        <v>93</v>
      </c>
      <c r="E2153" t="s">
        <v>13</v>
      </c>
      <c r="F2153">
        <v>8658</v>
      </c>
      <c r="G21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3">
        <v>4.4554999999999998</v>
      </c>
      <c r="J2153" t="str">
        <f>IF(ISBLANK(Table13[[#This Row],[Rating]]), "No", "Yes")</f>
        <v>Yes</v>
      </c>
      <c r="K2153" t="str">
        <f>IF(ISBLANK(Table13[[#This Row],[Rating]]), "Not Rated", IF(Table13[[#This Row],[Rating]] &lt; 3, "Low", IF(Table13[[#This Row],[Rating]] &lt; 4, "Medium", "High")))</f>
        <v>High</v>
      </c>
      <c r="L2153">
        <v>595</v>
      </c>
      <c r="M2153">
        <v>32</v>
      </c>
      <c r="N2153" t="str">
        <f>IF(Table13[[#This Row],[Price USD]]&lt;20,"Budget",IF(Table13[[#This Row],[Price USD]]&lt;=50,"Mid-range","Premium"))</f>
        <v>Mid-range</v>
      </c>
      <c r="O2153">
        <v>0</v>
      </c>
      <c r="P2153">
        <v>0</v>
      </c>
    </row>
    <row r="2154" spans="1:16" x14ac:dyDescent="0.25">
      <c r="A2154" t="s">
        <v>2767</v>
      </c>
      <c r="B2154" t="s">
        <v>2768</v>
      </c>
      <c r="C2154">
        <v>6073</v>
      </c>
      <c r="D2154" t="s">
        <v>78</v>
      </c>
      <c r="E2154" t="s">
        <v>69</v>
      </c>
      <c r="F2154">
        <v>8678</v>
      </c>
      <c r="G21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4">
        <v>3.1515</v>
      </c>
      <c r="J2154" t="str">
        <f>IF(ISBLANK(Table13[[#This Row],[Rating]]), "No", "Yes")</f>
        <v>Yes</v>
      </c>
      <c r="K2154" t="str">
        <f>IF(ISBLANK(Table13[[#This Row],[Rating]]), "Not Rated", IF(Table13[[#This Row],[Rating]] &lt; 3, "Low", IF(Table13[[#This Row],[Rating]] &lt; 4, "Medium", "High")))</f>
        <v>Medium</v>
      </c>
      <c r="L2154">
        <v>99</v>
      </c>
      <c r="M2154">
        <v>20</v>
      </c>
      <c r="N2154" t="str">
        <f>IF(Table13[[#This Row],[Price USD]]&lt;20,"Budget",IF(Table13[[#This Row],[Price USD]]&lt;=50,"Mid-range","Premium"))</f>
        <v>Mid-range</v>
      </c>
      <c r="O2154">
        <v>0</v>
      </c>
      <c r="P2154">
        <v>0</v>
      </c>
    </row>
    <row r="2155" spans="1:16" x14ac:dyDescent="0.25">
      <c r="A2155" t="s">
        <v>2764</v>
      </c>
      <c r="B2155" t="s">
        <v>2765</v>
      </c>
      <c r="C2155">
        <v>6367</v>
      </c>
      <c r="D2155" t="s">
        <v>2766</v>
      </c>
      <c r="E2155" t="s">
        <v>13</v>
      </c>
      <c r="F2155">
        <v>8679</v>
      </c>
      <c r="G21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5">
        <v>4.6848000000000001</v>
      </c>
      <c r="J2155" t="str">
        <f>IF(ISBLANK(Table13[[#This Row],[Rating]]), "No", "Yes")</f>
        <v>Yes</v>
      </c>
      <c r="K2155" t="str">
        <f>IF(ISBLANK(Table13[[#This Row],[Rating]]), "Not Rated", IF(Table13[[#This Row],[Rating]] &lt; 3, "Low", IF(Table13[[#This Row],[Rating]] &lt; 4, "Medium", "High")))</f>
        <v>High</v>
      </c>
      <c r="L2155">
        <v>184</v>
      </c>
      <c r="M2155">
        <v>32</v>
      </c>
      <c r="N2155" t="str">
        <f>IF(Table13[[#This Row],[Price USD]]&lt;20,"Budget",IF(Table13[[#This Row],[Price USD]]&lt;=50,"Mid-range","Premium"))</f>
        <v>Mid-range</v>
      </c>
      <c r="O2155">
        <v>0</v>
      </c>
      <c r="P2155">
        <v>0</v>
      </c>
    </row>
    <row r="2156" spans="1:16" x14ac:dyDescent="0.25">
      <c r="A2156" t="s">
        <v>2762</v>
      </c>
      <c r="B2156" t="s">
        <v>2763</v>
      </c>
      <c r="C2156">
        <v>6219</v>
      </c>
      <c r="D2156" t="s">
        <v>277</v>
      </c>
      <c r="E2156" t="s">
        <v>149</v>
      </c>
      <c r="F2156">
        <v>8685</v>
      </c>
      <c r="G21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6">
        <v>4.7032999999999996</v>
      </c>
      <c r="J2156" t="str">
        <f>IF(ISBLANK(Table13[[#This Row],[Rating]]), "No", "Yes")</f>
        <v>Yes</v>
      </c>
      <c r="K2156" t="str">
        <f>IF(ISBLANK(Table13[[#This Row],[Rating]]), "Not Rated", IF(Table13[[#This Row],[Rating]] &lt; 3, "Low", IF(Table13[[#This Row],[Rating]] &lt; 4, "Medium", "High")))</f>
        <v>High</v>
      </c>
      <c r="L2156">
        <v>273</v>
      </c>
      <c r="M2156">
        <v>59</v>
      </c>
      <c r="N2156" t="str">
        <f>IF(Table13[[#This Row],[Price USD]]&lt;20,"Budget",IF(Table13[[#This Row],[Price USD]]&lt;=50,"Mid-range","Premium"))</f>
        <v>Premium</v>
      </c>
      <c r="O2156">
        <v>0</v>
      </c>
      <c r="P2156">
        <v>0</v>
      </c>
    </row>
    <row r="2157" spans="1:16" x14ac:dyDescent="0.25">
      <c r="A2157" t="s">
        <v>2760</v>
      </c>
      <c r="B2157" t="s">
        <v>2761</v>
      </c>
      <c r="C2157">
        <v>6219</v>
      </c>
      <c r="D2157" t="s">
        <v>277</v>
      </c>
      <c r="E2157" t="s">
        <v>21</v>
      </c>
      <c r="F2157">
        <v>8686</v>
      </c>
      <c r="G21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7">
        <v>4.3562000000000003</v>
      </c>
      <c r="J2157" t="str">
        <f>IF(ISBLANK(Table13[[#This Row],[Rating]]), "No", "Yes")</f>
        <v>Yes</v>
      </c>
      <c r="K2157" t="str">
        <f>IF(ISBLANK(Table13[[#This Row],[Rating]]), "Not Rated", IF(Table13[[#This Row],[Rating]] &lt; 3, "Low", IF(Table13[[#This Row],[Rating]] &lt; 4, "Medium", "High")))</f>
        <v>High</v>
      </c>
      <c r="L2157">
        <v>219</v>
      </c>
      <c r="M2157">
        <v>55</v>
      </c>
      <c r="N2157" t="str">
        <f>IF(Table13[[#This Row],[Price USD]]&lt;20,"Budget",IF(Table13[[#This Row],[Price USD]]&lt;=50,"Mid-range","Premium"))</f>
        <v>Premium</v>
      </c>
      <c r="O2157">
        <v>0</v>
      </c>
      <c r="P2157">
        <v>0</v>
      </c>
    </row>
    <row r="2158" spans="1:16" x14ac:dyDescent="0.25">
      <c r="A2158" t="s">
        <v>2758</v>
      </c>
      <c r="B2158" t="s">
        <v>2759</v>
      </c>
      <c r="C2158">
        <v>6207</v>
      </c>
      <c r="D2158" t="s">
        <v>914</v>
      </c>
      <c r="E2158" t="s">
        <v>8</v>
      </c>
      <c r="F2158">
        <v>8710</v>
      </c>
      <c r="G21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8">
        <v>4.3945999999999996</v>
      </c>
      <c r="J2158" t="str">
        <f>IF(ISBLANK(Table13[[#This Row],[Rating]]), "No", "Yes")</f>
        <v>Yes</v>
      </c>
      <c r="K2158" t="str">
        <f>IF(ISBLANK(Table13[[#This Row],[Rating]]), "Not Rated", IF(Table13[[#This Row],[Rating]] &lt; 3, "Low", IF(Table13[[#This Row],[Rating]] &lt; 4, "Medium", "High")))</f>
        <v>High</v>
      </c>
      <c r="L2158">
        <v>555</v>
      </c>
      <c r="M2158">
        <v>74</v>
      </c>
      <c r="N2158" t="str">
        <f>IF(Table13[[#This Row],[Price USD]]&lt;20,"Budget",IF(Table13[[#This Row],[Price USD]]&lt;=50,"Mid-range","Premium"))</f>
        <v>Premium</v>
      </c>
      <c r="O2158">
        <v>0</v>
      </c>
      <c r="P2158">
        <v>0</v>
      </c>
    </row>
    <row r="2159" spans="1:16" x14ac:dyDescent="0.25">
      <c r="A2159" t="s">
        <v>2756</v>
      </c>
      <c r="B2159" t="s">
        <v>2757</v>
      </c>
      <c r="C2159">
        <v>6175</v>
      </c>
      <c r="D2159" t="s">
        <v>338</v>
      </c>
      <c r="E2159" t="s">
        <v>8</v>
      </c>
      <c r="F2159">
        <v>8711</v>
      </c>
      <c r="G21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59">
        <v>4.4615</v>
      </c>
      <c r="J2159" t="str">
        <f>IF(ISBLANK(Table13[[#This Row],[Rating]]), "No", "Yes")</f>
        <v>Yes</v>
      </c>
      <c r="K2159" t="str">
        <f>IF(ISBLANK(Table13[[#This Row],[Rating]]), "Not Rated", IF(Table13[[#This Row],[Rating]] &lt; 3, "Low", IF(Table13[[#This Row],[Rating]] &lt; 4, "Medium", "High")))</f>
        <v>High</v>
      </c>
      <c r="L2159">
        <v>273</v>
      </c>
      <c r="M2159">
        <v>29</v>
      </c>
      <c r="N2159" t="str">
        <f>IF(Table13[[#This Row],[Price USD]]&lt;20,"Budget",IF(Table13[[#This Row],[Price USD]]&lt;=50,"Mid-range","Premium"))</f>
        <v>Mid-range</v>
      </c>
      <c r="O2159">
        <v>0</v>
      </c>
      <c r="P2159">
        <v>0</v>
      </c>
    </row>
    <row r="2160" spans="1:16" x14ac:dyDescent="0.25">
      <c r="A2160" t="s">
        <v>2754</v>
      </c>
      <c r="B2160" t="s">
        <v>2755</v>
      </c>
      <c r="C2160">
        <v>1254</v>
      </c>
      <c r="D2160" t="s">
        <v>136</v>
      </c>
      <c r="E2160" t="s">
        <v>144</v>
      </c>
      <c r="F2160">
        <v>8723</v>
      </c>
      <c r="G21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0">
        <v>4.2182000000000004</v>
      </c>
      <c r="J2160" t="str">
        <f>IF(ISBLANK(Table13[[#This Row],[Rating]]), "No", "Yes")</f>
        <v>Yes</v>
      </c>
      <c r="K2160" t="str">
        <f>IF(ISBLANK(Table13[[#This Row],[Rating]]), "Not Rated", IF(Table13[[#This Row],[Rating]] &lt; 3, "Low", IF(Table13[[#This Row],[Rating]] &lt; 4, "Medium", "High")))</f>
        <v>High</v>
      </c>
      <c r="L2160">
        <v>55</v>
      </c>
      <c r="M2160">
        <v>16</v>
      </c>
      <c r="N2160" t="str">
        <f>IF(Table13[[#This Row],[Price USD]]&lt;20,"Budget",IF(Table13[[#This Row],[Price USD]]&lt;=50,"Mid-range","Premium"))</f>
        <v>Budget</v>
      </c>
      <c r="O2160">
        <v>0</v>
      </c>
      <c r="P2160">
        <v>0</v>
      </c>
    </row>
    <row r="2161" spans="1:16" x14ac:dyDescent="0.25">
      <c r="A2161" t="s">
        <v>2752</v>
      </c>
      <c r="B2161" t="s">
        <v>2753</v>
      </c>
      <c r="C2161">
        <v>2082</v>
      </c>
      <c r="D2161" t="s">
        <v>594</v>
      </c>
      <c r="E2161" t="s">
        <v>21</v>
      </c>
      <c r="F2161">
        <v>8723</v>
      </c>
      <c r="G21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1">
        <v>4.4028999999999998</v>
      </c>
      <c r="J2161" t="str">
        <f>IF(ISBLANK(Table13[[#This Row],[Rating]]), "No", "Yes")</f>
        <v>Yes</v>
      </c>
      <c r="K2161" t="str">
        <f>IF(ISBLANK(Table13[[#This Row],[Rating]]), "Not Rated", IF(Table13[[#This Row],[Rating]] &lt; 3, "Low", IF(Table13[[#This Row],[Rating]] &lt; 4, "Medium", "High")))</f>
        <v>High</v>
      </c>
      <c r="L2161">
        <v>139</v>
      </c>
      <c r="M2161">
        <v>65</v>
      </c>
      <c r="N2161" t="str">
        <f>IF(Table13[[#This Row],[Price USD]]&lt;20,"Budget",IF(Table13[[#This Row],[Price USD]]&lt;=50,"Mid-range","Premium"))</f>
        <v>Premium</v>
      </c>
      <c r="O2161">
        <v>0</v>
      </c>
      <c r="P2161">
        <v>0</v>
      </c>
    </row>
    <row r="2162" spans="1:16" x14ac:dyDescent="0.25">
      <c r="A2162" t="s">
        <v>2750</v>
      </c>
      <c r="B2162" t="s">
        <v>2751</v>
      </c>
      <c r="C2162">
        <v>6201</v>
      </c>
      <c r="D2162" t="s">
        <v>367</v>
      </c>
      <c r="E2162" t="s">
        <v>21</v>
      </c>
      <c r="F2162">
        <v>8727</v>
      </c>
      <c r="G21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2">
        <v>3.6787999999999998</v>
      </c>
      <c r="J2162" t="str">
        <f>IF(ISBLANK(Table13[[#This Row],[Rating]]), "No", "Yes")</f>
        <v>Yes</v>
      </c>
      <c r="K2162" t="str">
        <f>IF(ISBLANK(Table13[[#This Row],[Rating]]), "Not Rated", IF(Table13[[#This Row],[Rating]] &lt; 3, "Low", IF(Table13[[#This Row],[Rating]] &lt; 4, "Medium", "High")))</f>
        <v>Medium</v>
      </c>
      <c r="L2162">
        <v>137</v>
      </c>
      <c r="M2162">
        <v>200</v>
      </c>
      <c r="N2162" t="str">
        <f>IF(Table13[[#This Row],[Price USD]]&lt;20,"Budget",IF(Table13[[#This Row],[Price USD]]&lt;=50,"Mid-range","Premium"))</f>
        <v>Premium</v>
      </c>
      <c r="O2162">
        <v>0</v>
      </c>
      <c r="P2162">
        <v>0</v>
      </c>
    </row>
    <row r="2163" spans="1:16" x14ac:dyDescent="0.25">
      <c r="A2163" t="s">
        <v>2748</v>
      </c>
      <c r="B2163" t="s">
        <v>2749</v>
      </c>
      <c r="C2163">
        <v>5946</v>
      </c>
      <c r="D2163" t="s">
        <v>341</v>
      </c>
      <c r="E2163" t="s">
        <v>8</v>
      </c>
      <c r="F2163">
        <v>8729</v>
      </c>
      <c r="G21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3">
        <v>4.641</v>
      </c>
      <c r="J2163" t="str">
        <f>IF(ISBLANK(Table13[[#This Row],[Rating]]), "No", "Yes")</f>
        <v>Yes</v>
      </c>
      <c r="K2163" t="str">
        <f>IF(ISBLANK(Table13[[#This Row],[Rating]]), "Not Rated", IF(Table13[[#This Row],[Rating]] &lt; 3, "Low", IF(Table13[[#This Row],[Rating]] &lt; 4, "Medium", "High")))</f>
        <v>High</v>
      </c>
      <c r="L2163">
        <v>156</v>
      </c>
      <c r="M2163">
        <v>98</v>
      </c>
      <c r="N2163" t="str">
        <f>IF(Table13[[#This Row],[Price USD]]&lt;20,"Budget",IF(Table13[[#This Row],[Price USD]]&lt;=50,"Mid-range","Premium"))</f>
        <v>Premium</v>
      </c>
      <c r="O2163">
        <v>0</v>
      </c>
      <c r="P2163">
        <v>0</v>
      </c>
    </row>
    <row r="2164" spans="1:16" x14ac:dyDescent="0.25">
      <c r="A2164" t="s">
        <v>2746</v>
      </c>
      <c r="B2164" t="s">
        <v>2747</v>
      </c>
      <c r="C2164">
        <v>5626</v>
      </c>
      <c r="D2164" t="s">
        <v>1069</v>
      </c>
      <c r="E2164" t="s">
        <v>220</v>
      </c>
      <c r="F2164">
        <v>8774</v>
      </c>
      <c r="G21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4">
        <v>3.2</v>
      </c>
      <c r="J2164" t="str">
        <f>IF(ISBLANK(Table13[[#This Row],[Rating]]), "No", "Yes")</f>
        <v>Yes</v>
      </c>
      <c r="K2164" t="str">
        <f>IF(ISBLANK(Table13[[#This Row],[Rating]]), "Not Rated", IF(Table13[[#This Row],[Rating]] &lt; 3, "Low", IF(Table13[[#This Row],[Rating]] &lt; 4, "Medium", "High")))</f>
        <v>Medium</v>
      </c>
      <c r="L2164">
        <v>30</v>
      </c>
      <c r="M2164">
        <v>25</v>
      </c>
      <c r="N2164" t="str">
        <f>IF(Table13[[#This Row],[Price USD]]&lt;20,"Budget",IF(Table13[[#This Row],[Price USD]]&lt;=50,"Mid-range","Premium"))</f>
        <v>Mid-range</v>
      </c>
      <c r="O2164">
        <v>0</v>
      </c>
      <c r="P2164">
        <v>0</v>
      </c>
    </row>
    <row r="2165" spans="1:16" x14ac:dyDescent="0.25">
      <c r="A2165" t="s">
        <v>2744</v>
      </c>
      <c r="B2165" t="s">
        <v>2745</v>
      </c>
      <c r="C2165">
        <v>6357</v>
      </c>
      <c r="D2165" t="s">
        <v>876</v>
      </c>
      <c r="E2165" t="s">
        <v>21</v>
      </c>
      <c r="F2165">
        <v>8788</v>
      </c>
      <c r="G21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5">
        <v>4.4946000000000002</v>
      </c>
      <c r="J2165" t="str">
        <f>IF(ISBLANK(Table13[[#This Row],[Rating]]), "No", "Yes")</f>
        <v>Yes</v>
      </c>
      <c r="K2165" t="str">
        <f>IF(ISBLANK(Table13[[#This Row],[Rating]]), "Not Rated", IF(Table13[[#This Row],[Rating]] &lt; 3, "Low", IF(Table13[[#This Row],[Rating]] &lt; 4, "Medium", "High")))</f>
        <v>High</v>
      </c>
      <c r="L2165">
        <v>93</v>
      </c>
      <c r="M2165">
        <v>24</v>
      </c>
      <c r="N2165" t="str">
        <f>IF(Table13[[#This Row],[Price USD]]&lt;20,"Budget",IF(Table13[[#This Row],[Price USD]]&lt;=50,"Mid-range","Premium"))</f>
        <v>Mid-range</v>
      </c>
      <c r="O2165">
        <v>0</v>
      </c>
      <c r="P2165">
        <v>0</v>
      </c>
    </row>
    <row r="2166" spans="1:16" x14ac:dyDescent="0.25">
      <c r="A2166" t="s">
        <v>2742</v>
      </c>
      <c r="B2166" t="s">
        <v>2743</v>
      </c>
      <c r="C2166">
        <v>4171</v>
      </c>
      <c r="D2166" t="s">
        <v>133</v>
      </c>
      <c r="E2166" t="s">
        <v>13</v>
      </c>
      <c r="F2166">
        <v>8817</v>
      </c>
      <c r="G21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6">
        <v>4.3051000000000004</v>
      </c>
      <c r="J2166" t="str">
        <f>IF(ISBLANK(Table13[[#This Row],[Rating]]), "No", "Yes")</f>
        <v>Yes</v>
      </c>
      <c r="K2166" t="str">
        <f>IF(ISBLANK(Table13[[#This Row],[Rating]]), "Not Rated", IF(Table13[[#This Row],[Rating]] &lt; 3, "Low", IF(Table13[[#This Row],[Rating]] &lt; 4, "Medium", "High")))</f>
        <v>High</v>
      </c>
      <c r="L2166">
        <v>236</v>
      </c>
      <c r="M2166">
        <v>35</v>
      </c>
      <c r="N2166" t="str">
        <f>IF(Table13[[#This Row],[Price USD]]&lt;20,"Budget",IF(Table13[[#This Row],[Price USD]]&lt;=50,"Mid-range","Premium"))</f>
        <v>Mid-range</v>
      </c>
      <c r="O2166">
        <v>0</v>
      </c>
      <c r="P2166">
        <v>1</v>
      </c>
    </row>
    <row r="2167" spans="1:16" x14ac:dyDescent="0.25">
      <c r="A2167" t="s">
        <v>2740</v>
      </c>
      <c r="B2167" t="s">
        <v>2741</v>
      </c>
      <c r="C2167">
        <v>6256</v>
      </c>
      <c r="D2167" t="s">
        <v>346</v>
      </c>
      <c r="E2167" t="s">
        <v>201</v>
      </c>
      <c r="F2167">
        <v>8818</v>
      </c>
      <c r="G21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7">
        <v>4.7367999999999997</v>
      </c>
      <c r="J2167" t="str">
        <f>IF(ISBLANK(Table13[[#This Row],[Rating]]), "No", "Yes")</f>
        <v>Yes</v>
      </c>
      <c r="K2167" t="str">
        <f>IF(ISBLANK(Table13[[#This Row],[Rating]]), "Not Rated", IF(Table13[[#This Row],[Rating]] &lt; 3, "Low", IF(Table13[[#This Row],[Rating]] &lt; 4, "Medium", "High")))</f>
        <v>High</v>
      </c>
      <c r="L2167">
        <v>19</v>
      </c>
      <c r="M2167">
        <v>30</v>
      </c>
      <c r="N2167" t="str">
        <f>IF(Table13[[#This Row],[Price USD]]&lt;20,"Budget",IF(Table13[[#This Row],[Price USD]]&lt;=50,"Mid-range","Premium"))</f>
        <v>Mid-range</v>
      </c>
      <c r="O2167">
        <v>0</v>
      </c>
      <c r="P2167">
        <v>0</v>
      </c>
    </row>
    <row r="2168" spans="1:16" x14ac:dyDescent="0.25">
      <c r="A2168" t="s">
        <v>2738</v>
      </c>
      <c r="B2168" t="s">
        <v>2739</v>
      </c>
      <c r="C2168">
        <v>6751</v>
      </c>
      <c r="D2168" t="s">
        <v>1738</v>
      </c>
      <c r="E2168" t="s">
        <v>13</v>
      </c>
      <c r="F2168">
        <v>8821</v>
      </c>
      <c r="G21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8">
        <v>4.2667000000000002</v>
      </c>
      <c r="J2168" t="str">
        <f>IF(ISBLANK(Table13[[#This Row],[Rating]]), "No", "Yes")</f>
        <v>Yes</v>
      </c>
      <c r="K2168" t="str">
        <f>IF(ISBLANK(Table13[[#This Row],[Rating]]), "Not Rated", IF(Table13[[#This Row],[Rating]] &lt; 3, "Low", IF(Table13[[#This Row],[Rating]] &lt; 4, "Medium", "High")))</f>
        <v>High</v>
      </c>
      <c r="L2168">
        <v>15</v>
      </c>
      <c r="M2168">
        <v>14</v>
      </c>
      <c r="N2168" t="str">
        <f>IF(Table13[[#This Row],[Price USD]]&lt;20,"Budget",IF(Table13[[#This Row],[Price USD]]&lt;=50,"Mid-range","Premium"))</f>
        <v>Budget</v>
      </c>
      <c r="O2168">
        <v>1</v>
      </c>
      <c r="P2168">
        <v>0</v>
      </c>
    </row>
    <row r="2169" spans="1:16" x14ac:dyDescent="0.25">
      <c r="A2169" t="s">
        <v>2736</v>
      </c>
      <c r="B2169" t="s">
        <v>2737</v>
      </c>
      <c r="C2169">
        <v>1254</v>
      </c>
      <c r="D2169" t="s">
        <v>136</v>
      </c>
      <c r="E2169" t="s">
        <v>49</v>
      </c>
      <c r="F2169">
        <v>8842</v>
      </c>
      <c r="G21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69">
        <v>3.4405000000000001</v>
      </c>
      <c r="J2169" t="str">
        <f>IF(ISBLANK(Table13[[#This Row],[Rating]]), "No", "Yes")</f>
        <v>Yes</v>
      </c>
      <c r="K2169" t="str">
        <f>IF(ISBLANK(Table13[[#This Row],[Rating]]), "Not Rated", IF(Table13[[#This Row],[Rating]] &lt; 3, "Low", IF(Table13[[#This Row],[Rating]] &lt; 4, "Medium", "High")))</f>
        <v>Medium</v>
      </c>
      <c r="L2169">
        <v>84</v>
      </c>
      <c r="M2169">
        <v>31</v>
      </c>
      <c r="N2169" t="str">
        <f>IF(Table13[[#This Row],[Price USD]]&lt;20,"Budget",IF(Table13[[#This Row],[Price USD]]&lt;=50,"Mid-range","Premium"))</f>
        <v>Mid-range</v>
      </c>
      <c r="O2169">
        <v>0</v>
      </c>
      <c r="P2169">
        <v>0</v>
      </c>
    </row>
    <row r="2170" spans="1:16" x14ac:dyDescent="0.25">
      <c r="A2170" t="s">
        <v>2734</v>
      </c>
      <c r="B2170" t="s">
        <v>2735</v>
      </c>
      <c r="C2170">
        <v>3902</v>
      </c>
      <c r="D2170" t="s">
        <v>72</v>
      </c>
      <c r="E2170" t="s">
        <v>220</v>
      </c>
      <c r="F2170">
        <v>8847</v>
      </c>
      <c r="G21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0">
        <v>4.3333000000000004</v>
      </c>
      <c r="J2170" t="str">
        <f>IF(ISBLANK(Table13[[#This Row],[Rating]]), "No", "Yes")</f>
        <v>Yes</v>
      </c>
      <c r="K2170" t="str">
        <f>IF(ISBLANK(Table13[[#This Row],[Rating]]), "Not Rated", IF(Table13[[#This Row],[Rating]] &lt; 3, "Low", IF(Table13[[#This Row],[Rating]] &lt; 4, "Medium", "High")))</f>
        <v>High</v>
      </c>
      <c r="L2170">
        <v>18</v>
      </c>
      <c r="M2170">
        <v>20</v>
      </c>
      <c r="N2170" t="str">
        <f>IF(Table13[[#This Row],[Price USD]]&lt;20,"Budget",IF(Table13[[#This Row],[Price USD]]&lt;=50,"Mid-range","Premium"))</f>
        <v>Mid-range</v>
      </c>
      <c r="O2170">
        <v>0</v>
      </c>
      <c r="P2170">
        <v>0</v>
      </c>
    </row>
    <row r="2171" spans="1:16" x14ac:dyDescent="0.25">
      <c r="A2171" t="s">
        <v>2732</v>
      </c>
      <c r="B2171" t="s">
        <v>2733</v>
      </c>
      <c r="C2171">
        <v>1073</v>
      </c>
      <c r="D2171" t="s">
        <v>767</v>
      </c>
      <c r="E2171" t="s">
        <v>8</v>
      </c>
      <c r="F2171">
        <v>8855</v>
      </c>
      <c r="G21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1">
        <v>4.3888999999999996</v>
      </c>
      <c r="J2171" t="str">
        <f>IF(ISBLANK(Table13[[#This Row],[Rating]]), "No", "Yes")</f>
        <v>Yes</v>
      </c>
      <c r="K2171" t="str">
        <f>IF(ISBLANK(Table13[[#This Row],[Rating]]), "Not Rated", IF(Table13[[#This Row],[Rating]] &lt; 3, "Low", IF(Table13[[#This Row],[Rating]] &lt; 4, "Medium", "High")))</f>
        <v>High</v>
      </c>
      <c r="L2171">
        <v>54</v>
      </c>
      <c r="M2171">
        <v>110</v>
      </c>
      <c r="N2171" t="str">
        <f>IF(Table13[[#This Row],[Price USD]]&lt;20,"Budget",IF(Table13[[#This Row],[Price USD]]&lt;=50,"Mid-range","Premium"))</f>
        <v>Premium</v>
      </c>
      <c r="O2171">
        <v>0</v>
      </c>
      <c r="P2171">
        <v>0</v>
      </c>
    </row>
    <row r="2172" spans="1:16" x14ac:dyDescent="0.25">
      <c r="A2172" t="s">
        <v>2730</v>
      </c>
      <c r="B2172" t="s">
        <v>2731</v>
      </c>
      <c r="C2172">
        <v>5972</v>
      </c>
      <c r="D2172" t="s">
        <v>54</v>
      </c>
      <c r="E2172" t="s">
        <v>8</v>
      </c>
      <c r="F2172">
        <v>8865</v>
      </c>
      <c r="G21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2">
        <v>4.5727000000000002</v>
      </c>
      <c r="J2172" t="str">
        <f>IF(ISBLANK(Table13[[#This Row],[Rating]]), "No", "Yes")</f>
        <v>Yes</v>
      </c>
      <c r="K2172" t="str">
        <f>IF(ISBLANK(Table13[[#This Row],[Rating]]), "Not Rated", IF(Table13[[#This Row],[Rating]] &lt; 3, "Low", IF(Table13[[#This Row],[Rating]] &lt; 4, "Medium", "High")))</f>
        <v>High</v>
      </c>
      <c r="L2172">
        <v>110</v>
      </c>
      <c r="M2172">
        <v>40</v>
      </c>
      <c r="N2172" t="str">
        <f>IF(Table13[[#This Row],[Price USD]]&lt;20,"Budget",IF(Table13[[#This Row],[Price USD]]&lt;=50,"Mid-range","Premium"))</f>
        <v>Mid-range</v>
      </c>
      <c r="O2172">
        <v>0</v>
      </c>
      <c r="P2172">
        <v>0</v>
      </c>
    </row>
    <row r="2173" spans="1:16" x14ac:dyDescent="0.25">
      <c r="A2173" t="s">
        <v>2728</v>
      </c>
      <c r="B2173" t="s">
        <v>2729</v>
      </c>
      <c r="C2173">
        <v>5946</v>
      </c>
      <c r="D2173" t="s">
        <v>341</v>
      </c>
      <c r="E2173" t="s">
        <v>8</v>
      </c>
      <c r="F2173">
        <v>8879</v>
      </c>
      <c r="G21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3">
        <v>3.5041000000000002</v>
      </c>
      <c r="J2173" t="str">
        <f>IF(ISBLANK(Table13[[#This Row],[Rating]]), "No", "Yes")</f>
        <v>Yes</v>
      </c>
      <c r="K2173" t="str">
        <f>IF(ISBLANK(Table13[[#This Row],[Rating]]), "Not Rated", IF(Table13[[#This Row],[Rating]] &lt; 3, "Low", IF(Table13[[#This Row],[Rating]] &lt; 4, "Medium", "High")))</f>
        <v>Medium</v>
      </c>
      <c r="L2173">
        <v>121</v>
      </c>
      <c r="M2173">
        <v>110</v>
      </c>
      <c r="N2173" t="str">
        <f>IF(Table13[[#This Row],[Price USD]]&lt;20,"Budget",IF(Table13[[#This Row],[Price USD]]&lt;=50,"Mid-range","Premium"))</f>
        <v>Premium</v>
      </c>
      <c r="O2173">
        <v>0</v>
      </c>
      <c r="P2173">
        <v>0</v>
      </c>
    </row>
    <row r="2174" spans="1:16" x14ac:dyDescent="0.25">
      <c r="A2174" t="s">
        <v>2726</v>
      </c>
      <c r="B2174" t="s">
        <v>2727</v>
      </c>
      <c r="C2174">
        <v>1741</v>
      </c>
      <c r="D2174" t="s">
        <v>388</v>
      </c>
      <c r="E2174" t="s">
        <v>21</v>
      </c>
      <c r="F2174">
        <v>8888</v>
      </c>
      <c r="G21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4">
        <v>4.6909000000000001</v>
      </c>
      <c r="J2174" t="str">
        <f>IF(ISBLANK(Table13[[#This Row],[Rating]]), "No", "Yes")</f>
        <v>Yes</v>
      </c>
      <c r="K2174" t="str">
        <f>IF(ISBLANK(Table13[[#This Row],[Rating]]), "Not Rated", IF(Table13[[#This Row],[Rating]] &lt; 3, "Low", IF(Table13[[#This Row],[Rating]] &lt; 4, "Medium", "High")))</f>
        <v>High</v>
      </c>
      <c r="L2174">
        <v>317</v>
      </c>
      <c r="M2174">
        <v>135</v>
      </c>
      <c r="N2174" t="str">
        <f>IF(Table13[[#This Row],[Price USD]]&lt;20,"Budget",IF(Table13[[#This Row],[Price USD]]&lt;=50,"Mid-range","Premium"))</f>
        <v>Premium</v>
      </c>
      <c r="O2174">
        <v>0</v>
      </c>
      <c r="P2174">
        <v>0</v>
      </c>
    </row>
    <row r="2175" spans="1:16" x14ac:dyDescent="0.25">
      <c r="A2175" t="s">
        <v>2724</v>
      </c>
      <c r="B2175" t="s">
        <v>2725</v>
      </c>
      <c r="C2175">
        <v>7091</v>
      </c>
      <c r="D2175" t="s">
        <v>879</v>
      </c>
      <c r="E2175" t="s">
        <v>106</v>
      </c>
      <c r="F2175">
        <v>8889</v>
      </c>
      <c r="G21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5">
        <v>4.25</v>
      </c>
      <c r="J2175" t="str">
        <f>IF(ISBLANK(Table13[[#This Row],[Rating]]), "No", "Yes")</f>
        <v>Yes</v>
      </c>
      <c r="K2175" t="str">
        <f>IF(ISBLANK(Table13[[#This Row],[Rating]]), "Not Rated", IF(Table13[[#This Row],[Rating]] &lt; 3, "Low", IF(Table13[[#This Row],[Rating]] &lt; 4, "Medium", "High")))</f>
        <v>High</v>
      </c>
      <c r="L2175">
        <v>40</v>
      </c>
      <c r="M2175">
        <v>46</v>
      </c>
      <c r="N2175" t="str">
        <f>IF(Table13[[#This Row],[Price USD]]&lt;20,"Budget",IF(Table13[[#This Row],[Price USD]]&lt;=50,"Mid-range","Premium"))</f>
        <v>Mid-range</v>
      </c>
      <c r="O2175">
        <v>0</v>
      </c>
      <c r="P2175">
        <v>0</v>
      </c>
    </row>
    <row r="2176" spans="1:16" x14ac:dyDescent="0.25">
      <c r="A2176" t="s">
        <v>2722</v>
      </c>
      <c r="B2176" t="s">
        <v>2723</v>
      </c>
      <c r="C2176">
        <v>6018</v>
      </c>
      <c r="D2176" t="s">
        <v>517</v>
      </c>
      <c r="E2176" t="s">
        <v>144</v>
      </c>
      <c r="F2176">
        <v>8900</v>
      </c>
      <c r="G21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6">
        <v>3.4411999999999998</v>
      </c>
      <c r="J2176" t="str">
        <f>IF(ISBLANK(Table13[[#This Row],[Rating]]), "No", "Yes")</f>
        <v>Yes</v>
      </c>
      <c r="K2176" t="str">
        <f>IF(ISBLANK(Table13[[#This Row],[Rating]]), "Not Rated", IF(Table13[[#This Row],[Rating]] &lt; 3, "Low", IF(Table13[[#This Row],[Rating]] &lt; 4, "Medium", "High")))</f>
        <v>Medium</v>
      </c>
      <c r="L2176">
        <v>34</v>
      </c>
      <c r="M2176">
        <v>25</v>
      </c>
      <c r="N2176" t="str">
        <f>IF(Table13[[#This Row],[Price USD]]&lt;20,"Budget",IF(Table13[[#This Row],[Price USD]]&lt;=50,"Mid-range","Premium"))</f>
        <v>Mid-range</v>
      </c>
      <c r="O2176">
        <v>0</v>
      </c>
      <c r="P2176">
        <v>0</v>
      </c>
    </row>
    <row r="2177" spans="1:16" x14ac:dyDescent="0.25">
      <c r="A2177" t="s">
        <v>2719</v>
      </c>
      <c r="B2177" t="s">
        <v>2720</v>
      </c>
      <c r="C2177">
        <v>6302</v>
      </c>
      <c r="D2177" t="s">
        <v>2721</v>
      </c>
      <c r="E2177" t="s">
        <v>8</v>
      </c>
      <c r="F2177">
        <v>8905</v>
      </c>
      <c r="G21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7">
        <v>4.0601000000000003</v>
      </c>
      <c r="J2177" t="str">
        <f>IF(ISBLANK(Table13[[#This Row],[Rating]]), "No", "Yes")</f>
        <v>Yes</v>
      </c>
      <c r="K2177" t="str">
        <f>IF(ISBLANK(Table13[[#This Row],[Rating]]), "Not Rated", IF(Table13[[#This Row],[Rating]] &lt; 3, "Low", IF(Table13[[#This Row],[Rating]] &lt; 4, "Medium", "High")))</f>
        <v>High</v>
      </c>
      <c r="L2177">
        <v>815</v>
      </c>
      <c r="M2177">
        <v>150</v>
      </c>
      <c r="N2177" t="str">
        <f>IF(Table13[[#This Row],[Price USD]]&lt;20,"Budget",IF(Table13[[#This Row],[Price USD]]&lt;=50,"Mid-range","Premium"))</f>
        <v>Premium</v>
      </c>
      <c r="O2177">
        <v>0</v>
      </c>
      <c r="P2177">
        <v>0</v>
      </c>
    </row>
    <row r="2178" spans="1:16" x14ac:dyDescent="0.25">
      <c r="A2178" t="s">
        <v>2717</v>
      </c>
      <c r="B2178" t="s">
        <v>2718</v>
      </c>
      <c r="C2178">
        <v>6500</v>
      </c>
      <c r="D2178" t="s">
        <v>2632</v>
      </c>
      <c r="E2178" t="s">
        <v>49</v>
      </c>
      <c r="F2178">
        <v>8924</v>
      </c>
      <c r="G21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8">
        <v>4.3578000000000001</v>
      </c>
      <c r="J2178" t="str">
        <f>IF(ISBLANK(Table13[[#This Row],[Rating]]), "No", "Yes")</f>
        <v>Yes</v>
      </c>
      <c r="K2178" t="str">
        <f>IF(ISBLANK(Table13[[#This Row],[Rating]]), "Not Rated", IF(Table13[[#This Row],[Rating]] &lt; 3, "Low", IF(Table13[[#This Row],[Rating]] &lt; 4, "Medium", "High")))</f>
        <v>High</v>
      </c>
      <c r="L2178">
        <v>109</v>
      </c>
      <c r="M2178">
        <v>30</v>
      </c>
      <c r="N2178" t="str">
        <f>IF(Table13[[#This Row],[Price USD]]&lt;20,"Budget",IF(Table13[[#This Row],[Price USD]]&lt;=50,"Mid-range","Premium"))</f>
        <v>Mid-range</v>
      </c>
      <c r="O2178">
        <v>0</v>
      </c>
      <c r="P2178">
        <v>0</v>
      </c>
    </row>
    <row r="2179" spans="1:16" x14ac:dyDescent="0.25">
      <c r="A2179" t="s">
        <v>2715</v>
      </c>
      <c r="B2179" t="s">
        <v>2716</v>
      </c>
      <c r="C2179">
        <v>6201</v>
      </c>
      <c r="D2179" t="s">
        <v>367</v>
      </c>
      <c r="E2179" t="s">
        <v>21</v>
      </c>
      <c r="F2179">
        <v>8930</v>
      </c>
      <c r="G21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79">
        <v>4.6222000000000003</v>
      </c>
      <c r="J2179" t="str">
        <f>IF(ISBLANK(Table13[[#This Row],[Rating]]), "No", "Yes")</f>
        <v>Yes</v>
      </c>
      <c r="K2179" t="str">
        <f>IF(ISBLANK(Table13[[#This Row],[Rating]]), "Not Rated", IF(Table13[[#This Row],[Rating]] &lt; 3, "Low", IF(Table13[[#This Row],[Rating]] &lt; 4, "Medium", "High")))</f>
        <v>High</v>
      </c>
      <c r="L2179">
        <v>360</v>
      </c>
      <c r="M2179">
        <v>125</v>
      </c>
      <c r="N2179" t="str">
        <f>IF(Table13[[#This Row],[Price USD]]&lt;20,"Budget",IF(Table13[[#This Row],[Price USD]]&lt;=50,"Mid-range","Premium"))</f>
        <v>Premium</v>
      </c>
      <c r="O2179">
        <v>0</v>
      </c>
      <c r="P2179">
        <v>0</v>
      </c>
    </row>
    <row r="2180" spans="1:16" x14ac:dyDescent="0.25">
      <c r="A2180" t="s">
        <v>2713</v>
      </c>
      <c r="B2180" t="s">
        <v>2714</v>
      </c>
      <c r="C2180">
        <v>6219</v>
      </c>
      <c r="D2180" t="s">
        <v>277</v>
      </c>
      <c r="E2180" t="s">
        <v>149</v>
      </c>
      <c r="F2180">
        <v>8944</v>
      </c>
      <c r="G21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0">
        <v>4.1666999999999996</v>
      </c>
      <c r="J2180" t="str">
        <f>IF(ISBLANK(Table13[[#This Row],[Rating]]), "No", "Yes")</f>
        <v>Yes</v>
      </c>
      <c r="K2180" t="str">
        <f>IF(ISBLANK(Table13[[#This Row],[Rating]]), "Not Rated", IF(Table13[[#This Row],[Rating]] &lt; 3, "Low", IF(Table13[[#This Row],[Rating]] &lt; 4, "Medium", "High")))</f>
        <v>High</v>
      </c>
      <c r="L2180">
        <v>36</v>
      </c>
      <c r="M2180">
        <v>74</v>
      </c>
      <c r="N2180" t="str">
        <f>IF(Table13[[#This Row],[Price USD]]&lt;20,"Budget",IF(Table13[[#This Row],[Price USD]]&lt;=50,"Mid-range","Premium"))</f>
        <v>Premium</v>
      </c>
      <c r="O2180">
        <v>0</v>
      </c>
      <c r="P2180">
        <v>0</v>
      </c>
    </row>
    <row r="2181" spans="1:16" x14ac:dyDescent="0.25">
      <c r="A2181" t="s">
        <v>2711</v>
      </c>
      <c r="B2181" t="s">
        <v>2712</v>
      </c>
      <c r="C2181">
        <v>6335</v>
      </c>
      <c r="D2181" t="s">
        <v>2128</v>
      </c>
      <c r="E2181" t="s">
        <v>21</v>
      </c>
      <c r="F2181">
        <v>8948</v>
      </c>
      <c r="G21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1">
        <v>4.1612</v>
      </c>
      <c r="J2181" t="str">
        <f>IF(ISBLANK(Table13[[#This Row],[Rating]]), "No", "Yes")</f>
        <v>Yes</v>
      </c>
      <c r="K2181" t="str">
        <f>IF(ISBLANK(Table13[[#This Row],[Rating]]), "Not Rated", IF(Table13[[#This Row],[Rating]] &lt; 3, "Low", IF(Table13[[#This Row],[Rating]] &lt; 4, "Medium", "High")))</f>
        <v>High</v>
      </c>
      <c r="L2181">
        <v>552</v>
      </c>
      <c r="M2181">
        <v>59</v>
      </c>
      <c r="N2181" t="str">
        <f>IF(Table13[[#This Row],[Price USD]]&lt;20,"Budget",IF(Table13[[#This Row],[Price USD]]&lt;=50,"Mid-range","Premium"))</f>
        <v>Premium</v>
      </c>
      <c r="O2181">
        <v>0</v>
      </c>
      <c r="P2181">
        <v>0</v>
      </c>
    </row>
    <row r="2182" spans="1:16" x14ac:dyDescent="0.25">
      <c r="A2182" t="s">
        <v>2709</v>
      </c>
      <c r="B2182" t="s">
        <v>2710</v>
      </c>
      <c r="C2182">
        <v>4372</v>
      </c>
      <c r="D2182" t="s">
        <v>1513</v>
      </c>
      <c r="E2182" t="s">
        <v>149</v>
      </c>
      <c r="F2182">
        <v>8950</v>
      </c>
      <c r="G21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2">
        <v>4.0822000000000003</v>
      </c>
      <c r="J2182" t="str">
        <f>IF(ISBLANK(Table13[[#This Row],[Rating]]), "No", "Yes")</f>
        <v>Yes</v>
      </c>
      <c r="K2182" t="str">
        <f>IF(ISBLANK(Table13[[#This Row],[Rating]]), "Not Rated", IF(Table13[[#This Row],[Rating]] &lt; 3, "Low", IF(Table13[[#This Row],[Rating]] &lt; 4, "Medium", "High")))</f>
        <v>High</v>
      </c>
      <c r="L2182">
        <v>146</v>
      </c>
      <c r="M2182">
        <v>82</v>
      </c>
      <c r="N2182" t="str">
        <f>IF(Table13[[#This Row],[Price USD]]&lt;20,"Budget",IF(Table13[[#This Row],[Price USD]]&lt;=50,"Mid-range","Premium"))</f>
        <v>Premium</v>
      </c>
      <c r="O2182">
        <v>0</v>
      </c>
      <c r="P2182">
        <v>0</v>
      </c>
    </row>
    <row r="2183" spans="1:16" x14ac:dyDescent="0.25">
      <c r="A2183" t="s">
        <v>2705</v>
      </c>
      <c r="B2183" t="s">
        <v>2706</v>
      </c>
      <c r="C2183">
        <v>6295</v>
      </c>
      <c r="D2183" t="s">
        <v>184</v>
      </c>
      <c r="E2183" t="s">
        <v>13</v>
      </c>
      <c r="F2183">
        <v>8957</v>
      </c>
      <c r="G21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3">
        <v>4.5713999999999997</v>
      </c>
      <c r="J2183" t="str">
        <f>IF(ISBLANK(Table13[[#This Row],[Rating]]), "No", "Yes")</f>
        <v>Yes</v>
      </c>
      <c r="K2183" t="str">
        <f>IF(ISBLANK(Table13[[#This Row],[Rating]]), "Not Rated", IF(Table13[[#This Row],[Rating]] &lt; 3, "Low", IF(Table13[[#This Row],[Rating]] &lt; 4, "Medium", "High")))</f>
        <v>High</v>
      </c>
      <c r="L2183">
        <v>14</v>
      </c>
      <c r="M2183">
        <v>22</v>
      </c>
      <c r="N2183" t="str">
        <f>IF(Table13[[#This Row],[Price USD]]&lt;20,"Budget",IF(Table13[[#This Row],[Price USD]]&lt;=50,"Mid-range","Premium"))</f>
        <v>Mid-range</v>
      </c>
      <c r="O2183">
        <v>0</v>
      </c>
      <c r="P2183">
        <v>0</v>
      </c>
    </row>
    <row r="2184" spans="1:16" x14ac:dyDescent="0.25">
      <c r="A2184" t="s">
        <v>2707</v>
      </c>
      <c r="B2184" t="s">
        <v>2708</v>
      </c>
      <c r="C2184">
        <v>4348</v>
      </c>
      <c r="D2184" t="s">
        <v>61</v>
      </c>
      <c r="E2184" t="s">
        <v>13</v>
      </c>
      <c r="F2184">
        <v>8957</v>
      </c>
      <c r="G21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4">
        <v>4.4260000000000002</v>
      </c>
      <c r="J2184" t="str">
        <f>IF(ISBLANK(Table13[[#This Row],[Rating]]), "No", "Yes")</f>
        <v>Yes</v>
      </c>
      <c r="K2184" t="str">
        <f>IF(ISBLANK(Table13[[#This Row],[Rating]]), "Not Rated", IF(Table13[[#This Row],[Rating]] &lt; 3, "Low", IF(Table13[[#This Row],[Rating]] &lt; 4, "Medium", "High")))</f>
        <v>High</v>
      </c>
      <c r="L2184">
        <v>716</v>
      </c>
      <c r="M2184">
        <v>44</v>
      </c>
      <c r="N2184" t="str">
        <f>IF(Table13[[#This Row],[Price USD]]&lt;20,"Budget",IF(Table13[[#This Row],[Price USD]]&lt;=50,"Mid-range","Premium"))</f>
        <v>Mid-range</v>
      </c>
      <c r="O2184">
        <v>0</v>
      </c>
      <c r="P2184">
        <v>0</v>
      </c>
    </row>
    <row r="2185" spans="1:16" x14ac:dyDescent="0.25">
      <c r="A2185" t="s">
        <v>2703</v>
      </c>
      <c r="B2185" t="s">
        <v>2704</v>
      </c>
      <c r="C2185">
        <v>5946</v>
      </c>
      <c r="D2185" t="s">
        <v>341</v>
      </c>
      <c r="E2185" t="s">
        <v>21</v>
      </c>
      <c r="F2185">
        <v>8961</v>
      </c>
      <c r="G21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5">
        <v>4.4970999999999997</v>
      </c>
      <c r="J2185" t="str">
        <f>IF(ISBLANK(Table13[[#This Row],[Rating]]), "No", "Yes")</f>
        <v>Yes</v>
      </c>
      <c r="K2185" t="str">
        <f>IF(ISBLANK(Table13[[#This Row],[Rating]]), "Not Rated", IF(Table13[[#This Row],[Rating]] &lt; 3, "Low", IF(Table13[[#This Row],[Rating]] &lt; 4, "Medium", "High")))</f>
        <v>High</v>
      </c>
      <c r="L2185">
        <v>350</v>
      </c>
      <c r="M2185">
        <v>76</v>
      </c>
      <c r="N2185" t="str">
        <f>IF(Table13[[#This Row],[Price USD]]&lt;20,"Budget",IF(Table13[[#This Row],[Price USD]]&lt;=50,"Mid-range","Premium"))</f>
        <v>Premium</v>
      </c>
      <c r="O2185">
        <v>0</v>
      </c>
      <c r="P2185">
        <v>0</v>
      </c>
    </row>
    <row r="2186" spans="1:16" x14ac:dyDescent="0.25">
      <c r="A2186" t="s">
        <v>2701</v>
      </c>
      <c r="B2186" t="s">
        <v>2702</v>
      </c>
      <c r="C2186">
        <v>6084</v>
      </c>
      <c r="D2186" t="s">
        <v>269</v>
      </c>
      <c r="E2186" t="s">
        <v>220</v>
      </c>
      <c r="F2186">
        <v>8972</v>
      </c>
      <c r="G21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6">
        <v>4.0587999999999997</v>
      </c>
      <c r="J2186" t="str">
        <f>IF(ISBLANK(Table13[[#This Row],[Rating]]), "No", "Yes")</f>
        <v>Yes</v>
      </c>
      <c r="K2186" t="str">
        <f>IF(ISBLANK(Table13[[#This Row],[Rating]]), "Not Rated", IF(Table13[[#This Row],[Rating]] &lt; 3, "Low", IF(Table13[[#This Row],[Rating]] &lt; 4, "Medium", "High")))</f>
        <v>High</v>
      </c>
      <c r="L2186">
        <v>17</v>
      </c>
      <c r="M2186">
        <v>110</v>
      </c>
      <c r="N2186" t="str">
        <f>IF(Table13[[#This Row],[Price USD]]&lt;20,"Budget",IF(Table13[[#This Row],[Price USD]]&lt;=50,"Mid-range","Premium"))</f>
        <v>Premium</v>
      </c>
      <c r="O2186">
        <v>0</v>
      </c>
      <c r="P2186">
        <v>0</v>
      </c>
    </row>
    <row r="2187" spans="1:16" x14ac:dyDescent="0.25">
      <c r="A2187" t="s">
        <v>2699</v>
      </c>
      <c r="B2187" t="s">
        <v>2700</v>
      </c>
      <c r="C2187">
        <v>6373</v>
      </c>
      <c r="D2187" t="s">
        <v>1652</v>
      </c>
      <c r="E2187" t="s">
        <v>49</v>
      </c>
      <c r="F2187">
        <v>8977</v>
      </c>
      <c r="G21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7">
        <v>4.4256000000000002</v>
      </c>
      <c r="J2187" t="str">
        <f>IF(ISBLANK(Table13[[#This Row],[Rating]]), "No", "Yes")</f>
        <v>Yes</v>
      </c>
      <c r="K2187" t="str">
        <f>IF(ISBLANK(Table13[[#This Row],[Rating]]), "Not Rated", IF(Table13[[#This Row],[Rating]] &lt; 3, "Low", IF(Table13[[#This Row],[Rating]] &lt; 4, "Medium", "High")))</f>
        <v>High</v>
      </c>
      <c r="L2187">
        <v>195</v>
      </c>
      <c r="M2187">
        <v>38</v>
      </c>
      <c r="N2187" t="str">
        <f>IF(Table13[[#This Row],[Price USD]]&lt;20,"Budget",IF(Table13[[#This Row],[Price USD]]&lt;=50,"Mid-range","Premium"))</f>
        <v>Mid-range</v>
      </c>
      <c r="O2187">
        <v>0</v>
      </c>
      <c r="P2187">
        <v>0</v>
      </c>
    </row>
    <row r="2188" spans="1:16" x14ac:dyDescent="0.25">
      <c r="A2188" t="s">
        <v>2697</v>
      </c>
      <c r="B2188" t="s">
        <v>2698</v>
      </c>
      <c r="C2188">
        <v>6169</v>
      </c>
      <c r="D2188" t="s">
        <v>24</v>
      </c>
      <c r="E2188" t="s">
        <v>220</v>
      </c>
      <c r="F2188">
        <v>8989</v>
      </c>
      <c r="G21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8">
        <v>4.875</v>
      </c>
      <c r="J2188" t="str">
        <f>IF(ISBLANK(Table13[[#This Row],[Rating]]), "No", "Yes")</f>
        <v>Yes</v>
      </c>
      <c r="K2188" t="str">
        <f>IF(ISBLANK(Table13[[#This Row],[Rating]]), "Not Rated", IF(Table13[[#This Row],[Rating]] &lt; 3, "Low", IF(Table13[[#This Row],[Rating]] &lt; 4, "Medium", "High")))</f>
        <v>High</v>
      </c>
      <c r="L2188">
        <v>8</v>
      </c>
      <c r="M2188">
        <v>340</v>
      </c>
      <c r="N2188" t="str">
        <f>IF(Table13[[#This Row],[Price USD]]&lt;20,"Budget",IF(Table13[[#This Row],[Price USD]]&lt;=50,"Mid-range","Premium"))</f>
        <v>Premium</v>
      </c>
      <c r="O2188">
        <v>0</v>
      </c>
      <c r="P2188">
        <v>0</v>
      </c>
    </row>
    <row r="2189" spans="1:16" x14ac:dyDescent="0.25">
      <c r="A2189" t="s">
        <v>2695</v>
      </c>
      <c r="B2189" t="s">
        <v>2696</v>
      </c>
      <c r="C2189">
        <v>6114</v>
      </c>
      <c r="D2189" t="s">
        <v>1355</v>
      </c>
      <c r="E2189" t="s">
        <v>347</v>
      </c>
      <c r="F2189">
        <v>8990</v>
      </c>
      <c r="G21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89">
        <v>4.4558999999999997</v>
      </c>
      <c r="J2189" t="str">
        <f>IF(ISBLANK(Table13[[#This Row],[Rating]]), "No", "Yes")</f>
        <v>Yes</v>
      </c>
      <c r="K2189" t="str">
        <f>IF(ISBLANK(Table13[[#This Row],[Rating]]), "Not Rated", IF(Table13[[#This Row],[Rating]] &lt; 3, "Low", IF(Table13[[#This Row],[Rating]] &lt; 4, "Medium", "High")))</f>
        <v>High</v>
      </c>
      <c r="L2189">
        <v>136</v>
      </c>
      <c r="M2189">
        <v>179</v>
      </c>
      <c r="N2189" t="str">
        <f>IF(Table13[[#This Row],[Price USD]]&lt;20,"Budget",IF(Table13[[#This Row],[Price USD]]&lt;=50,"Mid-range","Premium"))</f>
        <v>Premium</v>
      </c>
      <c r="O2189">
        <v>0</v>
      </c>
      <c r="P2189">
        <v>0</v>
      </c>
    </row>
    <row r="2190" spans="1:16" x14ac:dyDescent="0.25">
      <c r="A2190" t="s">
        <v>2693</v>
      </c>
      <c r="B2190" t="s">
        <v>2694</v>
      </c>
      <c r="C2190">
        <v>3902</v>
      </c>
      <c r="D2190" t="s">
        <v>72</v>
      </c>
      <c r="E2190" t="s">
        <v>69</v>
      </c>
      <c r="F2190">
        <v>9000</v>
      </c>
      <c r="G21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0">
        <v>4.6666999999999996</v>
      </c>
      <c r="J2190" t="str">
        <f>IF(ISBLANK(Table13[[#This Row],[Rating]]), "No", "Yes")</f>
        <v>Yes</v>
      </c>
      <c r="K2190" t="str">
        <f>IF(ISBLANK(Table13[[#This Row],[Rating]]), "Not Rated", IF(Table13[[#This Row],[Rating]] &lt; 3, "Low", IF(Table13[[#This Row],[Rating]] &lt; 4, "Medium", "High")))</f>
        <v>High</v>
      </c>
      <c r="L2190">
        <v>27</v>
      </c>
      <c r="M2190">
        <v>5</v>
      </c>
      <c r="N2190" t="str">
        <f>IF(Table13[[#This Row],[Price USD]]&lt;20,"Budget",IF(Table13[[#This Row],[Price USD]]&lt;=50,"Mid-range","Premium"))</f>
        <v>Budget</v>
      </c>
      <c r="O2190">
        <v>0</v>
      </c>
      <c r="P2190">
        <v>0</v>
      </c>
    </row>
    <row r="2191" spans="1:16" x14ac:dyDescent="0.25">
      <c r="A2191" t="s">
        <v>2691</v>
      </c>
      <c r="B2191" t="s">
        <v>2692</v>
      </c>
      <c r="C2191">
        <v>3728</v>
      </c>
      <c r="D2191" t="s">
        <v>458</v>
      </c>
      <c r="E2191" t="s">
        <v>21</v>
      </c>
      <c r="F2191">
        <v>9001</v>
      </c>
      <c r="G21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1">
        <v>4.5530999999999997</v>
      </c>
      <c r="J2191" t="str">
        <f>IF(ISBLANK(Table13[[#This Row],[Rating]]), "No", "Yes")</f>
        <v>Yes</v>
      </c>
      <c r="K2191" t="str">
        <f>IF(ISBLANK(Table13[[#This Row],[Rating]]), "Not Rated", IF(Table13[[#This Row],[Rating]] &lt; 3, "Low", IF(Table13[[#This Row],[Rating]] &lt; 4, "Medium", "High")))</f>
        <v>High</v>
      </c>
      <c r="L2191">
        <v>508</v>
      </c>
      <c r="M2191">
        <v>95</v>
      </c>
      <c r="N2191" t="str">
        <f>IF(Table13[[#This Row],[Price USD]]&lt;20,"Budget",IF(Table13[[#This Row],[Price USD]]&lt;=50,"Mid-range","Premium"))</f>
        <v>Premium</v>
      </c>
      <c r="O2191">
        <v>0</v>
      </c>
      <c r="P2191">
        <v>0</v>
      </c>
    </row>
    <row r="2192" spans="1:16" x14ac:dyDescent="0.25">
      <c r="A2192" t="s">
        <v>2689</v>
      </c>
      <c r="B2192" t="s">
        <v>2690</v>
      </c>
      <c r="C2192">
        <v>6014</v>
      </c>
      <c r="D2192" t="s">
        <v>102</v>
      </c>
      <c r="E2192" t="s">
        <v>13</v>
      </c>
      <c r="F2192">
        <v>9022</v>
      </c>
      <c r="G21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2">
        <v>4.1409000000000002</v>
      </c>
      <c r="J2192" t="str">
        <f>IF(ISBLANK(Table13[[#This Row],[Rating]]), "No", "Yes")</f>
        <v>Yes</v>
      </c>
      <c r="K2192" t="str">
        <f>IF(ISBLANK(Table13[[#This Row],[Rating]]), "Not Rated", IF(Table13[[#This Row],[Rating]] &lt; 3, "Low", IF(Table13[[#This Row],[Rating]] &lt; 4, "Medium", "High")))</f>
        <v>High</v>
      </c>
      <c r="L2192">
        <v>504</v>
      </c>
      <c r="M2192">
        <v>29</v>
      </c>
      <c r="N2192" t="str">
        <f>IF(Table13[[#This Row],[Price USD]]&lt;20,"Budget",IF(Table13[[#This Row],[Price USD]]&lt;=50,"Mid-range","Premium"))</f>
        <v>Mid-range</v>
      </c>
      <c r="O2192">
        <v>0</v>
      </c>
      <c r="P2192">
        <v>0</v>
      </c>
    </row>
    <row r="2193" spans="1:16" x14ac:dyDescent="0.25">
      <c r="A2193" t="s">
        <v>2687</v>
      </c>
      <c r="B2193" t="s">
        <v>2688</v>
      </c>
      <c r="C2193">
        <v>5987</v>
      </c>
      <c r="D2193" t="s">
        <v>48</v>
      </c>
      <c r="E2193" t="s">
        <v>49</v>
      </c>
      <c r="F2193">
        <v>9058</v>
      </c>
      <c r="G21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3">
        <v>4.3333000000000004</v>
      </c>
      <c r="J2193" t="str">
        <f>IF(ISBLANK(Table13[[#This Row],[Rating]]), "No", "Yes")</f>
        <v>Yes</v>
      </c>
      <c r="K2193" t="str">
        <f>IF(ISBLANK(Table13[[#This Row],[Rating]]), "Not Rated", IF(Table13[[#This Row],[Rating]] &lt; 3, "Low", IF(Table13[[#This Row],[Rating]] &lt; 4, "Medium", "High")))</f>
        <v>High</v>
      </c>
      <c r="L2193">
        <v>57</v>
      </c>
      <c r="M2193">
        <v>34</v>
      </c>
      <c r="N2193" t="str">
        <f>IF(Table13[[#This Row],[Price USD]]&lt;20,"Budget",IF(Table13[[#This Row],[Price USD]]&lt;=50,"Mid-range","Premium"))</f>
        <v>Mid-range</v>
      </c>
      <c r="O2193">
        <v>0</v>
      </c>
      <c r="P2193">
        <v>0</v>
      </c>
    </row>
    <row r="2194" spans="1:16" x14ac:dyDescent="0.25">
      <c r="A2194" t="s">
        <v>2685</v>
      </c>
      <c r="B2194" t="s">
        <v>2686</v>
      </c>
      <c r="C2194">
        <v>1741</v>
      </c>
      <c r="D2194" t="s">
        <v>388</v>
      </c>
      <c r="E2194" t="s">
        <v>8</v>
      </c>
      <c r="F2194">
        <v>9070</v>
      </c>
      <c r="G21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4">
        <v>4.4419000000000004</v>
      </c>
      <c r="J2194" t="str">
        <f>IF(ISBLANK(Table13[[#This Row],[Rating]]), "No", "Yes")</f>
        <v>Yes</v>
      </c>
      <c r="K2194" t="str">
        <f>IF(ISBLANK(Table13[[#This Row],[Rating]]), "Not Rated", IF(Table13[[#This Row],[Rating]] &lt; 3, "Low", IF(Table13[[#This Row],[Rating]] &lt; 4, "Medium", "High")))</f>
        <v>High</v>
      </c>
      <c r="L2194">
        <v>602</v>
      </c>
      <c r="M2194">
        <v>140</v>
      </c>
      <c r="N2194" t="str">
        <f>IF(Table13[[#This Row],[Price USD]]&lt;20,"Budget",IF(Table13[[#This Row],[Price USD]]&lt;=50,"Mid-range","Premium"))</f>
        <v>Premium</v>
      </c>
      <c r="O2194">
        <v>0</v>
      </c>
      <c r="P2194">
        <v>0</v>
      </c>
    </row>
    <row r="2195" spans="1:16" x14ac:dyDescent="0.25">
      <c r="A2195" t="s">
        <v>2683</v>
      </c>
      <c r="B2195" t="s">
        <v>2684</v>
      </c>
      <c r="C2195">
        <v>6018</v>
      </c>
      <c r="D2195" t="s">
        <v>517</v>
      </c>
      <c r="E2195" t="s">
        <v>149</v>
      </c>
      <c r="F2195">
        <v>9082</v>
      </c>
      <c r="G21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5">
        <v>4.0229999999999997</v>
      </c>
      <c r="J2195" t="str">
        <f>IF(ISBLANK(Table13[[#This Row],[Rating]]), "No", "Yes")</f>
        <v>Yes</v>
      </c>
      <c r="K2195" t="str">
        <f>IF(ISBLANK(Table13[[#This Row],[Rating]]), "Not Rated", IF(Table13[[#This Row],[Rating]] &lt; 3, "Low", IF(Table13[[#This Row],[Rating]] &lt; 4, "Medium", "High")))</f>
        <v>High</v>
      </c>
      <c r="L2195">
        <v>87</v>
      </c>
      <c r="M2195">
        <v>70</v>
      </c>
      <c r="N2195" t="str">
        <f>IF(Table13[[#This Row],[Price USD]]&lt;20,"Budget",IF(Table13[[#This Row],[Price USD]]&lt;=50,"Mid-range","Premium"))</f>
        <v>Premium</v>
      </c>
      <c r="O2195">
        <v>0</v>
      </c>
      <c r="P2195">
        <v>0</v>
      </c>
    </row>
    <row r="2196" spans="1:16" x14ac:dyDescent="0.25">
      <c r="A2196" t="s">
        <v>2681</v>
      </c>
      <c r="B2196" t="s">
        <v>2682</v>
      </c>
      <c r="C2196">
        <v>6014</v>
      </c>
      <c r="D2196" t="s">
        <v>102</v>
      </c>
      <c r="E2196" t="s">
        <v>69</v>
      </c>
      <c r="F2196">
        <v>9087</v>
      </c>
      <c r="G21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6">
        <v>3.3060999999999998</v>
      </c>
      <c r="J2196" t="str">
        <f>IF(ISBLANK(Table13[[#This Row],[Rating]]), "No", "Yes")</f>
        <v>Yes</v>
      </c>
      <c r="K2196" t="str">
        <f>IF(ISBLANK(Table13[[#This Row],[Rating]]), "Not Rated", IF(Table13[[#This Row],[Rating]] &lt; 3, "Low", IF(Table13[[#This Row],[Rating]] &lt; 4, "Medium", "High")))</f>
        <v>Medium</v>
      </c>
      <c r="L2196">
        <v>49</v>
      </c>
      <c r="M2196">
        <v>9</v>
      </c>
      <c r="N2196" t="str">
        <f>IF(Table13[[#This Row],[Price USD]]&lt;20,"Budget",IF(Table13[[#This Row],[Price USD]]&lt;=50,"Mid-range","Premium"))</f>
        <v>Budget</v>
      </c>
      <c r="O2196">
        <v>0</v>
      </c>
      <c r="P2196">
        <v>0</v>
      </c>
    </row>
    <row r="2197" spans="1:16" x14ac:dyDescent="0.25">
      <c r="A2197" t="s">
        <v>2679</v>
      </c>
      <c r="B2197" t="s">
        <v>2680</v>
      </c>
      <c r="C2197">
        <v>6295</v>
      </c>
      <c r="D2197" t="s">
        <v>184</v>
      </c>
      <c r="E2197" t="s">
        <v>13</v>
      </c>
      <c r="F2197">
        <v>9095</v>
      </c>
      <c r="G21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7">
        <v>4.3094999999999999</v>
      </c>
      <c r="J2197" t="str">
        <f>IF(ISBLANK(Table13[[#This Row],[Rating]]), "No", "Yes")</f>
        <v>Yes</v>
      </c>
      <c r="K2197" t="str">
        <f>IF(ISBLANK(Table13[[#This Row],[Rating]]), "Not Rated", IF(Table13[[#This Row],[Rating]] &lt; 3, "Low", IF(Table13[[#This Row],[Rating]] &lt; 4, "Medium", "High")))</f>
        <v>High</v>
      </c>
      <c r="L2197">
        <v>42</v>
      </c>
      <c r="M2197">
        <v>13</v>
      </c>
      <c r="N2197" t="str">
        <f>IF(Table13[[#This Row],[Price USD]]&lt;20,"Budget",IF(Table13[[#This Row],[Price USD]]&lt;=50,"Mid-range","Premium"))</f>
        <v>Budget</v>
      </c>
      <c r="O2197">
        <v>0</v>
      </c>
      <c r="P2197">
        <v>0</v>
      </c>
    </row>
    <row r="2198" spans="1:16" x14ac:dyDescent="0.25">
      <c r="A2198" t="s">
        <v>2675</v>
      </c>
      <c r="B2198" t="s">
        <v>2676</v>
      </c>
      <c r="C2198">
        <v>8008</v>
      </c>
      <c r="D2198" t="s">
        <v>105</v>
      </c>
      <c r="E2198" t="s">
        <v>106</v>
      </c>
      <c r="F2198">
        <v>9157</v>
      </c>
      <c r="G21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8">
        <v>4.1886999999999999</v>
      </c>
      <c r="J2198" t="str">
        <f>IF(ISBLANK(Table13[[#This Row],[Rating]]), "No", "Yes")</f>
        <v>Yes</v>
      </c>
      <c r="K2198" t="str">
        <f>IF(ISBLANK(Table13[[#This Row],[Rating]]), "Not Rated", IF(Table13[[#This Row],[Rating]] &lt; 3, "Low", IF(Table13[[#This Row],[Rating]] &lt; 4, "Medium", "High")))</f>
        <v>High</v>
      </c>
      <c r="L2198">
        <v>53</v>
      </c>
      <c r="M2198">
        <v>24</v>
      </c>
      <c r="N2198" t="str">
        <f>IF(Table13[[#This Row],[Price USD]]&lt;20,"Budget",IF(Table13[[#This Row],[Price USD]]&lt;=50,"Mid-range","Premium"))</f>
        <v>Mid-range</v>
      </c>
      <c r="O2198">
        <v>0</v>
      </c>
      <c r="P2198">
        <v>0</v>
      </c>
    </row>
    <row r="2199" spans="1:16" x14ac:dyDescent="0.25">
      <c r="A2199" t="s">
        <v>2677</v>
      </c>
      <c r="B2199" t="s">
        <v>2678</v>
      </c>
      <c r="C2199">
        <v>5715</v>
      </c>
      <c r="D2199" t="s">
        <v>979</v>
      </c>
      <c r="E2199" t="s">
        <v>21</v>
      </c>
      <c r="F2199">
        <v>9157</v>
      </c>
      <c r="G21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1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199">
        <v>4.3479999999999999</v>
      </c>
      <c r="J2199" t="str">
        <f>IF(ISBLANK(Table13[[#This Row],[Rating]]), "No", "Yes")</f>
        <v>Yes</v>
      </c>
      <c r="K2199" t="str">
        <f>IF(ISBLANK(Table13[[#This Row],[Rating]]), "Not Rated", IF(Table13[[#This Row],[Rating]] &lt; 3, "Low", IF(Table13[[#This Row],[Rating]] &lt; 4, "Medium", "High")))</f>
        <v>High</v>
      </c>
      <c r="L2199">
        <v>3112</v>
      </c>
      <c r="M2199">
        <v>38.5</v>
      </c>
      <c r="N2199" t="str">
        <f>IF(Table13[[#This Row],[Price USD]]&lt;20,"Budget",IF(Table13[[#This Row],[Price USD]]&lt;=50,"Mid-range","Premium"))</f>
        <v>Mid-range</v>
      </c>
      <c r="O2199">
        <v>0</v>
      </c>
      <c r="P2199">
        <v>0</v>
      </c>
    </row>
    <row r="2200" spans="1:16" x14ac:dyDescent="0.25">
      <c r="A2200" t="s">
        <v>2673</v>
      </c>
      <c r="B2200" t="s">
        <v>2674</v>
      </c>
      <c r="C2200">
        <v>4372</v>
      </c>
      <c r="D2200" t="s">
        <v>1513</v>
      </c>
      <c r="E2200" t="s">
        <v>49</v>
      </c>
      <c r="F2200">
        <v>9171</v>
      </c>
      <c r="G22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0">
        <v>4.2804000000000002</v>
      </c>
      <c r="J2200" t="str">
        <f>IF(ISBLANK(Table13[[#This Row],[Rating]]), "No", "Yes")</f>
        <v>Yes</v>
      </c>
      <c r="K2200" t="str">
        <f>IF(ISBLANK(Table13[[#This Row],[Rating]]), "Not Rated", IF(Table13[[#This Row],[Rating]] &lt; 3, "Low", IF(Table13[[#This Row],[Rating]] &lt; 4, "Medium", "High")))</f>
        <v>High</v>
      </c>
      <c r="L2200">
        <v>189</v>
      </c>
      <c r="M2200">
        <v>67</v>
      </c>
      <c r="N2200" t="str">
        <f>IF(Table13[[#This Row],[Price USD]]&lt;20,"Budget",IF(Table13[[#This Row],[Price USD]]&lt;=50,"Mid-range","Premium"))</f>
        <v>Premium</v>
      </c>
      <c r="O2200">
        <v>0</v>
      </c>
      <c r="P2200">
        <v>0</v>
      </c>
    </row>
    <row r="2201" spans="1:16" x14ac:dyDescent="0.25">
      <c r="A2201" t="s">
        <v>2671</v>
      </c>
      <c r="B2201" t="s">
        <v>2672</v>
      </c>
      <c r="C2201">
        <v>4171</v>
      </c>
      <c r="D2201" t="s">
        <v>133</v>
      </c>
      <c r="E2201" t="s">
        <v>13</v>
      </c>
      <c r="F2201">
        <v>9182</v>
      </c>
      <c r="G22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1">
        <v>4.6923000000000004</v>
      </c>
      <c r="J2201" t="str">
        <f>IF(ISBLANK(Table13[[#This Row],[Rating]]), "No", "Yes")</f>
        <v>Yes</v>
      </c>
      <c r="K2201" t="str">
        <f>IF(ISBLANK(Table13[[#This Row],[Rating]]), "Not Rated", IF(Table13[[#This Row],[Rating]] &lt; 3, "Low", IF(Table13[[#This Row],[Rating]] &lt; 4, "Medium", "High")))</f>
        <v>High</v>
      </c>
      <c r="L2201">
        <v>13</v>
      </c>
      <c r="M2201">
        <v>38</v>
      </c>
      <c r="N2201" t="str">
        <f>IF(Table13[[#This Row],[Price USD]]&lt;20,"Budget",IF(Table13[[#This Row],[Price USD]]&lt;=50,"Mid-range","Premium"))</f>
        <v>Mid-range</v>
      </c>
      <c r="O2201">
        <v>0</v>
      </c>
      <c r="P2201">
        <v>0</v>
      </c>
    </row>
    <row r="2202" spans="1:16" x14ac:dyDescent="0.25">
      <c r="A2202" t="s">
        <v>2669</v>
      </c>
      <c r="B2202" t="s">
        <v>2670</v>
      </c>
      <c r="C2202">
        <v>4171</v>
      </c>
      <c r="D2202" t="s">
        <v>133</v>
      </c>
      <c r="E2202" t="s">
        <v>21</v>
      </c>
      <c r="F2202">
        <v>9188</v>
      </c>
      <c r="G22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2">
        <v>4.2202000000000002</v>
      </c>
      <c r="J2202" t="str">
        <f>IF(ISBLANK(Table13[[#This Row],[Rating]]), "No", "Yes")</f>
        <v>Yes</v>
      </c>
      <c r="K2202" t="str">
        <f>IF(ISBLANK(Table13[[#This Row],[Rating]]), "Not Rated", IF(Table13[[#This Row],[Rating]] &lt; 3, "Low", IF(Table13[[#This Row],[Rating]] &lt; 4, "Medium", "High")))</f>
        <v>High</v>
      </c>
      <c r="L2202">
        <v>1962</v>
      </c>
      <c r="M2202">
        <v>38</v>
      </c>
      <c r="N2202" t="str">
        <f>IF(Table13[[#This Row],[Price USD]]&lt;20,"Budget",IF(Table13[[#This Row],[Price USD]]&lt;=50,"Mid-range","Premium"))</f>
        <v>Mid-range</v>
      </c>
      <c r="O2202">
        <v>0</v>
      </c>
      <c r="P2202">
        <v>0</v>
      </c>
    </row>
    <row r="2203" spans="1:16" x14ac:dyDescent="0.25">
      <c r="A2203" t="s">
        <v>2667</v>
      </c>
      <c r="B2203" t="s">
        <v>2668</v>
      </c>
      <c r="C2203">
        <v>5626</v>
      </c>
      <c r="D2203" t="s">
        <v>1069</v>
      </c>
      <c r="E2203" t="s">
        <v>106</v>
      </c>
      <c r="F2203">
        <v>9236</v>
      </c>
      <c r="G22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3">
        <v>3.8311999999999999</v>
      </c>
      <c r="J2203" t="str">
        <f>IF(ISBLANK(Table13[[#This Row],[Rating]]), "No", "Yes")</f>
        <v>Yes</v>
      </c>
      <c r="K2203" t="str">
        <f>IF(ISBLANK(Table13[[#This Row],[Rating]]), "Not Rated", IF(Table13[[#This Row],[Rating]] &lt; 3, "Low", IF(Table13[[#This Row],[Rating]] &lt; 4, "Medium", "High")))</f>
        <v>Medium</v>
      </c>
      <c r="L2203">
        <v>160</v>
      </c>
      <c r="M2203">
        <v>44</v>
      </c>
      <c r="N2203" t="str">
        <f>IF(Table13[[#This Row],[Price USD]]&lt;20,"Budget",IF(Table13[[#This Row],[Price USD]]&lt;=50,"Mid-range","Premium"))</f>
        <v>Mid-range</v>
      </c>
      <c r="O2203">
        <v>0</v>
      </c>
      <c r="P2203">
        <v>0</v>
      </c>
    </row>
    <row r="2204" spans="1:16" x14ac:dyDescent="0.25">
      <c r="A2204" t="s">
        <v>2665</v>
      </c>
      <c r="B2204" t="s">
        <v>2666</v>
      </c>
      <c r="C2204">
        <v>6318</v>
      </c>
      <c r="D2204" t="s">
        <v>2040</v>
      </c>
      <c r="E2204" t="s">
        <v>8</v>
      </c>
      <c r="F2204">
        <v>9243</v>
      </c>
      <c r="G22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4">
        <v>4.8235000000000001</v>
      </c>
      <c r="J2204" t="str">
        <f>IF(ISBLANK(Table13[[#This Row],[Rating]]), "No", "Yes")</f>
        <v>Yes</v>
      </c>
      <c r="K2204" t="str">
        <f>IF(ISBLANK(Table13[[#This Row],[Rating]]), "Not Rated", IF(Table13[[#This Row],[Rating]] &lt; 3, "Low", IF(Table13[[#This Row],[Rating]] &lt; 4, "Medium", "High")))</f>
        <v>High</v>
      </c>
      <c r="L2204">
        <v>306</v>
      </c>
      <c r="M2204">
        <v>145</v>
      </c>
      <c r="N2204" t="str">
        <f>IF(Table13[[#This Row],[Price USD]]&lt;20,"Budget",IF(Table13[[#This Row],[Price USD]]&lt;=50,"Mid-range","Premium"))</f>
        <v>Premium</v>
      </c>
      <c r="O2204">
        <v>0</v>
      </c>
      <c r="P2204">
        <v>0</v>
      </c>
    </row>
    <row r="2205" spans="1:16" x14ac:dyDescent="0.25">
      <c r="A2205" t="s">
        <v>2663</v>
      </c>
      <c r="B2205" t="s">
        <v>2664</v>
      </c>
      <c r="C2205">
        <v>6289</v>
      </c>
      <c r="D2205" t="s">
        <v>111</v>
      </c>
      <c r="E2205" t="s">
        <v>13</v>
      </c>
      <c r="F2205">
        <v>9256</v>
      </c>
      <c r="G22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5">
        <v>4.4493</v>
      </c>
      <c r="J2205" t="str">
        <f>IF(ISBLANK(Table13[[#This Row],[Rating]]), "No", "Yes")</f>
        <v>Yes</v>
      </c>
      <c r="K2205" t="str">
        <f>IF(ISBLANK(Table13[[#This Row],[Rating]]), "Not Rated", IF(Table13[[#This Row],[Rating]] &lt; 3, "Low", IF(Table13[[#This Row],[Rating]] &lt; 4, "Medium", "High")))</f>
        <v>High</v>
      </c>
      <c r="L2205">
        <v>69</v>
      </c>
      <c r="M2205">
        <v>32</v>
      </c>
      <c r="N2205" t="str">
        <f>IF(Table13[[#This Row],[Price USD]]&lt;20,"Budget",IF(Table13[[#This Row],[Price USD]]&lt;=50,"Mid-range","Premium"))</f>
        <v>Mid-range</v>
      </c>
      <c r="O2205">
        <v>0</v>
      </c>
      <c r="P2205">
        <v>0</v>
      </c>
    </row>
    <row r="2206" spans="1:16" x14ac:dyDescent="0.25">
      <c r="A2206" t="s">
        <v>2661</v>
      </c>
      <c r="B2206" t="s">
        <v>2662</v>
      </c>
      <c r="C2206">
        <v>6358</v>
      </c>
      <c r="D2206" t="s">
        <v>2301</v>
      </c>
      <c r="E2206" t="s">
        <v>347</v>
      </c>
      <c r="F2206">
        <v>9271</v>
      </c>
      <c r="G22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6">
        <v>4.7954999999999997</v>
      </c>
      <c r="J2206" t="str">
        <f>IF(ISBLANK(Table13[[#This Row],[Rating]]), "No", "Yes")</f>
        <v>Yes</v>
      </c>
      <c r="K2206" t="str">
        <f>IF(ISBLANK(Table13[[#This Row],[Rating]]), "Not Rated", IF(Table13[[#This Row],[Rating]] &lt; 3, "Low", IF(Table13[[#This Row],[Rating]] &lt; 4, "Medium", "High")))</f>
        <v>High</v>
      </c>
      <c r="L2206">
        <v>44</v>
      </c>
      <c r="M2206">
        <v>79</v>
      </c>
      <c r="N2206" t="str">
        <f>IF(Table13[[#This Row],[Price USD]]&lt;20,"Budget",IF(Table13[[#This Row],[Price USD]]&lt;=50,"Mid-range","Premium"))</f>
        <v>Premium</v>
      </c>
      <c r="O2206">
        <v>0</v>
      </c>
      <c r="P2206">
        <v>0</v>
      </c>
    </row>
    <row r="2207" spans="1:16" x14ac:dyDescent="0.25">
      <c r="A2207" t="s">
        <v>2659</v>
      </c>
      <c r="B2207" t="s">
        <v>2660</v>
      </c>
      <c r="C2207">
        <v>4171</v>
      </c>
      <c r="D2207" t="s">
        <v>133</v>
      </c>
      <c r="E2207" t="s">
        <v>21</v>
      </c>
      <c r="F2207">
        <v>9290</v>
      </c>
      <c r="G22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7">
        <v>4.125</v>
      </c>
      <c r="J2207" t="str">
        <f>IF(ISBLANK(Table13[[#This Row],[Rating]]), "No", "Yes")</f>
        <v>Yes</v>
      </c>
      <c r="K2207" t="str">
        <f>IF(ISBLANK(Table13[[#This Row],[Rating]]), "Not Rated", IF(Table13[[#This Row],[Rating]] &lt; 3, "Low", IF(Table13[[#This Row],[Rating]] &lt; 4, "Medium", "High")))</f>
        <v>High</v>
      </c>
      <c r="L2207">
        <v>8</v>
      </c>
      <c r="M2207">
        <v>12</v>
      </c>
      <c r="N2207" t="str">
        <f>IF(Table13[[#This Row],[Price USD]]&lt;20,"Budget",IF(Table13[[#This Row],[Price USD]]&lt;=50,"Mid-range","Premium"))</f>
        <v>Budget</v>
      </c>
      <c r="O2207">
        <v>0</v>
      </c>
      <c r="P2207">
        <v>0</v>
      </c>
    </row>
    <row r="2208" spans="1:16" x14ac:dyDescent="0.25">
      <c r="A2208" t="s">
        <v>2657</v>
      </c>
      <c r="B2208" t="s">
        <v>2658</v>
      </c>
      <c r="C2208">
        <v>5972</v>
      </c>
      <c r="D2208" t="s">
        <v>54</v>
      </c>
      <c r="E2208" t="s">
        <v>13</v>
      </c>
      <c r="F2208">
        <v>9294</v>
      </c>
      <c r="G22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8">
        <v>3.6080999999999999</v>
      </c>
      <c r="J2208" t="str">
        <f>IF(ISBLANK(Table13[[#This Row],[Rating]]), "No", "Yes")</f>
        <v>Yes</v>
      </c>
      <c r="K2208" t="str">
        <f>IF(ISBLANK(Table13[[#This Row],[Rating]]), "Not Rated", IF(Table13[[#This Row],[Rating]] &lt; 3, "Low", IF(Table13[[#This Row],[Rating]] &lt; 4, "Medium", "High")))</f>
        <v>Medium</v>
      </c>
      <c r="L2208">
        <v>74</v>
      </c>
      <c r="M2208">
        <v>26</v>
      </c>
      <c r="N2208" t="str">
        <f>IF(Table13[[#This Row],[Price USD]]&lt;20,"Budget",IF(Table13[[#This Row],[Price USD]]&lt;=50,"Mid-range","Premium"))</f>
        <v>Mid-range</v>
      </c>
      <c r="O2208">
        <v>0</v>
      </c>
      <c r="P2208">
        <v>0</v>
      </c>
    </row>
    <row r="2209" spans="1:16" x14ac:dyDescent="0.25">
      <c r="A2209" t="s">
        <v>2655</v>
      </c>
      <c r="B2209" t="s">
        <v>2656</v>
      </c>
      <c r="C2209">
        <v>6219</v>
      </c>
      <c r="D2209" t="s">
        <v>277</v>
      </c>
      <c r="E2209" t="s">
        <v>8</v>
      </c>
      <c r="F2209">
        <v>9307</v>
      </c>
      <c r="G22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09">
        <v>4.3528000000000002</v>
      </c>
      <c r="J2209" t="str">
        <f>IF(ISBLANK(Table13[[#This Row],[Rating]]), "No", "Yes")</f>
        <v>Yes</v>
      </c>
      <c r="K2209" t="str">
        <f>IF(ISBLANK(Table13[[#This Row],[Rating]]), "Not Rated", IF(Table13[[#This Row],[Rating]] &lt; 3, "Low", IF(Table13[[#This Row],[Rating]] &lt; 4, "Medium", "High")))</f>
        <v>High</v>
      </c>
      <c r="L2209">
        <v>343</v>
      </c>
      <c r="M2209">
        <v>75</v>
      </c>
      <c r="N2209" t="str">
        <f>IF(Table13[[#This Row],[Price USD]]&lt;20,"Budget",IF(Table13[[#This Row],[Price USD]]&lt;=50,"Mid-range","Premium"))</f>
        <v>Premium</v>
      </c>
      <c r="O2209">
        <v>0</v>
      </c>
      <c r="P2209">
        <v>0</v>
      </c>
    </row>
    <row r="2210" spans="1:16" x14ac:dyDescent="0.25">
      <c r="A2210" t="s">
        <v>2653</v>
      </c>
      <c r="B2210" t="s">
        <v>2654</v>
      </c>
      <c r="C2210">
        <v>6018</v>
      </c>
      <c r="D2210" t="s">
        <v>517</v>
      </c>
      <c r="E2210" t="s">
        <v>13</v>
      </c>
      <c r="F2210">
        <v>9314</v>
      </c>
      <c r="G22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0">
        <v>4.0568999999999997</v>
      </c>
      <c r="J2210" t="str">
        <f>IF(ISBLANK(Table13[[#This Row],[Rating]]), "No", "Yes")</f>
        <v>Yes</v>
      </c>
      <c r="K2210" t="str">
        <f>IF(ISBLANK(Table13[[#This Row],[Rating]]), "Not Rated", IF(Table13[[#This Row],[Rating]] &lt; 3, "Low", IF(Table13[[#This Row],[Rating]] &lt; 4, "Medium", "High")))</f>
        <v>High</v>
      </c>
      <c r="L2210">
        <v>334</v>
      </c>
      <c r="M2210">
        <v>38</v>
      </c>
      <c r="N2210" t="str">
        <f>IF(Table13[[#This Row],[Price USD]]&lt;20,"Budget",IF(Table13[[#This Row],[Price USD]]&lt;=50,"Mid-range","Premium"))</f>
        <v>Mid-range</v>
      </c>
      <c r="O2210">
        <v>0</v>
      </c>
      <c r="P2210">
        <v>1</v>
      </c>
    </row>
    <row r="2211" spans="1:16" x14ac:dyDescent="0.25">
      <c r="A2211" t="s">
        <v>2651</v>
      </c>
      <c r="B2211" t="s">
        <v>2652</v>
      </c>
      <c r="C2211">
        <v>5987</v>
      </c>
      <c r="D2211" t="s">
        <v>48</v>
      </c>
      <c r="E2211" t="s">
        <v>220</v>
      </c>
      <c r="F2211">
        <v>9331</v>
      </c>
      <c r="G22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1">
        <v>3.75</v>
      </c>
      <c r="J2211" t="str">
        <f>IF(ISBLANK(Table13[[#This Row],[Rating]]), "No", "Yes")</f>
        <v>Yes</v>
      </c>
      <c r="K2211" t="str">
        <f>IF(ISBLANK(Table13[[#This Row],[Rating]]), "Not Rated", IF(Table13[[#This Row],[Rating]] &lt; 3, "Low", IF(Table13[[#This Row],[Rating]] &lt; 4, "Medium", "High")))</f>
        <v>Medium</v>
      </c>
      <c r="L2211">
        <v>8</v>
      </c>
      <c r="M2211">
        <v>30</v>
      </c>
      <c r="N2211" t="str">
        <f>IF(Table13[[#This Row],[Price USD]]&lt;20,"Budget",IF(Table13[[#This Row],[Price USD]]&lt;=50,"Mid-range","Premium"))</f>
        <v>Mid-range</v>
      </c>
      <c r="O2211">
        <v>0</v>
      </c>
      <c r="P2211">
        <v>0</v>
      </c>
    </row>
    <row r="2212" spans="1:16" x14ac:dyDescent="0.25">
      <c r="A2212" t="s">
        <v>2649</v>
      </c>
      <c r="B2212" t="s">
        <v>2650</v>
      </c>
      <c r="C2212">
        <v>6326</v>
      </c>
      <c r="D2212" t="s">
        <v>1693</v>
      </c>
      <c r="E2212" t="s">
        <v>144</v>
      </c>
      <c r="F2212">
        <v>9362</v>
      </c>
      <c r="G22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2">
        <v>4.1680000000000001</v>
      </c>
      <c r="J2212" t="str">
        <f>IF(ISBLANK(Table13[[#This Row],[Rating]]), "No", "Yes")</f>
        <v>Yes</v>
      </c>
      <c r="K2212" t="str">
        <f>IF(ISBLANK(Table13[[#This Row],[Rating]]), "Not Rated", IF(Table13[[#This Row],[Rating]] &lt; 3, "Low", IF(Table13[[#This Row],[Rating]] &lt; 4, "Medium", "High")))</f>
        <v>High</v>
      </c>
      <c r="L2212">
        <v>256</v>
      </c>
      <c r="M2212">
        <v>18</v>
      </c>
      <c r="N2212" t="str">
        <f>IF(Table13[[#This Row],[Price USD]]&lt;20,"Budget",IF(Table13[[#This Row],[Price USD]]&lt;=50,"Mid-range","Premium"))</f>
        <v>Budget</v>
      </c>
      <c r="O2212">
        <v>0</v>
      </c>
      <c r="P2212">
        <v>0</v>
      </c>
    </row>
    <row r="2213" spans="1:16" x14ac:dyDescent="0.25">
      <c r="A2213" t="s">
        <v>2647</v>
      </c>
      <c r="B2213" t="s">
        <v>2648</v>
      </c>
      <c r="C2213">
        <v>1741</v>
      </c>
      <c r="D2213" t="s">
        <v>388</v>
      </c>
      <c r="E2213" t="s">
        <v>21</v>
      </c>
      <c r="F2213">
        <v>9381</v>
      </c>
      <c r="G22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3">
        <v>4.4130000000000003</v>
      </c>
      <c r="J2213" t="str">
        <f>IF(ISBLANK(Table13[[#This Row],[Rating]]), "No", "Yes")</f>
        <v>Yes</v>
      </c>
      <c r="K2213" t="str">
        <f>IF(ISBLANK(Table13[[#This Row],[Rating]]), "Not Rated", IF(Table13[[#This Row],[Rating]] &lt; 3, "Low", IF(Table13[[#This Row],[Rating]] &lt; 4, "Medium", "High")))</f>
        <v>High</v>
      </c>
      <c r="L2213">
        <v>1511</v>
      </c>
      <c r="M2213">
        <v>54</v>
      </c>
      <c r="N2213" t="str">
        <f>IF(Table13[[#This Row],[Price USD]]&lt;20,"Budget",IF(Table13[[#This Row],[Price USD]]&lt;=50,"Mid-range","Premium"))</f>
        <v>Premium</v>
      </c>
      <c r="O2213">
        <v>0</v>
      </c>
      <c r="P2213">
        <v>1</v>
      </c>
    </row>
    <row r="2214" spans="1:16" x14ac:dyDescent="0.25">
      <c r="A2214" t="s">
        <v>2643</v>
      </c>
      <c r="B2214" t="s">
        <v>2644</v>
      </c>
      <c r="C2214">
        <v>7050</v>
      </c>
      <c r="D2214" t="s">
        <v>721</v>
      </c>
      <c r="E2214" t="s">
        <v>201</v>
      </c>
      <c r="F2214">
        <v>9393</v>
      </c>
      <c r="G22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4">
        <v>4.2222</v>
      </c>
      <c r="J2214" t="str">
        <f>IF(ISBLANK(Table13[[#This Row],[Rating]]), "No", "Yes")</f>
        <v>Yes</v>
      </c>
      <c r="K2214" t="str">
        <f>IF(ISBLANK(Table13[[#This Row],[Rating]]), "Not Rated", IF(Table13[[#This Row],[Rating]] &lt; 3, "Low", IF(Table13[[#This Row],[Rating]] &lt; 4, "Medium", "High")))</f>
        <v>High</v>
      </c>
      <c r="L2214">
        <v>81</v>
      </c>
      <c r="M2214">
        <v>26</v>
      </c>
      <c r="N2214" t="str">
        <f>IF(Table13[[#This Row],[Price USD]]&lt;20,"Budget",IF(Table13[[#This Row],[Price USD]]&lt;=50,"Mid-range","Premium"))</f>
        <v>Mid-range</v>
      </c>
      <c r="O2214">
        <v>0</v>
      </c>
      <c r="P2214">
        <v>0</v>
      </c>
    </row>
    <row r="2215" spans="1:16" x14ac:dyDescent="0.25">
      <c r="A2215" t="s">
        <v>2645</v>
      </c>
      <c r="B2215" t="s">
        <v>2646</v>
      </c>
      <c r="C2215">
        <v>7020</v>
      </c>
      <c r="D2215" t="s">
        <v>657</v>
      </c>
      <c r="E2215" t="s">
        <v>13</v>
      </c>
      <c r="F2215">
        <v>9393</v>
      </c>
      <c r="G22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5">
        <v>4.0210999999999997</v>
      </c>
      <c r="J2215" t="str">
        <f>IF(ISBLANK(Table13[[#This Row],[Rating]]), "No", "Yes")</f>
        <v>Yes</v>
      </c>
      <c r="K2215" t="str">
        <f>IF(ISBLANK(Table13[[#This Row],[Rating]]), "Not Rated", IF(Table13[[#This Row],[Rating]] &lt; 3, "Low", IF(Table13[[#This Row],[Rating]] &lt; 4, "Medium", "High")))</f>
        <v>High</v>
      </c>
      <c r="L2215">
        <v>95</v>
      </c>
      <c r="M2215">
        <v>88</v>
      </c>
      <c r="N2215" t="str">
        <f>IF(Table13[[#This Row],[Price USD]]&lt;20,"Budget",IF(Table13[[#This Row],[Price USD]]&lt;=50,"Mid-range","Premium"))</f>
        <v>Premium</v>
      </c>
      <c r="O2215">
        <v>0</v>
      </c>
      <c r="P2215">
        <v>0</v>
      </c>
    </row>
    <row r="2216" spans="1:16" x14ac:dyDescent="0.25">
      <c r="A2216" t="s">
        <v>2641</v>
      </c>
      <c r="B2216" t="s">
        <v>2642</v>
      </c>
      <c r="C2216">
        <v>5648</v>
      </c>
      <c r="D2216" t="s">
        <v>408</v>
      </c>
      <c r="E2216" t="s">
        <v>144</v>
      </c>
      <c r="F2216">
        <v>9396</v>
      </c>
      <c r="G22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6">
        <v>3.8980000000000001</v>
      </c>
      <c r="J2216" t="str">
        <f>IF(ISBLANK(Table13[[#This Row],[Rating]]), "No", "Yes")</f>
        <v>Yes</v>
      </c>
      <c r="K2216" t="str">
        <f>IF(ISBLANK(Table13[[#This Row],[Rating]]), "Not Rated", IF(Table13[[#This Row],[Rating]] &lt; 3, "Low", IF(Table13[[#This Row],[Rating]] &lt; 4, "Medium", "High")))</f>
        <v>Medium</v>
      </c>
      <c r="L2216">
        <v>49</v>
      </c>
      <c r="M2216">
        <v>16</v>
      </c>
      <c r="N2216" t="str">
        <f>IF(Table13[[#This Row],[Price USD]]&lt;20,"Budget",IF(Table13[[#This Row],[Price USD]]&lt;=50,"Mid-range","Premium"))</f>
        <v>Budget</v>
      </c>
      <c r="O2216">
        <v>0</v>
      </c>
      <c r="P2216">
        <v>0</v>
      </c>
    </row>
    <row r="2217" spans="1:16" x14ac:dyDescent="0.25">
      <c r="A2217" t="s">
        <v>2639</v>
      </c>
      <c r="B2217" t="s">
        <v>2640</v>
      </c>
      <c r="C2217">
        <v>1073</v>
      </c>
      <c r="D2217" t="s">
        <v>767</v>
      </c>
      <c r="E2217" t="s">
        <v>13</v>
      </c>
      <c r="F2217">
        <v>9400</v>
      </c>
      <c r="G22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7">
        <v>4.4231999999999996</v>
      </c>
      <c r="J2217" t="str">
        <f>IF(ISBLANK(Table13[[#This Row],[Rating]]), "No", "Yes")</f>
        <v>Yes</v>
      </c>
      <c r="K2217" t="str">
        <f>IF(ISBLANK(Table13[[#This Row],[Rating]]), "Not Rated", IF(Table13[[#This Row],[Rating]] &lt; 3, "Low", IF(Table13[[#This Row],[Rating]] &lt; 4, "Medium", "High")))</f>
        <v>High</v>
      </c>
      <c r="L2217">
        <v>560</v>
      </c>
      <c r="M2217">
        <v>50</v>
      </c>
      <c r="N2217" t="str">
        <f>IF(Table13[[#This Row],[Price USD]]&lt;20,"Budget",IF(Table13[[#This Row],[Price USD]]&lt;=50,"Mid-range","Premium"))</f>
        <v>Mid-range</v>
      </c>
      <c r="O2217">
        <v>0</v>
      </c>
      <c r="P2217">
        <v>0</v>
      </c>
    </row>
    <row r="2218" spans="1:16" x14ac:dyDescent="0.25">
      <c r="A2218" t="s">
        <v>2637</v>
      </c>
      <c r="B2218" t="s">
        <v>2638</v>
      </c>
      <c r="C2218">
        <v>6751</v>
      </c>
      <c r="D2218" t="s">
        <v>1738</v>
      </c>
      <c r="E2218" t="s">
        <v>21</v>
      </c>
      <c r="F2218">
        <v>9402</v>
      </c>
      <c r="G22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8">
        <v>4.1429</v>
      </c>
      <c r="J2218" t="str">
        <f>IF(ISBLANK(Table13[[#This Row],[Rating]]), "No", "Yes")</f>
        <v>Yes</v>
      </c>
      <c r="K2218" t="str">
        <f>IF(ISBLANK(Table13[[#This Row],[Rating]]), "Not Rated", IF(Table13[[#This Row],[Rating]] &lt; 3, "Low", IF(Table13[[#This Row],[Rating]] &lt; 4, "Medium", "High")))</f>
        <v>High</v>
      </c>
      <c r="L2218">
        <v>42</v>
      </c>
      <c r="M2218">
        <v>28</v>
      </c>
      <c r="N2218" t="str">
        <f>IF(Table13[[#This Row],[Price USD]]&lt;20,"Budget",IF(Table13[[#This Row],[Price USD]]&lt;=50,"Mid-range","Premium"))</f>
        <v>Mid-range</v>
      </c>
      <c r="O2218">
        <v>1</v>
      </c>
      <c r="P2218">
        <v>0</v>
      </c>
    </row>
    <row r="2219" spans="1:16" x14ac:dyDescent="0.25">
      <c r="A2219" t="s">
        <v>2635</v>
      </c>
      <c r="B2219" t="s">
        <v>2636</v>
      </c>
      <c r="C2219">
        <v>2082</v>
      </c>
      <c r="D2219" t="s">
        <v>594</v>
      </c>
      <c r="E2219" t="s">
        <v>149</v>
      </c>
      <c r="F2219">
        <v>9415</v>
      </c>
      <c r="G22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19">
        <v>4.2278000000000002</v>
      </c>
      <c r="J2219" t="str">
        <f>IF(ISBLANK(Table13[[#This Row],[Rating]]), "No", "Yes")</f>
        <v>Yes</v>
      </c>
      <c r="K2219" t="str">
        <f>IF(ISBLANK(Table13[[#This Row],[Rating]]), "Not Rated", IF(Table13[[#This Row],[Rating]] &lt; 3, "Low", IF(Table13[[#This Row],[Rating]] &lt; 4, "Medium", "High")))</f>
        <v>High</v>
      </c>
      <c r="L2219">
        <v>922</v>
      </c>
      <c r="M2219">
        <v>82</v>
      </c>
      <c r="N2219" t="str">
        <f>IF(Table13[[#This Row],[Price USD]]&lt;20,"Budget",IF(Table13[[#This Row],[Price USD]]&lt;=50,"Mid-range","Premium"))</f>
        <v>Premium</v>
      </c>
      <c r="O2219">
        <v>0</v>
      </c>
      <c r="P2219">
        <v>0</v>
      </c>
    </row>
    <row r="2220" spans="1:16" x14ac:dyDescent="0.25">
      <c r="A2220" t="s">
        <v>2633</v>
      </c>
      <c r="B2220" t="s">
        <v>2634</v>
      </c>
      <c r="C2220">
        <v>5668</v>
      </c>
      <c r="D2220" t="s">
        <v>93</v>
      </c>
      <c r="E2220" t="s">
        <v>69</v>
      </c>
      <c r="F2220">
        <v>9464</v>
      </c>
      <c r="G22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0">
        <v>4.0921000000000003</v>
      </c>
      <c r="J2220" t="str">
        <f>IF(ISBLANK(Table13[[#This Row],[Rating]]), "No", "Yes")</f>
        <v>Yes</v>
      </c>
      <c r="K2220" t="str">
        <f>IF(ISBLANK(Table13[[#This Row],[Rating]]), "Not Rated", IF(Table13[[#This Row],[Rating]] &lt; 3, "Low", IF(Table13[[#This Row],[Rating]] &lt; 4, "Medium", "High")))</f>
        <v>High</v>
      </c>
      <c r="L2220">
        <v>76</v>
      </c>
      <c r="M2220">
        <v>52</v>
      </c>
      <c r="N2220" t="str">
        <f>IF(Table13[[#This Row],[Price USD]]&lt;20,"Budget",IF(Table13[[#This Row],[Price USD]]&lt;=50,"Mid-range","Premium"))</f>
        <v>Premium</v>
      </c>
      <c r="O2220">
        <v>0</v>
      </c>
      <c r="P2220">
        <v>1</v>
      </c>
    </row>
    <row r="2221" spans="1:16" x14ac:dyDescent="0.25">
      <c r="A2221" t="s">
        <v>2630</v>
      </c>
      <c r="B2221" t="s">
        <v>2631</v>
      </c>
      <c r="C2221">
        <v>6500</v>
      </c>
      <c r="D2221" t="s">
        <v>2632</v>
      </c>
      <c r="E2221" t="s">
        <v>49</v>
      </c>
      <c r="F2221">
        <v>9474</v>
      </c>
      <c r="G22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1">
        <v>4.4904000000000002</v>
      </c>
      <c r="J2221" t="str">
        <f>IF(ISBLANK(Table13[[#This Row],[Rating]]), "No", "Yes")</f>
        <v>Yes</v>
      </c>
      <c r="K2221" t="str">
        <f>IF(ISBLANK(Table13[[#This Row],[Rating]]), "Not Rated", IF(Table13[[#This Row],[Rating]] &lt; 3, "Low", IF(Table13[[#This Row],[Rating]] &lt; 4, "Medium", "High")))</f>
        <v>High</v>
      </c>
      <c r="L2221">
        <v>208</v>
      </c>
      <c r="M2221">
        <v>30</v>
      </c>
      <c r="N2221" t="str">
        <f>IF(Table13[[#This Row],[Price USD]]&lt;20,"Budget",IF(Table13[[#This Row],[Price USD]]&lt;=50,"Mid-range","Premium"))</f>
        <v>Mid-range</v>
      </c>
      <c r="O2221">
        <v>0</v>
      </c>
      <c r="P2221">
        <v>0</v>
      </c>
    </row>
    <row r="2222" spans="1:16" x14ac:dyDescent="0.25">
      <c r="A2222" t="s">
        <v>2628</v>
      </c>
      <c r="B2222" t="s">
        <v>2629</v>
      </c>
      <c r="C2222">
        <v>3902</v>
      </c>
      <c r="D2222" t="s">
        <v>72</v>
      </c>
      <c r="E2222" t="s">
        <v>220</v>
      </c>
      <c r="F2222">
        <v>9475</v>
      </c>
      <c r="G22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2">
        <v>4.6666999999999996</v>
      </c>
      <c r="J2222" t="str">
        <f>IF(ISBLANK(Table13[[#This Row],[Rating]]), "No", "Yes")</f>
        <v>Yes</v>
      </c>
      <c r="K2222" t="str">
        <f>IF(ISBLANK(Table13[[#This Row],[Rating]]), "Not Rated", IF(Table13[[#This Row],[Rating]] &lt; 3, "Low", IF(Table13[[#This Row],[Rating]] &lt; 4, "Medium", "High")))</f>
        <v>High</v>
      </c>
      <c r="L2222">
        <v>33</v>
      </c>
      <c r="M2222">
        <v>20</v>
      </c>
      <c r="N2222" t="str">
        <f>IF(Table13[[#This Row],[Price USD]]&lt;20,"Budget",IF(Table13[[#This Row],[Price USD]]&lt;=50,"Mid-range","Premium"))</f>
        <v>Mid-range</v>
      </c>
      <c r="O2222">
        <v>0</v>
      </c>
      <c r="P2222">
        <v>0</v>
      </c>
    </row>
    <row r="2223" spans="1:16" x14ac:dyDescent="0.25">
      <c r="A2223" t="s">
        <v>2626</v>
      </c>
      <c r="B2223" t="s">
        <v>2627</v>
      </c>
      <c r="C2223">
        <v>6357</v>
      </c>
      <c r="D2223" t="s">
        <v>876</v>
      </c>
      <c r="E2223" t="s">
        <v>13</v>
      </c>
      <c r="F2223">
        <v>9487</v>
      </c>
      <c r="G22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3">
        <v>4.3606999999999996</v>
      </c>
      <c r="J2223" t="str">
        <f>IF(ISBLANK(Table13[[#This Row],[Rating]]), "No", "Yes")</f>
        <v>Yes</v>
      </c>
      <c r="K2223" t="str">
        <f>IF(ISBLANK(Table13[[#This Row],[Rating]]), "Not Rated", IF(Table13[[#This Row],[Rating]] &lt; 3, "Low", IF(Table13[[#This Row],[Rating]] &lt; 4, "Medium", "High")))</f>
        <v>High</v>
      </c>
      <c r="L2223">
        <v>122</v>
      </c>
      <c r="M2223">
        <v>28</v>
      </c>
      <c r="N2223" t="str">
        <f>IF(Table13[[#This Row],[Price USD]]&lt;20,"Budget",IF(Table13[[#This Row],[Price USD]]&lt;=50,"Mid-range","Premium"))</f>
        <v>Mid-range</v>
      </c>
      <c r="O2223">
        <v>0</v>
      </c>
      <c r="P2223">
        <v>0</v>
      </c>
    </row>
    <row r="2224" spans="1:16" x14ac:dyDescent="0.25">
      <c r="A2224" t="s">
        <v>2624</v>
      </c>
      <c r="B2224" t="s">
        <v>2625</v>
      </c>
      <c r="C2224">
        <v>1073</v>
      </c>
      <c r="D2224" t="s">
        <v>767</v>
      </c>
      <c r="E2224" t="s">
        <v>8</v>
      </c>
      <c r="F2224">
        <v>9535</v>
      </c>
      <c r="G22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4">
        <v>4.5713999999999997</v>
      </c>
      <c r="J2224" t="str">
        <f>IF(ISBLANK(Table13[[#This Row],[Rating]]), "No", "Yes")</f>
        <v>Yes</v>
      </c>
      <c r="K2224" t="str">
        <f>IF(ISBLANK(Table13[[#This Row],[Rating]]), "Not Rated", IF(Table13[[#This Row],[Rating]] &lt; 3, "Low", IF(Table13[[#This Row],[Rating]] &lt; 4, "Medium", "High")))</f>
        <v>High</v>
      </c>
      <c r="L2224">
        <v>35</v>
      </c>
      <c r="M2224">
        <v>102</v>
      </c>
      <c r="N2224" t="str">
        <f>IF(Table13[[#This Row],[Price USD]]&lt;20,"Budget",IF(Table13[[#This Row],[Price USD]]&lt;=50,"Mid-range","Premium"))</f>
        <v>Premium</v>
      </c>
      <c r="O2224">
        <v>0</v>
      </c>
      <c r="P2224">
        <v>0</v>
      </c>
    </row>
    <row r="2225" spans="1:16" x14ac:dyDescent="0.25">
      <c r="A2225" t="s">
        <v>2622</v>
      </c>
      <c r="B2225" t="s">
        <v>2623</v>
      </c>
      <c r="C2225">
        <v>6201</v>
      </c>
      <c r="D2225" t="s">
        <v>367</v>
      </c>
      <c r="E2225" t="s">
        <v>13</v>
      </c>
      <c r="F2225">
        <v>9567</v>
      </c>
      <c r="G22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5">
        <v>4.1333000000000002</v>
      </c>
      <c r="J2225" t="str">
        <f>IF(ISBLANK(Table13[[#This Row],[Rating]]), "No", "Yes")</f>
        <v>Yes</v>
      </c>
      <c r="K2225" t="str">
        <f>IF(ISBLANK(Table13[[#This Row],[Rating]]), "Not Rated", IF(Table13[[#This Row],[Rating]] &lt; 3, "Low", IF(Table13[[#This Row],[Rating]] &lt; 4, "Medium", "High")))</f>
        <v>High</v>
      </c>
      <c r="L2225">
        <v>45</v>
      </c>
      <c r="M2225">
        <v>95</v>
      </c>
      <c r="N2225" t="str">
        <f>IF(Table13[[#This Row],[Price USD]]&lt;20,"Budget",IF(Table13[[#This Row],[Price USD]]&lt;=50,"Mid-range","Premium"))</f>
        <v>Premium</v>
      </c>
      <c r="O2225">
        <v>0</v>
      </c>
      <c r="P2225">
        <v>0</v>
      </c>
    </row>
    <row r="2226" spans="1:16" x14ac:dyDescent="0.25">
      <c r="A2226" t="s">
        <v>2618</v>
      </c>
      <c r="B2226" t="s">
        <v>2619</v>
      </c>
      <c r="C2226">
        <v>6341</v>
      </c>
      <c r="D2226" t="s">
        <v>66</v>
      </c>
      <c r="E2226" t="s">
        <v>21</v>
      </c>
      <c r="F2226">
        <v>9568</v>
      </c>
      <c r="G22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6">
        <v>4.3281000000000001</v>
      </c>
      <c r="J2226" t="str">
        <f>IF(ISBLANK(Table13[[#This Row],[Rating]]), "No", "Yes")</f>
        <v>Yes</v>
      </c>
      <c r="K2226" t="str">
        <f>IF(ISBLANK(Table13[[#This Row],[Rating]]), "Not Rated", IF(Table13[[#This Row],[Rating]] &lt; 3, "Low", IF(Table13[[#This Row],[Rating]] &lt; 4, "Medium", "High")))</f>
        <v>High</v>
      </c>
      <c r="L2226">
        <v>64</v>
      </c>
      <c r="M2226">
        <v>37</v>
      </c>
      <c r="N2226" t="str">
        <f>IF(Table13[[#This Row],[Price USD]]&lt;20,"Budget",IF(Table13[[#This Row],[Price USD]]&lt;=50,"Mid-range","Premium"))</f>
        <v>Mid-range</v>
      </c>
      <c r="O2226">
        <v>0</v>
      </c>
      <c r="P2226">
        <v>0</v>
      </c>
    </row>
    <row r="2227" spans="1:16" x14ac:dyDescent="0.25">
      <c r="A2227" t="s">
        <v>2620</v>
      </c>
      <c r="B2227" t="s">
        <v>2621</v>
      </c>
      <c r="C2227">
        <v>1254</v>
      </c>
      <c r="D2227" t="s">
        <v>136</v>
      </c>
      <c r="E2227" t="s">
        <v>149</v>
      </c>
      <c r="F2227">
        <v>9568</v>
      </c>
      <c r="G22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7">
        <v>3.9066999999999998</v>
      </c>
      <c r="J2227" t="str">
        <f>IF(ISBLANK(Table13[[#This Row],[Rating]]), "No", "Yes")</f>
        <v>Yes</v>
      </c>
      <c r="K2227" t="str">
        <f>IF(ISBLANK(Table13[[#This Row],[Rating]]), "Not Rated", IF(Table13[[#This Row],[Rating]] &lt; 3, "Low", IF(Table13[[#This Row],[Rating]] &lt; 4, "Medium", "High")))</f>
        <v>Medium</v>
      </c>
      <c r="L2227">
        <v>150</v>
      </c>
      <c r="M2227">
        <v>54</v>
      </c>
      <c r="N2227" t="str">
        <f>IF(Table13[[#This Row],[Price USD]]&lt;20,"Budget",IF(Table13[[#This Row],[Price USD]]&lt;=50,"Mid-range","Premium"))</f>
        <v>Premium</v>
      </c>
      <c r="O2227">
        <v>0</v>
      </c>
      <c r="P2227">
        <v>0</v>
      </c>
    </row>
    <row r="2228" spans="1:16" x14ac:dyDescent="0.25">
      <c r="A2228" t="s">
        <v>2616</v>
      </c>
      <c r="B2228" t="s">
        <v>2617</v>
      </c>
      <c r="C2228">
        <v>6289</v>
      </c>
      <c r="D2228" t="s">
        <v>111</v>
      </c>
      <c r="E2228" t="s">
        <v>220</v>
      </c>
      <c r="F2228">
        <v>9573</v>
      </c>
      <c r="G22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8">
        <v>4.2</v>
      </c>
      <c r="J2228" t="str">
        <f>IF(ISBLANK(Table13[[#This Row],[Rating]]), "No", "Yes")</f>
        <v>Yes</v>
      </c>
      <c r="K2228" t="str">
        <f>IF(ISBLANK(Table13[[#This Row],[Rating]]), "Not Rated", IF(Table13[[#This Row],[Rating]] &lt; 3, "Low", IF(Table13[[#This Row],[Rating]] &lt; 4, "Medium", "High")))</f>
        <v>High</v>
      </c>
      <c r="L2228">
        <v>115</v>
      </c>
      <c r="M2228">
        <v>35</v>
      </c>
      <c r="N2228" t="str">
        <f>IF(Table13[[#This Row],[Price USD]]&lt;20,"Budget",IF(Table13[[#This Row],[Price USD]]&lt;=50,"Mid-range","Premium"))</f>
        <v>Mid-range</v>
      </c>
      <c r="O2228">
        <v>0</v>
      </c>
      <c r="P2228">
        <v>0</v>
      </c>
    </row>
    <row r="2229" spans="1:16" x14ac:dyDescent="0.25">
      <c r="A2229" t="s">
        <v>2614</v>
      </c>
      <c r="B2229" t="s">
        <v>2615</v>
      </c>
      <c r="C2229">
        <v>6341</v>
      </c>
      <c r="D2229" t="s">
        <v>66</v>
      </c>
      <c r="E2229" t="s">
        <v>8</v>
      </c>
      <c r="F2229">
        <v>9601</v>
      </c>
      <c r="G22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29">
        <v>4.7526000000000002</v>
      </c>
      <c r="J2229" t="str">
        <f>IF(ISBLANK(Table13[[#This Row],[Rating]]), "No", "Yes")</f>
        <v>Yes</v>
      </c>
      <c r="K2229" t="str">
        <f>IF(ISBLANK(Table13[[#This Row],[Rating]]), "Not Rated", IF(Table13[[#This Row],[Rating]] &lt; 3, "Low", IF(Table13[[#This Row],[Rating]] &lt; 4, "Medium", "High")))</f>
        <v>High</v>
      </c>
      <c r="L2229">
        <v>194</v>
      </c>
      <c r="M2229">
        <v>49</v>
      </c>
      <c r="N2229" t="str">
        <f>IF(Table13[[#This Row],[Price USD]]&lt;20,"Budget",IF(Table13[[#This Row],[Price USD]]&lt;=50,"Mid-range","Premium"))</f>
        <v>Mid-range</v>
      </c>
      <c r="O2229">
        <v>0</v>
      </c>
      <c r="P2229">
        <v>0</v>
      </c>
    </row>
    <row r="2230" spans="1:16" x14ac:dyDescent="0.25">
      <c r="A2230" t="s">
        <v>2612</v>
      </c>
      <c r="B2230" t="s">
        <v>2613</v>
      </c>
      <c r="C2230">
        <v>7037</v>
      </c>
      <c r="D2230" t="s">
        <v>1718</v>
      </c>
      <c r="E2230" t="s">
        <v>69</v>
      </c>
      <c r="F2230">
        <v>9611</v>
      </c>
      <c r="G22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0">
        <v>4.6315999999999997</v>
      </c>
      <c r="J2230" t="str">
        <f>IF(ISBLANK(Table13[[#This Row],[Rating]]), "No", "Yes")</f>
        <v>Yes</v>
      </c>
      <c r="K2230" t="str">
        <f>IF(ISBLANK(Table13[[#This Row],[Rating]]), "Not Rated", IF(Table13[[#This Row],[Rating]] &lt; 3, "Low", IF(Table13[[#This Row],[Rating]] &lt; 4, "Medium", "High")))</f>
        <v>High</v>
      </c>
      <c r="L2230">
        <v>19</v>
      </c>
      <c r="M2230">
        <v>21.99</v>
      </c>
      <c r="N2230" t="str">
        <f>IF(Table13[[#This Row],[Price USD]]&lt;20,"Budget",IF(Table13[[#This Row],[Price USD]]&lt;=50,"Mid-range","Premium"))</f>
        <v>Mid-range</v>
      </c>
      <c r="O2230">
        <v>0</v>
      </c>
      <c r="P2230">
        <v>0</v>
      </c>
    </row>
    <row r="2231" spans="1:16" x14ac:dyDescent="0.25">
      <c r="A2231" t="s">
        <v>2610</v>
      </c>
      <c r="B2231" t="s">
        <v>2611</v>
      </c>
      <c r="C2231">
        <v>3902</v>
      </c>
      <c r="D2231" t="s">
        <v>72</v>
      </c>
      <c r="E2231" t="s">
        <v>13</v>
      </c>
      <c r="F2231">
        <v>9632</v>
      </c>
      <c r="G22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1">
        <v>4.4443999999999999</v>
      </c>
      <c r="J2231" t="str">
        <f>IF(ISBLANK(Table13[[#This Row],[Rating]]), "No", "Yes")</f>
        <v>Yes</v>
      </c>
      <c r="K2231" t="str">
        <f>IF(ISBLANK(Table13[[#This Row],[Rating]]), "Not Rated", IF(Table13[[#This Row],[Rating]] &lt; 3, "Low", IF(Table13[[#This Row],[Rating]] &lt; 4, "Medium", "High")))</f>
        <v>High</v>
      </c>
      <c r="L2231">
        <v>18</v>
      </c>
      <c r="M2231">
        <v>14</v>
      </c>
      <c r="N2231" t="str">
        <f>IF(Table13[[#This Row],[Price USD]]&lt;20,"Budget",IF(Table13[[#This Row],[Price USD]]&lt;=50,"Mid-range","Premium"))</f>
        <v>Budget</v>
      </c>
      <c r="O2231">
        <v>0</v>
      </c>
      <c r="P2231">
        <v>0</v>
      </c>
    </row>
    <row r="2232" spans="1:16" x14ac:dyDescent="0.25">
      <c r="A2232" t="s">
        <v>2608</v>
      </c>
      <c r="B2232" t="s">
        <v>2609</v>
      </c>
      <c r="C2232">
        <v>5972</v>
      </c>
      <c r="D2232" t="s">
        <v>54</v>
      </c>
      <c r="E2232" t="s">
        <v>49</v>
      </c>
      <c r="F2232">
        <v>9664</v>
      </c>
      <c r="G22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2">
        <v>4.4878</v>
      </c>
      <c r="J2232" t="str">
        <f>IF(ISBLANK(Table13[[#This Row],[Rating]]), "No", "Yes")</f>
        <v>Yes</v>
      </c>
      <c r="K2232" t="str">
        <f>IF(ISBLANK(Table13[[#This Row],[Rating]]), "Not Rated", IF(Table13[[#This Row],[Rating]] &lt; 3, "Low", IF(Table13[[#This Row],[Rating]] &lt; 4, "Medium", "High")))</f>
        <v>High</v>
      </c>
      <c r="L2232">
        <v>246</v>
      </c>
      <c r="M2232">
        <v>28</v>
      </c>
      <c r="N2232" t="str">
        <f>IF(Table13[[#This Row],[Price USD]]&lt;20,"Budget",IF(Table13[[#This Row],[Price USD]]&lt;=50,"Mid-range","Premium"))</f>
        <v>Mid-range</v>
      </c>
      <c r="O2232">
        <v>0</v>
      </c>
      <c r="P2232">
        <v>0</v>
      </c>
    </row>
    <row r="2233" spans="1:16" x14ac:dyDescent="0.25">
      <c r="A2233" t="s">
        <v>2606</v>
      </c>
      <c r="B2233" t="s">
        <v>2607</v>
      </c>
      <c r="C2233">
        <v>6352</v>
      </c>
      <c r="D2233" t="s">
        <v>251</v>
      </c>
      <c r="E2233" t="s">
        <v>144</v>
      </c>
      <c r="F2233">
        <v>9677</v>
      </c>
      <c r="G22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3">
        <v>3.7726999999999999</v>
      </c>
      <c r="J2233" t="str">
        <f>IF(ISBLANK(Table13[[#This Row],[Rating]]), "No", "Yes")</f>
        <v>Yes</v>
      </c>
      <c r="K2233" t="str">
        <f>IF(ISBLANK(Table13[[#This Row],[Rating]]), "Not Rated", IF(Table13[[#This Row],[Rating]] &lt; 3, "Low", IF(Table13[[#This Row],[Rating]] &lt; 4, "Medium", "High")))</f>
        <v>Medium</v>
      </c>
      <c r="L2233">
        <v>22</v>
      </c>
      <c r="M2233">
        <v>15</v>
      </c>
      <c r="N2233" t="str">
        <f>IF(Table13[[#This Row],[Price USD]]&lt;20,"Budget",IF(Table13[[#This Row],[Price USD]]&lt;=50,"Mid-range","Premium"))</f>
        <v>Budget</v>
      </c>
      <c r="O2233">
        <v>0</v>
      </c>
      <c r="P2233">
        <v>0</v>
      </c>
    </row>
    <row r="2234" spans="1:16" x14ac:dyDescent="0.25">
      <c r="A2234" t="s">
        <v>2604</v>
      </c>
      <c r="B2234" t="s">
        <v>2605</v>
      </c>
      <c r="C2234">
        <v>6219</v>
      </c>
      <c r="D2234" t="s">
        <v>277</v>
      </c>
      <c r="E2234" t="s">
        <v>13</v>
      </c>
      <c r="F2234">
        <v>9681</v>
      </c>
      <c r="G22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4">
        <v>4.7942999999999998</v>
      </c>
      <c r="J2234" t="str">
        <f>IF(ISBLANK(Table13[[#This Row],[Rating]]), "No", "Yes")</f>
        <v>Yes</v>
      </c>
      <c r="K2234" t="str">
        <f>IF(ISBLANK(Table13[[#This Row],[Rating]]), "Not Rated", IF(Table13[[#This Row],[Rating]] &lt; 3, "Low", IF(Table13[[#This Row],[Rating]] &lt; 4, "Medium", "High")))</f>
        <v>High</v>
      </c>
      <c r="L2234">
        <v>559</v>
      </c>
      <c r="M2234">
        <v>65</v>
      </c>
      <c r="N2234" t="str">
        <f>IF(Table13[[#This Row],[Price USD]]&lt;20,"Budget",IF(Table13[[#This Row],[Price USD]]&lt;=50,"Mid-range","Premium"))</f>
        <v>Premium</v>
      </c>
      <c r="O2234">
        <v>0</v>
      </c>
      <c r="P2234">
        <v>0</v>
      </c>
    </row>
    <row r="2235" spans="1:16" x14ac:dyDescent="0.25">
      <c r="A2235" t="s">
        <v>2602</v>
      </c>
      <c r="B2235" t="s">
        <v>2603</v>
      </c>
      <c r="C2235">
        <v>6014</v>
      </c>
      <c r="D2235" t="s">
        <v>102</v>
      </c>
      <c r="E2235" t="s">
        <v>8</v>
      </c>
      <c r="F2235">
        <v>9689</v>
      </c>
      <c r="G22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5">
        <v>4.2462</v>
      </c>
      <c r="J2235" t="str">
        <f>IF(ISBLANK(Table13[[#This Row],[Rating]]), "No", "Yes")</f>
        <v>Yes</v>
      </c>
      <c r="K2235" t="str">
        <f>IF(ISBLANK(Table13[[#This Row],[Rating]]), "Not Rated", IF(Table13[[#This Row],[Rating]] &lt; 3, "Low", IF(Table13[[#This Row],[Rating]] &lt; 4, "Medium", "High")))</f>
        <v>High</v>
      </c>
      <c r="L2235">
        <v>65</v>
      </c>
      <c r="M2235">
        <v>9</v>
      </c>
      <c r="N2235" t="str">
        <f>IF(Table13[[#This Row],[Price USD]]&lt;20,"Budget",IF(Table13[[#This Row],[Price USD]]&lt;=50,"Mid-range","Premium"))</f>
        <v>Budget</v>
      </c>
      <c r="O2235">
        <v>0</v>
      </c>
      <c r="P2235">
        <v>1</v>
      </c>
    </row>
    <row r="2236" spans="1:16" x14ac:dyDescent="0.25">
      <c r="A2236" t="s">
        <v>2600</v>
      </c>
      <c r="B2236" t="s">
        <v>2601</v>
      </c>
      <c r="C2236">
        <v>5946</v>
      </c>
      <c r="D2236" t="s">
        <v>341</v>
      </c>
      <c r="E2236" t="s">
        <v>8</v>
      </c>
      <c r="F2236">
        <v>9711</v>
      </c>
      <c r="G22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6">
        <v>4.1824000000000003</v>
      </c>
      <c r="J2236" t="str">
        <f>IF(ISBLANK(Table13[[#This Row],[Rating]]), "No", "Yes")</f>
        <v>Yes</v>
      </c>
      <c r="K2236" t="str">
        <f>IF(ISBLANK(Table13[[#This Row],[Rating]]), "Not Rated", IF(Table13[[#This Row],[Rating]] &lt; 3, "Low", IF(Table13[[#This Row],[Rating]] &lt; 4, "Medium", "High")))</f>
        <v>High</v>
      </c>
      <c r="L2236">
        <v>603</v>
      </c>
      <c r="M2236">
        <v>110</v>
      </c>
      <c r="N2236" t="str">
        <f>IF(Table13[[#This Row],[Price USD]]&lt;20,"Budget",IF(Table13[[#This Row],[Price USD]]&lt;=50,"Mid-range","Premium"))</f>
        <v>Premium</v>
      </c>
      <c r="O2236">
        <v>0</v>
      </c>
      <c r="P2236">
        <v>0</v>
      </c>
    </row>
    <row r="2237" spans="1:16" x14ac:dyDescent="0.25">
      <c r="A2237" t="s">
        <v>2598</v>
      </c>
      <c r="B2237" t="s">
        <v>2599</v>
      </c>
      <c r="C2237">
        <v>4348</v>
      </c>
      <c r="D2237" t="s">
        <v>61</v>
      </c>
      <c r="E2237" t="s">
        <v>144</v>
      </c>
      <c r="F2237">
        <v>9725</v>
      </c>
      <c r="G22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7">
        <v>4.3571</v>
      </c>
      <c r="J2237" t="str">
        <f>IF(ISBLANK(Table13[[#This Row],[Rating]]), "No", "Yes")</f>
        <v>Yes</v>
      </c>
      <c r="K2237" t="str">
        <f>IF(ISBLANK(Table13[[#This Row],[Rating]]), "Not Rated", IF(Table13[[#This Row],[Rating]] &lt; 3, "Low", IF(Table13[[#This Row],[Rating]] &lt; 4, "Medium", "High")))</f>
        <v>High</v>
      </c>
      <c r="L2237">
        <v>28</v>
      </c>
      <c r="M2237">
        <v>40</v>
      </c>
      <c r="N2237" t="str">
        <f>IF(Table13[[#This Row],[Price USD]]&lt;20,"Budget",IF(Table13[[#This Row],[Price USD]]&lt;=50,"Mid-range","Premium"))</f>
        <v>Mid-range</v>
      </c>
      <c r="O2237">
        <v>0</v>
      </c>
      <c r="P2237">
        <v>0</v>
      </c>
    </row>
    <row r="2238" spans="1:16" x14ac:dyDescent="0.25">
      <c r="A2238" t="s">
        <v>2596</v>
      </c>
      <c r="B2238" t="s">
        <v>2597</v>
      </c>
      <c r="C2238">
        <v>6218</v>
      </c>
      <c r="D2238" t="s">
        <v>116</v>
      </c>
      <c r="E2238" t="s">
        <v>21</v>
      </c>
      <c r="F2238">
        <v>9733</v>
      </c>
      <c r="G22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8">
        <v>4.2824</v>
      </c>
      <c r="J2238" t="str">
        <f>IF(ISBLANK(Table13[[#This Row],[Rating]]), "No", "Yes")</f>
        <v>Yes</v>
      </c>
      <c r="K2238" t="str">
        <f>IF(ISBLANK(Table13[[#This Row],[Rating]]), "Not Rated", IF(Table13[[#This Row],[Rating]] &lt; 3, "Low", IF(Table13[[#This Row],[Rating]] &lt; 4, "Medium", "High")))</f>
        <v>High</v>
      </c>
      <c r="L2238">
        <v>170</v>
      </c>
      <c r="M2238">
        <v>76</v>
      </c>
      <c r="N2238" t="str">
        <f>IF(Table13[[#This Row],[Price USD]]&lt;20,"Budget",IF(Table13[[#This Row],[Price USD]]&lt;=50,"Mid-range","Premium"))</f>
        <v>Premium</v>
      </c>
      <c r="O2238">
        <v>0</v>
      </c>
      <c r="P2238">
        <v>0</v>
      </c>
    </row>
    <row r="2239" spans="1:16" x14ac:dyDescent="0.25">
      <c r="A2239" t="s">
        <v>2594</v>
      </c>
      <c r="B2239" t="s">
        <v>2595</v>
      </c>
      <c r="C2239">
        <v>3902</v>
      </c>
      <c r="D2239" t="s">
        <v>72</v>
      </c>
      <c r="E2239" t="s">
        <v>49</v>
      </c>
      <c r="F2239">
        <v>9757</v>
      </c>
      <c r="G22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39">
        <v>3.8308</v>
      </c>
      <c r="J2239" t="str">
        <f>IF(ISBLANK(Table13[[#This Row],[Rating]]), "No", "Yes")</f>
        <v>Yes</v>
      </c>
      <c r="K2239" t="str">
        <f>IF(ISBLANK(Table13[[#This Row],[Rating]]), "Not Rated", IF(Table13[[#This Row],[Rating]] &lt; 3, "Low", IF(Table13[[#This Row],[Rating]] &lt; 4, "Medium", "High")))</f>
        <v>Medium</v>
      </c>
      <c r="L2239">
        <v>65</v>
      </c>
      <c r="M2239">
        <v>17</v>
      </c>
      <c r="N2239" t="str">
        <f>IF(Table13[[#This Row],[Price USD]]&lt;20,"Budget",IF(Table13[[#This Row],[Price USD]]&lt;=50,"Mid-range","Premium"))</f>
        <v>Budget</v>
      </c>
      <c r="O2239">
        <v>0</v>
      </c>
      <c r="P2239">
        <v>1</v>
      </c>
    </row>
    <row r="2240" spans="1:16" x14ac:dyDescent="0.25">
      <c r="A2240" t="s">
        <v>2592</v>
      </c>
      <c r="B2240" t="s">
        <v>2593</v>
      </c>
      <c r="C2240">
        <v>6314</v>
      </c>
      <c r="D2240" t="s">
        <v>558</v>
      </c>
      <c r="E2240" t="s">
        <v>8</v>
      </c>
      <c r="F2240">
        <v>9772</v>
      </c>
      <c r="G22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0">
        <v>4.6299000000000001</v>
      </c>
      <c r="J2240" t="str">
        <f>IF(ISBLANK(Table13[[#This Row],[Rating]]), "No", "Yes")</f>
        <v>Yes</v>
      </c>
      <c r="K2240" t="str">
        <f>IF(ISBLANK(Table13[[#This Row],[Rating]]), "Not Rated", IF(Table13[[#This Row],[Rating]] &lt; 3, "Low", IF(Table13[[#This Row],[Rating]] &lt; 4, "Medium", "High")))</f>
        <v>High</v>
      </c>
      <c r="L2240">
        <v>254</v>
      </c>
      <c r="M2240">
        <v>88</v>
      </c>
      <c r="N2240" t="str">
        <f>IF(Table13[[#This Row],[Price USD]]&lt;20,"Budget",IF(Table13[[#This Row],[Price USD]]&lt;=50,"Mid-range","Premium"))</f>
        <v>Premium</v>
      </c>
      <c r="O2240">
        <v>0</v>
      </c>
      <c r="P2240">
        <v>0</v>
      </c>
    </row>
    <row r="2241" spans="1:16" x14ac:dyDescent="0.25">
      <c r="A2241" t="s">
        <v>2590</v>
      </c>
      <c r="B2241" t="s">
        <v>2591</v>
      </c>
      <c r="C2241">
        <v>1254</v>
      </c>
      <c r="D2241" t="s">
        <v>136</v>
      </c>
      <c r="E2241" t="s">
        <v>8</v>
      </c>
      <c r="F2241">
        <v>9778</v>
      </c>
      <c r="G22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1">
        <v>4.1303999999999998</v>
      </c>
      <c r="J2241" t="str">
        <f>IF(ISBLANK(Table13[[#This Row],[Rating]]), "No", "Yes")</f>
        <v>Yes</v>
      </c>
      <c r="K2241" t="str">
        <f>IF(ISBLANK(Table13[[#This Row],[Rating]]), "Not Rated", IF(Table13[[#This Row],[Rating]] &lt; 3, "Low", IF(Table13[[#This Row],[Rating]] &lt; 4, "Medium", "High")))</f>
        <v>High</v>
      </c>
      <c r="L2241">
        <v>115</v>
      </c>
      <c r="M2241">
        <v>52</v>
      </c>
      <c r="N2241" t="str">
        <f>IF(Table13[[#This Row],[Price USD]]&lt;20,"Budget",IF(Table13[[#This Row],[Price USD]]&lt;=50,"Mid-range","Premium"))</f>
        <v>Premium</v>
      </c>
      <c r="O2241">
        <v>0</v>
      </c>
      <c r="P2241">
        <v>0</v>
      </c>
    </row>
    <row r="2242" spans="1:16" x14ac:dyDescent="0.25">
      <c r="A2242" t="s">
        <v>2588</v>
      </c>
      <c r="B2242" t="s">
        <v>2589</v>
      </c>
      <c r="C2242">
        <v>1254</v>
      </c>
      <c r="D2242" t="s">
        <v>136</v>
      </c>
      <c r="E2242" t="s">
        <v>8</v>
      </c>
      <c r="F2242">
        <v>9788</v>
      </c>
      <c r="G22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2">
        <v>3.8603000000000001</v>
      </c>
      <c r="J2242" t="str">
        <f>IF(ISBLANK(Table13[[#This Row],[Rating]]), "No", "Yes")</f>
        <v>Yes</v>
      </c>
      <c r="K2242" t="str">
        <f>IF(ISBLANK(Table13[[#This Row],[Rating]]), "Not Rated", IF(Table13[[#This Row],[Rating]] &lt; 3, "Low", IF(Table13[[#This Row],[Rating]] &lt; 4, "Medium", "High")))</f>
        <v>Medium</v>
      </c>
      <c r="L2242">
        <v>408</v>
      </c>
      <c r="M2242">
        <v>55</v>
      </c>
      <c r="N2242" t="str">
        <f>IF(Table13[[#This Row],[Price USD]]&lt;20,"Budget",IF(Table13[[#This Row],[Price USD]]&lt;=50,"Mid-range","Premium"))</f>
        <v>Premium</v>
      </c>
      <c r="O2242">
        <v>0</v>
      </c>
      <c r="P2242">
        <v>0</v>
      </c>
    </row>
    <row r="2243" spans="1:16" x14ac:dyDescent="0.25">
      <c r="A2243" t="s">
        <v>2586</v>
      </c>
      <c r="B2243" t="s">
        <v>2587</v>
      </c>
      <c r="C2243">
        <v>3728</v>
      </c>
      <c r="D2243" t="s">
        <v>458</v>
      </c>
      <c r="E2243" t="s">
        <v>149</v>
      </c>
      <c r="F2243">
        <v>9815</v>
      </c>
      <c r="G22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3">
        <v>2.6429</v>
      </c>
      <c r="J2243" t="str">
        <f>IF(ISBLANK(Table13[[#This Row],[Rating]]), "No", "Yes")</f>
        <v>Yes</v>
      </c>
      <c r="K2243" t="str">
        <f>IF(ISBLANK(Table13[[#This Row],[Rating]]), "Not Rated", IF(Table13[[#This Row],[Rating]] &lt; 3, "Low", IF(Table13[[#This Row],[Rating]] &lt; 4, "Medium", "High")))</f>
        <v>Low</v>
      </c>
      <c r="L2243">
        <v>28</v>
      </c>
      <c r="M2243">
        <v>65</v>
      </c>
      <c r="N2243" t="str">
        <f>IF(Table13[[#This Row],[Price USD]]&lt;20,"Budget",IF(Table13[[#This Row],[Price USD]]&lt;=50,"Mid-range","Premium"))</f>
        <v>Premium</v>
      </c>
      <c r="O2243">
        <v>0</v>
      </c>
      <c r="P2243">
        <v>0</v>
      </c>
    </row>
    <row r="2244" spans="1:16" x14ac:dyDescent="0.25">
      <c r="A2244" t="s">
        <v>2584</v>
      </c>
      <c r="B2244" t="s">
        <v>2585</v>
      </c>
      <c r="C2244">
        <v>7037</v>
      </c>
      <c r="D2244" t="s">
        <v>1718</v>
      </c>
      <c r="E2244" t="s">
        <v>347</v>
      </c>
      <c r="F2244">
        <v>9822</v>
      </c>
      <c r="G22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4">
        <v>2.8879999999999999</v>
      </c>
      <c r="J2244" t="str">
        <f>IF(ISBLANK(Table13[[#This Row],[Rating]]), "No", "Yes")</f>
        <v>Yes</v>
      </c>
      <c r="K2244" t="str">
        <f>IF(ISBLANK(Table13[[#This Row],[Rating]]), "Not Rated", IF(Table13[[#This Row],[Rating]] &lt; 3, "Low", IF(Table13[[#This Row],[Rating]] &lt; 4, "Medium", "High")))</f>
        <v>Low</v>
      </c>
      <c r="L2244">
        <v>241</v>
      </c>
      <c r="M2244">
        <v>89</v>
      </c>
      <c r="N2244" t="str">
        <f>IF(Table13[[#This Row],[Price USD]]&lt;20,"Budget",IF(Table13[[#This Row],[Price USD]]&lt;=50,"Mid-range","Premium"))</f>
        <v>Premium</v>
      </c>
      <c r="O2244">
        <v>0</v>
      </c>
      <c r="P2244">
        <v>0</v>
      </c>
    </row>
    <row r="2245" spans="1:16" x14ac:dyDescent="0.25">
      <c r="A2245" t="s">
        <v>2581</v>
      </c>
      <c r="B2245" t="s">
        <v>2582</v>
      </c>
      <c r="C2245">
        <v>6371</v>
      </c>
      <c r="D2245" t="s">
        <v>2583</v>
      </c>
      <c r="E2245" t="s">
        <v>21</v>
      </c>
      <c r="F2245">
        <v>9824</v>
      </c>
      <c r="G22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5">
        <v>4.6604999999999999</v>
      </c>
      <c r="J2245" t="str">
        <f>IF(ISBLANK(Table13[[#This Row],[Rating]]), "No", "Yes")</f>
        <v>Yes</v>
      </c>
      <c r="K2245" t="str">
        <f>IF(ISBLANK(Table13[[#This Row],[Rating]]), "Not Rated", IF(Table13[[#This Row],[Rating]] &lt; 3, "Low", IF(Table13[[#This Row],[Rating]] &lt; 4, "Medium", "High")))</f>
        <v>High</v>
      </c>
      <c r="L2245">
        <v>539</v>
      </c>
      <c r="M2245">
        <v>36</v>
      </c>
      <c r="N2245" t="str">
        <f>IF(Table13[[#This Row],[Price USD]]&lt;20,"Budget",IF(Table13[[#This Row],[Price USD]]&lt;=50,"Mid-range","Premium"))</f>
        <v>Mid-range</v>
      </c>
      <c r="O2245">
        <v>0</v>
      </c>
      <c r="P2245">
        <v>1</v>
      </c>
    </row>
    <row r="2246" spans="1:16" x14ac:dyDescent="0.25">
      <c r="A2246" t="s">
        <v>2579</v>
      </c>
      <c r="B2246" t="s">
        <v>2580</v>
      </c>
      <c r="C2246">
        <v>6073</v>
      </c>
      <c r="D2246" t="s">
        <v>78</v>
      </c>
      <c r="E2246" t="s">
        <v>220</v>
      </c>
      <c r="F2246">
        <v>9837</v>
      </c>
      <c r="G22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6">
        <v>4.2</v>
      </c>
      <c r="J2246" t="str">
        <f>IF(ISBLANK(Table13[[#This Row],[Rating]]), "No", "Yes")</f>
        <v>Yes</v>
      </c>
      <c r="K2246" t="str">
        <f>IF(ISBLANK(Table13[[#This Row],[Rating]]), "Not Rated", IF(Table13[[#This Row],[Rating]] &lt; 3, "Low", IF(Table13[[#This Row],[Rating]] &lt; 4, "Medium", "High")))</f>
        <v>High</v>
      </c>
      <c r="L2246">
        <v>25</v>
      </c>
      <c r="M2246">
        <v>95</v>
      </c>
      <c r="N2246" t="str">
        <f>IF(Table13[[#This Row],[Price USD]]&lt;20,"Budget",IF(Table13[[#This Row],[Price USD]]&lt;=50,"Mid-range","Premium"))</f>
        <v>Premium</v>
      </c>
      <c r="O2246">
        <v>0</v>
      </c>
      <c r="P2246">
        <v>0</v>
      </c>
    </row>
    <row r="2247" spans="1:16" x14ac:dyDescent="0.25">
      <c r="A2247" t="s">
        <v>2577</v>
      </c>
      <c r="B2247" t="s">
        <v>2578</v>
      </c>
      <c r="C2247">
        <v>4372</v>
      </c>
      <c r="D2247" t="s">
        <v>1513</v>
      </c>
      <c r="E2247" t="s">
        <v>8</v>
      </c>
      <c r="F2247">
        <v>9838</v>
      </c>
      <c r="G22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7">
        <v>3.9634</v>
      </c>
      <c r="J2247" t="str">
        <f>IF(ISBLANK(Table13[[#This Row],[Rating]]), "No", "Yes")</f>
        <v>Yes</v>
      </c>
      <c r="K2247" t="str">
        <f>IF(ISBLANK(Table13[[#This Row],[Rating]]), "Not Rated", IF(Table13[[#This Row],[Rating]] &lt; 3, "Low", IF(Table13[[#This Row],[Rating]] &lt; 4, "Medium", "High")))</f>
        <v>Medium</v>
      </c>
      <c r="L2247">
        <v>82</v>
      </c>
      <c r="M2247">
        <v>71</v>
      </c>
      <c r="N2247" t="str">
        <f>IF(Table13[[#This Row],[Price USD]]&lt;20,"Budget",IF(Table13[[#This Row],[Price USD]]&lt;=50,"Mid-range","Premium"))</f>
        <v>Premium</v>
      </c>
      <c r="O2247">
        <v>0</v>
      </c>
      <c r="P2247">
        <v>0</v>
      </c>
    </row>
    <row r="2248" spans="1:16" x14ac:dyDescent="0.25">
      <c r="A2248" t="s">
        <v>2575</v>
      </c>
      <c r="B2248" t="s">
        <v>2576</v>
      </c>
      <c r="C2248">
        <v>3728</v>
      </c>
      <c r="D2248" t="s">
        <v>458</v>
      </c>
      <c r="E2248" t="s">
        <v>144</v>
      </c>
      <c r="F2248">
        <v>9844</v>
      </c>
      <c r="G22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8">
        <v>4.3699000000000003</v>
      </c>
      <c r="J2248" t="str">
        <f>IF(ISBLANK(Table13[[#This Row],[Rating]]), "No", "Yes")</f>
        <v>Yes</v>
      </c>
      <c r="K2248" t="str">
        <f>IF(ISBLANK(Table13[[#This Row],[Rating]]), "Not Rated", IF(Table13[[#This Row],[Rating]] &lt; 3, "Low", IF(Table13[[#This Row],[Rating]] &lt; 4, "Medium", "High")))</f>
        <v>High</v>
      </c>
      <c r="L2248">
        <v>1603</v>
      </c>
      <c r="M2248">
        <v>12</v>
      </c>
      <c r="N2248" t="str">
        <f>IF(Table13[[#This Row],[Price USD]]&lt;20,"Budget",IF(Table13[[#This Row],[Price USD]]&lt;=50,"Mid-range","Premium"))</f>
        <v>Budget</v>
      </c>
      <c r="O2248">
        <v>0</v>
      </c>
      <c r="P2248">
        <v>0</v>
      </c>
    </row>
    <row r="2249" spans="1:16" x14ac:dyDescent="0.25">
      <c r="A2249" t="s">
        <v>2573</v>
      </c>
      <c r="B2249" t="s">
        <v>2574</v>
      </c>
      <c r="C2249">
        <v>1741</v>
      </c>
      <c r="D2249" t="s">
        <v>388</v>
      </c>
      <c r="E2249" t="s">
        <v>149</v>
      </c>
      <c r="F2249">
        <v>9874</v>
      </c>
      <c r="G22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49">
        <v>4.6375999999999999</v>
      </c>
      <c r="J2249" t="str">
        <f>IF(ISBLANK(Table13[[#This Row],[Rating]]), "No", "Yes")</f>
        <v>Yes</v>
      </c>
      <c r="K2249" t="str">
        <f>IF(ISBLANK(Table13[[#This Row],[Rating]]), "Not Rated", IF(Table13[[#This Row],[Rating]] &lt; 3, "Low", IF(Table13[[#This Row],[Rating]] &lt; 4, "Medium", "High")))</f>
        <v>High</v>
      </c>
      <c r="L2249">
        <v>298</v>
      </c>
      <c r="M2249">
        <v>82</v>
      </c>
      <c r="N2249" t="str">
        <f>IF(Table13[[#This Row],[Price USD]]&lt;20,"Budget",IF(Table13[[#This Row],[Price USD]]&lt;=50,"Mid-range","Premium"))</f>
        <v>Premium</v>
      </c>
      <c r="O2249">
        <v>0</v>
      </c>
      <c r="P2249">
        <v>0</v>
      </c>
    </row>
    <row r="2250" spans="1:16" x14ac:dyDescent="0.25">
      <c r="A2250" t="s">
        <v>2571</v>
      </c>
      <c r="B2250" t="s">
        <v>2572</v>
      </c>
      <c r="C2250">
        <v>1254</v>
      </c>
      <c r="D2250" t="s">
        <v>136</v>
      </c>
      <c r="E2250" t="s">
        <v>13</v>
      </c>
      <c r="F2250">
        <v>9881</v>
      </c>
      <c r="G22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0">
        <v>4.1672000000000002</v>
      </c>
      <c r="J2250" t="str">
        <f>IF(ISBLANK(Table13[[#This Row],[Rating]]), "No", "Yes")</f>
        <v>Yes</v>
      </c>
      <c r="K2250" t="str">
        <f>IF(ISBLANK(Table13[[#This Row],[Rating]]), "Not Rated", IF(Table13[[#This Row],[Rating]] &lt; 3, "Low", IF(Table13[[#This Row],[Rating]] &lt; 4, "Medium", "High")))</f>
        <v>High</v>
      </c>
      <c r="L2250">
        <v>287</v>
      </c>
      <c r="M2250">
        <v>26.5</v>
      </c>
      <c r="N2250" t="str">
        <f>IF(Table13[[#This Row],[Price USD]]&lt;20,"Budget",IF(Table13[[#This Row],[Price USD]]&lt;=50,"Mid-range","Premium"))</f>
        <v>Mid-range</v>
      </c>
      <c r="O2250">
        <v>0</v>
      </c>
      <c r="P2250">
        <v>0</v>
      </c>
    </row>
    <row r="2251" spans="1:16" x14ac:dyDescent="0.25">
      <c r="A2251" t="s">
        <v>2569</v>
      </c>
      <c r="B2251" t="s">
        <v>2570</v>
      </c>
      <c r="C2251">
        <v>7037</v>
      </c>
      <c r="D2251" t="s">
        <v>1718</v>
      </c>
      <c r="E2251" t="s">
        <v>69</v>
      </c>
      <c r="F2251">
        <v>9889</v>
      </c>
      <c r="G22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1">
        <v>4.1666999999999996</v>
      </c>
      <c r="J2251" t="str">
        <f>IF(ISBLANK(Table13[[#This Row],[Rating]]), "No", "Yes")</f>
        <v>Yes</v>
      </c>
      <c r="K2251" t="str">
        <f>IF(ISBLANK(Table13[[#This Row],[Rating]]), "Not Rated", IF(Table13[[#This Row],[Rating]] &lt; 3, "Low", IF(Table13[[#This Row],[Rating]] &lt; 4, "Medium", "High")))</f>
        <v>High</v>
      </c>
      <c r="L2251">
        <v>18</v>
      </c>
      <c r="M2251">
        <v>10.99</v>
      </c>
      <c r="N2251" t="str">
        <f>IF(Table13[[#This Row],[Price USD]]&lt;20,"Budget",IF(Table13[[#This Row],[Price USD]]&lt;=50,"Mid-range","Premium"))</f>
        <v>Budget</v>
      </c>
      <c r="O2251">
        <v>0</v>
      </c>
      <c r="P2251">
        <v>0</v>
      </c>
    </row>
    <row r="2252" spans="1:16" x14ac:dyDescent="0.25">
      <c r="A2252" t="s">
        <v>2567</v>
      </c>
      <c r="B2252" t="s">
        <v>2568</v>
      </c>
      <c r="C2252">
        <v>3728</v>
      </c>
      <c r="D2252" t="s">
        <v>458</v>
      </c>
      <c r="E2252" t="s">
        <v>144</v>
      </c>
      <c r="F2252">
        <v>9899</v>
      </c>
      <c r="G22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2">
        <v>4.3148999999999997</v>
      </c>
      <c r="J2252" t="str">
        <f>IF(ISBLANK(Table13[[#This Row],[Rating]]), "No", "Yes")</f>
        <v>Yes</v>
      </c>
      <c r="K2252" t="str">
        <f>IF(ISBLANK(Table13[[#This Row],[Rating]]), "Not Rated", IF(Table13[[#This Row],[Rating]] &lt; 3, "Low", IF(Table13[[#This Row],[Rating]] &lt; 4, "Medium", "High")))</f>
        <v>High</v>
      </c>
      <c r="L2252">
        <v>794</v>
      </c>
      <c r="M2252">
        <v>23</v>
      </c>
      <c r="N2252" t="str">
        <f>IF(Table13[[#This Row],[Price USD]]&lt;20,"Budget",IF(Table13[[#This Row],[Price USD]]&lt;=50,"Mid-range","Premium"))</f>
        <v>Mid-range</v>
      </c>
      <c r="O2252">
        <v>0</v>
      </c>
      <c r="P2252">
        <v>0</v>
      </c>
    </row>
    <row r="2253" spans="1:16" x14ac:dyDescent="0.25">
      <c r="A2253" t="s">
        <v>2566</v>
      </c>
      <c r="B2253" t="s">
        <v>1827</v>
      </c>
      <c r="C2253">
        <v>6041</v>
      </c>
      <c r="D2253" t="s">
        <v>33</v>
      </c>
      <c r="E2253" t="s">
        <v>220</v>
      </c>
      <c r="F2253">
        <v>9900</v>
      </c>
      <c r="G22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3">
        <v>3.25</v>
      </c>
      <c r="J2253" t="str">
        <f>IF(ISBLANK(Table13[[#This Row],[Rating]]), "No", "Yes")</f>
        <v>Yes</v>
      </c>
      <c r="K2253" t="str">
        <f>IF(ISBLANK(Table13[[#This Row],[Rating]]), "Not Rated", IF(Table13[[#This Row],[Rating]] &lt; 3, "Low", IF(Table13[[#This Row],[Rating]] &lt; 4, "Medium", "High")))</f>
        <v>Medium</v>
      </c>
      <c r="L2253">
        <v>12</v>
      </c>
      <c r="M2253">
        <v>27</v>
      </c>
      <c r="N2253" t="str">
        <f>IF(Table13[[#This Row],[Price USD]]&lt;20,"Budget",IF(Table13[[#This Row],[Price USD]]&lt;=50,"Mid-range","Premium"))</f>
        <v>Mid-range</v>
      </c>
      <c r="O2253">
        <v>1</v>
      </c>
      <c r="P2253">
        <v>0</v>
      </c>
    </row>
    <row r="2254" spans="1:16" x14ac:dyDescent="0.25">
      <c r="A2254" t="s">
        <v>2564</v>
      </c>
      <c r="B2254" t="s">
        <v>2565</v>
      </c>
      <c r="C2254">
        <v>8008</v>
      </c>
      <c r="D2254" t="s">
        <v>105</v>
      </c>
      <c r="E2254" t="s">
        <v>106</v>
      </c>
      <c r="F2254">
        <v>9912</v>
      </c>
      <c r="G22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4">
        <v>3.7833000000000001</v>
      </c>
      <c r="J2254" t="str">
        <f>IF(ISBLANK(Table13[[#This Row],[Rating]]), "No", "Yes")</f>
        <v>Yes</v>
      </c>
      <c r="K2254" t="str">
        <f>IF(ISBLANK(Table13[[#This Row],[Rating]]), "Not Rated", IF(Table13[[#This Row],[Rating]] &lt; 3, "Low", IF(Table13[[#This Row],[Rating]] &lt; 4, "Medium", "High")))</f>
        <v>Medium</v>
      </c>
      <c r="L2254">
        <v>120</v>
      </c>
      <c r="M2254">
        <v>32</v>
      </c>
      <c r="N2254" t="str">
        <f>IF(Table13[[#This Row],[Price USD]]&lt;20,"Budget",IF(Table13[[#This Row],[Price USD]]&lt;=50,"Mid-range","Premium"))</f>
        <v>Mid-range</v>
      </c>
      <c r="O2254">
        <v>0</v>
      </c>
      <c r="P2254">
        <v>1</v>
      </c>
    </row>
    <row r="2255" spans="1:16" x14ac:dyDescent="0.25">
      <c r="A2255" t="s">
        <v>2562</v>
      </c>
      <c r="B2255" t="s">
        <v>2563</v>
      </c>
      <c r="C2255">
        <v>6314</v>
      </c>
      <c r="D2255" t="s">
        <v>558</v>
      </c>
      <c r="E2255" t="s">
        <v>13</v>
      </c>
      <c r="F2255">
        <v>9931</v>
      </c>
      <c r="G22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5">
        <v>4.5937999999999999</v>
      </c>
      <c r="J2255" t="str">
        <f>IF(ISBLANK(Table13[[#This Row],[Rating]]), "No", "Yes")</f>
        <v>Yes</v>
      </c>
      <c r="K2255" t="str">
        <f>IF(ISBLANK(Table13[[#This Row],[Rating]]), "Not Rated", IF(Table13[[#This Row],[Rating]] &lt; 3, "Low", IF(Table13[[#This Row],[Rating]] &lt; 4, "Medium", "High")))</f>
        <v>High</v>
      </c>
      <c r="L2255">
        <v>325</v>
      </c>
      <c r="M2255">
        <v>38</v>
      </c>
      <c r="N2255" t="str">
        <f>IF(Table13[[#This Row],[Price USD]]&lt;20,"Budget",IF(Table13[[#This Row],[Price USD]]&lt;=50,"Mid-range","Premium"))</f>
        <v>Mid-range</v>
      </c>
      <c r="O2255">
        <v>0</v>
      </c>
      <c r="P2255">
        <v>0</v>
      </c>
    </row>
    <row r="2256" spans="1:16" x14ac:dyDescent="0.25">
      <c r="A2256" t="s">
        <v>2560</v>
      </c>
      <c r="B2256" t="s">
        <v>2561</v>
      </c>
      <c r="C2256">
        <v>6256</v>
      </c>
      <c r="D2256" t="s">
        <v>346</v>
      </c>
      <c r="E2256" t="s">
        <v>201</v>
      </c>
      <c r="F2256">
        <v>9940</v>
      </c>
      <c r="G22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6">
        <v>4.7241</v>
      </c>
      <c r="J2256" t="str">
        <f>IF(ISBLANK(Table13[[#This Row],[Rating]]), "No", "Yes")</f>
        <v>Yes</v>
      </c>
      <c r="K2256" t="str">
        <f>IF(ISBLANK(Table13[[#This Row],[Rating]]), "Not Rated", IF(Table13[[#This Row],[Rating]] &lt; 3, "Low", IF(Table13[[#This Row],[Rating]] &lt; 4, "Medium", "High")))</f>
        <v>High</v>
      </c>
      <c r="L2256">
        <v>29</v>
      </c>
      <c r="M2256">
        <v>30</v>
      </c>
      <c r="N2256" t="str">
        <f>IF(Table13[[#This Row],[Price USD]]&lt;20,"Budget",IF(Table13[[#This Row],[Price USD]]&lt;=50,"Mid-range","Premium"))</f>
        <v>Mid-range</v>
      </c>
      <c r="O2256">
        <v>0</v>
      </c>
      <c r="P2256">
        <v>0</v>
      </c>
    </row>
    <row r="2257" spans="1:16" x14ac:dyDescent="0.25">
      <c r="A2257" t="s">
        <v>2558</v>
      </c>
      <c r="B2257" t="s">
        <v>2559</v>
      </c>
      <c r="C2257">
        <v>6073</v>
      </c>
      <c r="D2257" t="s">
        <v>78</v>
      </c>
      <c r="E2257" t="s">
        <v>8</v>
      </c>
      <c r="F2257">
        <v>9940</v>
      </c>
      <c r="G22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7">
        <v>4.726</v>
      </c>
      <c r="J2257" t="str">
        <f>IF(ISBLANK(Table13[[#This Row],[Rating]]), "No", "Yes")</f>
        <v>Yes</v>
      </c>
      <c r="K2257" t="str">
        <f>IF(ISBLANK(Table13[[#This Row],[Rating]]), "Not Rated", IF(Table13[[#This Row],[Rating]] &lt; 3, "Low", IF(Table13[[#This Row],[Rating]] &lt; 4, "Medium", "High")))</f>
        <v>High</v>
      </c>
      <c r="L2257">
        <v>624</v>
      </c>
      <c r="M2257">
        <v>65</v>
      </c>
      <c r="N2257" t="str">
        <f>IF(Table13[[#This Row],[Price USD]]&lt;20,"Budget",IF(Table13[[#This Row],[Price USD]]&lt;=50,"Mid-range","Premium"))</f>
        <v>Premium</v>
      </c>
      <c r="O2257">
        <v>0</v>
      </c>
      <c r="P2257">
        <v>0</v>
      </c>
    </row>
    <row r="2258" spans="1:16" x14ac:dyDescent="0.25">
      <c r="A2258" t="s">
        <v>2556</v>
      </c>
      <c r="B2258" t="s">
        <v>2557</v>
      </c>
      <c r="C2258">
        <v>3733</v>
      </c>
      <c r="D2258" t="s">
        <v>124</v>
      </c>
      <c r="E2258" t="s">
        <v>21</v>
      </c>
      <c r="F2258">
        <v>9952</v>
      </c>
      <c r="G22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8">
        <v>4.5896999999999997</v>
      </c>
      <c r="J2258" t="str">
        <f>IF(ISBLANK(Table13[[#This Row],[Rating]]), "No", "Yes")</f>
        <v>Yes</v>
      </c>
      <c r="K2258" t="str">
        <f>IF(ISBLANK(Table13[[#This Row],[Rating]]), "Not Rated", IF(Table13[[#This Row],[Rating]] &lt; 3, "Low", IF(Table13[[#This Row],[Rating]] &lt; 4, "Medium", "High")))</f>
        <v>High</v>
      </c>
      <c r="L2258">
        <v>78</v>
      </c>
      <c r="M2258">
        <v>73</v>
      </c>
      <c r="N2258" t="str">
        <f>IF(Table13[[#This Row],[Price USD]]&lt;20,"Budget",IF(Table13[[#This Row],[Price USD]]&lt;=50,"Mid-range","Premium"))</f>
        <v>Premium</v>
      </c>
      <c r="O2258">
        <v>0</v>
      </c>
      <c r="P2258">
        <v>0</v>
      </c>
    </row>
    <row r="2259" spans="1:16" x14ac:dyDescent="0.25">
      <c r="A2259" t="s">
        <v>2554</v>
      </c>
      <c r="B2259" t="s">
        <v>2555</v>
      </c>
      <c r="C2259">
        <v>6341</v>
      </c>
      <c r="D2259" t="s">
        <v>66</v>
      </c>
      <c r="E2259" t="s">
        <v>4</v>
      </c>
      <c r="F2259">
        <v>9969</v>
      </c>
      <c r="G22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59">
        <v>4.1538000000000004</v>
      </c>
      <c r="J2259" t="str">
        <f>IF(ISBLANK(Table13[[#This Row],[Rating]]), "No", "Yes")</f>
        <v>Yes</v>
      </c>
      <c r="K2259" t="str">
        <f>IF(ISBLANK(Table13[[#This Row],[Rating]]), "Not Rated", IF(Table13[[#This Row],[Rating]] &lt; 3, "Low", IF(Table13[[#This Row],[Rating]] &lt; 4, "Medium", "High")))</f>
        <v>High</v>
      </c>
      <c r="L2259">
        <v>52</v>
      </c>
      <c r="M2259">
        <v>32</v>
      </c>
      <c r="N2259" t="str">
        <f>IF(Table13[[#This Row],[Price USD]]&lt;20,"Budget",IF(Table13[[#This Row],[Price USD]]&lt;=50,"Mid-range","Premium"))</f>
        <v>Mid-range</v>
      </c>
      <c r="O2259">
        <v>0</v>
      </c>
      <c r="P2259">
        <v>0</v>
      </c>
    </row>
    <row r="2260" spans="1:16" x14ac:dyDescent="0.25">
      <c r="A2260" t="s">
        <v>2552</v>
      </c>
      <c r="B2260" t="s">
        <v>2553</v>
      </c>
      <c r="C2260">
        <v>8017</v>
      </c>
      <c r="D2260" t="s">
        <v>620</v>
      </c>
      <c r="E2260" t="s">
        <v>69</v>
      </c>
      <c r="F2260">
        <v>9986</v>
      </c>
      <c r="G22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60">
        <v>4</v>
      </c>
      <c r="J2260" t="str">
        <f>IF(ISBLANK(Table13[[#This Row],[Rating]]), "No", "Yes")</f>
        <v>Yes</v>
      </c>
      <c r="K2260" t="str">
        <f>IF(ISBLANK(Table13[[#This Row],[Rating]]), "Not Rated", IF(Table13[[#This Row],[Rating]] &lt; 3, "Low", IF(Table13[[#This Row],[Rating]] &lt; 4, "Medium", "High")))</f>
        <v>High</v>
      </c>
      <c r="L2260">
        <v>21</v>
      </c>
      <c r="M2260">
        <v>18</v>
      </c>
      <c r="N2260" t="str">
        <f>IF(Table13[[#This Row],[Price USD]]&lt;20,"Budget",IF(Table13[[#This Row],[Price USD]]&lt;=50,"Mid-range","Premium"))</f>
        <v>Budget</v>
      </c>
      <c r="O2260">
        <v>0</v>
      </c>
      <c r="P2260">
        <v>0</v>
      </c>
    </row>
    <row r="2261" spans="1:16" x14ac:dyDescent="0.25">
      <c r="A2261" t="s">
        <v>2550</v>
      </c>
      <c r="B2261" t="s">
        <v>2551</v>
      </c>
      <c r="C2261">
        <v>6207</v>
      </c>
      <c r="D2261" t="s">
        <v>914</v>
      </c>
      <c r="E2261" t="s">
        <v>13</v>
      </c>
      <c r="F2261">
        <v>9992</v>
      </c>
      <c r="G22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61">
        <v>4.6111000000000004</v>
      </c>
      <c r="J2261" t="str">
        <f>IF(ISBLANK(Table13[[#This Row],[Rating]]), "No", "Yes")</f>
        <v>Yes</v>
      </c>
      <c r="K2261" t="str">
        <f>IF(ISBLANK(Table13[[#This Row],[Rating]]), "Not Rated", IF(Table13[[#This Row],[Rating]] &lt; 3, "Low", IF(Table13[[#This Row],[Rating]] &lt; 4, "Medium", "High")))</f>
        <v>High</v>
      </c>
      <c r="L2261">
        <v>288</v>
      </c>
      <c r="M2261">
        <v>44</v>
      </c>
      <c r="N2261" t="str">
        <f>IF(Table13[[#This Row],[Price USD]]&lt;20,"Budget",IF(Table13[[#This Row],[Price USD]]&lt;=50,"Mid-range","Premium"))</f>
        <v>Mid-range</v>
      </c>
      <c r="O2261">
        <v>0</v>
      </c>
      <c r="P2261">
        <v>0</v>
      </c>
    </row>
    <row r="2262" spans="1:16" x14ac:dyDescent="0.25">
      <c r="A2262" t="s">
        <v>2548</v>
      </c>
      <c r="B2262" t="s">
        <v>2549</v>
      </c>
      <c r="C2262">
        <v>4171</v>
      </c>
      <c r="D2262" t="s">
        <v>133</v>
      </c>
      <c r="E2262" t="s">
        <v>13</v>
      </c>
      <c r="F2262">
        <v>10000</v>
      </c>
      <c r="G22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5K–10K</v>
      </c>
      <c r="H22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Medium</v>
      </c>
      <c r="I2262">
        <v>4.3522999999999996</v>
      </c>
      <c r="J2262" t="str">
        <f>IF(ISBLANK(Table13[[#This Row],[Rating]]), "No", "Yes")</f>
        <v>Yes</v>
      </c>
      <c r="K2262" t="str">
        <f>IF(ISBLANK(Table13[[#This Row],[Rating]]), "Not Rated", IF(Table13[[#This Row],[Rating]] &lt; 3, "Low", IF(Table13[[#This Row],[Rating]] &lt; 4, "Medium", "High")))</f>
        <v>High</v>
      </c>
      <c r="L2262">
        <v>176</v>
      </c>
      <c r="M2262">
        <v>30</v>
      </c>
      <c r="N2262" t="str">
        <f>IF(Table13[[#This Row],[Price USD]]&lt;20,"Budget",IF(Table13[[#This Row],[Price USD]]&lt;=50,"Mid-range","Premium"))</f>
        <v>Mid-range</v>
      </c>
      <c r="O2262">
        <v>0</v>
      </c>
      <c r="P2262">
        <v>0</v>
      </c>
    </row>
    <row r="2263" spans="1:16" x14ac:dyDescent="0.25">
      <c r="A2263" t="s">
        <v>4948</v>
      </c>
      <c r="B2263" t="s">
        <v>4949</v>
      </c>
      <c r="C2263">
        <v>3902</v>
      </c>
      <c r="D2263" t="s">
        <v>72</v>
      </c>
      <c r="E2263" t="s">
        <v>69</v>
      </c>
      <c r="F2263">
        <v>0</v>
      </c>
      <c r="G22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3">
        <v>3.4443999999999999</v>
      </c>
      <c r="J2263" t="str">
        <f>IF(ISBLANK(Table13[[#This Row],[Rating]]), "No", "Yes")</f>
        <v>Yes</v>
      </c>
      <c r="K2263" t="str">
        <f>IF(ISBLANK(Table13[[#This Row],[Rating]]), "Not Rated", IF(Table13[[#This Row],[Rating]] &lt; 3, "Low", IF(Table13[[#This Row],[Rating]] &lt; 4, "Medium", "High")))</f>
        <v>Medium</v>
      </c>
      <c r="L2263">
        <v>36</v>
      </c>
      <c r="M2263">
        <v>8</v>
      </c>
      <c r="N2263" t="str">
        <f>IF(Table13[[#This Row],[Price USD]]&lt;20,"Budget",IF(Table13[[#This Row],[Price USD]]&lt;=50,"Mid-range","Premium"))</f>
        <v>Budget</v>
      </c>
      <c r="O2263">
        <v>0</v>
      </c>
      <c r="P2263">
        <v>0</v>
      </c>
    </row>
    <row r="2264" spans="1:16" x14ac:dyDescent="0.25">
      <c r="A2264" t="s">
        <v>4952</v>
      </c>
      <c r="B2264" t="s">
        <v>4953</v>
      </c>
      <c r="C2264">
        <v>3902</v>
      </c>
      <c r="D2264" t="s">
        <v>72</v>
      </c>
      <c r="E2264" t="s">
        <v>69</v>
      </c>
      <c r="F2264">
        <v>0</v>
      </c>
      <c r="G22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4">
        <v>3.5769000000000002</v>
      </c>
      <c r="J2264" t="str">
        <f>IF(ISBLANK(Table13[[#This Row],[Rating]]), "No", "Yes")</f>
        <v>Yes</v>
      </c>
      <c r="K2264" t="str">
        <f>IF(ISBLANK(Table13[[#This Row],[Rating]]), "Not Rated", IF(Table13[[#This Row],[Rating]] &lt; 3, "Low", IF(Table13[[#This Row],[Rating]] &lt; 4, "Medium", "High")))</f>
        <v>Medium</v>
      </c>
      <c r="L2264">
        <v>26</v>
      </c>
      <c r="M2264">
        <v>8</v>
      </c>
      <c r="N2264" t="str">
        <f>IF(Table13[[#This Row],[Price USD]]&lt;20,"Budget",IF(Table13[[#This Row],[Price USD]]&lt;=50,"Mid-range","Premium"))</f>
        <v>Budget</v>
      </c>
      <c r="O2264">
        <v>0</v>
      </c>
      <c r="P2264">
        <v>0</v>
      </c>
    </row>
    <row r="2265" spans="1:16" x14ac:dyDescent="0.25">
      <c r="A2265" t="s">
        <v>4967</v>
      </c>
      <c r="B2265" t="s">
        <v>4968</v>
      </c>
      <c r="C2265">
        <v>4348</v>
      </c>
      <c r="D2265" t="s">
        <v>61</v>
      </c>
      <c r="E2265" t="s">
        <v>144</v>
      </c>
      <c r="F2265">
        <v>0</v>
      </c>
      <c r="G22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5">
        <v>3.7</v>
      </c>
      <c r="J2265" t="str">
        <f>IF(ISBLANK(Table13[[#This Row],[Rating]]), "No", "Yes")</f>
        <v>Yes</v>
      </c>
      <c r="K2265" t="str">
        <f>IF(ISBLANK(Table13[[#This Row],[Rating]]), "Not Rated", IF(Table13[[#This Row],[Rating]] &lt; 3, "Low", IF(Table13[[#This Row],[Rating]] &lt; 4, "Medium", "High")))</f>
        <v>Medium</v>
      </c>
      <c r="L2265">
        <v>10</v>
      </c>
      <c r="M2265">
        <v>15</v>
      </c>
      <c r="N2265" t="str">
        <f>IF(Table13[[#This Row],[Price USD]]&lt;20,"Budget",IF(Table13[[#This Row],[Price USD]]&lt;=50,"Mid-range","Premium"))</f>
        <v>Budget</v>
      </c>
      <c r="O2265">
        <v>0</v>
      </c>
      <c r="P2265">
        <v>0</v>
      </c>
    </row>
    <row r="2266" spans="1:16" x14ac:dyDescent="0.25">
      <c r="A2266" t="s">
        <v>4935</v>
      </c>
      <c r="B2266" t="s">
        <v>4936</v>
      </c>
      <c r="C2266">
        <v>6014</v>
      </c>
      <c r="D2266" t="s">
        <v>102</v>
      </c>
      <c r="E2266" t="s">
        <v>69</v>
      </c>
      <c r="F2266">
        <v>0</v>
      </c>
      <c r="G22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6">
        <v>3.8332999999999999</v>
      </c>
      <c r="J2266" t="str">
        <f>IF(ISBLANK(Table13[[#This Row],[Rating]]), "No", "Yes")</f>
        <v>Yes</v>
      </c>
      <c r="K2266" t="str">
        <f>IF(ISBLANK(Table13[[#This Row],[Rating]]), "Not Rated", IF(Table13[[#This Row],[Rating]] &lt; 3, "Low", IF(Table13[[#This Row],[Rating]] &lt; 4, "Medium", "High")))</f>
        <v>Medium</v>
      </c>
      <c r="L2266">
        <v>12</v>
      </c>
      <c r="M2266">
        <v>15</v>
      </c>
      <c r="N2266" t="str">
        <f>IF(Table13[[#This Row],[Price USD]]&lt;20,"Budget",IF(Table13[[#This Row],[Price USD]]&lt;=50,"Mid-range","Premium"))</f>
        <v>Budget</v>
      </c>
      <c r="O2266">
        <v>0</v>
      </c>
      <c r="P2266">
        <v>0</v>
      </c>
    </row>
    <row r="2267" spans="1:16" x14ac:dyDescent="0.25">
      <c r="A2267" t="s">
        <v>4939</v>
      </c>
      <c r="B2267" t="s">
        <v>4940</v>
      </c>
      <c r="C2267">
        <v>6014</v>
      </c>
      <c r="D2267" t="s">
        <v>102</v>
      </c>
      <c r="E2267" t="s">
        <v>69</v>
      </c>
      <c r="F2267">
        <v>0</v>
      </c>
      <c r="G22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7">
        <v>4</v>
      </c>
      <c r="J2267" t="str">
        <f>IF(ISBLANK(Table13[[#This Row],[Rating]]), "No", "Yes")</f>
        <v>Yes</v>
      </c>
      <c r="K2267" t="str">
        <f>IF(ISBLANK(Table13[[#This Row],[Rating]]), "Not Rated", IF(Table13[[#This Row],[Rating]] &lt; 3, "Low", IF(Table13[[#This Row],[Rating]] &lt; 4, "Medium", "High")))</f>
        <v>High</v>
      </c>
      <c r="L2267">
        <v>6</v>
      </c>
      <c r="M2267">
        <v>15</v>
      </c>
      <c r="N2267" t="str">
        <f>IF(Table13[[#This Row],[Price USD]]&lt;20,"Budget",IF(Table13[[#This Row],[Price USD]]&lt;=50,"Mid-range","Premium"))</f>
        <v>Budget</v>
      </c>
      <c r="O2267">
        <v>0</v>
      </c>
      <c r="P2267">
        <v>0</v>
      </c>
    </row>
    <row r="2268" spans="1:16" x14ac:dyDescent="0.25">
      <c r="A2268" t="s">
        <v>4941</v>
      </c>
      <c r="B2268" t="s">
        <v>4942</v>
      </c>
      <c r="C2268">
        <v>6014</v>
      </c>
      <c r="D2268" t="s">
        <v>102</v>
      </c>
      <c r="E2268" t="s">
        <v>69</v>
      </c>
      <c r="F2268">
        <v>0</v>
      </c>
      <c r="G22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8">
        <v>4.5556000000000001</v>
      </c>
      <c r="J2268" t="str">
        <f>IF(ISBLANK(Table13[[#This Row],[Rating]]), "No", "Yes")</f>
        <v>Yes</v>
      </c>
      <c r="K2268" t="str">
        <f>IF(ISBLANK(Table13[[#This Row],[Rating]]), "Not Rated", IF(Table13[[#This Row],[Rating]] &lt; 3, "Low", IF(Table13[[#This Row],[Rating]] &lt; 4, "Medium", "High")))</f>
        <v>High</v>
      </c>
      <c r="L2268">
        <v>9</v>
      </c>
      <c r="M2268">
        <v>15</v>
      </c>
      <c r="N2268" t="str">
        <f>IF(Table13[[#This Row],[Price USD]]&lt;20,"Budget",IF(Table13[[#This Row],[Price USD]]&lt;=50,"Mid-range","Premium"))</f>
        <v>Budget</v>
      </c>
      <c r="O2268">
        <v>0</v>
      </c>
      <c r="P2268">
        <v>0</v>
      </c>
    </row>
    <row r="2269" spans="1:16" x14ac:dyDescent="0.25">
      <c r="A2269" t="s">
        <v>4937</v>
      </c>
      <c r="B2269" t="s">
        <v>4938</v>
      </c>
      <c r="C2269">
        <v>6014</v>
      </c>
      <c r="D2269" t="s">
        <v>102</v>
      </c>
      <c r="E2269" t="s">
        <v>69</v>
      </c>
      <c r="F2269">
        <v>0</v>
      </c>
      <c r="G22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69">
        <v>4.8461999999999996</v>
      </c>
      <c r="J2269" t="str">
        <f>IF(ISBLANK(Table13[[#This Row],[Rating]]), "No", "Yes")</f>
        <v>Yes</v>
      </c>
      <c r="K2269" t="str">
        <f>IF(ISBLANK(Table13[[#This Row],[Rating]]), "Not Rated", IF(Table13[[#This Row],[Rating]] &lt; 3, "Low", IF(Table13[[#This Row],[Rating]] &lt; 4, "Medium", "High")))</f>
        <v>High</v>
      </c>
      <c r="L2269">
        <v>13</v>
      </c>
      <c r="M2269">
        <v>15</v>
      </c>
      <c r="N2269" t="str">
        <f>IF(Table13[[#This Row],[Price USD]]&lt;20,"Budget",IF(Table13[[#This Row],[Price USD]]&lt;=50,"Mid-range","Premium"))</f>
        <v>Budget</v>
      </c>
      <c r="O2269">
        <v>0</v>
      </c>
      <c r="P2269">
        <v>0</v>
      </c>
    </row>
    <row r="2270" spans="1:16" x14ac:dyDescent="0.25">
      <c r="A2270" t="s">
        <v>4965</v>
      </c>
      <c r="B2270" t="s">
        <v>4966</v>
      </c>
      <c r="C2270">
        <v>6219</v>
      </c>
      <c r="D2270" t="s">
        <v>277</v>
      </c>
      <c r="E2270" t="s">
        <v>144</v>
      </c>
      <c r="F2270">
        <v>0</v>
      </c>
      <c r="G22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0">
        <v>5</v>
      </c>
      <c r="J2270" t="str">
        <f>IF(ISBLANK(Table13[[#This Row],[Rating]]), "No", "Yes")</f>
        <v>Yes</v>
      </c>
      <c r="K2270" t="str">
        <f>IF(ISBLANK(Table13[[#This Row],[Rating]]), "Not Rated", IF(Table13[[#This Row],[Rating]] &lt; 3, "Low", IF(Table13[[#This Row],[Rating]] &lt; 4, "Medium", "High")))</f>
        <v>High</v>
      </c>
      <c r="L2270">
        <v>2</v>
      </c>
      <c r="M2270">
        <v>16.5</v>
      </c>
      <c r="N2270" t="str">
        <f>IF(Table13[[#This Row],[Price USD]]&lt;20,"Budget",IF(Table13[[#This Row],[Price USD]]&lt;=50,"Mid-range","Premium"))</f>
        <v>Budget</v>
      </c>
      <c r="O2270">
        <v>0</v>
      </c>
      <c r="P2270">
        <v>0</v>
      </c>
    </row>
    <row r="2271" spans="1:16" x14ac:dyDescent="0.25">
      <c r="A2271" t="s">
        <v>4961</v>
      </c>
      <c r="B2271" t="s">
        <v>4962</v>
      </c>
      <c r="C2271">
        <v>5674</v>
      </c>
      <c r="D2271" t="s">
        <v>141</v>
      </c>
      <c r="E2271" t="s">
        <v>144</v>
      </c>
      <c r="F2271">
        <v>0</v>
      </c>
      <c r="G22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1">
        <v>4.5</v>
      </c>
      <c r="J2271" t="str">
        <f>IF(ISBLANK(Table13[[#This Row],[Rating]]), "No", "Yes")</f>
        <v>Yes</v>
      </c>
      <c r="K2271" t="str">
        <f>IF(ISBLANK(Table13[[#This Row],[Rating]]), "Not Rated", IF(Table13[[#This Row],[Rating]] &lt; 3, "Low", IF(Table13[[#This Row],[Rating]] &lt; 4, "Medium", "High")))</f>
        <v>High</v>
      </c>
      <c r="L2271">
        <v>8</v>
      </c>
      <c r="M2271">
        <v>19</v>
      </c>
      <c r="N2271" t="str">
        <f>IF(Table13[[#This Row],[Price USD]]&lt;20,"Budget",IF(Table13[[#This Row],[Price USD]]&lt;=50,"Mid-range","Premium"))</f>
        <v>Budget</v>
      </c>
      <c r="O2271">
        <v>0</v>
      </c>
      <c r="P2271">
        <v>0</v>
      </c>
    </row>
    <row r="2272" spans="1:16" x14ac:dyDescent="0.25">
      <c r="A2272" t="s">
        <v>4946</v>
      </c>
      <c r="B2272" t="s">
        <v>4947</v>
      </c>
      <c r="C2272">
        <v>6014</v>
      </c>
      <c r="D2272" t="s">
        <v>102</v>
      </c>
      <c r="E2272" t="s">
        <v>8</v>
      </c>
      <c r="F2272">
        <v>0</v>
      </c>
      <c r="G22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2">
        <v>3.6311</v>
      </c>
      <c r="J2272" t="str">
        <f>IF(ISBLANK(Table13[[#This Row],[Rating]]), "No", "Yes")</f>
        <v>Yes</v>
      </c>
      <c r="K2272" t="str">
        <f>IF(ISBLANK(Table13[[#This Row],[Rating]]), "Not Rated", IF(Table13[[#This Row],[Rating]] &lt; 3, "Low", IF(Table13[[#This Row],[Rating]] &lt; 4, "Medium", "High")))</f>
        <v>Medium</v>
      </c>
      <c r="L2272">
        <v>122</v>
      </c>
      <c r="M2272">
        <v>20</v>
      </c>
      <c r="N2272" t="str">
        <f>IF(Table13[[#This Row],[Price USD]]&lt;20,"Budget",IF(Table13[[#This Row],[Price USD]]&lt;=50,"Mid-range","Premium"))</f>
        <v>Mid-range</v>
      </c>
      <c r="O2272">
        <v>0</v>
      </c>
      <c r="P2272">
        <v>0</v>
      </c>
    </row>
    <row r="2273" spans="1:16" x14ac:dyDescent="0.25">
      <c r="A2273" t="s">
        <v>4944</v>
      </c>
      <c r="B2273" t="s">
        <v>4945</v>
      </c>
      <c r="C2273">
        <v>6014</v>
      </c>
      <c r="D2273" t="s">
        <v>102</v>
      </c>
      <c r="E2273" t="s">
        <v>8</v>
      </c>
      <c r="F2273">
        <v>0</v>
      </c>
      <c r="G22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3">
        <v>3.9683999999999999</v>
      </c>
      <c r="J2273" t="str">
        <f>IF(ISBLANK(Table13[[#This Row],[Rating]]), "No", "Yes")</f>
        <v>Yes</v>
      </c>
      <c r="K2273" t="str">
        <f>IF(ISBLANK(Table13[[#This Row],[Rating]]), "Not Rated", IF(Table13[[#This Row],[Rating]] &lt; 3, "Low", IF(Table13[[#This Row],[Rating]] &lt; 4, "Medium", "High")))</f>
        <v>Medium</v>
      </c>
      <c r="L2273">
        <v>95</v>
      </c>
      <c r="M2273">
        <v>20</v>
      </c>
      <c r="N2273" t="str">
        <f>IF(Table13[[#This Row],[Price USD]]&lt;20,"Budget",IF(Table13[[#This Row],[Price USD]]&lt;=50,"Mid-range","Premium"))</f>
        <v>Mid-range</v>
      </c>
      <c r="O2273">
        <v>0</v>
      </c>
      <c r="P2273">
        <v>0</v>
      </c>
    </row>
    <row r="2274" spans="1:16" x14ac:dyDescent="0.25">
      <c r="A2274" t="s">
        <v>4969</v>
      </c>
      <c r="B2274" t="s">
        <v>4970</v>
      </c>
      <c r="C2274">
        <v>6041</v>
      </c>
      <c r="D2274" t="s">
        <v>33</v>
      </c>
      <c r="E2274" t="s">
        <v>144</v>
      </c>
      <c r="F2274">
        <v>0</v>
      </c>
      <c r="G22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4">
        <v>4</v>
      </c>
      <c r="J2274" t="str">
        <f>IF(ISBLANK(Table13[[#This Row],[Rating]]), "No", "Yes")</f>
        <v>Yes</v>
      </c>
      <c r="K2274" t="str">
        <f>IF(ISBLANK(Table13[[#This Row],[Rating]]), "Not Rated", IF(Table13[[#This Row],[Rating]] &lt; 3, "Low", IF(Table13[[#This Row],[Rating]] &lt; 4, "Medium", "High")))</f>
        <v>High</v>
      </c>
      <c r="L2274">
        <v>6</v>
      </c>
      <c r="M2274">
        <v>22</v>
      </c>
      <c r="N2274" t="str">
        <f>IF(Table13[[#This Row],[Price USD]]&lt;20,"Budget",IF(Table13[[#This Row],[Price USD]]&lt;=50,"Mid-range","Premium"))</f>
        <v>Mid-range</v>
      </c>
      <c r="O2274">
        <v>0</v>
      </c>
      <c r="P2274">
        <v>0</v>
      </c>
    </row>
    <row r="2275" spans="1:16" x14ac:dyDescent="0.25">
      <c r="A2275" t="s">
        <v>4971</v>
      </c>
      <c r="B2275" t="s">
        <v>4972</v>
      </c>
      <c r="C2275">
        <v>6041</v>
      </c>
      <c r="D2275" t="s">
        <v>33</v>
      </c>
      <c r="E2275" t="s">
        <v>21</v>
      </c>
      <c r="F2275">
        <v>0</v>
      </c>
      <c r="G22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75" t="str">
        <f>IF(ISBLANK(Table13[[#This Row],[Rating]]), "No", "Yes")</f>
        <v>No</v>
      </c>
      <c r="K2275" t="str">
        <f>IF(ISBLANK(Table13[[#This Row],[Rating]]), "Not Rated", IF(Table13[[#This Row],[Rating]] &lt; 3, "Low", IF(Table13[[#This Row],[Rating]] &lt; 4, "Medium", "High")))</f>
        <v>Not Rated</v>
      </c>
      <c r="L2275">
        <v>0</v>
      </c>
      <c r="M2275">
        <v>22</v>
      </c>
      <c r="N2275" t="str">
        <f>IF(Table13[[#This Row],[Price USD]]&lt;20,"Budget",IF(Table13[[#This Row],[Price USD]]&lt;=50,"Mid-range","Premium"))</f>
        <v>Mid-range</v>
      </c>
      <c r="O2275">
        <v>0</v>
      </c>
      <c r="P2275">
        <v>0</v>
      </c>
    </row>
    <row r="2276" spans="1:16" x14ac:dyDescent="0.25">
      <c r="A2276" t="s">
        <v>4954</v>
      </c>
      <c r="B2276" t="s">
        <v>4955</v>
      </c>
      <c r="C2276">
        <v>4348</v>
      </c>
      <c r="D2276" t="s">
        <v>61</v>
      </c>
      <c r="E2276" t="s">
        <v>4956</v>
      </c>
      <c r="F2276">
        <v>0</v>
      </c>
      <c r="G22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76">
        <v>4.2667000000000002</v>
      </c>
      <c r="J2276" t="str">
        <f>IF(ISBLANK(Table13[[#This Row],[Rating]]), "No", "Yes")</f>
        <v>Yes</v>
      </c>
      <c r="K2276" t="str">
        <f>IF(ISBLANK(Table13[[#This Row],[Rating]]), "Not Rated", IF(Table13[[#This Row],[Rating]] &lt; 3, "Low", IF(Table13[[#This Row],[Rating]] &lt; 4, "Medium", "High")))</f>
        <v>High</v>
      </c>
      <c r="L2276">
        <v>15</v>
      </c>
      <c r="M2276">
        <v>28</v>
      </c>
      <c r="N2276" t="str">
        <f>IF(Table13[[#This Row],[Price USD]]&lt;20,"Budget",IF(Table13[[#This Row],[Price USD]]&lt;=50,"Mid-range","Premium"))</f>
        <v>Mid-range</v>
      </c>
      <c r="O2276">
        <v>0</v>
      </c>
      <c r="P2276">
        <v>0</v>
      </c>
    </row>
    <row r="2277" spans="1:16" x14ac:dyDescent="0.25">
      <c r="A2277" t="s">
        <v>4973</v>
      </c>
      <c r="B2277" t="s">
        <v>4974</v>
      </c>
      <c r="C2277">
        <v>7055</v>
      </c>
      <c r="D2277" t="s">
        <v>3361</v>
      </c>
      <c r="E2277" t="s">
        <v>8</v>
      </c>
      <c r="F2277">
        <v>0</v>
      </c>
      <c r="G22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77" t="str">
        <f>IF(ISBLANK(Table13[[#This Row],[Rating]]), "No", "Yes")</f>
        <v>No</v>
      </c>
      <c r="K2277" t="str">
        <f>IF(ISBLANK(Table13[[#This Row],[Rating]]), "Not Rated", IF(Table13[[#This Row],[Rating]] &lt; 3, "Low", IF(Table13[[#This Row],[Rating]] &lt; 4, "Medium", "High")))</f>
        <v>Not Rated</v>
      </c>
      <c r="L2277">
        <v>0</v>
      </c>
      <c r="M2277">
        <v>35</v>
      </c>
      <c r="N2277" t="str">
        <f>IF(Table13[[#This Row],[Price USD]]&lt;20,"Budget",IF(Table13[[#This Row],[Price USD]]&lt;=50,"Mid-range","Premium"))</f>
        <v>Mid-range</v>
      </c>
      <c r="O2277">
        <v>0</v>
      </c>
      <c r="P2277">
        <v>0</v>
      </c>
    </row>
    <row r="2278" spans="1:16" x14ac:dyDescent="0.25">
      <c r="A2278" t="s">
        <v>4963</v>
      </c>
      <c r="B2278" t="s">
        <v>4964</v>
      </c>
      <c r="C2278">
        <v>6294</v>
      </c>
      <c r="D2278" t="s">
        <v>1520</v>
      </c>
      <c r="E2278" t="s">
        <v>144</v>
      </c>
      <c r="F2278">
        <v>0</v>
      </c>
      <c r="G22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78" t="str">
        <f>IF(ISBLANK(Table13[[#This Row],[Rating]]), "No", "Yes")</f>
        <v>No</v>
      </c>
      <c r="K2278" t="str">
        <f>IF(ISBLANK(Table13[[#This Row],[Rating]]), "Not Rated", IF(Table13[[#This Row],[Rating]] &lt; 3, "Low", IF(Table13[[#This Row],[Rating]] &lt; 4, "Medium", "High")))</f>
        <v>Not Rated</v>
      </c>
      <c r="L2278">
        <v>0</v>
      </c>
      <c r="M2278">
        <v>38</v>
      </c>
      <c r="N2278" t="str">
        <f>IF(Table13[[#This Row],[Price USD]]&lt;20,"Budget",IF(Table13[[#This Row],[Price USD]]&lt;=50,"Mid-range","Premium"))</f>
        <v>Mid-range</v>
      </c>
      <c r="O2278">
        <v>0</v>
      </c>
      <c r="P2278">
        <v>0</v>
      </c>
    </row>
    <row r="2279" spans="1:16" x14ac:dyDescent="0.25">
      <c r="A2279" t="s">
        <v>4957</v>
      </c>
      <c r="B2279" t="s">
        <v>4958</v>
      </c>
      <c r="C2279">
        <v>6274</v>
      </c>
      <c r="D2279" t="s">
        <v>2153</v>
      </c>
      <c r="E2279" t="s">
        <v>144</v>
      </c>
      <c r="F2279">
        <v>0</v>
      </c>
      <c r="G22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79" t="str">
        <f>IF(ISBLANK(Table13[[#This Row],[Rating]]), "No", "Yes")</f>
        <v>No</v>
      </c>
      <c r="K2279" t="str">
        <f>IF(ISBLANK(Table13[[#This Row],[Rating]]), "Not Rated", IF(Table13[[#This Row],[Rating]] &lt; 3, "Low", IF(Table13[[#This Row],[Rating]] &lt; 4, "Medium", "High")))</f>
        <v>Not Rated</v>
      </c>
      <c r="L2279">
        <v>0</v>
      </c>
      <c r="M2279">
        <v>38.5</v>
      </c>
      <c r="N2279" t="str">
        <f>IF(Table13[[#This Row],[Price USD]]&lt;20,"Budget",IF(Table13[[#This Row],[Price USD]]&lt;=50,"Mid-range","Premium"))</f>
        <v>Mid-range</v>
      </c>
      <c r="O2279">
        <v>0</v>
      </c>
      <c r="P2279">
        <v>0</v>
      </c>
    </row>
    <row r="2280" spans="1:16" x14ac:dyDescent="0.25">
      <c r="A2280" t="s">
        <v>4959</v>
      </c>
      <c r="B2280" t="s">
        <v>4960</v>
      </c>
      <c r="C2280">
        <v>4348</v>
      </c>
      <c r="D2280" t="s">
        <v>61</v>
      </c>
      <c r="E2280" t="s">
        <v>144</v>
      </c>
      <c r="F2280">
        <v>0</v>
      </c>
      <c r="G22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80">
        <v>4</v>
      </c>
      <c r="J2280" t="str">
        <f>IF(ISBLANK(Table13[[#This Row],[Rating]]), "No", "Yes")</f>
        <v>Yes</v>
      </c>
      <c r="K2280" t="str">
        <f>IF(ISBLANK(Table13[[#This Row],[Rating]]), "Not Rated", IF(Table13[[#This Row],[Rating]] &lt; 3, "Low", IF(Table13[[#This Row],[Rating]] &lt; 4, "Medium", "High")))</f>
        <v>High</v>
      </c>
      <c r="L2280">
        <v>3</v>
      </c>
      <c r="M2280">
        <v>40</v>
      </c>
      <c r="N2280" t="str">
        <f>IF(Table13[[#This Row],[Price USD]]&lt;20,"Budget",IF(Table13[[#This Row],[Price USD]]&lt;=50,"Mid-range","Premium"))</f>
        <v>Mid-range</v>
      </c>
      <c r="O2280">
        <v>0</v>
      </c>
      <c r="P2280">
        <v>0</v>
      </c>
    </row>
    <row r="2281" spans="1:16" x14ac:dyDescent="0.25">
      <c r="A2281" t="s">
        <v>4950</v>
      </c>
      <c r="B2281" t="s">
        <v>4951</v>
      </c>
      <c r="C2281">
        <v>8001</v>
      </c>
      <c r="D2281" t="s">
        <v>27</v>
      </c>
      <c r="E2281" t="s">
        <v>13</v>
      </c>
      <c r="F2281">
        <v>0</v>
      </c>
      <c r="G22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81">
        <v>4.4958</v>
      </c>
      <c r="J2281" t="str">
        <f>IF(ISBLANK(Table13[[#This Row],[Rating]]), "No", "Yes")</f>
        <v>Yes</v>
      </c>
      <c r="K2281" t="str">
        <f>IF(ISBLANK(Table13[[#This Row],[Rating]]), "Not Rated", IF(Table13[[#This Row],[Rating]] &lt; 3, "Low", IF(Table13[[#This Row],[Rating]] &lt; 4, "Medium", "High")))</f>
        <v>High</v>
      </c>
      <c r="L2281">
        <v>6158</v>
      </c>
      <c r="M2281">
        <v>60</v>
      </c>
      <c r="N2281" t="str">
        <f>IF(Table13[[#This Row],[Price USD]]&lt;20,"Budget",IF(Table13[[#This Row],[Price USD]]&lt;=50,"Mid-range","Premium"))</f>
        <v>Premium</v>
      </c>
      <c r="O2281">
        <v>0</v>
      </c>
      <c r="P2281">
        <v>0</v>
      </c>
    </row>
    <row r="2282" spans="1:16" x14ac:dyDescent="0.25">
      <c r="A2282" t="s">
        <v>4943</v>
      </c>
      <c r="B2282" t="s">
        <v>4503</v>
      </c>
      <c r="C2282">
        <v>5857</v>
      </c>
      <c r="D2282" t="s">
        <v>433</v>
      </c>
      <c r="E2282" t="s">
        <v>220</v>
      </c>
      <c r="F2282">
        <v>0</v>
      </c>
      <c r="G22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82" t="str">
        <f>IF(ISBLANK(Table13[[#This Row],[Rating]]), "No", "Yes")</f>
        <v>No</v>
      </c>
      <c r="K2282" t="str">
        <f>IF(ISBLANK(Table13[[#This Row],[Rating]]), "Not Rated", IF(Table13[[#This Row],[Rating]] &lt; 3, "Low", IF(Table13[[#This Row],[Rating]] &lt; 4, "Medium", "High")))</f>
        <v>Not Rated</v>
      </c>
      <c r="L2282">
        <v>0</v>
      </c>
      <c r="M2282">
        <v>66</v>
      </c>
      <c r="N2282" t="str">
        <f>IF(Table13[[#This Row],[Price USD]]&lt;20,"Budget",IF(Table13[[#This Row],[Price USD]]&lt;=50,"Mid-range","Premium"))</f>
        <v>Premium</v>
      </c>
      <c r="O2282">
        <v>0</v>
      </c>
      <c r="P2282">
        <v>0</v>
      </c>
    </row>
    <row r="2283" spans="1:16" x14ac:dyDescent="0.25">
      <c r="A2283" t="s">
        <v>4931</v>
      </c>
      <c r="B2283" t="s">
        <v>4932</v>
      </c>
      <c r="C2283">
        <v>1073</v>
      </c>
      <c r="D2283" t="s">
        <v>767</v>
      </c>
      <c r="E2283" t="s">
        <v>8</v>
      </c>
      <c r="F2283">
        <v>0</v>
      </c>
      <c r="G22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83">
        <v>3.4</v>
      </c>
      <c r="J2283" t="str">
        <f>IF(ISBLANK(Table13[[#This Row],[Rating]]), "No", "Yes")</f>
        <v>Yes</v>
      </c>
      <c r="K2283" t="str">
        <f>IF(ISBLANK(Table13[[#This Row],[Rating]]), "Not Rated", IF(Table13[[#This Row],[Rating]] &lt; 3, "Low", IF(Table13[[#This Row],[Rating]] &lt; 4, "Medium", "High")))</f>
        <v>Medium</v>
      </c>
      <c r="L2283">
        <v>5</v>
      </c>
      <c r="M2283">
        <v>110</v>
      </c>
      <c r="N2283" t="str">
        <f>IF(Table13[[#This Row],[Price USD]]&lt;20,"Budget",IF(Table13[[#This Row],[Price USD]]&lt;=50,"Mid-range","Premium"))</f>
        <v>Premium</v>
      </c>
      <c r="O2283">
        <v>0</v>
      </c>
      <c r="P2283">
        <v>0</v>
      </c>
    </row>
    <row r="2284" spans="1:16" x14ac:dyDescent="0.25">
      <c r="A2284" t="s">
        <v>4933</v>
      </c>
      <c r="B2284" t="s">
        <v>4934</v>
      </c>
      <c r="C2284">
        <v>1073</v>
      </c>
      <c r="D2284" t="s">
        <v>767</v>
      </c>
      <c r="E2284" t="s">
        <v>8</v>
      </c>
      <c r="F2284">
        <v>0</v>
      </c>
      <c r="G22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84">
        <v>4</v>
      </c>
      <c r="J2284" t="str">
        <f>IF(ISBLANK(Table13[[#This Row],[Rating]]), "No", "Yes")</f>
        <v>Yes</v>
      </c>
      <c r="K2284" t="str">
        <f>IF(ISBLANK(Table13[[#This Row],[Rating]]), "Not Rated", IF(Table13[[#This Row],[Rating]] &lt; 3, "Low", IF(Table13[[#This Row],[Rating]] &lt; 4, "Medium", "High")))</f>
        <v>High</v>
      </c>
      <c r="L2284">
        <v>13</v>
      </c>
      <c r="M2284">
        <v>110</v>
      </c>
      <c r="N2284" t="str">
        <f>IF(Table13[[#This Row],[Price USD]]&lt;20,"Budget",IF(Table13[[#This Row],[Price USD]]&lt;=50,"Mid-range","Premium"))</f>
        <v>Premium</v>
      </c>
      <c r="O2284">
        <v>0</v>
      </c>
      <c r="P2284">
        <v>0</v>
      </c>
    </row>
    <row r="2285" spans="1:16" x14ac:dyDescent="0.25">
      <c r="A2285" t="s">
        <v>4929</v>
      </c>
      <c r="B2285" t="s">
        <v>4930</v>
      </c>
      <c r="C2285">
        <v>1073</v>
      </c>
      <c r="D2285" t="s">
        <v>767</v>
      </c>
      <c r="E2285" t="s">
        <v>8</v>
      </c>
      <c r="F2285">
        <v>0</v>
      </c>
      <c r="G22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85">
        <v>4.6666999999999996</v>
      </c>
      <c r="J2285" t="str">
        <f>IF(ISBLANK(Table13[[#This Row],[Rating]]), "No", "Yes")</f>
        <v>Yes</v>
      </c>
      <c r="K2285" t="str">
        <f>IF(ISBLANK(Table13[[#This Row],[Rating]]), "Not Rated", IF(Table13[[#This Row],[Rating]] &lt; 3, "Low", IF(Table13[[#This Row],[Rating]] &lt; 4, "Medium", "High")))</f>
        <v>High</v>
      </c>
      <c r="L2285">
        <v>15</v>
      </c>
      <c r="M2285">
        <v>110</v>
      </c>
      <c r="N2285" t="str">
        <f>IF(Table13[[#This Row],[Price USD]]&lt;20,"Budget",IF(Table13[[#This Row],[Price USD]]&lt;=50,"Mid-range","Premium"))</f>
        <v>Premium</v>
      </c>
      <c r="O2285">
        <v>0</v>
      </c>
      <c r="P2285">
        <v>0</v>
      </c>
    </row>
    <row r="2286" spans="1:16" x14ac:dyDescent="0.25">
      <c r="A2286" t="s">
        <v>4975</v>
      </c>
      <c r="B2286" t="s">
        <v>3432</v>
      </c>
      <c r="C2286">
        <v>6041</v>
      </c>
      <c r="D2286" t="s">
        <v>33</v>
      </c>
      <c r="E2286" t="s">
        <v>21</v>
      </c>
      <c r="F2286">
        <v>0</v>
      </c>
      <c r="G22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86" t="str">
        <f>IF(ISBLANK(Table13[[#This Row],[Rating]]), "No", "Yes")</f>
        <v>No</v>
      </c>
      <c r="K2286" t="str">
        <f>IF(ISBLANK(Table13[[#This Row],[Rating]]), "Not Rated", IF(Table13[[#This Row],[Rating]] &lt; 3, "Low", IF(Table13[[#This Row],[Rating]] &lt; 4, "Medium", "High")))</f>
        <v>Not Rated</v>
      </c>
      <c r="L2286">
        <v>0</v>
      </c>
      <c r="M2286">
        <v>110</v>
      </c>
      <c r="N2286" t="str">
        <f>IF(Table13[[#This Row],[Price USD]]&lt;20,"Budget",IF(Table13[[#This Row],[Price USD]]&lt;=50,"Mid-range","Premium"))</f>
        <v>Premium</v>
      </c>
      <c r="O2286">
        <v>1</v>
      </c>
      <c r="P2286">
        <v>0</v>
      </c>
    </row>
    <row r="2287" spans="1:16" x14ac:dyDescent="0.25">
      <c r="A2287" t="s">
        <v>4976</v>
      </c>
      <c r="B2287" t="s">
        <v>4977</v>
      </c>
      <c r="C2287">
        <v>5337</v>
      </c>
      <c r="D2287" t="s">
        <v>209</v>
      </c>
      <c r="E2287" t="s">
        <v>21</v>
      </c>
      <c r="F2287">
        <v>0</v>
      </c>
      <c r="G22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87" t="str">
        <f>IF(ISBLANK(Table13[[#This Row],[Rating]]), "No", "Yes")</f>
        <v>No</v>
      </c>
      <c r="K2287" t="str">
        <f>IF(ISBLANK(Table13[[#This Row],[Rating]]), "Not Rated", IF(Table13[[#This Row],[Rating]] &lt; 3, "Low", IF(Table13[[#This Row],[Rating]] &lt; 4, "Medium", "High")))</f>
        <v>Not Rated</v>
      </c>
      <c r="L2287">
        <v>0</v>
      </c>
      <c r="M2287">
        <v>140</v>
      </c>
      <c r="N2287" t="str">
        <f>IF(Table13[[#This Row],[Price USD]]&lt;20,"Budget",IF(Table13[[#This Row],[Price USD]]&lt;=50,"Mid-range","Premium"))</f>
        <v>Premium</v>
      </c>
      <c r="O2287">
        <v>0</v>
      </c>
      <c r="P2287">
        <v>0</v>
      </c>
    </row>
    <row r="2288" spans="1:16" x14ac:dyDescent="0.25">
      <c r="A2288" t="s">
        <v>4927</v>
      </c>
      <c r="B2288" t="s">
        <v>4928</v>
      </c>
      <c r="C2288">
        <v>2082</v>
      </c>
      <c r="D2288" t="s">
        <v>594</v>
      </c>
      <c r="E2288" t="s">
        <v>220</v>
      </c>
      <c r="F2288">
        <v>2</v>
      </c>
      <c r="G22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88" t="str">
        <f>IF(ISBLANK(Table13[[#This Row],[Rating]]), "No", "Yes")</f>
        <v>No</v>
      </c>
      <c r="K2288" t="str">
        <f>IF(ISBLANK(Table13[[#This Row],[Rating]]), "Not Rated", IF(Table13[[#This Row],[Rating]] &lt; 3, "Low", IF(Table13[[#This Row],[Rating]] &lt; 4, "Medium", "High")))</f>
        <v>Not Rated</v>
      </c>
      <c r="L2288">
        <v>0</v>
      </c>
      <c r="M2288">
        <v>100</v>
      </c>
      <c r="N2288" t="str">
        <f>IF(Table13[[#This Row],[Price USD]]&lt;20,"Budget",IF(Table13[[#This Row],[Price USD]]&lt;=50,"Mid-range","Premium"))</f>
        <v>Premium</v>
      </c>
      <c r="O2288">
        <v>1</v>
      </c>
      <c r="P2288">
        <v>1</v>
      </c>
    </row>
    <row r="2289" spans="1:16" x14ac:dyDescent="0.25">
      <c r="A2289" t="s">
        <v>4925</v>
      </c>
      <c r="B2289" t="s">
        <v>4926</v>
      </c>
      <c r="C2289">
        <v>6303</v>
      </c>
      <c r="D2289" t="s">
        <v>3247</v>
      </c>
      <c r="E2289" t="s">
        <v>21</v>
      </c>
      <c r="F2289">
        <v>5</v>
      </c>
      <c r="G22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89" t="str">
        <f>IF(ISBLANK(Table13[[#This Row],[Rating]]), "No", "Yes")</f>
        <v>No</v>
      </c>
      <c r="K2289" t="str">
        <f>IF(ISBLANK(Table13[[#This Row],[Rating]]), "Not Rated", IF(Table13[[#This Row],[Rating]] &lt; 3, "Low", IF(Table13[[#This Row],[Rating]] &lt; 4, "Medium", "High")))</f>
        <v>Not Rated</v>
      </c>
      <c r="L2289">
        <v>0</v>
      </c>
      <c r="M2289">
        <v>95</v>
      </c>
      <c r="N2289" t="str">
        <f>IF(Table13[[#This Row],[Price USD]]&lt;20,"Budget",IF(Table13[[#This Row],[Price USD]]&lt;=50,"Mid-range","Premium"))</f>
        <v>Premium</v>
      </c>
      <c r="O2289">
        <v>1</v>
      </c>
      <c r="P2289">
        <v>0</v>
      </c>
    </row>
    <row r="2290" spans="1:16" x14ac:dyDescent="0.25">
      <c r="A2290" t="s">
        <v>4923</v>
      </c>
      <c r="B2290" t="s">
        <v>4924</v>
      </c>
      <c r="C2290">
        <v>6329</v>
      </c>
      <c r="D2290" t="s">
        <v>3435</v>
      </c>
      <c r="E2290" t="s">
        <v>8</v>
      </c>
      <c r="F2290">
        <v>7</v>
      </c>
      <c r="G22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0" t="str">
        <f>IF(ISBLANK(Table13[[#This Row],[Rating]]), "No", "Yes")</f>
        <v>No</v>
      </c>
      <c r="K2290" t="str">
        <f>IF(ISBLANK(Table13[[#This Row],[Rating]]), "Not Rated", IF(Table13[[#This Row],[Rating]] &lt; 3, "Low", IF(Table13[[#This Row],[Rating]] &lt; 4, "Medium", "High")))</f>
        <v>Not Rated</v>
      </c>
      <c r="L2290">
        <v>0</v>
      </c>
      <c r="M2290">
        <v>17</v>
      </c>
      <c r="N2290" t="str">
        <f>IF(Table13[[#This Row],[Price USD]]&lt;20,"Budget",IF(Table13[[#This Row],[Price USD]]&lt;=50,"Mid-range","Premium"))</f>
        <v>Budget</v>
      </c>
      <c r="O2290">
        <v>1</v>
      </c>
      <c r="P2290">
        <v>0</v>
      </c>
    </row>
    <row r="2291" spans="1:16" x14ac:dyDescent="0.25">
      <c r="A2291" t="s">
        <v>4921</v>
      </c>
      <c r="B2291" t="s">
        <v>4922</v>
      </c>
      <c r="C2291">
        <v>6218</v>
      </c>
      <c r="D2291" t="s">
        <v>116</v>
      </c>
      <c r="E2291" t="s">
        <v>220</v>
      </c>
      <c r="F2291">
        <v>9</v>
      </c>
      <c r="G22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1" t="str">
        <f>IF(ISBLANK(Table13[[#This Row],[Rating]]), "No", "Yes")</f>
        <v>No</v>
      </c>
      <c r="K2291" t="str">
        <f>IF(ISBLANK(Table13[[#This Row],[Rating]]), "Not Rated", IF(Table13[[#This Row],[Rating]] &lt; 3, "Low", IF(Table13[[#This Row],[Rating]] &lt; 4, "Medium", "High")))</f>
        <v>Not Rated</v>
      </c>
      <c r="L2291">
        <v>0</v>
      </c>
      <c r="M2291">
        <v>26</v>
      </c>
      <c r="N2291" t="str">
        <f>IF(Table13[[#This Row],[Price USD]]&lt;20,"Budget",IF(Table13[[#This Row],[Price USD]]&lt;=50,"Mid-range","Premium"))</f>
        <v>Mid-range</v>
      </c>
      <c r="O2291">
        <v>1</v>
      </c>
      <c r="P2291">
        <v>0</v>
      </c>
    </row>
    <row r="2292" spans="1:16" x14ac:dyDescent="0.25">
      <c r="A2292" t="s">
        <v>4919</v>
      </c>
      <c r="B2292" t="s">
        <v>4920</v>
      </c>
      <c r="C2292">
        <v>6309</v>
      </c>
      <c r="D2292" t="s">
        <v>1735</v>
      </c>
      <c r="E2292" t="s">
        <v>149</v>
      </c>
      <c r="F2292">
        <v>10</v>
      </c>
      <c r="G22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92">
        <v>4.2308000000000003</v>
      </c>
      <c r="J2292" t="str">
        <f>IF(ISBLANK(Table13[[#This Row],[Rating]]), "No", "Yes")</f>
        <v>Yes</v>
      </c>
      <c r="K2292" t="str">
        <f>IF(ISBLANK(Table13[[#This Row],[Rating]]), "Not Rated", IF(Table13[[#This Row],[Rating]] &lt; 3, "Low", IF(Table13[[#This Row],[Rating]] &lt; 4, "Medium", "High")))</f>
        <v>High</v>
      </c>
      <c r="L2292">
        <v>26</v>
      </c>
      <c r="M2292">
        <v>58</v>
      </c>
      <c r="N2292" t="str">
        <f>IF(Table13[[#This Row],[Price USD]]&lt;20,"Budget",IF(Table13[[#This Row],[Price USD]]&lt;=50,"Mid-range","Premium"))</f>
        <v>Premium</v>
      </c>
      <c r="O2292">
        <v>1</v>
      </c>
      <c r="P2292">
        <v>1</v>
      </c>
    </row>
    <row r="2293" spans="1:16" x14ac:dyDescent="0.25">
      <c r="A2293" t="s">
        <v>4917</v>
      </c>
      <c r="B2293" t="s">
        <v>4918</v>
      </c>
      <c r="C2293">
        <v>6373</v>
      </c>
      <c r="D2293" t="s">
        <v>1652</v>
      </c>
      <c r="E2293" t="s">
        <v>8</v>
      </c>
      <c r="F2293">
        <v>11</v>
      </c>
      <c r="G22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3" t="str">
        <f>IF(ISBLANK(Table13[[#This Row],[Rating]]), "No", "Yes")</f>
        <v>No</v>
      </c>
      <c r="K2293" t="str">
        <f>IF(ISBLANK(Table13[[#This Row],[Rating]]), "Not Rated", IF(Table13[[#This Row],[Rating]] &lt; 3, "Low", IF(Table13[[#This Row],[Rating]] &lt; 4, "Medium", "High")))</f>
        <v>Not Rated</v>
      </c>
      <c r="L2293">
        <v>0</v>
      </c>
      <c r="M2293">
        <v>48</v>
      </c>
      <c r="N2293" t="str">
        <f>IF(Table13[[#This Row],[Price USD]]&lt;20,"Budget",IF(Table13[[#This Row],[Price USD]]&lt;=50,"Mid-range","Premium"))</f>
        <v>Mid-range</v>
      </c>
      <c r="O2293">
        <v>1</v>
      </c>
      <c r="P2293">
        <v>1</v>
      </c>
    </row>
    <row r="2294" spans="1:16" x14ac:dyDescent="0.25">
      <c r="A2294" t="s">
        <v>4913</v>
      </c>
      <c r="B2294" t="s">
        <v>4914</v>
      </c>
      <c r="C2294">
        <v>6358</v>
      </c>
      <c r="D2294" t="s">
        <v>2301</v>
      </c>
      <c r="E2294" t="s">
        <v>8</v>
      </c>
      <c r="F2294">
        <v>13</v>
      </c>
      <c r="G22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294">
        <v>5</v>
      </c>
      <c r="J2294" t="str">
        <f>IF(ISBLANK(Table13[[#This Row],[Rating]]), "No", "Yes")</f>
        <v>Yes</v>
      </c>
      <c r="K2294" t="str">
        <f>IF(ISBLANK(Table13[[#This Row],[Rating]]), "Not Rated", IF(Table13[[#This Row],[Rating]] &lt; 3, "Low", IF(Table13[[#This Row],[Rating]] &lt; 4, "Medium", "High")))</f>
        <v>High</v>
      </c>
      <c r="L2294">
        <v>1</v>
      </c>
      <c r="M2294">
        <v>49</v>
      </c>
      <c r="N2294" t="str">
        <f>IF(Table13[[#This Row],[Price USD]]&lt;20,"Budget",IF(Table13[[#This Row],[Price USD]]&lt;=50,"Mid-range","Premium"))</f>
        <v>Mid-range</v>
      </c>
      <c r="O2294">
        <v>1</v>
      </c>
      <c r="P2294">
        <v>0</v>
      </c>
    </row>
    <row r="2295" spans="1:16" x14ac:dyDescent="0.25">
      <c r="A2295" t="s">
        <v>4911</v>
      </c>
      <c r="B2295" t="s">
        <v>4912</v>
      </c>
      <c r="C2295">
        <v>6218</v>
      </c>
      <c r="D2295" t="s">
        <v>116</v>
      </c>
      <c r="E2295" t="s">
        <v>220</v>
      </c>
      <c r="F2295">
        <v>13</v>
      </c>
      <c r="G22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5" t="str">
        <f>IF(ISBLANK(Table13[[#This Row],[Rating]]), "No", "Yes")</f>
        <v>No</v>
      </c>
      <c r="K2295" t="str">
        <f>IF(ISBLANK(Table13[[#This Row],[Rating]]), "Not Rated", IF(Table13[[#This Row],[Rating]] &lt; 3, "Low", IF(Table13[[#This Row],[Rating]] &lt; 4, "Medium", "High")))</f>
        <v>Not Rated</v>
      </c>
      <c r="L2295">
        <v>0</v>
      </c>
      <c r="M2295">
        <v>63</v>
      </c>
      <c r="N2295" t="str">
        <f>IF(Table13[[#This Row],[Price USD]]&lt;20,"Budget",IF(Table13[[#This Row],[Price USD]]&lt;=50,"Mid-range","Premium"))</f>
        <v>Premium</v>
      </c>
      <c r="O2295">
        <v>1</v>
      </c>
      <c r="P2295">
        <v>0</v>
      </c>
    </row>
    <row r="2296" spans="1:16" x14ac:dyDescent="0.25">
      <c r="A2296" t="s">
        <v>4915</v>
      </c>
      <c r="B2296" t="s">
        <v>4916</v>
      </c>
      <c r="C2296">
        <v>5337</v>
      </c>
      <c r="D2296" t="s">
        <v>209</v>
      </c>
      <c r="E2296" t="s">
        <v>149</v>
      </c>
      <c r="F2296">
        <v>13</v>
      </c>
      <c r="G22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6" t="str">
        <f>IF(ISBLANK(Table13[[#This Row],[Rating]]), "No", "Yes")</f>
        <v>No</v>
      </c>
      <c r="K2296" t="str">
        <f>IF(ISBLANK(Table13[[#This Row],[Rating]]), "Not Rated", IF(Table13[[#This Row],[Rating]] &lt; 3, "Low", IF(Table13[[#This Row],[Rating]] &lt; 4, "Medium", "High")))</f>
        <v>Not Rated</v>
      </c>
      <c r="L2296">
        <v>0</v>
      </c>
      <c r="M2296">
        <v>70</v>
      </c>
      <c r="N2296" t="str">
        <f>IF(Table13[[#This Row],[Price USD]]&lt;20,"Budget",IF(Table13[[#This Row],[Price USD]]&lt;=50,"Mid-range","Premium"))</f>
        <v>Premium</v>
      </c>
      <c r="O2296">
        <v>1</v>
      </c>
      <c r="P2296">
        <v>0</v>
      </c>
    </row>
    <row r="2297" spans="1:16" x14ac:dyDescent="0.25">
      <c r="A2297" t="s">
        <v>4909</v>
      </c>
      <c r="B2297" t="s">
        <v>4910</v>
      </c>
      <c r="C2297">
        <v>4164</v>
      </c>
      <c r="D2297" t="s">
        <v>623</v>
      </c>
      <c r="E2297" t="s">
        <v>220</v>
      </c>
      <c r="F2297">
        <v>18</v>
      </c>
      <c r="G22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7" t="str">
        <f>IF(ISBLANK(Table13[[#This Row],[Rating]]), "No", "Yes")</f>
        <v>No</v>
      </c>
      <c r="K2297" t="str">
        <f>IF(ISBLANK(Table13[[#This Row],[Rating]]), "Not Rated", IF(Table13[[#This Row],[Rating]] &lt; 3, "Low", IF(Table13[[#This Row],[Rating]] &lt; 4, "Medium", "High")))</f>
        <v>Not Rated</v>
      </c>
      <c r="L2297">
        <v>0</v>
      </c>
      <c r="M2297">
        <v>126</v>
      </c>
      <c r="N2297" t="str">
        <f>IF(Table13[[#This Row],[Price USD]]&lt;20,"Budget",IF(Table13[[#This Row],[Price USD]]&lt;=50,"Mid-range","Premium"))</f>
        <v>Premium</v>
      </c>
      <c r="O2297">
        <v>1</v>
      </c>
      <c r="P2297">
        <v>0</v>
      </c>
    </row>
    <row r="2298" spans="1:16" x14ac:dyDescent="0.25">
      <c r="A2298" t="s">
        <v>4907</v>
      </c>
      <c r="B2298" t="s">
        <v>4908</v>
      </c>
      <c r="C2298">
        <v>6218</v>
      </c>
      <c r="D2298" t="s">
        <v>116</v>
      </c>
      <c r="E2298" t="s">
        <v>8</v>
      </c>
      <c r="F2298">
        <v>22</v>
      </c>
      <c r="G22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8" t="str">
        <f>IF(ISBLANK(Table13[[#This Row],[Rating]]), "No", "Yes")</f>
        <v>No</v>
      </c>
      <c r="K2298" t="str">
        <f>IF(ISBLANK(Table13[[#This Row],[Rating]]), "Not Rated", IF(Table13[[#This Row],[Rating]] &lt; 3, "Low", IF(Table13[[#This Row],[Rating]] &lt; 4, "Medium", "High")))</f>
        <v>Not Rated</v>
      </c>
      <c r="L2298">
        <v>0</v>
      </c>
      <c r="M2298">
        <v>35</v>
      </c>
      <c r="N2298" t="str">
        <f>IF(Table13[[#This Row],[Price USD]]&lt;20,"Budget",IF(Table13[[#This Row],[Price USD]]&lt;=50,"Mid-range","Premium"))</f>
        <v>Mid-range</v>
      </c>
      <c r="O2298">
        <v>1</v>
      </c>
      <c r="P2298">
        <v>0</v>
      </c>
    </row>
    <row r="2299" spans="1:16" x14ac:dyDescent="0.25">
      <c r="A2299" t="s">
        <v>4905</v>
      </c>
      <c r="B2299" t="s">
        <v>4906</v>
      </c>
      <c r="C2299">
        <v>4348</v>
      </c>
      <c r="D2299" t="s">
        <v>61</v>
      </c>
      <c r="E2299" t="s">
        <v>21</v>
      </c>
      <c r="F2299">
        <v>22</v>
      </c>
      <c r="G22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2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299" t="str">
        <f>IF(ISBLANK(Table13[[#This Row],[Rating]]), "No", "Yes")</f>
        <v>No</v>
      </c>
      <c r="K2299" t="str">
        <f>IF(ISBLANK(Table13[[#This Row],[Rating]]), "Not Rated", IF(Table13[[#This Row],[Rating]] &lt; 3, "Low", IF(Table13[[#This Row],[Rating]] &lt; 4, "Medium", "High")))</f>
        <v>Not Rated</v>
      </c>
      <c r="L2299">
        <v>0</v>
      </c>
      <c r="M2299">
        <v>82</v>
      </c>
      <c r="N2299" t="str">
        <f>IF(Table13[[#This Row],[Price USD]]&lt;20,"Budget",IF(Table13[[#This Row],[Price USD]]&lt;=50,"Mid-range","Premium"))</f>
        <v>Premium</v>
      </c>
      <c r="O2299">
        <v>1</v>
      </c>
      <c r="P2299">
        <v>0</v>
      </c>
    </row>
    <row r="2300" spans="1:16" x14ac:dyDescent="0.25">
      <c r="A2300" t="s">
        <v>4903</v>
      </c>
      <c r="B2300" t="s">
        <v>4904</v>
      </c>
      <c r="C2300">
        <v>6358</v>
      </c>
      <c r="D2300" t="s">
        <v>2301</v>
      </c>
      <c r="E2300" t="s">
        <v>13</v>
      </c>
      <c r="F2300">
        <v>23</v>
      </c>
      <c r="G23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00" t="str">
        <f>IF(ISBLANK(Table13[[#This Row],[Rating]]), "No", "Yes")</f>
        <v>No</v>
      </c>
      <c r="K2300" t="str">
        <f>IF(ISBLANK(Table13[[#This Row],[Rating]]), "Not Rated", IF(Table13[[#This Row],[Rating]] &lt; 3, "Low", IF(Table13[[#This Row],[Rating]] &lt; 4, "Medium", "High")))</f>
        <v>Not Rated</v>
      </c>
      <c r="L2300">
        <v>0</v>
      </c>
      <c r="M2300">
        <v>29</v>
      </c>
      <c r="N2300" t="str">
        <f>IF(Table13[[#This Row],[Price USD]]&lt;20,"Budget",IF(Table13[[#This Row],[Price USD]]&lt;=50,"Mid-range","Premium"))</f>
        <v>Mid-range</v>
      </c>
      <c r="O2300">
        <v>1</v>
      </c>
      <c r="P2300">
        <v>0</v>
      </c>
    </row>
    <row r="2301" spans="1:16" x14ac:dyDescent="0.25">
      <c r="A2301" t="s">
        <v>4901</v>
      </c>
      <c r="B2301" t="s">
        <v>4902</v>
      </c>
      <c r="C2301">
        <v>6358</v>
      </c>
      <c r="D2301" t="s">
        <v>2301</v>
      </c>
      <c r="E2301" t="s">
        <v>13</v>
      </c>
      <c r="F2301">
        <v>23</v>
      </c>
      <c r="G23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01">
        <v>5</v>
      </c>
      <c r="J2301" t="str">
        <f>IF(ISBLANK(Table13[[#This Row],[Rating]]), "No", "Yes")</f>
        <v>Yes</v>
      </c>
      <c r="K2301" t="str">
        <f>IF(ISBLANK(Table13[[#This Row],[Rating]]), "Not Rated", IF(Table13[[#This Row],[Rating]] &lt; 3, "Low", IF(Table13[[#This Row],[Rating]] &lt; 4, "Medium", "High")))</f>
        <v>High</v>
      </c>
      <c r="L2301">
        <v>3</v>
      </c>
      <c r="M2301">
        <v>39</v>
      </c>
      <c r="N2301" t="str">
        <f>IF(Table13[[#This Row],[Price USD]]&lt;20,"Budget",IF(Table13[[#This Row],[Price USD]]&lt;=50,"Mid-range","Premium"))</f>
        <v>Mid-range</v>
      </c>
      <c r="O2301">
        <v>1</v>
      </c>
      <c r="P2301">
        <v>0</v>
      </c>
    </row>
    <row r="2302" spans="1:16" x14ac:dyDescent="0.25">
      <c r="A2302" t="s">
        <v>4899</v>
      </c>
      <c r="B2302" t="s">
        <v>4900</v>
      </c>
      <c r="C2302">
        <v>1741</v>
      </c>
      <c r="D2302" t="s">
        <v>388</v>
      </c>
      <c r="E2302" t="s">
        <v>8</v>
      </c>
      <c r="F2302">
        <v>23</v>
      </c>
      <c r="G23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02">
        <v>4.4000000000000004</v>
      </c>
      <c r="J2302" t="str">
        <f>IF(ISBLANK(Table13[[#This Row],[Rating]]), "No", "Yes")</f>
        <v>Yes</v>
      </c>
      <c r="K2302" t="str">
        <f>IF(ISBLANK(Table13[[#This Row],[Rating]]), "Not Rated", IF(Table13[[#This Row],[Rating]] &lt; 3, "Low", IF(Table13[[#This Row],[Rating]] &lt; 4, "Medium", "High")))</f>
        <v>High</v>
      </c>
      <c r="L2302">
        <v>5</v>
      </c>
      <c r="M2302">
        <v>85</v>
      </c>
      <c r="N2302" t="str">
        <f>IF(Table13[[#This Row],[Price USD]]&lt;20,"Budget",IF(Table13[[#This Row],[Price USD]]&lt;=50,"Mid-range","Premium"))</f>
        <v>Premium</v>
      </c>
      <c r="O2302">
        <v>1</v>
      </c>
      <c r="P2302">
        <v>0</v>
      </c>
    </row>
    <row r="2303" spans="1:16" x14ac:dyDescent="0.25">
      <c r="A2303" t="s">
        <v>4897</v>
      </c>
      <c r="B2303" t="s">
        <v>4898</v>
      </c>
      <c r="C2303">
        <v>6218</v>
      </c>
      <c r="D2303" t="s">
        <v>116</v>
      </c>
      <c r="E2303" t="s">
        <v>220</v>
      </c>
      <c r="F2303">
        <v>25</v>
      </c>
      <c r="G23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03" t="str">
        <f>IF(ISBLANK(Table13[[#This Row],[Rating]]), "No", "Yes")</f>
        <v>No</v>
      </c>
      <c r="K2303" t="str">
        <f>IF(ISBLANK(Table13[[#This Row],[Rating]]), "Not Rated", IF(Table13[[#This Row],[Rating]] &lt; 3, "Low", IF(Table13[[#This Row],[Rating]] &lt; 4, "Medium", "High")))</f>
        <v>Not Rated</v>
      </c>
      <c r="L2303">
        <v>0</v>
      </c>
      <c r="M2303">
        <v>78</v>
      </c>
      <c r="N2303" t="str">
        <f>IF(Table13[[#This Row],[Price USD]]&lt;20,"Budget",IF(Table13[[#This Row],[Price USD]]&lt;=50,"Mid-range","Premium"))</f>
        <v>Premium</v>
      </c>
      <c r="O2303">
        <v>1</v>
      </c>
      <c r="P2303">
        <v>0</v>
      </c>
    </row>
    <row r="2304" spans="1:16" x14ac:dyDescent="0.25">
      <c r="A2304" t="s">
        <v>4895</v>
      </c>
      <c r="B2304" t="s">
        <v>4896</v>
      </c>
      <c r="C2304">
        <v>4348</v>
      </c>
      <c r="D2304" t="s">
        <v>61</v>
      </c>
      <c r="E2304" t="s">
        <v>21</v>
      </c>
      <c r="F2304">
        <v>26</v>
      </c>
      <c r="G23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04" t="str">
        <f>IF(ISBLANK(Table13[[#This Row],[Rating]]), "No", "Yes")</f>
        <v>No</v>
      </c>
      <c r="K2304" t="str">
        <f>IF(ISBLANK(Table13[[#This Row],[Rating]]), "Not Rated", IF(Table13[[#This Row],[Rating]] &lt; 3, "Low", IF(Table13[[#This Row],[Rating]] &lt; 4, "Medium", "High")))</f>
        <v>Not Rated</v>
      </c>
      <c r="L2304">
        <v>0</v>
      </c>
      <c r="M2304">
        <v>39</v>
      </c>
      <c r="N2304" t="str">
        <f>IF(Table13[[#This Row],[Price USD]]&lt;20,"Budget",IF(Table13[[#This Row],[Price USD]]&lt;=50,"Mid-range","Premium"))</f>
        <v>Mid-range</v>
      </c>
      <c r="O2304">
        <v>1</v>
      </c>
      <c r="P2304">
        <v>0</v>
      </c>
    </row>
    <row r="2305" spans="1:16" x14ac:dyDescent="0.25">
      <c r="A2305" t="s">
        <v>4893</v>
      </c>
      <c r="B2305" t="s">
        <v>4894</v>
      </c>
      <c r="C2305">
        <v>6375</v>
      </c>
      <c r="D2305" t="s">
        <v>3234</v>
      </c>
      <c r="E2305" t="s">
        <v>13</v>
      </c>
      <c r="F2305">
        <v>27</v>
      </c>
      <c r="G23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05">
        <v>5</v>
      </c>
      <c r="J2305" t="str">
        <f>IF(ISBLANK(Table13[[#This Row],[Rating]]), "No", "Yes")</f>
        <v>Yes</v>
      </c>
      <c r="K2305" t="str">
        <f>IF(ISBLANK(Table13[[#This Row],[Rating]]), "Not Rated", IF(Table13[[#This Row],[Rating]] &lt; 3, "Low", IF(Table13[[#This Row],[Rating]] &lt; 4, "Medium", "High")))</f>
        <v>High</v>
      </c>
      <c r="L2305">
        <v>6</v>
      </c>
      <c r="M2305">
        <v>42</v>
      </c>
      <c r="N2305" t="str">
        <f>IF(Table13[[#This Row],[Price USD]]&lt;20,"Budget",IF(Table13[[#This Row],[Price USD]]&lt;=50,"Mid-range","Premium"))</f>
        <v>Mid-range</v>
      </c>
      <c r="O2305">
        <v>1</v>
      </c>
      <c r="P2305">
        <v>0</v>
      </c>
    </row>
    <row r="2306" spans="1:16" x14ac:dyDescent="0.25">
      <c r="A2306" t="s">
        <v>4891</v>
      </c>
      <c r="B2306" t="s">
        <v>4892</v>
      </c>
      <c r="C2306">
        <v>6358</v>
      </c>
      <c r="D2306" t="s">
        <v>2301</v>
      </c>
      <c r="E2306" t="s">
        <v>220</v>
      </c>
      <c r="F2306">
        <v>43</v>
      </c>
      <c r="G23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06">
        <v>4.875</v>
      </c>
      <c r="J2306" t="str">
        <f>IF(ISBLANK(Table13[[#This Row],[Rating]]), "No", "Yes")</f>
        <v>Yes</v>
      </c>
      <c r="K2306" t="str">
        <f>IF(ISBLANK(Table13[[#This Row],[Rating]]), "Not Rated", IF(Table13[[#This Row],[Rating]] &lt; 3, "Low", IF(Table13[[#This Row],[Rating]] &lt; 4, "Medium", "High")))</f>
        <v>High</v>
      </c>
      <c r="L2306">
        <v>8</v>
      </c>
      <c r="M2306">
        <v>39</v>
      </c>
      <c r="N2306" t="str">
        <f>IF(Table13[[#This Row],[Price USD]]&lt;20,"Budget",IF(Table13[[#This Row],[Price USD]]&lt;=50,"Mid-range","Premium"))</f>
        <v>Mid-range</v>
      </c>
      <c r="O2306">
        <v>1</v>
      </c>
      <c r="P2306">
        <v>0</v>
      </c>
    </row>
    <row r="2307" spans="1:16" x14ac:dyDescent="0.25">
      <c r="A2307" t="s">
        <v>4889</v>
      </c>
      <c r="B2307" t="s">
        <v>4890</v>
      </c>
      <c r="C2307">
        <v>6375</v>
      </c>
      <c r="D2307" t="s">
        <v>3234</v>
      </c>
      <c r="E2307" t="s">
        <v>21</v>
      </c>
      <c r="F2307">
        <v>48</v>
      </c>
      <c r="G23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07">
        <v>5</v>
      </c>
      <c r="J2307" t="str">
        <f>IF(ISBLANK(Table13[[#This Row],[Rating]]), "No", "Yes")</f>
        <v>Yes</v>
      </c>
      <c r="K2307" t="str">
        <f>IF(ISBLANK(Table13[[#This Row],[Rating]]), "Not Rated", IF(Table13[[#This Row],[Rating]] &lt; 3, "Low", IF(Table13[[#This Row],[Rating]] &lt; 4, "Medium", "High")))</f>
        <v>High</v>
      </c>
      <c r="L2307">
        <v>7</v>
      </c>
      <c r="M2307">
        <v>65</v>
      </c>
      <c r="N2307" t="str">
        <f>IF(Table13[[#This Row],[Price USD]]&lt;20,"Budget",IF(Table13[[#This Row],[Price USD]]&lt;=50,"Mid-range","Premium"))</f>
        <v>Premium</v>
      </c>
      <c r="O2307">
        <v>1</v>
      </c>
      <c r="P2307">
        <v>0</v>
      </c>
    </row>
    <row r="2308" spans="1:16" x14ac:dyDescent="0.25">
      <c r="A2308" t="s">
        <v>4887</v>
      </c>
      <c r="B2308" t="s">
        <v>4888</v>
      </c>
      <c r="C2308">
        <v>6218</v>
      </c>
      <c r="D2308" t="s">
        <v>116</v>
      </c>
      <c r="E2308" t="s">
        <v>8</v>
      </c>
      <c r="F2308">
        <v>55</v>
      </c>
      <c r="G23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08" t="str">
        <f>IF(ISBLANK(Table13[[#This Row],[Rating]]), "No", "Yes")</f>
        <v>No</v>
      </c>
      <c r="K2308" t="str">
        <f>IF(ISBLANK(Table13[[#This Row],[Rating]]), "Not Rated", IF(Table13[[#This Row],[Rating]] &lt; 3, "Low", IF(Table13[[#This Row],[Rating]] &lt; 4, "Medium", "High")))</f>
        <v>Not Rated</v>
      </c>
      <c r="L2308">
        <v>0</v>
      </c>
      <c r="M2308">
        <v>35</v>
      </c>
      <c r="N2308" t="str">
        <f>IF(Table13[[#This Row],[Price USD]]&lt;20,"Budget",IF(Table13[[#This Row],[Price USD]]&lt;=50,"Mid-range","Premium"))</f>
        <v>Mid-range</v>
      </c>
      <c r="O2308">
        <v>1</v>
      </c>
      <c r="P2308">
        <v>0</v>
      </c>
    </row>
    <row r="2309" spans="1:16" x14ac:dyDescent="0.25">
      <c r="A2309" t="s">
        <v>4885</v>
      </c>
      <c r="B2309" t="s">
        <v>4886</v>
      </c>
      <c r="C2309">
        <v>5674</v>
      </c>
      <c r="D2309" t="s">
        <v>141</v>
      </c>
      <c r="E2309" t="s">
        <v>220</v>
      </c>
      <c r="F2309">
        <v>64</v>
      </c>
      <c r="G23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09" t="str">
        <f>IF(ISBLANK(Table13[[#This Row],[Rating]]), "No", "Yes")</f>
        <v>No</v>
      </c>
      <c r="K2309" t="str">
        <f>IF(ISBLANK(Table13[[#This Row],[Rating]]), "Not Rated", IF(Table13[[#This Row],[Rating]] &lt; 3, "Low", IF(Table13[[#This Row],[Rating]] &lt; 4, "Medium", "High")))</f>
        <v>Not Rated</v>
      </c>
      <c r="L2309">
        <v>0</v>
      </c>
      <c r="M2309">
        <v>25</v>
      </c>
      <c r="N2309" t="str">
        <f>IF(Table13[[#This Row],[Price USD]]&lt;20,"Budget",IF(Table13[[#This Row],[Price USD]]&lt;=50,"Mid-range","Premium"))</f>
        <v>Mid-range</v>
      </c>
      <c r="O2309">
        <v>1</v>
      </c>
      <c r="P2309">
        <v>0</v>
      </c>
    </row>
    <row r="2310" spans="1:16" x14ac:dyDescent="0.25">
      <c r="A2310" t="s">
        <v>4883</v>
      </c>
      <c r="B2310" t="s">
        <v>4884</v>
      </c>
      <c r="C2310">
        <v>4164</v>
      </c>
      <c r="D2310" t="s">
        <v>623</v>
      </c>
      <c r="E2310" t="s">
        <v>8</v>
      </c>
      <c r="F2310">
        <v>71</v>
      </c>
      <c r="G23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0" t="str">
        <f>IF(ISBLANK(Table13[[#This Row],[Rating]]), "No", "Yes")</f>
        <v>No</v>
      </c>
      <c r="K2310" t="str">
        <f>IF(ISBLANK(Table13[[#This Row],[Rating]]), "Not Rated", IF(Table13[[#This Row],[Rating]] &lt; 3, "Low", IF(Table13[[#This Row],[Rating]] &lt; 4, "Medium", "High")))</f>
        <v>Not Rated</v>
      </c>
      <c r="L2310">
        <v>0</v>
      </c>
      <c r="M2310">
        <v>105</v>
      </c>
      <c r="N2310" t="str">
        <f>IF(Table13[[#This Row],[Price USD]]&lt;20,"Budget",IF(Table13[[#This Row],[Price USD]]&lt;=50,"Mid-range","Premium"))</f>
        <v>Premium</v>
      </c>
      <c r="O2310">
        <v>1</v>
      </c>
      <c r="P2310">
        <v>0</v>
      </c>
    </row>
    <row r="2311" spans="1:16" x14ac:dyDescent="0.25">
      <c r="A2311" t="s">
        <v>4881</v>
      </c>
      <c r="B2311" t="s">
        <v>4882</v>
      </c>
      <c r="C2311">
        <v>6307</v>
      </c>
      <c r="D2311" t="s">
        <v>1132</v>
      </c>
      <c r="E2311" t="s">
        <v>220</v>
      </c>
      <c r="F2311">
        <v>74</v>
      </c>
      <c r="G23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1" t="str">
        <f>IF(ISBLANK(Table13[[#This Row],[Rating]]), "No", "Yes")</f>
        <v>No</v>
      </c>
      <c r="K2311" t="str">
        <f>IF(ISBLANK(Table13[[#This Row],[Rating]]), "Not Rated", IF(Table13[[#This Row],[Rating]] &lt; 3, "Low", IF(Table13[[#This Row],[Rating]] &lt; 4, "Medium", "High")))</f>
        <v>Not Rated</v>
      </c>
      <c r="L2311">
        <v>0</v>
      </c>
      <c r="M2311">
        <v>260</v>
      </c>
      <c r="N2311" t="str">
        <f>IF(Table13[[#This Row],[Price USD]]&lt;20,"Budget",IF(Table13[[#This Row],[Price USD]]&lt;=50,"Mid-range","Premium"))</f>
        <v>Premium</v>
      </c>
      <c r="O2311">
        <v>1</v>
      </c>
      <c r="P2311">
        <v>0</v>
      </c>
    </row>
    <row r="2312" spans="1:16" x14ac:dyDescent="0.25">
      <c r="A2312" t="s">
        <v>4879</v>
      </c>
      <c r="B2312" t="s">
        <v>4880</v>
      </c>
      <c r="C2312">
        <v>6218</v>
      </c>
      <c r="D2312" t="s">
        <v>116</v>
      </c>
      <c r="E2312" t="s">
        <v>8</v>
      </c>
      <c r="F2312">
        <v>80</v>
      </c>
      <c r="G23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2" t="str">
        <f>IF(ISBLANK(Table13[[#This Row],[Rating]]), "No", "Yes")</f>
        <v>No</v>
      </c>
      <c r="K2312" t="str">
        <f>IF(ISBLANK(Table13[[#This Row],[Rating]]), "Not Rated", IF(Table13[[#This Row],[Rating]] &lt; 3, "Low", IF(Table13[[#This Row],[Rating]] &lt; 4, "Medium", "High")))</f>
        <v>Not Rated</v>
      </c>
      <c r="L2312">
        <v>0</v>
      </c>
      <c r="M2312">
        <v>35</v>
      </c>
      <c r="N2312" t="str">
        <f>IF(Table13[[#This Row],[Price USD]]&lt;20,"Budget",IF(Table13[[#This Row],[Price USD]]&lt;=50,"Mid-range","Premium"))</f>
        <v>Mid-range</v>
      </c>
      <c r="O2312">
        <v>1</v>
      </c>
      <c r="P2312">
        <v>0</v>
      </c>
    </row>
    <row r="2313" spans="1:16" x14ac:dyDescent="0.25">
      <c r="A2313" t="s">
        <v>4877</v>
      </c>
      <c r="B2313" t="s">
        <v>4878</v>
      </c>
      <c r="C2313">
        <v>3728</v>
      </c>
      <c r="D2313" t="s">
        <v>458</v>
      </c>
      <c r="E2313" t="s">
        <v>220</v>
      </c>
      <c r="F2313">
        <v>152</v>
      </c>
      <c r="G23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3" t="str">
        <f>IF(ISBLANK(Table13[[#This Row],[Rating]]), "No", "Yes")</f>
        <v>No</v>
      </c>
      <c r="K2313" t="str">
        <f>IF(ISBLANK(Table13[[#This Row],[Rating]]), "Not Rated", IF(Table13[[#This Row],[Rating]] &lt; 3, "Low", IF(Table13[[#This Row],[Rating]] &lt; 4, "Medium", "High")))</f>
        <v>Not Rated</v>
      </c>
      <c r="L2313">
        <v>0</v>
      </c>
      <c r="M2313">
        <v>65</v>
      </c>
      <c r="N2313" t="str">
        <f>IF(Table13[[#This Row],[Price USD]]&lt;20,"Budget",IF(Table13[[#This Row],[Price USD]]&lt;=50,"Mid-range","Premium"))</f>
        <v>Premium</v>
      </c>
      <c r="O2313">
        <v>1</v>
      </c>
      <c r="P2313">
        <v>0</v>
      </c>
    </row>
    <row r="2314" spans="1:16" x14ac:dyDescent="0.25">
      <c r="A2314" t="s">
        <v>4875</v>
      </c>
      <c r="B2314" t="s">
        <v>4876</v>
      </c>
      <c r="C2314">
        <v>3728</v>
      </c>
      <c r="D2314" t="s">
        <v>458</v>
      </c>
      <c r="E2314" t="s">
        <v>220</v>
      </c>
      <c r="F2314">
        <v>155</v>
      </c>
      <c r="G23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4" t="str">
        <f>IF(ISBLANK(Table13[[#This Row],[Rating]]), "No", "Yes")</f>
        <v>No</v>
      </c>
      <c r="K2314" t="str">
        <f>IF(ISBLANK(Table13[[#This Row],[Rating]]), "Not Rated", IF(Table13[[#This Row],[Rating]] &lt; 3, "Low", IF(Table13[[#This Row],[Rating]] &lt; 4, "Medium", "High")))</f>
        <v>Not Rated</v>
      </c>
      <c r="L2314">
        <v>0</v>
      </c>
      <c r="M2314">
        <v>55</v>
      </c>
      <c r="N2314" t="str">
        <f>IF(Table13[[#This Row],[Price USD]]&lt;20,"Budget",IF(Table13[[#This Row],[Price USD]]&lt;=50,"Mid-range","Premium"))</f>
        <v>Premium</v>
      </c>
      <c r="O2314">
        <v>1</v>
      </c>
      <c r="P2314">
        <v>0</v>
      </c>
    </row>
    <row r="2315" spans="1:16" x14ac:dyDescent="0.25">
      <c r="A2315" t="s">
        <v>4873</v>
      </c>
      <c r="B2315" t="s">
        <v>4874</v>
      </c>
      <c r="C2315">
        <v>6285</v>
      </c>
      <c r="D2315" t="s">
        <v>119</v>
      </c>
      <c r="E2315" t="s">
        <v>49</v>
      </c>
      <c r="F2315">
        <v>164</v>
      </c>
      <c r="G23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15">
        <v>4.8654000000000002</v>
      </c>
      <c r="J2315" t="str">
        <f>IF(ISBLANK(Table13[[#This Row],[Rating]]), "No", "Yes")</f>
        <v>Yes</v>
      </c>
      <c r="K2315" t="str">
        <f>IF(ISBLANK(Table13[[#This Row],[Rating]]), "Not Rated", IF(Table13[[#This Row],[Rating]] &lt; 3, "Low", IF(Table13[[#This Row],[Rating]] &lt; 4, "Medium", "High")))</f>
        <v>High</v>
      </c>
      <c r="L2315">
        <v>52</v>
      </c>
      <c r="M2315">
        <v>14.99</v>
      </c>
      <c r="N2315" t="str">
        <f>IF(Table13[[#This Row],[Price USD]]&lt;20,"Budget",IF(Table13[[#This Row],[Price USD]]&lt;=50,"Mid-range","Premium"))</f>
        <v>Budget</v>
      </c>
      <c r="O2315">
        <v>1</v>
      </c>
      <c r="P2315">
        <v>1</v>
      </c>
    </row>
    <row r="2316" spans="1:16" x14ac:dyDescent="0.25">
      <c r="A2316" t="s">
        <v>4871</v>
      </c>
      <c r="B2316" t="s">
        <v>4872</v>
      </c>
      <c r="C2316">
        <v>7055</v>
      </c>
      <c r="D2316" t="s">
        <v>3361</v>
      </c>
      <c r="E2316" t="s">
        <v>13</v>
      </c>
      <c r="F2316">
        <v>177</v>
      </c>
      <c r="G23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16">
        <v>5</v>
      </c>
      <c r="J2316" t="str">
        <f>IF(ISBLANK(Table13[[#This Row],[Rating]]), "No", "Yes")</f>
        <v>Yes</v>
      </c>
      <c r="K2316" t="str">
        <f>IF(ISBLANK(Table13[[#This Row],[Rating]]), "Not Rated", IF(Table13[[#This Row],[Rating]] &lt; 3, "Low", IF(Table13[[#This Row],[Rating]] &lt; 4, "Medium", "High")))</f>
        <v>High</v>
      </c>
      <c r="L2316">
        <v>1</v>
      </c>
      <c r="M2316">
        <v>19</v>
      </c>
      <c r="N2316" t="str">
        <f>IF(Table13[[#This Row],[Price USD]]&lt;20,"Budget",IF(Table13[[#This Row],[Price USD]]&lt;=50,"Mid-range","Premium"))</f>
        <v>Budget</v>
      </c>
      <c r="O2316">
        <v>0</v>
      </c>
      <c r="P2316">
        <v>0</v>
      </c>
    </row>
    <row r="2317" spans="1:16" x14ac:dyDescent="0.25">
      <c r="A2317" t="s">
        <v>4869</v>
      </c>
      <c r="B2317" t="s">
        <v>4870</v>
      </c>
      <c r="C2317">
        <v>5668</v>
      </c>
      <c r="D2317" t="s">
        <v>93</v>
      </c>
      <c r="E2317" t="s">
        <v>347</v>
      </c>
      <c r="F2317">
        <v>191</v>
      </c>
      <c r="G23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17">
        <v>5</v>
      </c>
      <c r="J2317" t="str">
        <f>IF(ISBLANK(Table13[[#This Row],[Rating]]), "No", "Yes")</f>
        <v>Yes</v>
      </c>
      <c r="K2317" t="str">
        <f>IF(ISBLANK(Table13[[#This Row],[Rating]]), "Not Rated", IF(Table13[[#This Row],[Rating]] &lt; 3, "Low", IF(Table13[[#This Row],[Rating]] &lt; 4, "Medium", "High")))</f>
        <v>High</v>
      </c>
      <c r="L2317">
        <v>5</v>
      </c>
      <c r="M2317">
        <v>199</v>
      </c>
      <c r="N2317" t="str">
        <f>IF(Table13[[#This Row],[Price USD]]&lt;20,"Budget",IF(Table13[[#This Row],[Price USD]]&lt;=50,"Mid-range","Premium"))</f>
        <v>Premium</v>
      </c>
      <c r="O2317">
        <v>1</v>
      </c>
      <c r="P2317">
        <v>0</v>
      </c>
    </row>
    <row r="2318" spans="1:16" x14ac:dyDescent="0.25">
      <c r="A2318" t="s">
        <v>4867</v>
      </c>
      <c r="B2318" t="s">
        <v>4868</v>
      </c>
      <c r="C2318">
        <v>6753</v>
      </c>
      <c r="D2318" t="s">
        <v>4812</v>
      </c>
      <c r="E2318" t="s">
        <v>13</v>
      </c>
      <c r="F2318">
        <v>204</v>
      </c>
      <c r="G23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18">
        <v>4.9230999999999998</v>
      </c>
      <c r="J2318" t="str">
        <f>IF(ISBLANK(Table13[[#This Row],[Rating]]), "No", "Yes")</f>
        <v>Yes</v>
      </c>
      <c r="K2318" t="str">
        <f>IF(ISBLANK(Table13[[#This Row],[Rating]]), "Not Rated", IF(Table13[[#This Row],[Rating]] &lt; 3, "Low", IF(Table13[[#This Row],[Rating]] &lt; 4, "Medium", "High")))</f>
        <v>High</v>
      </c>
      <c r="L2318">
        <v>13</v>
      </c>
      <c r="M2318">
        <v>85</v>
      </c>
      <c r="N2318" t="str">
        <f>IF(Table13[[#This Row],[Price USD]]&lt;20,"Budget",IF(Table13[[#This Row],[Price USD]]&lt;=50,"Mid-range","Premium"))</f>
        <v>Premium</v>
      </c>
      <c r="O2318">
        <v>1</v>
      </c>
      <c r="P2318">
        <v>0</v>
      </c>
    </row>
    <row r="2319" spans="1:16" x14ac:dyDescent="0.25">
      <c r="A2319" t="s">
        <v>4865</v>
      </c>
      <c r="B2319" t="s">
        <v>4866</v>
      </c>
      <c r="C2319">
        <v>6001</v>
      </c>
      <c r="D2319" t="s">
        <v>1836</v>
      </c>
      <c r="E2319" t="s">
        <v>347</v>
      </c>
      <c r="F2319">
        <v>205</v>
      </c>
      <c r="G23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19" t="str">
        <f>IF(ISBLANK(Table13[[#This Row],[Rating]]), "No", "Yes")</f>
        <v>No</v>
      </c>
      <c r="K2319" t="str">
        <f>IF(ISBLANK(Table13[[#This Row],[Rating]]), "Not Rated", IF(Table13[[#This Row],[Rating]] &lt; 3, "Low", IF(Table13[[#This Row],[Rating]] &lt; 4, "Medium", "High")))</f>
        <v>Not Rated</v>
      </c>
      <c r="L2319">
        <v>0</v>
      </c>
      <c r="M2319">
        <v>160</v>
      </c>
      <c r="N2319" t="str">
        <f>IF(Table13[[#This Row],[Price USD]]&lt;20,"Budget",IF(Table13[[#This Row],[Price USD]]&lt;=50,"Mid-range","Premium"))</f>
        <v>Premium</v>
      </c>
      <c r="O2319">
        <v>1</v>
      </c>
      <c r="P2319">
        <v>0</v>
      </c>
    </row>
    <row r="2320" spans="1:16" x14ac:dyDescent="0.25">
      <c r="A2320" t="s">
        <v>4863</v>
      </c>
      <c r="B2320" t="s">
        <v>4864</v>
      </c>
      <c r="C2320">
        <v>1132</v>
      </c>
      <c r="D2320" t="s">
        <v>1319</v>
      </c>
      <c r="E2320" t="s">
        <v>220</v>
      </c>
      <c r="F2320">
        <v>214</v>
      </c>
      <c r="G23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0">
        <v>2</v>
      </c>
      <c r="J2320" t="str">
        <f>IF(ISBLANK(Table13[[#This Row],[Rating]]), "No", "Yes")</f>
        <v>Yes</v>
      </c>
      <c r="K2320" t="str">
        <f>IF(ISBLANK(Table13[[#This Row],[Rating]]), "Not Rated", IF(Table13[[#This Row],[Rating]] &lt; 3, "Low", IF(Table13[[#This Row],[Rating]] &lt; 4, "Medium", "High")))</f>
        <v>Low</v>
      </c>
      <c r="L2320">
        <v>2</v>
      </c>
      <c r="M2320">
        <v>195</v>
      </c>
      <c r="N2320" t="str">
        <f>IF(Table13[[#This Row],[Price USD]]&lt;20,"Budget",IF(Table13[[#This Row],[Price USD]]&lt;=50,"Mid-range","Premium"))</f>
        <v>Premium</v>
      </c>
      <c r="O2320">
        <v>1</v>
      </c>
      <c r="P2320">
        <v>0</v>
      </c>
    </row>
    <row r="2321" spans="1:16" x14ac:dyDescent="0.25">
      <c r="A2321" t="s">
        <v>4861</v>
      </c>
      <c r="B2321" t="s">
        <v>4862</v>
      </c>
      <c r="C2321">
        <v>6318</v>
      </c>
      <c r="D2321" t="s">
        <v>2040</v>
      </c>
      <c r="E2321" t="s">
        <v>13</v>
      </c>
      <c r="F2321">
        <v>217</v>
      </c>
      <c r="G23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21" t="str">
        <f>IF(ISBLANK(Table13[[#This Row],[Rating]]), "No", "Yes")</f>
        <v>No</v>
      </c>
      <c r="K2321" t="str">
        <f>IF(ISBLANK(Table13[[#This Row],[Rating]]), "Not Rated", IF(Table13[[#This Row],[Rating]] &lt; 3, "Low", IF(Table13[[#This Row],[Rating]] &lt; 4, "Medium", "High")))</f>
        <v>Not Rated</v>
      </c>
      <c r="L2321">
        <v>0</v>
      </c>
      <c r="M2321">
        <v>65</v>
      </c>
      <c r="N2321" t="str">
        <f>IF(Table13[[#This Row],[Price USD]]&lt;20,"Budget",IF(Table13[[#This Row],[Price USD]]&lt;=50,"Mid-range","Premium"))</f>
        <v>Premium</v>
      </c>
      <c r="O2321">
        <v>0</v>
      </c>
      <c r="P2321">
        <v>0</v>
      </c>
    </row>
    <row r="2322" spans="1:16" x14ac:dyDescent="0.25">
      <c r="A2322" t="s">
        <v>4859</v>
      </c>
      <c r="B2322" t="s">
        <v>4860</v>
      </c>
      <c r="C2322">
        <v>6302</v>
      </c>
      <c r="D2322" t="s">
        <v>2721</v>
      </c>
      <c r="E2322" t="s">
        <v>21</v>
      </c>
      <c r="F2322">
        <v>218</v>
      </c>
      <c r="G232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22" t="str">
        <f>IF(ISBLANK(Table13[[#This Row],[Rating]]), "No", "Yes")</f>
        <v>No</v>
      </c>
      <c r="K2322" t="str">
        <f>IF(ISBLANK(Table13[[#This Row],[Rating]]), "Not Rated", IF(Table13[[#This Row],[Rating]] &lt; 3, "Low", IF(Table13[[#This Row],[Rating]] &lt; 4, "Medium", "High")))</f>
        <v>Not Rated</v>
      </c>
      <c r="L2322">
        <v>0</v>
      </c>
      <c r="M2322">
        <v>395</v>
      </c>
      <c r="N2322" t="str">
        <f>IF(Table13[[#This Row],[Price USD]]&lt;20,"Budget",IF(Table13[[#This Row],[Price USD]]&lt;=50,"Mid-range","Premium"))</f>
        <v>Premium</v>
      </c>
      <c r="O2322">
        <v>1</v>
      </c>
      <c r="P2322">
        <v>0</v>
      </c>
    </row>
    <row r="2323" spans="1:16" x14ac:dyDescent="0.25">
      <c r="A2323" t="s">
        <v>4857</v>
      </c>
      <c r="B2323" t="s">
        <v>4858</v>
      </c>
      <c r="C2323">
        <v>6753</v>
      </c>
      <c r="D2323" t="s">
        <v>4812</v>
      </c>
      <c r="E2323" t="s">
        <v>8</v>
      </c>
      <c r="F2323">
        <v>254</v>
      </c>
      <c r="G232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3">
        <v>4.9268000000000001</v>
      </c>
      <c r="J2323" t="str">
        <f>IF(ISBLANK(Table13[[#This Row],[Rating]]), "No", "Yes")</f>
        <v>Yes</v>
      </c>
      <c r="K2323" t="str">
        <f>IF(ISBLANK(Table13[[#This Row],[Rating]]), "Not Rated", IF(Table13[[#This Row],[Rating]] &lt; 3, "Low", IF(Table13[[#This Row],[Rating]] &lt; 4, "Medium", "High")))</f>
        <v>High</v>
      </c>
      <c r="L2323">
        <v>41</v>
      </c>
      <c r="M2323">
        <v>195</v>
      </c>
      <c r="N2323" t="str">
        <f>IF(Table13[[#This Row],[Price USD]]&lt;20,"Budget",IF(Table13[[#This Row],[Price USD]]&lt;=50,"Mid-range","Premium"))</f>
        <v>Premium</v>
      </c>
      <c r="O2323">
        <v>1</v>
      </c>
      <c r="P2323">
        <v>0</v>
      </c>
    </row>
    <row r="2324" spans="1:16" x14ac:dyDescent="0.25">
      <c r="A2324" t="s">
        <v>4855</v>
      </c>
      <c r="B2324" t="s">
        <v>4856</v>
      </c>
      <c r="C2324">
        <v>6307</v>
      </c>
      <c r="D2324" t="s">
        <v>1132</v>
      </c>
      <c r="E2324" t="s">
        <v>69</v>
      </c>
      <c r="F2324">
        <v>259</v>
      </c>
      <c r="G232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4">
        <v>3.25</v>
      </c>
      <c r="J2324" t="str">
        <f>IF(ISBLANK(Table13[[#This Row],[Rating]]), "No", "Yes")</f>
        <v>Yes</v>
      </c>
      <c r="K2324" t="str">
        <f>IF(ISBLANK(Table13[[#This Row],[Rating]]), "Not Rated", IF(Table13[[#This Row],[Rating]] &lt; 3, "Low", IF(Table13[[#This Row],[Rating]] &lt; 4, "Medium", "High")))</f>
        <v>Medium</v>
      </c>
      <c r="L2324">
        <v>4</v>
      </c>
      <c r="M2324">
        <v>54</v>
      </c>
      <c r="N2324" t="str">
        <f>IF(Table13[[#This Row],[Price USD]]&lt;20,"Budget",IF(Table13[[#This Row],[Price USD]]&lt;=50,"Mid-range","Premium"))</f>
        <v>Premium</v>
      </c>
      <c r="O2324">
        <v>0</v>
      </c>
      <c r="P2324">
        <v>0</v>
      </c>
    </row>
    <row r="2325" spans="1:16" x14ac:dyDescent="0.25">
      <c r="A2325" t="s">
        <v>4853</v>
      </c>
      <c r="B2325" t="s">
        <v>4854</v>
      </c>
      <c r="C2325">
        <v>3902</v>
      </c>
      <c r="D2325" t="s">
        <v>72</v>
      </c>
      <c r="E2325" t="s">
        <v>13</v>
      </c>
      <c r="F2325">
        <v>265</v>
      </c>
      <c r="G232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5">
        <v>4.3</v>
      </c>
      <c r="J2325" t="str">
        <f>IF(ISBLANK(Table13[[#This Row],[Rating]]), "No", "Yes")</f>
        <v>Yes</v>
      </c>
      <c r="K2325" t="str">
        <f>IF(ISBLANK(Table13[[#This Row],[Rating]]), "Not Rated", IF(Table13[[#This Row],[Rating]] &lt; 3, "Low", IF(Table13[[#This Row],[Rating]] &lt; 4, "Medium", "High")))</f>
        <v>High</v>
      </c>
      <c r="L2325">
        <v>10</v>
      </c>
      <c r="M2325">
        <v>3</v>
      </c>
      <c r="N2325" t="str">
        <f>IF(Table13[[#This Row],[Price USD]]&lt;20,"Budget",IF(Table13[[#This Row],[Price USD]]&lt;=50,"Mid-range","Premium"))</f>
        <v>Budget</v>
      </c>
      <c r="O2325">
        <v>0</v>
      </c>
      <c r="P2325">
        <v>1</v>
      </c>
    </row>
    <row r="2326" spans="1:16" x14ac:dyDescent="0.25">
      <c r="A2326" t="s">
        <v>4851</v>
      </c>
      <c r="B2326" t="s">
        <v>4852</v>
      </c>
      <c r="C2326">
        <v>6219</v>
      </c>
      <c r="D2326" t="s">
        <v>277</v>
      </c>
      <c r="E2326" t="s">
        <v>21</v>
      </c>
      <c r="F2326">
        <v>274</v>
      </c>
      <c r="G232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6">
        <v>4.8646000000000003</v>
      </c>
      <c r="J2326" t="str">
        <f>IF(ISBLANK(Table13[[#This Row],[Rating]]), "No", "Yes")</f>
        <v>Yes</v>
      </c>
      <c r="K2326" t="str">
        <f>IF(ISBLANK(Table13[[#This Row],[Rating]]), "Not Rated", IF(Table13[[#This Row],[Rating]] &lt; 3, "Low", IF(Table13[[#This Row],[Rating]] &lt; 4, "Medium", "High")))</f>
        <v>High</v>
      </c>
      <c r="L2326">
        <v>192</v>
      </c>
      <c r="M2326">
        <v>125</v>
      </c>
      <c r="N2326" t="str">
        <f>IF(Table13[[#This Row],[Price USD]]&lt;20,"Budget",IF(Table13[[#This Row],[Price USD]]&lt;=50,"Mid-range","Premium"))</f>
        <v>Premium</v>
      </c>
      <c r="O2326">
        <v>1</v>
      </c>
      <c r="P2326">
        <v>0</v>
      </c>
    </row>
    <row r="2327" spans="1:16" x14ac:dyDescent="0.25">
      <c r="A2327" t="s">
        <v>4849</v>
      </c>
      <c r="B2327" t="s">
        <v>4850</v>
      </c>
      <c r="C2327">
        <v>4372</v>
      </c>
      <c r="D2327" t="s">
        <v>1513</v>
      </c>
      <c r="E2327" t="s">
        <v>220</v>
      </c>
      <c r="F2327">
        <v>274</v>
      </c>
      <c r="G232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7">
        <v>1</v>
      </c>
      <c r="J2327" t="str">
        <f>IF(ISBLANK(Table13[[#This Row],[Rating]]), "No", "Yes")</f>
        <v>Yes</v>
      </c>
      <c r="K2327" t="str">
        <f>IF(ISBLANK(Table13[[#This Row],[Rating]]), "Not Rated", IF(Table13[[#This Row],[Rating]] &lt; 3, "Low", IF(Table13[[#This Row],[Rating]] &lt; 4, "Medium", "High")))</f>
        <v>Low</v>
      </c>
      <c r="L2327">
        <v>1</v>
      </c>
      <c r="M2327">
        <v>165</v>
      </c>
      <c r="N2327" t="str">
        <f>IF(Table13[[#This Row],[Price USD]]&lt;20,"Budget",IF(Table13[[#This Row],[Price USD]]&lt;=50,"Mid-range","Premium"))</f>
        <v>Premium</v>
      </c>
      <c r="O2327">
        <v>0</v>
      </c>
      <c r="P2327">
        <v>1</v>
      </c>
    </row>
    <row r="2328" spans="1:16" x14ac:dyDescent="0.25">
      <c r="A2328" t="s">
        <v>4847</v>
      </c>
      <c r="B2328" t="s">
        <v>4848</v>
      </c>
      <c r="C2328">
        <v>5879</v>
      </c>
      <c r="D2328" t="s">
        <v>3589</v>
      </c>
      <c r="E2328" t="s">
        <v>8</v>
      </c>
      <c r="F2328">
        <v>278</v>
      </c>
      <c r="G232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28">
        <v>4.8898000000000001</v>
      </c>
      <c r="J2328" t="str">
        <f>IF(ISBLANK(Table13[[#This Row],[Rating]]), "No", "Yes")</f>
        <v>Yes</v>
      </c>
      <c r="K2328" t="str">
        <f>IF(ISBLANK(Table13[[#This Row],[Rating]]), "Not Rated", IF(Table13[[#This Row],[Rating]] &lt; 3, "Low", IF(Table13[[#This Row],[Rating]] &lt; 4, "Medium", "High")))</f>
        <v>High</v>
      </c>
      <c r="L2328">
        <v>118</v>
      </c>
      <c r="M2328">
        <v>110</v>
      </c>
      <c r="N2328" t="str">
        <f>IF(Table13[[#This Row],[Price USD]]&lt;20,"Budget",IF(Table13[[#This Row],[Price USD]]&lt;=50,"Mid-range","Premium"))</f>
        <v>Premium</v>
      </c>
      <c r="O2328">
        <v>1</v>
      </c>
      <c r="P2328">
        <v>0</v>
      </c>
    </row>
    <row r="2329" spans="1:16" x14ac:dyDescent="0.25">
      <c r="A2329" t="s">
        <v>4845</v>
      </c>
      <c r="B2329" t="s">
        <v>4846</v>
      </c>
      <c r="C2329">
        <v>2082</v>
      </c>
      <c r="D2329" t="s">
        <v>594</v>
      </c>
      <c r="E2329" t="s">
        <v>21</v>
      </c>
      <c r="F2329">
        <v>282</v>
      </c>
      <c r="G232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2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29" t="str">
        <f>IF(ISBLANK(Table13[[#This Row],[Rating]]), "No", "Yes")</f>
        <v>No</v>
      </c>
      <c r="K2329" t="str">
        <f>IF(ISBLANK(Table13[[#This Row],[Rating]]), "Not Rated", IF(Table13[[#This Row],[Rating]] &lt; 3, "Low", IF(Table13[[#This Row],[Rating]] &lt; 4, "Medium", "High")))</f>
        <v>Not Rated</v>
      </c>
      <c r="L2329">
        <v>0</v>
      </c>
      <c r="M2329">
        <v>49</v>
      </c>
      <c r="N2329" t="str">
        <f>IF(Table13[[#This Row],[Price USD]]&lt;20,"Budget",IF(Table13[[#This Row],[Price USD]]&lt;=50,"Mid-range","Premium"))</f>
        <v>Mid-range</v>
      </c>
      <c r="O2329">
        <v>1</v>
      </c>
      <c r="P2329">
        <v>0</v>
      </c>
    </row>
    <row r="2330" spans="1:16" x14ac:dyDescent="0.25">
      <c r="A2330" t="s">
        <v>4843</v>
      </c>
      <c r="B2330" t="s">
        <v>4844</v>
      </c>
      <c r="C2330">
        <v>2082</v>
      </c>
      <c r="D2330" t="s">
        <v>594</v>
      </c>
      <c r="E2330" t="s">
        <v>8</v>
      </c>
      <c r="F2330">
        <v>294</v>
      </c>
      <c r="G233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30" t="str">
        <f>IF(ISBLANK(Table13[[#This Row],[Rating]]), "No", "Yes")</f>
        <v>No</v>
      </c>
      <c r="K2330" t="str">
        <f>IF(ISBLANK(Table13[[#This Row],[Rating]]), "Not Rated", IF(Table13[[#This Row],[Rating]] &lt; 3, "Low", IF(Table13[[#This Row],[Rating]] &lt; 4, "Medium", "High")))</f>
        <v>Not Rated</v>
      </c>
      <c r="L2330">
        <v>0</v>
      </c>
      <c r="M2330">
        <v>132</v>
      </c>
      <c r="N2330" t="str">
        <f>IF(Table13[[#This Row],[Price USD]]&lt;20,"Budget",IF(Table13[[#This Row],[Price USD]]&lt;=50,"Mid-range","Premium"))</f>
        <v>Premium</v>
      </c>
      <c r="O2330">
        <v>1</v>
      </c>
      <c r="P2330">
        <v>0</v>
      </c>
    </row>
    <row r="2331" spans="1:16" x14ac:dyDescent="0.25">
      <c r="A2331" t="s">
        <v>4841</v>
      </c>
      <c r="B2331" t="s">
        <v>4842</v>
      </c>
      <c r="C2331">
        <v>6201</v>
      </c>
      <c r="D2331" t="s">
        <v>367</v>
      </c>
      <c r="E2331" t="s">
        <v>21</v>
      </c>
      <c r="F2331">
        <v>295</v>
      </c>
      <c r="G233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1">
        <v>4.5145999999999997</v>
      </c>
      <c r="J2331" t="str">
        <f>IF(ISBLANK(Table13[[#This Row],[Rating]]), "No", "Yes")</f>
        <v>Yes</v>
      </c>
      <c r="K2331" t="str">
        <f>IF(ISBLANK(Table13[[#This Row],[Rating]]), "Not Rated", IF(Table13[[#This Row],[Rating]] &lt; 3, "Low", IF(Table13[[#This Row],[Rating]] &lt; 4, "Medium", "High")))</f>
        <v>High</v>
      </c>
      <c r="L2331">
        <v>103</v>
      </c>
      <c r="M2331">
        <v>380</v>
      </c>
      <c r="N2331" t="str">
        <f>IF(Table13[[#This Row],[Price USD]]&lt;20,"Budget",IF(Table13[[#This Row],[Price USD]]&lt;=50,"Mid-range","Premium"))</f>
        <v>Premium</v>
      </c>
      <c r="O2331">
        <v>1</v>
      </c>
      <c r="P2331">
        <v>0</v>
      </c>
    </row>
    <row r="2332" spans="1:16" x14ac:dyDescent="0.25">
      <c r="A2332" t="s">
        <v>4839</v>
      </c>
      <c r="B2332" t="s">
        <v>4840</v>
      </c>
      <c r="C2332">
        <v>6753</v>
      </c>
      <c r="D2332" t="s">
        <v>4812</v>
      </c>
      <c r="E2332" t="s">
        <v>21</v>
      </c>
      <c r="F2332">
        <v>297</v>
      </c>
      <c r="G233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2">
        <v>4.9333</v>
      </c>
      <c r="J2332" t="str">
        <f>IF(ISBLANK(Table13[[#This Row],[Rating]]), "No", "Yes")</f>
        <v>Yes</v>
      </c>
      <c r="K2332" t="str">
        <f>IF(ISBLANK(Table13[[#This Row],[Rating]]), "Not Rated", IF(Table13[[#This Row],[Rating]] &lt; 3, "Low", IF(Table13[[#This Row],[Rating]] &lt; 4, "Medium", "High")))</f>
        <v>High</v>
      </c>
      <c r="L2332">
        <v>15</v>
      </c>
      <c r="M2332">
        <v>225</v>
      </c>
      <c r="N2332" t="str">
        <f>IF(Table13[[#This Row],[Price USD]]&lt;20,"Budget",IF(Table13[[#This Row],[Price USD]]&lt;=50,"Mid-range","Premium"))</f>
        <v>Premium</v>
      </c>
      <c r="O2332">
        <v>1</v>
      </c>
      <c r="P2332">
        <v>0</v>
      </c>
    </row>
    <row r="2333" spans="1:16" x14ac:dyDescent="0.25">
      <c r="A2333" t="s">
        <v>4837</v>
      </c>
      <c r="B2333" t="s">
        <v>4838</v>
      </c>
      <c r="C2333">
        <v>1254</v>
      </c>
      <c r="D2333" t="s">
        <v>136</v>
      </c>
      <c r="E2333" t="s">
        <v>21</v>
      </c>
      <c r="F2333">
        <v>313</v>
      </c>
      <c r="G233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33" t="str">
        <f>IF(ISBLANK(Table13[[#This Row],[Rating]]), "No", "Yes")</f>
        <v>No</v>
      </c>
      <c r="K2333" t="str">
        <f>IF(ISBLANK(Table13[[#This Row],[Rating]]), "Not Rated", IF(Table13[[#This Row],[Rating]] &lt; 3, "Low", IF(Table13[[#This Row],[Rating]] &lt; 4, "Medium", "High")))</f>
        <v>Not Rated</v>
      </c>
      <c r="L2333">
        <v>0</v>
      </c>
      <c r="M2333">
        <v>59</v>
      </c>
      <c r="N2333" t="str">
        <f>IF(Table13[[#This Row],[Price USD]]&lt;20,"Budget",IF(Table13[[#This Row],[Price USD]]&lt;=50,"Mid-range","Premium"))</f>
        <v>Premium</v>
      </c>
      <c r="O2333">
        <v>1</v>
      </c>
      <c r="P2333">
        <v>0</v>
      </c>
    </row>
    <row r="2334" spans="1:16" x14ac:dyDescent="0.25">
      <c r="A2334" t="s">
        <v>4835</v>
      </c>
      <c r="B2334" t="s">
        <v>4836</v>
      </c>
      <c r="C2334">
        <v>3297</v>
      </c>
      <c r="D2334" t="s">
        <v>238</v>
      </c>
      <c r="E2334" t="s">
        <v>21</v>
      </c>
      <c r="F2334">
        <v>326</v>
      </c>
      <c r="G233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4">
        <v>5</v>
      </c>
      <c r="J2334" t="str">
        <f>IF(ISBLANK(Table13[[#This Row],[Rating]]), "No", "Yes")</f>
        <v>Yes</v>
      </c>
      <c r="K2334" t="str">
        <f>IF(ISBLANK(Table13[[#This Row],[Rating]]), "Not Rated", IF(Table13[[#This Row],[Rating]] &lt; 3, "Low", IF(Table13[[#This Row],[Rating]] &lt; 4, "Medium", "High")))</f>
        <v>High</v>
      </c>
      <c r="L2334">
        <v>1</v>
      </c>
      <c r="M2334">
        <v>38</v>
      </c>
      <c r="N2334" t="str">
        <f>IF(Table13[[#This Row],[Price USD]]&lt;20,"Budget",IF(Table13[[#This Row],[Price USD]]&lt;=50,"Mid-range","Premium"))</f>
        <v>Mid-range</v>
      </c>
      <c r="O2334">
        <v>0</v>
      </c>
      <c r="P2334">
        <v>0</v>
      </c>
    </row>
    <row r="2335" spans="1:16" x14ac:dyDescent="0.25">
      <c r="A2335" t="s">
        <v>4833</v>
      </c>
      <c r="B2335" t="s">
        <v>4834</v>
      </c>
      <c r="C2335">
        <v>6753</v>
      </c>
      <c r="D2335" t="s">
        <v>4812</v>
      </c>
      <c r="E2335" t="s">
        <v>149</v>
      </c>
      <c r="F2335">
        <v>328</v>
      </c>
      <c r="G233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5">
        <v>4.8947000000000003</v>
      </c>
      <c r="J2335" t="str">
        <f>IF(ISBLANK(Table13[[#This Row],[Rating]]), "No", "Yes")</f>
        <v>Yes</v>
      </c>
      <c r="K2335" t="str">
        <f>IF(ISBLANK(Table13[[#This Row],[Rating]]), "Not Rated", IF(Table13[[#This Row],[Rating]] &lt; 3, "Low", IF(Table13[[#This Row],[Rating]] &lt; 4, "Medium", "High")))</f>
        <v>High</v>
      </c>
      <c r="L2335">
        <v>19</v>
      </c>
      <c r="M2335">
        <v>135</v>
      </c>
      <c r="N2335" t="str">
        <f>IF(Table13[[#This Row],[Price USD]]&lt;20,"Budget",IF(Table13[[#This Row],[Price USD]]&lt;=50,"Mid-range","Premium"))</f>
        <v>Premium</v>
      </c>
      <c r="O2335">
        <v>1</v>
      </c>
      <c r="P2335">
        <v>0</v>
      </c>
    </row>
    <row r="2336" spans="1:16" x14ac:dyDescent="0.25">
      <c r="A2336" t="s">
        <v>4831</v>
      </c>
      <c r="B2336" t="s">
        <v>4832</v>
      </c>
      <c r="C2336">
        <v>3297</v>
      </c>
      <c r="D2336" t="s">
        <v>238</v>
      </c>
      <c r="E2336" t="s">
        <v>13</v>
      </c>
      <c r="F2336">
        <v>338</v>
      </c>
      <c r="G233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36" t="str">
        <f>IF(ISBLANK(Table13[[#This Row],[Rating]]), "No", "Yes")</f>
        <v>No</v>
      </c>
      <c r="K2336" t="str">
        <f>IF(ISBLANK(Table13[[#This Row],[Rating]]), "Not Rated", IF(Table13[[#This Row],[Rating]] &lt; 3, "Low", IF(Table13[[#This Row],[Rating]] &lt; 4, "Medium", "High")))</f>
        <v>Not Rated</v>
      </c>
      <c r="L2336">
        <v>0</v>
      </c>
      <c r="M2336">
        <v>25</v>
      </c>
      <c r="N2336" t="str">
        <f>IF(Table13[[#This Row],[Price USD]]&lt;20,"Budget",IF(Table13[[#This Row],[Price USD]]&lt;=50,"Mid-range","Premium"))</f>
        <v>Mid-range</v>
      </c>
      <c r="O2336">
        <v>0</v>
      </c>
      <c r="P2336">
        <v>0</v>
      </c>
    </row>
    <row r="2337" spans="1:16" x14ac:dyDescent="0.25">
      <c r="A2337" t="s">
        <v>4829</v>
      </c>
      <c r="B2337" t="s">
        <v>4830</v>
      </c>
      <c r="C2337">
        <v>3728</v>
      </c>
      <c r="D2337" t="s">
        <v>458</v>
      </c>
      <c r="E2337" t="s">
        <v>49</v>
      </c>
      <c r="F2337">
        <v>340</v>
      </c>
      <c r="G233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7">
        <v>4.8513999999999999</v>
      </c>
      <c r="J2337" t="str">
        <f>IF(ISBLANK(Table13[[#This Row],[Rating]]), "No", "Yes")</f>
        <v>Yes</v>
      </c>
      <c r="K2337" t="str">
        <f>IF(ISBLANK(Table13[[#This Row],[Rating]]), "Not Rated", IF(Table13[[#This Row],[Rating]] &lt; 3, "Low", IF(Table13[[#This Row],[Rating]] &lt; 4, "Medium", "High")))</f>
        <v>High</v>
      </c>
      <c r="L2337">
        <v>148</v>
      </c>
      <c r="M2337">
        <v>42</v>
      </c>
      <c r="N2337" t="str">
        <f>IF(Table13[[#This Row],[Price USD]]&lt;20,"Budget",IF(Table13[[#This Row],[Price USD]]&lt;=50,"Mid-range","Premium"))</f>
        <v>Mid-range</v>
      </c>
      <c r="O2337">
        <v>1</v>
      </c>
      <c r="P2337">
        <v>0</v>
      </c>
    </row>
    <row r="2338" spans="1:16" x14ac:dyDescent="0.25">
      <c r="A2338" t="s">
        <v>4827</v>
      </c>
      <c r="B2338" t="s">
        <v>4828</v>
      </c>
      <c r="C2338">
        <v>6307</v>
      </c>
      <c r="D2338" t="s">
        <v>1132</v>
      </c>
      <c r="E2338" t="s">
        <v>220</v>
      </c>
      <c r="F2338">
        <v>352</v>
      </c>
      <c r="G233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38" t="str">
        <f>IF(ISBLANK(Table13[[#This Row],[Rating]]), "No", "Yes")</f>
        <v>No</v>
      </c>
      <c r="K2338" t="str">
        <f>IF(ISBLANK(Table13[[#This Row],[Rating]]), "Not Rated", IF(Table13[[#This Row],[Rating]] &lt; 3, "Low", IF(Table13[[#This Row],[Rating]] &lt; 4, "Medium", "High")))</f>
        <v>Not Rated</v>
      </c>
      <c r="L2338">
        <v>0</v>
      </c>
      <c r="M2338">
        <v>95</v>
      </c>
      <c r="N2338" t="str">
        <f>IF(Table13[[#This Row],[Price USD]]&lt;20,"Budget",IF(Table13[[#This Row],[Price USD]]&lt;=50,"Mid-range","Premium"))</f>
        <v>Premium</v>
      </c>
      <c r="O2338">
        <v>1</v>
      </c>
      <c r="P2338">
        <v>0</v>
      </c>
    </row>
    <row r="2339" spans="1:16" x14ac:dyDescent="0.25">
      <c r="A2339" t="s">
        <v>4825</v>
      </c>
      <c r="B2339" t="s">
        <v>4826</v>
      </c>
      <c r="C2339">
        <v>1741</v>
      </c>
      <c r="D2339" t="s">
        <v>388</v>
      </c>
      <c r="E2339" t="s">
        <v>8</v>
      </c>
      <c r="F2339">
        <v>353</v>
      </c>
      <c r="G233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3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39">
        <v>3.5</v>
      </c>
      <c r="J2339" t="str">
        <f>IF(ISBLANK(Table13[[#This Row],[Rating]]), "No", "Yes")</f>
        <v>Yes</v>
      </c>
      <c r="K2339" t="str">
        <f>IF(ISBLANK(Table13[[#This Row],[Rating]]), "Not Rated", IF(Table13[[#This Row],[Rating]] &lt; 3, "Low", IF(Table13[[#This Row],[Rating]] &lt; 4, "Medium", "High")))</f>
        <v>Medium</v>
      </c>
      <c r="L2339">
        <v>2</v>
      </c>
      <c r="M2339">
        <v>270</v>
      </c>
      <c r="N2339" t="str">
        <f>IF(Table13[[#This Row],[Price USD]]&lt;20,"Budget",IF(Table13[[#This Row],[Price USD]]&lt;=50,"Mid-range","Premium"))</f>
        <v>Premium</v>
      </c>
      <c r="O2339">
        <v>0</v>
      </c>
      <c r="P2339">
        <v>0</v>
      </c>
    </row>
    <row r="2340" spans="1:16" x14ac:dyDescent="0.25">
      <c r="A2340" t="s">
        <v>4823</v>
      </c>
      <c r="B2340" t="s">
        <v>4824</v>
      </c>
      <c r="C2340">
        <v>6272</v>
      </c>
      <c r="D2340" t="s">
        <v>1711</v>
      </c>
      <c r="E2340" t="s">
        <v>13</v>
      </c>
      <c r="F2340">
        <v>372</v>
      </c>
      <c r="G234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0">
        <v>4.6666999999999996</v>
      </c>
      <c r="J2340" t="str">
        <f>IF(ISBLANK(Table13[[#This Row],[Rating]]), "No", "Yes")</f>
        <v>Yes</v>
      </c>
      <c r="K2340" t="str">
        <f>IF(ISBLANK(Table13[[#This Row],[Rating]]), "Not Rated", IF(Table13[[#This Row],[Rating]] &lt; 3, "Low", IF(Table13[[#This Row],[Rating]] &lt; 4, "Medium", "High")))</f>
        <v>High</v>
      </c>
      <c r="L2340">
        <v>24</v>
      </c>
      <c r="M2340">
        <v>49</v>
      </c>
      <c r="N2340" t="str">
        <f>IF(Table13[[#This Row],[Price USD]]&lt;20,"Budget",IF(Table13[[#This Row],[Price USD]]&lt;=50,"Mid-range","Premium"))</f>
        <v>Mid-range</v>
      </c>
      <c r="O2340">
        <v>1</v>
      </c>
      <c r="P2340">
        <v>0</v>
      </c>
    </row>
    <row r="2341" spans="1:16" x14ac:dyDescent="0.25">
      <c r="A2341" t="s">
        <v>4821</v>
      </c>
      <c r="B2341" t="s">
        <v>4822</v>
      </c>
      <c r="C2341">
        <v>5337</v>
      </c>
      <c r="D2341" t="s">
        <v>209</v>
      </c>
      <c r="E2341" t="s">
        <v>21</v>
      </c>
      <c r="F2341">
        <v>386</v>
      </c>
      <c r="G234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41" t="str">
        <f>IF(ISBLANK(Table13[[#This Row],[Rating]]), "No", "Yes")</f>
        <v>No</v>
      </c>
      <c r="K2341" t="str">
        <f>IF(ISBLANK(Table13[[#This Row],[Rating]]), "Not Rated", IF(Table13[[#This Row],[Rating]] &lt; 3, "Low", IF(Table13[[#This Row],[Rating]] &lt; 4, "Medium", "High")))</f>
        <v>Not Rated</v>
      </c>
      <c r="L2341">
        <v>0</v>
      </c>
      <c r="M2341">
        <v>90</v>
      </c>
      <c r="N2341" t="str">
        <f>IF(Table13[[#This Row],[Price USD]]&lt;20,"Budget",IF(Table13[[#This Row],[Price USD]]&lt;=50,"Mid-range","Premium"))</f>
        <v>Premium</v>
      </c>
      <c r="O2341">
        <v>1</v>
      </c>
      <c r="P2341">
        <v>0</v>
      </c>
    </row>
    <row r="2342" spans="1:16" x14ac:dyDescent="0.25">
      <c r="A2342" t="s">
        <v>4819</v>
      </c>
      <c r="B2342" t="s">
        <v>4820</v>
      </c>
      <c r="C2342">
        <v>6307</v>
      </c>
      <c r="D2342" t="s">
        <v>1132</v>
      </c>
      <c r="E2342" t="s">
        <v>8</v>
      </c>
      <c r="F2342">
        <v>399</v>
      </c>
      <c r="G234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2">
        <v>4.5824999999999996</v>
      </c>
      <c r="J2342" t="str">
        <f>IF(ISBLANK(Table13[[#This Row],[Rating]]), "No", "Yes")</f>
        <v>Yes</v>
      </c>
      <c r="K2342" t="str">
        <f>IF(ISBLANK(Table13[[#This Row],[Rating]]), "Not Rated", IF(Table13[[#This Row],[Rating]] &lt; 3, "Low", IF(Table13[[#This Row],[Rating]] &lt; 4, "Medium", "High")))</f>
        <v>High</v>
      </c>
      <c r="L2342">
        <v>958</v>
      </c>
      <c r="M2342">
        <v>110</v>
      </c>
      <c r="N2342" t="str">
        <f>IF(Table13[[#This Row],[Price USD]]&lt;20,"Budget",IF(Table13[[#This Row],[Price USD]]&lt;=50,"Mid-range","Premium"))</f>
        <v>Premium</v>
      </c>
      <c r="O2342">
        <v>1</v>
      </c>
      <c r="P2342">
        <v>0</v>
      </c>
    </row>
    <row r="2343" spans="1:16" x14ac:dyDescent="0.25">
      <c r="A2343" t="s">
        <v>4817</v>
      </c>
      <c r="B2343" t="s">
        <v>4818</v>
      </c>
      <c r="C2343">
        <v>6375</v>
      </c>
      <c r="D2343" t="s">
        <v>3234</v>
      </c>
      <c r="E2343" t="s">
        <v>8</v>
      </c>
      <c r="F2343">
        <v>400</v>
      </c>
      <c r="G234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3">
        <v>5</v>
      </c>
      <c r="J2343" t="str">
        <f>IF(ISBLANK(Table13[[#This Row],[Rating]]), "No", "Yes")</f>
        <v>Yes</v>
      </c>
      <c r="K2343" t="str">
        <f>IF(ISBLANK(Table13[[#This Row],[Rating]]), "Not Rated", IF(Table13[[#This Row],[Rating]] &lt; 3, "Low", IF(Table13[[#This Row],[Rating]] &lt; 4, "Medium", "High")))</f>
        <v>High</v>
      </c>
      <c r="L2343">
        <v>12</v>
      </c>
      <c r="M2343">
        <v>65</v>
      </c>
      <c r="N2343" t="str">
        <f>IF(Table13[[#This Row],[Price USD]]&lt;20,"Budget",IF(Table13[[#This Row],[Price USD]]&lt;=50,"Mid-range","Premium"))</f>
        <v>Premium</v>
      </c>
      <c r="O2343">
        <v>1</v>
      </c>
      <c r="P2343">
        <v>0</v>
      </c>
    </row>
    <row r="2344" spans="1:16" x14ac:dyDescent="0.25">
      <c r="A2344" t="s">
        <v>4815</v>
      </c>
      <c r="B2344" t="s">
        <v>4816</v>
      </c>
      <c r="C2344">
        <v>6329</v>
      </c>
      <c r="D2344" t="s">
        <v>3435</v>
      </c>
      <c r="E2344" t="s">
        <v>347</v>
      </c>
      <c r="F2344">
        <v>407</v>
      </c>
      <c r="G234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4">
        <v>4.3</v>
      </c>
      <c r="J2344" t="str">
        <f>IF(ISBLANK(Table13[[#This Row],[Rating]]), "No", "Yes")</f>
        <v>Yes</v>
      </c>
      <c r="K2344" t="str">
        <f>IF(ISBLANK(Table13[[#This Row],[Rating]]), "Not Rated", IF(Table13[[#This Row],[Rating]] &lt; 3, "Low", IF(Table13[[#This Row],[Rating]] &lt; 4, "Medium", "High")))</f>
        <v>High</v>
      </c>
      <c r="L2344">
        <v>30</v>
      </c>
      <c r="M2344">
        <v>70</v>
      </c>
      <c r="N2344" t="str">
        <f>IF(Table13[[#This Row],[Price USD]]&lt;20,"Budget",IF(Table13[[#This Row],[Price USD]]&lt;=50,"Mid-range","Premium"))</f>
        <v>Premium</v>
      </c>
      <c r="O2344">
        <v>0</v>
      </c>
      <c r="P2344">
        <v>0</v>
      </c>
    </row>
    <row r="2345" spans="1:16" x14ac:dyDescent="0.25">
      <c r="A2345" t="s">
        <v>4813</v>
      </c>
      <c r="B2345" t="s">
        <v>4814</v>
      </c>
      <c r="C2345">
        <v>7020</v>
      </c>
      <c r="D2345" t="s">
        <v>657</v>
      </c>
      <c r="E2345" t="s">
        <v>220</v>
      </c>
      <c r="F2345">
        <v>410</v>
      </c>
      <c r="G234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45" t="str">
        <f>IF(ISBLANK(Table13[[#This Row],[Rating]]), "No", "Yes")</f>
        <v>No</v>
      </c>
      <c r="K2345" t="str">
        <f>IF(ISBLANK(Table13[[#This Row],[Rating]]), "Not Rated", IF(Table13[[#This Row],[Rating]] &lt; 3, "Low", IF(Table13[[#This Row],[Rating]] &lt; 4, "Medium", "High")))</f>
        <v>Not Rated</v>
      </c>
      <c r="L2345">
        <v>0</v>
      </c>
      <c r="M2345">
        <v>85</v>
      </c>
      <c r="N2345" t="str">
        <f>IF(Table13[[#This Row],[Price USD]]&lt;20,"Budget",IF(Table13[[#This Row],[Price USD]]&lt;=50,"Mid-range","Premium"))</f>
        <v>Premium</v>
      </c>
      <c r="O2345">
        <v>0</v>
      </c>
      <c r="P2345">
        <v>0</v>
      </c>
    </row>
    <row r="2346" spans="1:16" x14ac:dyDescent="0.25">
      <c r="A2346" t="s">
        <v>4810</v>
      </c>
      <c r="B2346" t="s">
        <v>4811</v>
      </c>
      <c r="C2346">
        <v>6753</v>
      </c>
      <c r="D2346" t="s">
        <v>4812</v>
      </c>
      <c r="E2346" t="s">
        <v>4</v>
      </c>
      <c r="F2346">
        <v>422</v>
      </c>
      <c r="G234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6">
        <v>4.7691999999999997</v>
      </c>
      <c r="J2346" t="str">
        <f>IF(ISBLANK(Table13[[#This Row],[Rating]]), "No", "Yes")</f>
        <v>Yes</v>
      </c>
      <c r="K2346" t="str">
        <f>IF(ISBLANK(Table13[[#This Row],[Rating]]), "Not Rated", IF(Table13[[#This Row],[Rating]] &lt; 3, "Low", IF(Table13[[#This Row],[Rating]] &lt; 4, "Medium", "High")))</f>
        <v>High</v>
      </c>
      <c r="L2346">
        <v>26</v>
      </c>
      <c r="M2346">
        <v>95</v>
      </c>
      <c r="N2346" t="str">
        <f>IF(Table13[[#This Row],[Price USD]]&lt;20,"Budget",IF(Table13[[#This Row],[Price USD]]&lt;=50,"Mid-range","Premium"))</f>
        <v>Premium</v>
      </c>
      <c r="O2346">
        <v>1</v>
      </c>
      <c r="P2346">
        <v>0</v>
      </c>
    </row>
    <row r="2347" spans="1:16" x14ac:dyDescent="0.25">
      <c r="A2347" t="s">
        <v>4808</v>
      </c>
      <c r="B2347" t="s">
        <v>4809</v>
      </c>
      <c r="C2347">
        <v>5333</v>
      </c>
      <c r="D2347" t="s">
        <v>4388</v>
      </c>
      <c r="E2347" t="s">
        <v>13</v>
      </c>
      <c r="F2347">
        <v>429</v>
      </c>
      <c r="G234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7">
        <v>4.6212</v>
      </c>
      <c r="J2347" t="str">
        <f>IF(ISBLANK(Table13[[#This Row],[Rating]]), "No", "Yes")</f>
        <v>Yes</v>
      </c>
      <c r="K2347" t="str">
        <f>IF(ISBLANK(Table13[[#This Row],[Rating]]), "Not Rated", IF(Table13[[#This Row],[Rating]] &lt; 3, "Low", IF(Table13[[#This Row],[Rating]] &lt; 4, "Medium", "High")))</f>
        <v>High</v>
      </c>
      <c r="L2347">
        <v>462</v>
      </c>
      <c r="M2347">
        <v>29</v>
      </c>
      <c r="N2347" t="str">
        <f>IF(Table13[[#This Row],[Price USD]]&lt;20,"Budget",IF(Table13[[#This Row],[Price USD]]&lt;=50,"Mid-range","Premium"))</f>
        <v>Mid-range</v>
      </c>
      <c r="O2347">
        <v>1</v>
      </c>
      <c r="P2347">
        <v>0</v>
      </c>
    </row>
    <row r="2348" spans="1:16" x14ac:dyDescent="0.25">
      <c r="A2348" t="s">
        <v>4806</v>
      </c>
      <c r="B2348" t="s">
        <v>4807</v>
      </c>
      <c r="C2348">
        <v>8001</v>
      </c>
      <c r="D2348" t="s">
        <v>27</v>
      </c>
      <c r="E2348" t="s">
        <v>13</v>
      </c>
      <c r="F2348">
        <v>432</v>
      </c>
      <c r="G234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48" t="str">
        <f>IF(ISBLANK(Table13[[#This Row],[Rating]]), "No", "Yes")</f>
        <v>No</v>
      </c>
      <c r="K2348" t="str">
        <f>IF(ISBLANK(Table13[[#This Row],[Rating]]), "Not Rated", IF(Table13[[#This Row],[Rating]] &lt; 3, "Low", IF(Table13[[#This Row],[Rating]] &lt; 4, "Medium", "High")))</f>
        <v>Not Rated</v>
      </c>
      <c r="L2348">
        <v>0</v>
      </c>
      <c r="M2348">
        <v>34</v>
      </c>
      <c r="N2348" t="str">
        <f>IF(Table13[[#This Row],[Price USD]]&lt;20,"Budget",IF(Table13[[#This Row],[Price USD]]&lt;=50,"Mid-range","Premium"))</f>
        <v>Mid-range</v>
      </c>
      <c r="O2348">
        <v>1</v>
      </c>
      <c r="P2348">
        <v>1</v>
      </c>
    </row>
    <row r="2349" spans="1:16" x14ac:dyDescent="0.25">
      <c r="A2349" t="s">
        <v>4804</v>
      </c>
      <c r="B2349" t="s">
        <v>4805</v>
      </c>
      <c r="C2349">
        <v>6089</v>
      </c>
      <c r="D2349" t="s">
        <v>605</v>
      </c>
      <c r="E2349" t="s">
        <v>13</v>
      </c>
      <c r="F2349">
        <v>435</v>
      </c>
      <c r="G234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4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49">
        <v>5</v>
      </c>
      <c r="J2349" t="str">
        <f>IF(ISBLANK(Table13[[#This Row],[Rating]]), "No", "Yes")</f>
        <v>Yes</v>
      </c>
      <c r="K2349" t="str">
        <f>IF(ISBLANK(Table13[[#This Row],[Rating]]), "Not Rated", IF(Table13[[#This Row],[Rating]] &lt; 3, "Low", IF(Table13[[#This Row],[Rating]] &lt; 4, "Medium", "High")))</f>
        <v>High</v>
      </c>
      <c r="L2349">
        <v>1</v>
      </c>
      <c r="M2349">
        <v>26</v>
      </c>
      <c r="N2349" t="str">
        <f>IF(Table13[[#This Row],[Price USD]]&lt;20,"Budget",IF(Table13[[#This Row],[Price USD]]&lt;=50,"Mid-range","Premium"))</f>
        <v>Mid-range</v>
      </c>
      <c r="O2349">
        <v>1</v>
      </c>
      <c r="P2349">
        <v>0</v>
      </c>
    </row>
    <row r="2350" spans="1:16" x14ac:dyDescent="0.25">
      <c r="A2350" t="s">
        <v>4802</v>
      </c>
      <c r="B2350" t="s">
        <v>4803</v>
      </c>
      <c r="C2350">
        <v>5879</v>
      </c>
      <c r="D2350" t="s">
        <v>3589</v>
      </c>
      <c r="E2350" t="s">
        <v>8</v>
      </c>
      <c r="F2350">
        <v>438</v>
      </c>
      <c r="G235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50" t="str">
        <f>IF(ISBLANK(Table13[[#This Row],[Rating]]), "No", "Yes")</f>
        <v>No</v>
      </c>
      <c r="K2350" t="str">
        <f>IF(ISBLANK(Table13[[#This Row],[Rating]]), "Not Rated", IF(Table13[[#This Row],[Rating]] &lt; 3, "Low", IF(Table13[[#This Row],[Rating]] &lt; 4, "Medium", "High")))</f>
        <v>Not Rated</v>
      </c>
      <c r="L2350">
        <v>0</v>
      </c>
      <c r="M2350">
        <v>124</v>
      </c>
      <c r="N2350" t="str">
        <f>IF(Table13[[#This Row],[Price USD]]&lt;20,"Budget",IF(Table13[[#This Row],[Price USD]]&lt;=50,"Mid-range","Premium"))</f>
        <v>Premium</v>
      </c>
      <c r="O2350">
        <v>0</v>
      </c>
      <c r="P2350">
        <v>0</v>
      </c>
    </row>
    <row r="2351" spans="1:16" x14ac:dyDescent="0.25">
      <c r="A2351" t="s">
        <v>4800</v>
      </c>
      <c r="B2351" t="s">
        <v>4801</v>
      </c>
      <c r="C2351">
        <v>6018</v>
      </c>
      <c r="D2351" t="s">
        <v>517</v>
      </c>
      <c r="E2351" t="s">
        <v>21</v>
      </c>
      <c r="F2351">
        <v>442</v>
      </c>
      <c r="G235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51" t="str">
        <f>IF(ISBLANK(Table13[[#This Row],[Rating]]), "No", "Yes")</f>
        <v>No</v>
      </c>
      <c r="K2351" t="str">
        <f>IF(ISBLANK(Table13[[#This Row],[Rating]]), "Not Rated", IF(Table13[[#This Row],[Rating]] &lt; 3, "Low", IF(Table13[[#This Row],[Rating]] &lt; 4, "Medium", "High")))</f>
        <v>Not Rated</v>
      </c>
      <c r="L2351">
        <v>0</v>
      </c>
      <c r="M2351">
        <v>98</v>
      </c>
      <c r="N2351" t="str">
        <f>IF(Table13[[#This Row],[Price USD]]&lt;20,"Budget",IF(Table13[[#This Row],[Price USD]]&lt;=50,"Mid-range","Premium"))</f>
        <v>Premium</v>
      </c>
      <c r="O2351">
        <v>1</v>
      </c>
      <c r="P2351">
        <v>0</v>
      </c>
    </row>
    <row r="2352" spans="1:16" x14ac:dyDescent="0.25">
      <c r="A2352" t="s">
        <v>4798</v>
      </c>
      <c r="B2352" t="s">
        <v>4799</v>
      </c>
      <c r="C2352">
        <v>5337</v>
      </c>
      <c r="D2352" t="s">
        <v>209</v>
      </c>
      <c r="E2352" t="s">
        <v>220</v>
      </c>
      <c r="F2352">
        <v>446</v>
      </c>
      <c r="G235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52" t="str">
        <f>IF(ISBLANK(Table13[[#This Row],[Rating]]), "No", "Yes")</f>
        <v>No</v>
      </c>
      <c r="K2352" t="str">
        <f>IF(ISBLANK(Table13[[#This Row],[Rating]]), "Not Rated", IF(Table13[[#This Row],[Rating]] &lt; 3, "Low", IF(Table13[[#This Row],[Rating]] &lt; 4, "Medium", "High")))</f>
        <v>Not Rated</v>
      </c>
      <c r="L2352">
        <v>0</v>
      </c>
      <c r="M2352">
        <v>39</v>
      </c>
      <c r="N2352" t="str">
        <f>IF(Table13[[#This Row],[Price USD]]&lt;20,"Budget",IF(Table13[[#This Row],[Price USD]]&lt;=50,"Mid-range","Premium"))</f>
        <v>Mid-range</v>
      </c>
      <c r="O2352">
        <v>1</v>
      </c>
      <c r="P2352">
        <v>0</v>
      </c>
    </row>
    <row r="2353" spans="1:16" x14ac:dyDescent="0.25">
      <c r="A2353" t="s">
        <v>4796</v>
      </c>
      <c r="B2353" t="s">
        <v>4797</v>
      </c>
      <c r="C2353">
        <v>3297</v>
      </c>
      <c r="D2353" t="s">
        <v>238</v>
      </c>
      <c r="E2353" t="s">
        <v>13</v>
      </c>
      <c r="F2353">
        <v>473</v>
      </c>
      <c r="G235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53">
        <v>2</v>
      </c>
      <c r="J2353" t="str">
        <f>IF(ISBLANK(Table13[[#This Row],[Rating]]), "No", "Yes")</f>
        <v>Yes</v>
      </c>
      <c r="K2353" t="str">
        <f>IF(ISBLANK(Table13[[#This Row],[Rating]]), "Not Rated", IF(Table13[[#This Row],[Rating]] &lt; 3, "Low", IF(Table13[[#This Row],[Rating]] &lt; 4, "Medium", "High")))</f>
        <v>Low</v>
      </c>
      <c r="L2353">
        <v>4</v>
      </c>
      <c r="M2353">
        <v>25</v>
      </c>
      <c r="N2353" t="str">
        <f>IF(Table13[[#This Row],[Price USD]]&lt;20,"Budget",IF(Table13[[#This Row],[Price USD]]&lt;=50,"Mid-range","Premium"))</f>
        <v>Mid-range</v>
      </c>
      <c r="O2353">
        <v>0</v>
      </c>
      <c r="P2353">
        <v>0</v>
      </c>
    </row>
    <row r="2354" spans="1:16" x14ac:dyDescent="0.25">
      <c r="A2354" t="s">
        <v>4794</v>
      </c>
      <c r="B2354" t="s">
        <v>4795</v>
      </c>
      <c r="C2354">
        <v>5879</v>
      </c>
      <c r="D2354" t="s">
        <v>3589</v>
      </c>
      <c r="E2354" t="s">
        <v>8</v>
      </c>
      <c r="F2354">
        <v>482</v>
      </c>
      <c r="G235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54">
        <v>5</v>
      </c>
      <c r="J2354" t="str">
        <f>IF(ISBLANK(Table13[[#This Row],[Rating]]), "No", "Yes")</f>
        <v>Yes</v>
      </c>
      <c r="K2354" t="str">
        <f>IF(ISBLANK(Table13[[#This Row],[Rating]]), "Not Rated", IF(Table13[[#This Row],[Rating]] &lt; 3, "Low", IF(Table13[[#This Row],[Rating]] &lt; 4, "Medium", "High")))</f>
        <v>High</v>
      </c>
      <c r="L2354">
        <v>1</v>
      </c>
      <c r="M2354">
        <v>198</v>
      </c>
      <c r="N2354" t="str">
        <f>IF(Table13[[#This Row],[Price USD]]&lt;20,"Budget",IF(Table13[[#This Row],[Price USD]]&lt;=50,"Mid-range","Premium"))</f>
        <v>Premium</v>
      </c>
      <c r="O2354">
        <v>0</v>
      </c>
      <c r="P2354">
        <v>0</v>
      </c>
    </row>
    <row r="2355" spans="1:16" x14ac:dyDescent="0.25">
      <c r="A2355" t="s">
        <v>4792</v>
      </c>
      <c r="B2355" t="s">
        <v>4793</v>
      </c>
      <c r="C2355">
        <v>7020</v>
      </c>
      <c r="D2355" t="s">
        <v>657</v>
      </c>
      <c r="E2355" t="s">
        <v>149</v>
      </c>
      <c r="F2355">
        <v>484</v>
      </c>
      <c r="G235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55" t="str">
        <f>IF(ISBLANK(Table13[[#This Row],[Rating]]), "No", "Yes")</f>
        <v>No</v>
      </c>
      <c r="K2355" t="str">
        <f>IF(ISBLANK(Table13[[#This Row],[Rating]]), "Not Rated", IF(Table13[[#This Row],[Rating]] &lt; 3, "Low", IF(Table13[[#This Row],[Rating]] &lt; 4, "Medium", "High")))</f>
        <v>Not Rated</v>
      </c>
      <c r="L2355">
        <v>0</v>
      </c>
      <c r="M2355">
        <v>130</v>
      </c>
      <c r="N2355" t="str">
        <f>IF(Table13[[#This Row],[Price USD]]&lt;20,"Budget",IF(Table13[[#This Row],[Price USD]]&lt;=50,"Mid-range","Premium"))</f>
        <v>Premium</v>
      </c>
      <c r="O2355">
        <v>1</v>
      </c>
      <c r="P2355">
        <v>0</v>
      </c>
    </row>
    <row r="2356" spans="1:16" x14ac:dyDescent="0.25">
      <c r="A2356" t="s">
        <v>4790</v>
      </c>
      <c r="B2356" t="s">
        <v>4791</v>
      </c>
      <c r="C2356">
        <v>6117</v>
      </c>
      <c r="D2356" t="s">
        <v>229</v>
      </c>
      <c r="E2356" t="s">
        <v>13</v>
      </c>
      <c r="F2356">
        <v>518</v>
      </c>
      <c r="G235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56">
        <v>5</v>
      </c>
      <c r="J2356" t="str">
        <f>IF(ISBLANK(Table13[[#This Row],[Rating]]), "No", "Yes")</f>
        <v>Yes</v>
      </c>
      <c r="K2356" t="str">
        <f>IF(ISBLANK(Table13[[#This Row],[Rating]]), "Not Rated", IF(Table13[[#This Row],[Rating]] &lt; 3, "Low", IF(Table13[[#This Row],[Rating]] &lt; 4, "Medium", "High")))</f>
        <v>High</v>
      </c>
      <c r="L2356">
        <v>15</v>
      </c>
      <c r="M2356">
        <v>26</v>
      </c>
      <c r="N2356" t="str">
        <f>IF(Table13[[#This Row],[Price USD]]&lt;20,"Budget",IF(Table13[[#This Row],[Price USD]]&lt;=50,"Mid-range","Premium"))</f>
        <v>Mid-range</v>
      </c>
      <c r="O2356">
        <v>1</v>
      </c>
      <c r="P2356">
        <v>0</v>
      </c>
    </row>
    <row r="2357" spans="1:16" x14ac:dyDescent="0.25">
      <c r="A2357" t="s">
        <v>4788</v>
      </c>
      <c r="B2357" t="s">
        <v>4789</v>
      </c>
      <c r="C2357">
        <v>6018</v>
      </c>
      <c r="D2357" t="s">
        <v>517</v>
      </c>
      <c r="E2357" t="s">
        <v>220</v>
      </c>
      <c r="F2357">
        <v>522</v>
      </c>
      <c r="G235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57">
        <v>3</v>
      </c>
      <c r="J2357" t="str">
        <f>IF(ISBLANK(Table13[[#This Row],[Rating]]), "No", "Yes")</f>
        <v>Yes</v>
      </c>
      <c r="K2357" t="str">
        <f>IF(ISBLANK(Table13[[#This Row],[Rating]]), "Not Rated", IF(Table13[[#This Row],[Rating]] &lt; 3, "Low", IF(Table13[[#This Row],[Rating]] &lt; 4, "Medium", "High")))</f>
        <v>Medium</v>
      </c>
      <c r="L2357">
        <v>1</v>
      </c>
      <c r="M2357">
        <v>44</v>
      </c>
      <c r="N2357" t="str">
        <f>IF(Table13[[#This Row],[Price USD]]&lt;20,"Budget",IF(Table13[[#This Row],[Price USD]]&lt;=50,"Mid-range","Premium"))</f>
        <v>Mid-range</v>
      </c>
      <c r="O2357">
        <v>1</v>
      </c>
      <c r="P2357">
        <v>0</v>
      </c>
    </row>
    <row r="2358" spans="1:16" x14ac:dyDescent="0.25">
      <c r="A2358" t="s">
        <v>4786</v>
      </c>
      <c r="B2358" t="s">
        <v>4787</v>
      </c>
      <c r="C2358">
        <v>6001</v>
      </c>
      <c r="D2358" t="s">
        <v>1836</v>
      </c>
      <c r="E2358" t="s">
        <v>8</v>
      </c>
      <c r="F2358">
        <v>540</v>
      </c>
      <c r="G235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58" t="str">
        <f>IF(ISBLANK(Table13[[#This Row],[Rating]]), "No", "Yes")</f>
        <v>No</v>
      </c>
      <c r="K2358" t="str">
        <f>IF(ISBLANK(Table13[[#This Row],[Rating]]), "Not Rated", IF(Table13[[#This Row],[Rating]] &lt; 3, "Low", IF(Table13[[#This Row],[Rating]] &lt; 4, "Medium", "High")))</f>
        <v>Not Rated</v>
      </c>
      <c r="L2358">
        <v>0</v>
      </c>
      <c r="M2358">
        <v>49</v>
      </c>
      <c r="N2358" t="str">
        <f>IF(Table13[[#This Row],[Price USD]]&lt;20,"Budget",IF(Table13[[#This Row],[Price USD]]&lt;=50,"Mid-range","Premium"))</f>
        <v>Mid-range</v>
      </c>
      <c r="O2358">
        <v>0</v>
      </c>
      <c r="P2358">
        <v>0</v>
      </c>
    </row>
    <row r="2359" spans="1:16" x14ac:dyDescent="0.25">
      <c r="A2359" t="s">
        <v>4785</v>
      </c>
      <c r="B2359" t="s">
        <v>952</v>
      </c>
      <c r="C2359">
        <v>1254</v>
      </c>
      <c r="D2359" t="s">
        <v>136</v>
      </c>
      <c r="E2359" t="s">
        <v>13</v>
      </c>
      <c r="F2359">
        <v>545</v>
      </c>
      <c r="G235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5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59">
        <v>4.4286000000000003</v>
      </c>
      <c r="J2359" t="str">
        <f>IF(ISBLANK(Table13[[#This Row],[Rating]]), "No", "Yes")</f>
        <v>Yes</v>
      </c>
      <c r="K2359" t="str">
        <f>IF(ISBLANK(Table13[[#This Row],[Rating]]), "Not Rated", IF(Table13[[#This Row],[Rating]] &lt; 3, "Low", IF(Table13[[#This Row],[Rating]] &lt; 4, "Medium", "High")))</f>
        <v>High</v>
      </c>
      <c r="L2359">
        <v>7</v>
      </c>
      <c r="M2359">
        <v>36</v>
      </c>
      <c r="N2359" t="str">
        <f>IF(Table13[[#This Row],[Price USD]]&lt;20,"Budget",IF(Table13[[#This Row],[Price USD]]&lt;=50,"Mid-range","Premium"))</f>
        <v>Mid-range</v>
      </c>
      <c r="O2359">
        <v>0</v>
      </c>
      <c r="P2359">
        <v>0</v>
      </c>
    </row>
    <row r="2360" spans="1:16" x14ac:dyDescent="0.25">
      <c r="A2360" t="s">
        <v>4782</v>
      </c>
      <c r="B2360" t="s">
        <v>4783</v>
      </c>
      <c r="C2360">
        <v>6328</v>
      </c>
      <c r="D2360" t="s">
        <v>4784</v>
      </c>
      <c r="E2360" t="s">
        <v>4</v>
      </c>
      <c r="F2360">
        <v>547</v>
      </c>
      <c r="G236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0">
        <v>4.9474</v>
      </c>
      <c r="J2360" t="str">
        <f>IF(ISBLANK(Table13[[#This Row],[Rating]]), "No", "Yes")</f>
        <v>Yes</v>
      </c>
      <c r="K2360" t="str">
        <f>IF(ISBLANK(Table13[[#This Row],[Rating]]), "Not Rated", IF(Table13[[#This Row],[Rating]] &lt; 3, "Low", IF(Table13[[#This Row],[Rating]] &lt; 4, "Medium", "High")))</f>
        <v>High</v>
      </c>
      <c r="L2360">
        <v>19</v>
      </c>
      <c r="M2360">
        <v>32</v>
      </c>
      <c r="N2360" t="str">
        <f>IF(Table13[[#This Row],[Price USD]]&lt;20,"Budget",IF(Table13[[#This Row],[Price USD]]&lt;=50,"Mid-range","Premium"))</f>
        <v>Mid-range</v>
      </c>
      <c r="O2360">
        <v>1</v>
      </c>
      <c r="P2360">
        <v>1</v>
      </c>
    </row>
    <row r="2361" spans="1:16" x14ac:dyDescent="0.25">
      <c r="A2361" t="s">
        <v>4780</v>
      </c>
      <c r="B2361" t="s">
        <v>4781</v>
      </c>
      <c r="C2361">
        <v>2082</v>
      </c>
      <c r="D2361" t="s">
        <v>594</v>
      </c>
      <c r="E2361" t="s">
        <v>21</v>
      </c>
      <c r="F2361">
        <v>566</v>
      </c>
      <c r="G236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1">
        <v>4.6666999999999996</v>
      </c>
      <c r="J2361" t="str">
        <f>IF(ISBLANK(Table13[[#This Row],[Rating]]), "No", "Yes")</f>
        <v>Yes</v>
      </c>
      <c r="K2361" t="str">
        <f>IF(ISBLANK(Table13[[#This Row],[Rating]]), "Not Rated", IF(Table13[[#This Row],[Rating]] &lt; 3, "Low", IF(Table13[[#This Row],[Rating]] &lt; 4, "Medium", "High")))</f>
        <v>High</v>
      </c>
      <c r="L2361">
        <v>3</v>
      </c>
      <c r="M2361">
        <v>132</v>
      </c>
      <c r="N2361" t="str">
        <f>IF(Table13[[#This Row],[Price USD]]&lt;20,"Budget",IF(Table13[[#This Row],[Price USD]]&lt;=50,"Mid-range","Premium"))</f>
        <v>Premium</v>
      </c>
      <c r="O2361">
        <v>0</v>
      </c>
      <c r="P2361">
        <v>0</v>
      </c>
    </row>
    <row r="2362" spans="1:16" x14ac:dyDescent="0.25">
      <c r="A2362" t="s">
        <v>4778</v>
      </c>
      <c r="B2362" t="s">
        <v>4779</v>
      </c>
      <c r="C2362">
        <v>1254</v>
      </c>
      <c r="D2362" t="s">
        <v>136</v>
      </c>
      <c r="E2362" t="s">
        <v>21</v>
      </c>
      <c r="F2362">
        <v>574</v>
      </c>
      <c r="G236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2">
        <v>4.4118000000000004</v>
      </c>
      <c r="J2362" t="str">
        <f>IF(ISBLANK(Table13[[#This Row],[Rating]]), "No", "Yes")</f>
        <v>Yes</v>
      </c>
      <c r="K2362" t="str">
        <f>IF(ISBLANK(Table13[[#This Row],[Rating]]), "Not Rated", IF(Table13[[#This Row],[Rating]] &lt; 3, "Low", IF(Table13[[#This Row],[Rating]] &lt; 4, "Medium", "High")))</f>
        <v>High</v>
      </c>
      <c r="L2362">
        <v>17</v>
      </c>
      <c r="M2362">
        <v>68</v>
      </c>
      <c r="N2362" t="str">
        <f>IF(Table13[[#This Row],[Price USD]]&lt;20,"Budget",IF(Table13[[#This Row],[Price USD]]&lt;=50,"Mid-range","Premium"))</f>
        <v>Premium</v>
      </c>
      <c r="O2362">
        <v>0</v>
      </c>
      <c r="P2362">
        <v>0</v>
      </c>
    </row>
    <row r="2363" spans="1:16" x14ac:dyDescent="0.25">
      <c r="A2363" t="s">
        <v>4777</v>
      </c>
      <c r="B2363" t="s">
        <v>1391</v>
      </c>
      <c r="C2363">
        <v>1254</v>
      </c>
      <c r="D2363" t="s">
        <v>136</v>
      </c>
      <c r="E2363" t="s">
        <v>13</v>
      </c>
      <c r="F2363">
        <v>577</v>
      </c>
      <c r="G236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3">
        <v>4.1666999999999996</v>
      </c>
      <c r="J2363" t="str">
        <f>IF(ISBLANK(Table13[[#This Row],[Rating]]), "No", "Yes")</f>
        <v>Yes</v>
      </c>
      <c r="K2363" t="str">
        <f>IF(ISBLANK(Table13[[#This Row],[Rating]]), "Not Rated", IF(Table13[[#This Row],[Rating]] &lt; 3, "Low", IF(Table13[[#This Row],[Rating]] &lt; 4, "Medium", "High")))</f>
        <v>High</v>
      </c>
      <c r="L2363">
        <v>6</v>
      </c>
      <c r="M2363">
        <v>36</v>
      </c>
      <c r="N2363" t="str">
        <f>IF(Table13[[#This Row],[Price USD]]&lt;20,"Budget",IF(Table13[[#This Row],[Price USD]]&lt;=50,"Mid-range","Premium"))</f>
        <v>Mid-range</v>
      </c>
      <c r="O2363">
        <v>0</v>
      </c>
      <c r="P2363">
        <v>0</v>
      </c>
    </row>
    <row r="2364" spans="1:16" x14ac:dyDescent="0.25">
      <c r="A2364" t="s">
        <v>4775</v>
      </c>
      <c r="B2364" t="s">
        <v>4776</v>
      </c>
      <c r="C2364">
        <v>6318</v>
      </c>
      <c r="D2364" t="s">
        <v>2040</v>
      </c>
      <c r="E2364" t="s">
        <v>8</v>
      </c>
      <c r="F2364">
        <v>581</v>
      </c>
      <c r="G236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4">
        <v>3</v>
      </c>
      <c r="J2364" t="str">
        <f>IF(ISBLANK(Table13[[#This Row],[Rating]]), "No", "Yes")</f>
        <v>Yes</v>
      </c>
      <c r="K2364" t="str">
        <f>IF(ISBLANK(Table13[[#This Row],[Rating]]), "Not Rated", IF(Table13[[#This Row],[Rating]] &lt; 3, "Low", IF(Table13[[#This Row],[Rating]] &lt; 4, "Medium", "High")))</f>
        <v>Medium</v>
      </c>
      <c r="L2364">
        <v>1</v>
      </c>
      <c r="M2364">
        <v>300</v>
      </c>
      <c r="N2364" t="str">
        <f>IF(Table13[[#This Row],[Price USD]]&lt;20,"Budget",IF(Table13[[#This Row],[Price USD]]&lt;=50,"Mid-range","Premium"))</f>
        <v>Premium</v>
      </c>
      <c r="O2364">
        <v>0</v>
      </c>
      <c r="P2364">
        <v>0</v>
      </c>
    </row>
    <row r="2365" spans="1:16" x14ac:dyDescent="0.25">
      <c r="A2365" t="s">
        <v>4773</v>
      </c>
      <c r="B2365" t="s">
        <v>4774</v>
      </c>
      <c r="C2365">
        <v>2082</v>
      </c>
      <c r="D2365" t="s">
        <v>594</v>
      </c>
      <c r="E2365" t="s">
        <v>21</v>
      </c>
      <c r="F2365">
        <v>595</v>
      </c>
      <c r="G236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5">
        <v>5</v>
      </c>
      <c r="J2365" t="str">
        <f>IF(ISBLANK(Table13[[#This Row],[Rating]]), "No", "Yes")</f>
        <v>Yes</v>
      </c>
      <c r="K2365" t="str">
        <f>IF(ISBLANK(Table13[[#This Row],[Rating]]), "Not Rated", IF(Table13[[#This Row],[Rating]] &lt; 3, "Low", IF(Table13[[#This Row],[Rating]] &lt; 4, "Medium", "High")))</f>
        <v>High</v>
      </c>
      <c r="L2365">
        <v>2</v>
      </c>
      <c r="M2365">
        <v>140</v>
      </c>
      <c r="N2365" t="str">
        <f>IF(Table13[[#This Row],[Price USD]]&lt;20,"Budget",IF(Table13[[#This Row],[Price USD]]&lt;=50,"Mid-range","Premium"))</f>
        <v>Premium</v>
      </c>
      <c r="O2365">
        <v>0</v>
      </c>
      <c r="P2365">
        <v>0</v>
      </c>
    </row>
    <row r="2366" spans="1:16" x14ac:dyDescent="0.25">
      <c r="A2366" t="s">
        <v>4771</v>
      </c>
      <c r="B2366" t="s">
        <v>4772</v>
      </c>
      <c r="C2366">
        <v>4372</v>
      </c>
      <c r="D2366" t="s">
        <v>1513</v>
      </c>
      <c r="E2366" t="s">
        <v>8</v>
      </c>
      <c r="F2366">
        <v>597</v>
      </c>
      <c r="G236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6">
        <v>5</v>
      </c>
      <c r="J2366" t="str">
        <f>IF(ISBLANK(Table13[[#This Row],[Rating]]), "No", "Yes")</f>
        <v>Yes</v>
      </c>
      <c r="K2366" t="str">
        <f>IF(ISBLANK(Table13[[#This Row],[Rating]]), "Not Rated", IF(Table13[[#This Row],[Rating]] &lt; 3, "Low", IF(Table13[[#This Row],[Rating]] &lt; 4, "Medium", "High")))</f>
        <v>High</v>
      </c>
      <c r="L2366">
        <v>4</v>
      </c>
      <c r="M2366">
        <v>65</v>
      </c>
      <c r="N2366" t="str">
        <f>IF(Table13[[#This Row],[Price USD]]&lt;20,"Budget",IF(Table13[[#This Row],[Price USD]]&lt;=50,"Mid-range","Premium"))</f>
        <v>Premium</v>
      </c>
      <c r="O2366">
        <v>0</v>
      </c>
      <c r="P2366">
        <v>1</v>
      </c>
    </row>
    <row r="2367" spans="1:16" x14ac:dyDescent="0.25">
      <c r="A2367" t="s">
        <v>4767</v>
      </c>
      <c r="B2367" t="s">
        <v>4768</v>
      </c>
      <c r="C2367">
        <v>6218</v>
      </c>
      <c r="D2367" t="s">
        <v>116</v>
      </c>
      <c r="E2367" t="s">
        <v>21</v>
      </c>
      <c r="F2367">
        <v>606</v>
      </c>
      <c r="G236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67" t="str">
        <f>IF(ISBLANK(Table13[[#This Row],[Rating]]), "No", "Yes")</f>
        <v>No</v>
      </c>
      <c r="K2367" t="str">
        <f>IF(ISBLANK(Table13[[#This Row],[Rating]]), "Not Rated", IF(Table13[[#This Row],[Rating]] &lt; 3, "Low", IF(Table13[[#This Row],[Rating]] &lt; 4, "Medium", "High")))</f>
        <v>Not Rated</v>
      </c>
      <c r="L2367">
        <v>0</v>
      </c>
      <c r="M2367">
        <v>33</v>
      </c>
      <c r="N2367" t="str">
        <f>IF(Table13[[#This Row],[Price USD]]&lt;20,"Budget",IF(Table13[[#This Row],[Price USD]]&lt;=50,"Mid-range","Premium"))</f>
        <v>Mid-range</v>
      </c>
      <c r="O2367">
        <v>0</v>
      </c>
      <c r="P2367">
        <v>1</v>
      </c>
    </row>
    <row r="2368" spans="1:16" x14ac:dyDescent="0.25">
      <c r="A2368" t="s">
        <v>4769</v>
      </c>
      <c r="B2368" t="s">
        <v>4770</v>
      </c>
      <c r="C2368">
        <v>6349</v>
      </c>
      <c r="D2368" t="s">
        <v>2031</v>
      </c>
      <c r="E2368" t="s">
        <v>13</v>
      </c>
      <c r="F2368">
        <v>606</v>
      </c>
      <c r="G236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68">
        <v>4.7037000000000004</v>
      </c>
      <c r="J2368" t="str">
        <f>IF(ISBLANK(Table13[[#This Row],[Rating]]), "No", "Yes")</f>
        <v>Yes</v>
      </c>
      <c r="K2368" t="str">
        <f>IF(ISBLANK(Table13[[#This Row],[Rating]]), "Not Rated", IF(Table13[[#This Row],[Rating]] &lt; 3, "Low", IF(Table13[[#This Row],[Rating]] &lt; 4, "Medium", "High")))</f>
        <v>High</v>
      </c>
      <c r="L2368">
        <v>108</v>
      </c>
      <c r="M2368">
        <v>47</v>
      </c>
      <c r="N2368" t="str">
        <f>IF(Table13[[#This Row],[Price USD]]&lt;20,"Budget",IF(Table13[[#This Row],[Price USD]]&lt;=50,"Mid-range","Premium"))</f>
        <v>Mid-range</v>
      </c>
      <c r="O2368">
        <v>1</v>
      </c>
      <c r="P2368">
        <v>0</v>
      </c>
    </row>
    <row r="2369" spans="1:16" x14ac:dyDescent="0.25">
      <c r="A2369" t="s">
        <v>4765</v>
      </c>
      <c r="B2369" t="s">
        <v>4766</v>
      </c>
      <c r="C2369">
        <v>6329</v>
      </c>
      <c r="D2369" t="s">
        <v>3435</v>
      </c>
      <c r="E2369" t="s">
        <v>8</v>
      </c>
      <c r="F2369">
        <v>627</v>
      </c>
      <c r="G236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6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69" t="str">
        <f>IF(ISBLANK(Table13[[#This Row],[Rating]]), "No", "Yes")</f>
        <v>No</v>
      </c>
      <c r="K2369" t="str">
        <f>IF(ISBLANK(Table13[[#This Row],[Rating]]), "Not Rated", IF(Table13[[#This Row],[Rating]] &lt; 3, "Low", IF(Table13[[#This Row],[Rating]] &lt; 4, "Medium", "High")))</f>
        <v>Not Rated</v>
      </c>
      <c r="L2369">
        <v>0</v>
      </c>
      <c r="M2369">
        <v>90</v>
      </c>
      <c r="N2369" t="str">
        <f>IF(Table13[[#This Row],[Price USD]]&lt;20,"Budget",IF(Table13[[#This Row],[Price USD]]&lt;=50,"Mid-range","Premium"))</f>
        <v>Premium</v>
      </c>
      <c r="O2369">
        <v>1</v>
      </c>
      <c r="P2369">
        <v>0</v>
      </c>
    </row>
    <row r="2370" spans="1:16" x14ac:dyDescent="0.25">
      <c r="A2370" t="s">
        <v>4763</v>
      </c>
      <c r="B2370" t="s">
        <v>4764</v>
      </c>
      <c r="C2370">
        <v>5946</v>
      </c>
      <c r="D2370" t="s">
        <v>341</v>
      </c>
      <c r="E2370" t="s">
        <v>220</v>
      </c>
      <c r="F2370">
        <v>628</v>
      </c>
      <c r="G237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0">
        <v>3</v>
      </c>
      <c r="J2370" t="str">
        <f>IF(ISBLANK(Table13[[#This Row],[Rating]]), "No", "Yes")</f>
        <v>Yes</v>
      </c>
      <c r="K2370" t="str">
        <f>IF(ISBLANK(Table13[[#This Row],[Rating]]), "Not Rated", IF(Table13[[#This Row],[Rating]] &lt; 3, "Low", IF(Table13[[#This Row],[Rating]] &lt; 4, "Medium", "High")))</f>
        <v>Medium</v>
      </c>
      <c r="L2370">
        <v>2</v>
      </c>
      <c r="M2370">
        <v>59</v>
      </c>
      <c r="N2370" t="str">
        <f>IF(Table13[[#This Row],[Price USD]]&lt;20,"Budget",IF(Table13[[#This Row],[Price USD]]&lt;=50,"Mid-range","Premium"))</f>
        <v>Premium</v>
      </c>
      <c r="O2370">
        <v>0</v>
      </c>
      <c r="P2370">
        <v>0</v>
      </c>
    </row>
    <row r="2371" spans="1:16" x14ac:dyDescent="0.25">
      <c r="A2371" t="s">
        <v>4761</v>
      </c>
      <c r="B2371" t="s">
        <v>4762</v>
      </c>
      <c r="C2371">
        <v>5333</v>
      </c>
      <c r="D2371" t="s">
        <v>4388</v>
      </c>
      <c r="E2371" t="s">
        <v>13</v>
      </c>
      <c r="F2371">
        <v>629</v>
      </c>
      <c r="G237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1">
        <v>4.6463999999999999</v>
      </c>
      <c r="J2371" t="str">
        <f>IF(ISBLANK(Table13[[#This Row],[Rating]]), "No", "Yes")</f>
        <v>Yes</v>
      </c>
      <c r="K2371" t="str">
        <f>IF(ISBLANK(Table13[[#This Row],[Rating]]), "Not Rated", IF(Table13[[#This Row],[Rating]] &lt; 3, "Low", IF(Table13[[#This Row],[Rating]] &lt; 4, "Medium", "High")))</f>
        <v>High</v>
      </c>
      <c r="L2371">
        <v>676</v>
      </c>
      <c r="M2371">
        <v>34</v>
      </c>
      <c r="N2371" t="str">
        <f>IF(Table13[[#This Row],[Price USD]]&lt;20,"Budget",IF(Table13[[#This Row],[Price USD]]&lt;=50,"Mid-range","Premium"))</f>
        <v>Mid-range</v>
      </c>
      <c r="O2371">
        <v>1</v>
      </c>
      <c r="P2371">
        <v>0</v>
      </c>
    </row>
    <row r="2372" spans="1:16" x14ac:dyDescent="0.25">
      <c r="A2372" t="s">
        <v>4759</v>
      </c>
      <c r="B2372" t="s">
        <v>4760</v>
      </c>
      <c r="C2372">
        <v>5337</v>
      </c>
      <c r="D2372" t="s">
        <v>209</v>
      </c>
      <c r="E2372" t="s">
        <v>49</v>
      </c>
      <c r="F2372">
        <v>636</v>
      </c>
      <c r="G237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2">
        <v>4</v>
      </c>
      <c r="J2372" t="str">
        <f>IF(ISBLANK(Table13[[#This Row],[Rating]]), "No", "Yes")</f>
        <v>Yes</v>
      </c>
      <c r="K2372" t="str">
        <f>IF(ISBLANK(Table13[[#This Row],[Rating]]), "Not Rated", IF(Table13[[#This Row],[Rating]] &lt; 3, "Low", IF(Table13[[#This Row],[Rating]] &lt; 4, "Medium", "High")))</f>
        <v>High</v>
      </c>
      <c r="L2372">
        <v>2</v>
      </c>
      <c r="M2372">
        <v>270</v>
      </c>
      <c r="N2372" t="str">
        <f>IF(Table13[[#This Row],[Price USD]]&lt;20,"Budget",IF(Table13[[#This Row],[Price USD]]&lt;=50,"Mid-range","Premium"))</f>
        <v>Premium</v>
      </c>
      <c r="O2372">
        <v>0</v>
      </c>
      <c r="P2372">
        <v>0</v>
      </c>
    </row>
    <row r="2373" spans="1:16" x14ac:dyDescent="0.25">
      <c r="A2373" t="s">
        <v>4757</v>
      </c>
      <c r="B2373" t="s">
        <v>4758</v>
      </c>
      <c r="C2373">
        <v>8012</v>
      </c>
      <c r="D2373" t="s">
        <v>2864</v>
      </c>
      <c r="E2373" t="s">
        <v>49</v>
      </c>
      <c r="F2373">
        <v>647</v>
      </c>
      <c r="G237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3">
        <v>4.3765999999999998</v>
      </c>
      <c r="J2373" t="str">
        <f>IF(ISBLANK(Table13[[#This Row],[Rating]]), "No", "Yes")</f>
        <v>Yes</v>
      </c>
      <c r="K2373" t="str">
        <f>IF(ISBLANK(Table13[[#This Row],[Rating]]), "Not Rated", IF(Table13[[#This Row],[Rating]] &lt; 3, "Low", IF(Table13[[#This Row],[Rating]] &lt; 4, "Medium", "High")))</f>
        <v>High</v>
      </c>
      <c r="L2373">
        <v>77</v>
      </c>
      <c r="M2373">
        <v>36</v>
      </c>
      <c r="N2373" t="str">
        <f>IF(Table13[[#This Row],[Price USD]]&lt;20,"Budget",IF(Table13[[#This Row],[Price USD]]&lt;=50,"Mid-range","Premium"))</f>
        <v>Mid-range</v>
      </c>
      <c r="O2373">
        <v>0</v>
      </c>
      <c r="P2373">
        <v>0</v>
      </c>
    </row>
    <row r="2374" spans="1:16" x14ac:dyDescent="0.25">
      <c r="A2374" t="s">
        <v>4755</v>
      </c>
      <c r="B2374" t="s">
        <v>4756</v>
      </c>
      <c r="C2374">
        <v>7055</v>
      </c>
      <c r="D2374" t="s">
        <v>3361</v>
      </c>
      <c r="E2374" t="s">
        <v>21</v>
      </c>
      <c r="F2374">
        <v>653</v>
      </c>
      <c r="G237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4">
        <v>4.2603</v>
      </c>
      <c r="J2374" t="str">
        <f>IF(ISBLANK(Table13[[#This Row],[Rating]]), "No", "Yes")</f>
        <v>Yes</v>
      </c>
      <c r="K2374" t="str">
        <f>IF(ISBLANK(Table13[[#This Row],[Rating]]), "Not Rated", IF(Table13[[#This Row],[Rating]] &lt; 3, "Low", IF(Table13[[#This Row],[Rating]] &lt; 4, "Medium", "High")))</f>
        <v>High</v>
      </c>
      <c r="L2374">
        <v>73</v>
      </c>
      <c r="M2374">
        <v>39</v>
      </c>
      <c r="N2374" t="str">
        <f>IF(Table13[[#This Row],[Price USD]]&lt;20,"Budget",IF(Table13[[#This Row],[Price USD]]&lt;=50,"Mid-range","Premium"))</f>
        <v>Mid-range</v>
      </c>
      <c r="O2374">
        <v>0</v>
      </c>
      <c r="P2374">
        <v>0</v>
      </c>
    </row>
    <row r="2375" spans="1:16" x14ac:dyDescent="0.25">
      <c r="A2375" t="s">
        <v>4753</v>
      </c>
      <c r="B2375" t="s">
        <v>4754</v>
      </c>
      <c r="C2375">
        <v>6312</v>
      </c>
      <c r="D2375" t="s">
        <v>1242</v>
      </c>
      <c r="E2375" t="s">
        <v>13</v>
      </c>
      <c r="F2375">
        <v>654</v>
      </c>
      <c r="G237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5">
        <v>4.9230999999999998</v>
      </c>
      <c r="J2375" t="str">
        <f>IF(ISBLANK(Table13[[#This Row],[Rating]]), "No", "Yes")</f>
        <v>Yes</v>
      </c>
      <c r="K2375" t="str">
        <f>IF(ISBLANK(Table13[[#This Row],[Rating]]), "Not Rated", IF(Table13[[#This Row],[Rating]] &lt; 3, "Low", IF(Table13[[#This Row],[Rating]] &lt; 4, "Medium", "High")))</f>
        <v>High</v>
      </c>
      <c r="L2375">
        <v>91</v>
      </c>
      <c r="M2375">
        <v>39</v>
      </c>
      <c r="N2375" t="str">
        <f>IF(Table13[[#This Row],[Price USD]]&lt;20,"Budget",IF(Table13[[#This Row],[Price USD]]&lt;=50,"Mid-range","Premium"))</f>
        <v>Mid-range</v>
      </c>
      <c r="O2375">
        <v>1</v>
      </c>
      <c r="P2375">
        <v>0</v>
      </c>
    </row>
    <row r="2376" spans="1:16" x14ac:dyDescent="0.25">
      <c r="A2376" t="s">
        <v>4751</v>
      </c>
      <c r="B2376" t="s">
        <v>4752</v>
      </c>
      <c r="C2376">
        <v>7081</v>
      </c>
      <c r="D2376" t="s">
        <v>4597</v>
      </c>
      <c r="E2376" t="s">
        <v>220</v>
      </c>
      <c r="F2376">
        <v>655</v>
      </c>
      <c r="G237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6">
        <v>5</v>
      </c>
      <c r="J2376" t="str">
        <f>IF(ISBLANK(Table13[[#This Row],[Rating]]), "No", "Yes")</f>
        <v>Yes</v>
      </c>
      <c r="K2376" t="str">
        <f>IF(ISBLANK(Table13[[#This Row],[Rating]]), "Not Rated", IF(Table13[[#This Row],[Rating]] &lt; 3, "Low", IF(Table13[[#This Row],[Rating]] &lt; 4, "Medium", "High")))</f>
        <v>High</v>
      </c>
      <c r="L2376">
        <v>1</v>
      </c>
      <c r="M2376">
        <v>50</v>
      </c>
      <c r="N2376" t="str">
        <f>IF(Table13[[#This Row],[Price USD]]&lt;20,"Budget",IF(Table13[[#This Row],[Price USD]]&lt;=50,"Mid-range","Premium"))</f>
        <v>Mid-range</v>
      </c>
      <c r="O2376">
        <v>0</v>
      </c>
      <c r="P2376">
        <v>1</v>
      </c>
    </row>
    <row r="2377" spans="1:16" x14ac:dyDescent="0.25">
      <c r="A2377" t="s">
        <v>4749</v>
      </c>
      <c r="B2377" t="s">
        <v>4750</v>
      </c>
      <c r="C2377">
        <v>1132</v>
      </c>
      <c r="D2377" t="s">
        <v>1319</v>
      </c>
      <c r="E2377" t="s">
        <v>69</v>
      </c>
      <c r="F2377">
        <v>655</v>
      </c>
      <c r="G237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7">
        <v>3</v>
      </c>
      <c r="J2377" t="str">
        <f>IF(ISBLANK(Table13[[#This Row],[Rating]]), "No", "Yes")</f>
        <v>Yes</v>
      </c>
      <c r="K2377" t="str">
        <f>IF(ISBLANK(Table13[[#This Row],[Rating]]), "Not Rated", IF(Table13[[#This Row],[Rating]] &lt; 3, "Low", IF(Table13[[#This Row],[Rating]] &lt; 4, "Medium", "High")))</f>
        <v>Medium</v>
      </c>
      <c r="L2377">
        <v>1</v>
      </c>
      <c r="M2377">
        <v>235</v>
      </c>
      <c r="N2377" t="str">
        <f>IF(Table13[[#This Row],[Price USD]]&lt;20,"Budget",IF(Table13[[#This Row],[Price USD]]&lt;=50,"Mid-range","Premium"))</f>
        <v>Premium</v>
      </c>
      <c r="O2377">
        <v>0</v>
      </c>
      <c r="P2377">
        <v>0</v>
      </c>
    </row>
    <row r="2378" spans="1:16" x14ac:dyDescent="0.25">
      <c r="A2378" t="s">
        <v>4747</v>
      </c>
      <c r="B2378" t="s">
        <v>4748</v>
      </c>
      <c r="C2378">
        <v>4372</v>
      </c>
      <c r="D2378" t="s">
        <v>1513</v>
      </c>
      <c r="E2378" t="s">
        <v>8</v>
      </c>
      <c r="F2378">
        <v>665</v>
      </c>
      <c r="G237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8">
        <v>4.5</v>
      </c>
      <c r="J2378" t="str">
        <f>IF(ISBLANK(Table13[[#This Row],[Rating]]), "No", "Yes")</f>
        <v>Yes</v>
      </c>
      <c r="K2378" t="str">
        <f>IF(ISBLANK(Table13[[#This Row],[Rating]]), "Not Rated", IF(Table13[[#This Row],[Rating]] &lt; 3, "Low", IF(Table13[[#This Row],[Rating]] &lt; 4, "Medium", "High")))</f>
        <v>High</v>
      </c>
      <c r="L2378">
        <v>2</v>
      </c>
      <c r="M2378">
        <v>85</v>
      </c>
      <c r="N2378" t="str">
        <f>IF(Table13[[#This Row],[Price USD]]&lt;20,"Budget",IF(Table13[[#This Row],[Price USD]]&lt;=50,"Mid-range","Premium"))</f>
        <v>Premium</v>
      </c>
      <c r="O2378">
        <v>0</v>
      </c>
      <c r="P2378">
        <v>0</v>
      </c>
    </row>
    <row r="2379" spans="1:16" x14ac:dyDescent="0.25">
      <c r="A2379" t="s">
        <v>4745</v>
      </c>
      <c r="B2379" t="s">
        <v>4746</v>
      </c>
      <c r="C2379">
        <v>7081</v>
      </c>
      <c r="D2379" t="s">
        <v>4597</v>
      </c>
      <c r="E2379" t="s">
        <v>220</v>
      </c>
      <c r="F2379">
        <v>673</v>
      </c>
      <c r="G237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7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79">
        <v>5</v>
      </c>
      <c r="J2379" t="str">
        <f>IF(ISBLANK(Table13[[#This Row],[Rating]]), "No", "Yes")</f>
        <v>Yes</v>
      </c>
      <c r="K2379" t="str">
        <f>IF(ISBLANK(Table13[[#This Row],[Rating]]), "Not Rated", IF(Table13[[#This Row],[Rating]] &lt; 3, "Low", IF(Table13[[#This Row],[Rating]] &lt; 4, "Medium", "High")))</f>
        <v>High</v>
      </c>
      <c r="L2379">
        <v>1</v>
      </c>
      <c r="M2379">
        <v>75</v>
      </c>
      <c r="N2379" t="str">
        <f>IF(Table13[[#This Row],[Price USD]]&lt;20,"Budget",IF(Table13[[#This Row],[Price USD]]&lt;=50,"Mid-range","Premium"))</f>
        <v>Premium</v>
      </c>
      <c r="O2379">
        <v>0</v>
      </c>
      <c r="P2379">
        <v>1</v>
      </c>
    </row>
    <row r="2380" spans="1:16" x14ac:dyDescent="0.25">
      <c r="A2380" t="s">
        <v>4743</v>
      </c>
      <c r="B2380" t="s">
        <v>4744</v>
      </c>
      <c r="C2380">
        <v>6356</v>
      </c>
      <c r="D2380" t="s">
        <v>1885</v>
      </c>
      <c r="E2380" t="s">
        <v>69</v>
      </c>
      <c r="F2380">
        <v>684</v>
      </c>
      <c r="G238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0">
        <v>4.375</v>
      </c>
      <c r="J2380" t="str">
        <f>IF(ISBLANK(Table13[[#This Row],[Rating]]), "No", "Yes")</f>
        <v>Yes</v>
      </c>
      <c r="K2380" t="str">
        <f>IF(ISBLANK(Table13[[#This Row],[Rating]]), "Not Rated", IF(Table13[[#This Row],[Rating]] &lt; 3, "Low", IF(Table13[[#This Row],[Rating]] &lt; 4, "Medium", "High")))</f>
        <v>High</v>
      </c>
      <c r="L2380">
        <v>48</v>
      </c>
      <c r="M2380">
        <v>215</v>
      </c>
      <c r="N2380" t="str">
        <f>IF(Table13[[#This Row],[Price USD]]&lt;20,"Budget",IF(Table13[[#This Row],[Price USD]]&lt;=50,"Mid-range","Premium"))</f>
        <v>Premium</v>
      </c>
      <c r="O2380">
        <v>0</v>
      </c>
      <c r="P2380">
        <v>0</v>
      </c>
    </row>
    <row r="2381" spans="1:16" x14ac:dyDescent="0.25">
      <c r="A2381" t="s">
        <v>4741</v>
      </c>
      <c r="B2381" t="s">
        <v>4742</v>
      </c>
      <c r="C2381">
        <v>7020</v>
      </c>
      <c r="D2381" t="s">
        <v>657</v>
      </c>
      <c r="E2381" t="s">
        <v>13</v>
      </c>
      <c r="F2381">
        <v>689</v>
      </c>
      <c r="G238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1">
        <v>5</v>
      </c>
      <c r="J2381" t="str">
        <f>IF(ISBLANK(Table13[[#This Row],[Rating]]), "No", "Yes")</f>
        <v>Yes</v>
      </c>
      <c r="K2381" t="str">
        <f>IF(ISBLANK(Table13[[#This Row],[Rating]]), "Not Rated", IF(Table13[[#This Row],[Rating]] &lt; 3, "Low", IF(Table13[[#This Row],[Rating]] &lt; 4, "Medium", "High")))</f>
        <v>High</v>
      </c>
      <c r="L2381">
        <v>1</v>
      </c>
      <c r="M2381">
        <v>88</v>
      </c>
      <c r="N2381" t="str">
        <f>IF(Table13[[#This Row],[Price USD]]&lt;20,"Budget",IF(Table13[[#This Row],[Price USD]]&lt;=50,"Mid-range","Premium"))</f>
        <v>Premium</v>
      </c>
      <c r="O2381">
        <v>0</v>
      </c>
      <c r="P2381">
        <v>0</v>
      </c>
    </row>
    <row r="2382" spans="1:16" x14ac:dyDescent="0.25">
      <c r="A2382" t="s">
        <v>4739</v>
      </c>
      <c r="B2382" t="s">
        <v>4740</v>
      </c>
      <c r="C2382">
        <v>1254</v>
      </c>
      <c r="D2382" t="s">
        <v>136</v>
      </c>
      <c r="E2382" t="s">
        <v>21</v>
      </c>
      <c r="F2382">
        <v>690</v>
      </c>
      <c r="G238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2">
        <v>3.6667000000000001</v>
      </c>
      <c r="J2382" t="str">
        <f>IF(ISBLANK(Table13[[#This Row],[Rating]]), "No", "Yes")</f>
        <v>Yes</v>
      </c>
      <c r="K2382" t="str">
        <f>IF(ISBLANK(Table13[[#This Row],[Rating]]), "Not Rated", IF(Table13[[#This Row],[Rating]] &lt; 3, "Low", IF(Table13[[#This Row],[Rating]] &lt; 4, "Medium", "High")))</f>
        <v>Medium</v>
      </c>
      <c r="L2382">
        <v>3</v>
      </c>
      <c r="M2382">
        <v>53</v>
      </c>
      <c r="N2382" t="str">
        <f>IF(Table13[[#This Row],[Price USD]]&lt;20,"Budget",IF(Table13[[#This Row],[Price USD]]&lt;=50,"Mid-range","Premium"))</f>
        <v>Premium</v>
      </c>
      <c r="O2382">
        <v>0</v>
      </c>
      <c r="P2382">
        <v>1</v>
      </c>
    </row>
    <row r="2383" spans="1:16" x14ac:dyDescent="0.25">
      <c r="A2383" t="s">
        <v>4737</v>
      </c>
      <c r="B2383" t="s">
        <v>4738</v>
      </c>
      <c r="C2383">
        <v>7050</v>
      </c>
      <c r="D2383" t="s">
        <v>721</v>
      </c>
      <c r="E2383" t="s">
        <v>201</v>
      </c>
      <c r="F2383">
        <v>728</v>
      </c>
      <c r="G238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3">
        <v>4.8170999999999999</v>
      </c>
      <c r="J2383" t="str">
        <f>IF(ISBLANK(Table13[[#This Row],[Rating]]), "No", "Yes")</f>
        <v>Yes</v>
      </c>
      <c r="K2383" t="str">
        <f>IF(ISBLANK(Table13[[#This Row],[Rating]]), "Not Rated", IF(Table13[[#This Row],[Rating]] &lt; 3, "Low", IF(Table13[[#This Row],[Rating]] &lt; 4, "Medium", "High")))</f>
        <v>High</v>
      </c>
      <c r="L2383">
        <v>82</v>
      </c>
      <c r="M2383">
        <v>40</v>
      </c>
      <c r="N2383" t="str">
        <f>IF(Table13[[#This Row],[Price USD]]&lt;20,"Budget",IF(Table13[[#This Row],[Price USD]]&lt;=50,"Mid-range","Premium"))</f>
        <v>Mid-range</v>
      </c>
      <c r="O2383">
        <v>0</v>
      </c>
      <c r="P2383">
        <v>0</v>
      </c>
    </row>
    <row r="2384" spans="1:16" x14ac:dyDescent="0.25">
      <c r="A2384" t="s">
        <v>4735</v>
      </c>
      <c r="B2384" t="s">
        <v>4736</v>
      </c>
      <c r="C2384">
        <v>2082</v>
      </c>
      <c r="D2384" t="s">
        <v>594</v>
      </c>
      <c r="E2384" t="s">
        <v>106</v>
      </c>
      <c r="F2384">
        <v>732</v>
      </c>
      <c r="G238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4">
        <v>3.6667000000000001</v>
      </c>
      <c r="J2384" t="str">
        <f>IF(ISBLANK(Table13[[#This Row],[Rating]]), "No", "Yes")</f>
        <v>Yes</v>
      </c>
      <c r="K2384" t="str">
        <f>IF(ISBLANK(Table13[[#This Row],[Rating]]), "Not Rated", IF(Table13[[#This Row],[Rating]] &lt; 3, "Low", IF(Table13[[#This Row],[Rating]] &lt; 4, "Medium", "High")))</f>
        <v>Medium</v>
      </c>
      <c r="L2384">
        <v>3</v>
      </c>
      <c r="M2384">
        <v>42</v>
      </c>
      <c r="N2384" t="str">
        <f>IF(Table13[[#This Row],[Price USD]]&lt;20,"Budget",IF(Table13[[#This Row],[Price USD]]&lt;=50,"Mid-range","Premium"))</f>
        <v>Mid-range</v>
      </c>
      <c r="O2384">
        <v>0</v>
      </c>
      <c r="P2384">
        <v>0</v>
      </c>
    </row>
    <row r="2385" spans="1:16" x14ac:dyDescent="0.25">
      <c r="A2385" t="s">
        <v>4733</v>
      </c>
      <c r="B2385" t="s">
        <v>4734</v>
      </c>
      <c r="C2385">
        <v>5333</v>
      </c>
      <c r="D2385" t="s">
        <v>4388</v>
      </c>
      <c r="E2385" t="s">
        <v>21</v>
      </c>
      <c r="F2385">
        <v>736</v>
      </c>
      <c r="G238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5">
        <v>4.5975000000000001</v>
      </c>
      <c r="J2385" t="str">
        <f>IF(ISBLANK(Table13[[#This Row],[Rating]]), "No", "Yes")</f>
        <v>Yes</v>
      </c>
      <c r="K2385" t="str">
        <f>IF(ISBLANK(Table13[[#This Row],[Rating]]), "Not Rated", IF(Table13[[#This Row],[Rating]] &lt; 3, "Low", IF(Table13[[#This Row],[Rating]] &lt; 4, "Medium", "High")))</f>
        <v>High</v>
      </c>
      <c r="L2385">
        <v>718</v>
      </c>
      <c r="M2385">
        <v>44</v>
      </c>
      <c r="N2385" t="str">
        <f>IF(Table13[[#This Row],[Price USD]]&lt;20,"Budget",IF(Table13[[#This Row],[Price USD]]&lt;=50,"Mid-range","Premium"))</f>
        <v>Mid-range</v>
      </c>
      <c r="O2385">
        <v>1</v>
      </c>
      <c r="P2385">
        <v>0</v>
      </c>
    </row>
    <row r="2386" spans="1:16" x14ac:dyDescent="0.25">
      <c r="A2386" t="s">
        <v>4731</v>
      </c>
      <c r="B2386" t="s">
        <v>4732</v>
      </c>
      <c r="C2386">
        <v>6001</v>
      </c>
      <c r="D2386" t="s">
        <v>1836</v>
      </c>
      <c r="E2386" t="s">
        <v>347</v>
      </c>
      <c r="F2386">
        <v>760</v>
      </c>
      <c r="G238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86" t="str">
        <f>IF(ISBLANK(Table13[[#This Row],[Rating]]), "No", "Yes")</f>
        <v>No</v>
      </c>
      <c r="K2386" t="str">
        <f>IF(ISBLANK(Table13[[#This Row],[Rating]]), "Not Rated", IF(Table13[[#This Row],[Rating]] &lt; 3, "Low", IF(Table13[[#This Row],[Rating]] &lt; 4, "Medium", "High")))</f>
        <v>Not Rated</v>
      </c>
      <c r="L2386">
        <v>0</v>
      </c>
      <c r="M2386">
        <v>495</v>
      </c>
      <c r="N2386" t="str">
        <f>IF(Table13[[#This Row],[Price USD]]&lt;20,"Budget",IF(Table13[[#This Row],[Price USD]]&lt;=50,"Mid-range","Premium"))</f>
        <v>Premium</v>
      </c>
      <c r="O2386">
        <v>1</v>
      </c>
      <c r="P2386">
        <v>1</v>
      </c>
    </row>
    <row r="2387" spans="1:16" x14ac:dyDescent="0.25">
      <c r="A2387" t="s">
        <v>4729</v>
      </c>
      <c r="B2387" t="s">
        <v>4730</v>
      </c>
      <c r="C2387">
        <v>5333</v>
      </c>
      <c r="D2387" t="s">
        <v>4388</v>
      </c>
      <c r="E2387" t="s">
        <v>13</v>
      </c>
      <c r="F2387">
        <v>770</v>
      </c>
      <c r="G238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7">
        <v>4.6722999999999999</v>
      </c>
      <c r="J2387" t="str">
        <f>IF(ISBLANK(Table13[[#This Row],[Rating]]), "No", "Yes")</f>
        <v>Yes</v>
      </c>
      <c r="K2387" t="str">
        <f>IF(ISBLANK(Table13[[#This Row],[Rating]]), "Not Rated", IF(Table13[[#This Row],[Rating]] &lt; 3, "Low", IF(Table13[[#This Row],[Rating]] &lt; 4, "Medium", "High")))</f>
        <v>High</v>
      </c>
      <c r="L2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>
      <c r="O2387">
        <v>1</v>
      </c>
      <c r="P2387">
        <v>0</v>
      </c>
    </row>
    <row r="2388" spans="1:16" x14ac:dyDescent="0.25">
      <c r="A2388" t="s">
        <v>4727</v>
      </c>
      <c r="B2388" t="s">
        <v>4728</v>
      </c>
      <c r="C2388">
        <v>7083</v>
      </c>
      <c r="D2388" t="s">
        <v>20</v>
      </c>
      <c r="E2388" t="s">
        <v>220</v>
      </c>
      <c r="F2388">
        <v>782</v>
      </c>
      <c r="G238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88">
        <v>5</v>
      </c>
      <c r="J2388" t="str">
        <f>IF(ISBLANK(Table13[[#This Row],[Rating]]), "No", "Yes")</f>
        <v>Yes</v>
      </c>
      <c r="K2388" t="str">
        <f>IF(ISBLANK(Table13[[#This Row],[Rating]]), "Not Rated", IF(Table13[[#This Row],[Rating]] &lt; 3, "Low", IF(Table13[[#This Row],[Rating]] &lt; 4, "Medium", "High")))</f>
        <v>High</v>
      </c>
      <c r="L2388">
        <v>1</v>
      </c>
      <c r="M2388">
        <v>54</v>
      </c>
      <c r="N2388" t="str">
        <f>IF(Table13[[#This Row],[Price USD]]&lt;20,"Budget",IF(Table13[[#This Row],[Price USD]]&lt;=50,"Mid-range","Premium"))</f>
        <v>Premium</v>
      </c>
      <c r="O2388">
        <v>1</v>
      </c>
      <c r="P2388">
        <v>0</v>
      </c>
    </row>
    <row r="2389" spans="1:16" x14ac:dyDescent="0.25">
      <c r="A2389" t="s">
        <v>4725</v>
      </c>
      <c r="B2389" t="s">
        <v>4726</v>
      </c>
      <c r="C2389">
        <v>8017</v>
      </c>
      <c r="D2389" t="s">
        <v>620</v>
      </c>
      <c r="E2389" t="s">
        <v>220</v>
      </c>
      <c r="F2389">
        <v>787</v>
      </c>
      <c r="G238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8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89" t="str">
        <f>IF(ISBLANK(Table13[[#This Row],[Rating]]), "No", "Yes")</f>
        <v>No</v>
      </c>
      <c r="K2389" t="str">
        <f>IF(ISBLANK(Table13[[#This Row],[Rating]]), "Not Rated", IF(Table13[[#This Row],[Rating]] &lt; 3, "Low", IF(Table13[[#This Row],[Rating]] &lt; 4, "Medium", "High")))</f>
        <v>Not Rated</v>
      </c>
      <c r="L2389">
        <v>0</v>
      </c>
      <c r="M2389">
        <v>22</v>
      </c>
      <c r="N2389" t="str">
        <f>IF(Table13[[#This Row],[Price USD]]&lt;20,"Budget",IF(Table13[[#This Row],[Price USD]]&lt;=50,"Mid-range","Premium"))</f>
        <v>Mid-range</v>
      </c>
      <c r="O2389">
        <v>0</v>
      </c>
      <c r="P2389">
        <v>1</v>
      </c>
    </row>
    <row r="2390" spans="1:16" x14ac:dyDescent="0.25">
      <c r="A2390" t="s">
        <v>4722</v>
      </c>
      <c r="B2390" t="s">
        <v>4723</v>
      </c>
      <c r="C2390">
        <v>6474</v>
      </c>
      <c r="D2390" t="s">
        <v>4724</v>
      </c>
      <c r="E2390" t="s">
        <v>201</v>
      </c>
      <c r="F2390">
        <v>789</v>
      </c>
      <c r="G239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0">
        <v>4.5</v>
      </c>
      <c r="J2390" t="str">
        <f>IF(ISBLANK(Table13[[#This Row],[Rating]]), "No", "Yes")</f>
        <v>Yes</v>
      </c>
      <c r="K2390" t="str">
        <f>IF(ISBLANK(Table13[[#This Row],[Rating]]), "Not Rated", IF(Table13[[#This Row],[Rating]] &lt; 3, "Low", IF(Table13[[#This Row],[Rating]] &lt; 4, "Medium", "High")))</f>
        <v>High</v>
      </c>
      <c r="L2390">
        <v>24</v>
      </c>
      <c r="M2390">
        <v>48</v>
      </c>
      <c r="N2390" t="str">
        <f>IF(Table13[[#This Row],[Price USD]]&lt;20,"Budget",IF(Table13[[#This Row],[Price USD]]&lt;=50,"Mid-range","Premium"))</f>
        <v>Mid-range</v>
      </c>
      <c r="O2390">
        <v>0</v>
      </c>
      <c r="P2390">
        <v>0</v>
      </c>
    </row>
    <row r="2391" spans="1:16" x14ac:dyDescent="0.25">
      <c r="A2391" t="s">
        <v>4720</v>
      </c>
      <c r="B2391" t="s">
        <v>4721</v>
      </c>
      <c r="C2391">
        <v>6357</v>
      </c>
      <c r="D2391" t="s">
        <v>876</v>
      </c>
      <c r="E2391" t="s">
        <v>8</v>
      </c>
      <c r="F2391">
        <v>790</v>
      </c>
      <c r="G239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1">
        <v>4.7895000000000003</v>
      </c>
      <c r="J2391" t="str">
        <f>IF(ISBLANK(Table13[[#This Row],[Rating]]), "No", "Yes")</f>
        <v>Yes</v>
      </c>
      <c r="K2391" t="str">
        <f>IF(ISBLANK(Table13[[#This Row],[Rating]]), "Not Rated", IF(Table13[[#This Row],[Rating]] &lt; 3, "Low", IF(Table13[[#This Row],[Rating]] &lt; 4, "Medium", "High")))</f>
        <v>High</v>
      </c>
      <c r="L2391">
        <v>57</v>
      </c>
      <c r="M2391">
        <v>38</v>
      </c>
      <c r="N2391" t="str">
        <f>IF(Table13[[#This Row],[Price USD]]&lt;20,"Budget",IF(Table13[[#This Row],[Price USD]]&lt;=50,"Mid-range","Premium"))</f>
        <v>Mid-range</v>
      </c>
      <c r="O2391">
        <v>1</v>
      </c>
      <c r="P2391">
        <v>0</v>
      </c>
    </row>
    <row r="2392" spans="1:16" x14ac:dyDescent="0.25">
      <c r="A2392" t="s">
        <v>4718</v>
      </c>
      <c r="B2392" t="s">
        <v>4719</v>
      </c>
      <c r="C2392">
        <v>7055</v>
      </c>
      <c r="D2392" t="s">
        <v>3361</v>
      </c>
      <c r="E2392" t="s">
        <v>13</v>
      </c>
      <c r="F2392">
        <v>793</v>
      </c>
      <c r="G239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392" t="str">
        <f>IF(ISBLANK(Table13[[#This Row],[Rating]]), "No", "Yes")</f>
        <v>No</v>
      </c>
      <c r="K2392" t="str">
        <f>IF(ISBLANK(Table13[[#This Row],[Rating]]), "Not Rated", IF(Table13[[#This Row],[Rating]] &lt; 3, "Low", IF(Table13[[#This Row],[Rating]] &lt; 4, "Medium", "High")))</f>
        <v>Not Rated</v>
      </c>
      <c r="L2392">
        <v>0</v>
      </c>
      <c r="M2392">
        <v>29</v>
      </c>
      <c r="N2392" t="str">
        <f>IF(Table13[[#This Row],[Price USD]]&lt;20,"Budget",IF(Table13[[#This Row],[Price USD]]&lt;=50,"Mid-range","Premium"))</f>
        <v>Mid-range</v>
      </c>
      <c r="O2392">
        <v>0</v>
      </c>
      <c r="P2392">
        <v>0</v>
      </c>
    </row>
    <row r="2393" spans="1:16" x14ac:dyDescent="0.25">
      <c r="A2393" t="s">
        <v>4716</v>
      </c>
      <c r="B2393" t="s">
        <v>4717</v>
      </c>
      <c r="C2393">
        <v>7050</v>
      </c>
      <c r="D2393" t="s">
        <v>721</v>
      </c>
      <c r="E2393" t="s">
        <v>201</v>
      </c>
      <c r="F2393">
        <v>797</v>
      </c>
      <c r="G239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3">
        <v>4.6607000000000003</v>
      </c>
      <c r="J2393" t="str">
        <f>IF(ISBLANK(Table13[[#This Row],[Rating]]), "No", "Yes")</f>
        <v>Yes</v>
      </c>
      <c r="K2393" t="str">
        <f>IF(ISBLANK(Table13[[#This Row],[Rating]]), "Not Rated", IF(Table13[[#This Row],[Rating]] &lt; 3, "Low", IF(Table13[[#This Row],[Rating]] &lt; 4, "Medium", "High")))</f>
        <v>High</v>
      </c>
      <c r="L2393">
        <v>168</v>
      </c>
      <c r="M2393">
        <v>26</v>
      </c>
      <c r="N2393" t="str">
        <f>IF(Table13[[#This Row],[Price USD]]&lt;20,"Budget",IF(Table13[[#This Row],[Price USD]]&lt;=50,"Mid-range","Premium"))</f>
        <v>Mid-range</v>
      </c>
      <c r="O2393">
        <v>1</v>
      </c>
      <c r="P2393">
        <v>0</v>
      </c>
    </row>
    <row r="2394" spans="1:16" x14ac:dyDescent="0.25">
      <c r="A2394" t="s">
        <v>4714</v>
      </c>
      <c r="B2394" t="s">
        <v>4715</v>
      </c>
      <c r="C2394">
        <v>5879</v>
      </c>
      <c r="D2394" t="s">
        <v>3589</v>
      </c>
      <c r="E2394" t="s">
        <v>49</v>
      </c>
      <c r="F2394">
        <v>799</v>
      </c>
      <c r="G239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4">
        <v>4.0625</v>
      </c>
      <c r="J2394" t="str">
        <f>IF(ISBLANK(Table13[[#This Row],[Rating]]), "No", "Yes")</f>
        <v>Yes</v>
      </c>
      <c r="K2394" t="str">
        <f>IF(ISBLANK(Table13[[#This Row],[Rating]]), "Not Rated", IF(Table13[[#This Row],[Rating]] &lt; 3, "Low", IF(Table13[[#This Row],[Rating]] &lt; 4, "Medium", "High")))</f>
        <v>High</v>
      </c>
      <c r="L2394">
        <v>16</v>
      </c>
      <c r="M2394">
        <v>86</v>
      </c>
      <c r="N2394" t="str">
        <f>IF(Table13[[#This Row],[Price USD]]&lt;20,"Budget",IF(Table13[[#This Row],[Price USD]]&lt;=50,"Mid-range","Premium"))</f>
        <v>Premium</v>
      </c>
      <c r="O2394">
        <v>0</v>
      </c>
      <c r="P2394">
        <v>0</v>
      </c>
    </row>
    <row r="2395" spans="1:16" x14ac:dyDescent="0.25">
      <c r="A2395" t="s">
        <v>4712</v>
      </c>
      <c r="B2395" t="s">
        <v>4713</v>
      </c>
      <c r="C2395">
        <v>6226</v>
      </c>
      <c r="D2395" t="s">
        <v>843</v>
      </c>
      <c r="E2395" t="s">
        <v>201</v>
      </c>
      <c r="F2395">
        <v>820</v>
      </c>
      <c r="G239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5">
        <v>5</v>
      </c>
      <c r="J2395" t="str">
        <f>IF(ISBLANK(Table13[[#This Row],[Rating]]), "No", "Yes")</f>
        <v>Yes</v>
      </c>
      <c r="K2395" t="str">
        <f>IF(ISBLANK(Table13[[#This Row],[Rating]]), "Not Rated", IF(Table13[[#This Row],[Rating]] &lt; 3, "Low", IF(Table13[[#This Row],[Rating]] &lt; 4, "Medium", "High")))</f>
        <v>High</v>
      </c>
      <c r="L2395">
        <v>1</v>
      </c>
      <c r="M2395">
        <v>38</v>
      </c>
      <c r="N2395" t="str">
        <f>IF(Table13[[#This Row],[Price USD]]&lt;20,"Budget",IF(Table13[[#This Row],[Price USD]]&lt;=50,"Mid-range","Premium"))</f>
        <v>Mid-range</v>
      </c>
      <c r="O2395">
        <v>0</v>
      </c>
      <c r="P2395">
        <v>0</v>
      </c>
    </row>
    <row r="2396" spans="1:16" x14ac:dyDescent="0.25">
      <c r="A2396" t="s">
        <v>4710</v>
      </c>
      <c r="B2396" t="s">
        <v>4711</v>
      </c>
      <c r="C2396">
        <v>7091</v>
      </c>
      <c r="D2396" t="s">
        <v>879</v>
      </c>
      <c r="E2396" t="s">
        <v>49</v>
      </c>
      <c r="F2396">
        <v>826</v>
      </c>
      <c r="G239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6">
        <v>3.6667000000000001</v>
      </c>
      <c r="J2396" t="str">
        <f>IF(ISBLANK(Table13[[#This Row],[Rating]]), "No", "Yes")</f>
        <v>Yes</v>
      </c>
      <c r="K2396" t="str">
        <f>IF(ISBLANK(Table13[[#This Row],[Rating]]), "Not Rated", IF(Table13[[#This Row],[Rating]] &lt; 3, "Low", IF(Table13[[#This Row],[Rating]] &lt; 4, "Medium", "High")))</f>
        <v>Medium</v>
      </c>
      <c r="L2396">
        <v>6</v>
      </c>
      <c r="M2396">
        <v>32</v>
      </c>
      <c r="N2396" t="str">
        <f>IF(Table13[[#This Row],[Price USD]]&lt;20,"Budget",IF(Table13[[#This Row],[Price USD]]&lt;=50,"Mid-range","Premium"))</f>
        <v>Mid-range</v>
      </c>
      <c r="O2396">
        <v>0</v>
      </c>
      <c r="P2396">
        <v>1</v>
      </c>
    </row>
    <row r="2397" spans="1:16" x14ac:dyDescent="0.25">
      <c r="A2397" t="s">
        <v>4708</v>
      </c>
      <c r="B2397" t="s">
        <v>4709</v>
      </c>
      <c r="C2397">
        <v>6358</v>
      </c>
      <c r="D2397" t="s">
        <v>2301</v>
      </c>
      <c r="E2397" t="s">
        <v>8</v>
      </c>
      <c r="F2397">
        <v>855</v>
      </c>
      <c r="G239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7">
        <v>4.7857000000000003</v>
      </c>
      <c r="J2397" t="str">
        <f>IF(ISBLANK(Table13[[#This Row],[Rating]]), "No", "Yes")</f>
        <v>Yes</v>
      </c>
      <c r="K2397" t="str">
        <f>IF(ISBLANK(Table13[[#This Row],[Rating]]), "Not Rated", IF(Table13[[#This Row],[Rating]] &lt; 3, "Low", IF(Table13[[#This Row],[Rating]] &lt; 4, "Medium", "High")))</f>
        <v>High</v>
      </c>
      <c r="L2397">
        <v>42</v>
      </c>
      <c r="M2397">
        <v>99</v>
      </c>
      <c r="N2397" t="str">
        <f>IF(Table13[[#This Row],[Price USD]]&lt;20,"Budget",IF(Table13[[#This Row],[Price USD]]&lt;=50,"Mid-range","Premium"))</f>
        <v>Premium</v>
      </c>
      <c r="O2397">
        <v>1</v>
      </c>
      <c r="P2397">
        <v>0</v>
      </c>
    </row>
    <row r="2398" spans="1:16" x14ac:dyDescent="0.25">
      <c r="A2398" t="s">
        <v>4706</v>
      </c>
      <c r="B2398" t="s">
        <v>4707</v>
      </c>
      <c r="C2398">
        <v>7050</v>
      </c>
      <c r="D2398" t="s">
        <v>721</v>
      </c>
      <c r="E2398" t="s">
        <v>201</v>
      </c>
      <c r="F2398">
        <v>864</v>
      </c>
      <c r="G239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8">
        <v>4.8148</v>
      </c>
      <c r="J2398" t="str">
        <f>IF(ISBLANK(Table13[[#This Row],[Rating]]), "No", "Yes")</f>
        <v>Yes</v>
      </c>
      <c r="K2398" t="str">
        <f>IF(ISBLANK(Table13[[#This Row],[Rating]]), "Not Rated", IF(Table13[[#This Row],[Rating]] &lt; 3, "Low", IF(Table13[[#This Row],[Rating]] &lt; 4, "Medium", "High")))</f>
        <v>High</v>
      </c>
      <c r="L2398">
        <v>81</v>
      </c>
      <c r="M2398">
        <v>45</v>
      </c>
      <c r="N2398" t="str">
        <f>IF(Table13[[#This Row],[Price USD]]&lt;20,"Budget",IF(Table13[[#This Row],[Price USD]]&lt;=50,"Mid-range","Premium"))</f>
        <v>Mid-range</v>
      </c>
      <c r="O2398">
        <v>0</v>
      </c>
      <c r="P2398">
        <v>0</v>
      </c>
    </row>
    <row r="2399" spans="1:16" x14ac:dyDescent="0.25">
      <c r="A2399" t="s">
        <v>4702</v>
      </c>
      <c r="B2399" t="s">
        <v>4703</v>
      </c>
      <c r="C2399">
        <v>1254</v>
      </c>
      <c r="D2399" t="s">
        <v>136</v>
      </c>
      <c r="E2399" t="s">
        <v>220</v>
      </c>
      <c r="F2399">
        <v>865</v>
      </c>
      <c r="G239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39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399">
        <v>2</v>
      </c>
      <c r="J2399" t="str">
        <f>IF(ISBLANK(Table13[[#This Row],[Rating]]), "No", "Yes")</f>
        <v>Yes</v>
      </c>
      <c r="K2399" t="str">
        <f>IF(ISBLANK(Table13[[#This Row],[Rating]]), "Not Rated", IF(Table13[[#This Row],[Rating]] &lt; 3, "Low", IF(Table13[[#This Row],[Rating]] &lt; 4, "Medium", "High")))</f>
        <v>Low</v>
      </c>
      <c r="L2399">
        <v>2</v>
      </c>
      <c r="M2399">
        <v>21</v>
      </c>
      <c r="N2399" t="str">
        <f>IF(Table13[[#This Row],[Price USD]]&lt;20,"Budget",IF(Table13[[#This Row],[Price USD]]&lt;=50,"Mid-range","Premium"))</f>
        <v>Mid-range</v>
      </c>
      <c r="O2399">
        <v>0</v>
      </c>
      <c r="P2399">
        <v>0</v>
      </c>
    </row>
    <row r="2400" spans="1:16" x14ac:dyDescent="0.25">
      <c r="A2400" t="s">
        <v>4704</v>
      </c>
      <c r="B2400" t="s">
        <v>4705</v>
      </c>
      <c r="C2400">
        <v>5987</v>
      </c>
      <c r="D2400" t="s">
        <v>48</v>
      </c>
      <c r="E2400" t="s">
        <v>220</v>
      </c>
      <c r="F2400">
        <v>865</v>
      </c>
      <c r="G240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400" t="str">
        <f>IF(ISBLANK(Table13[[#This Row],[Rating]]), "No", "Yes")</f>
        <v>No</v>
      </c>
      <c r="K2400" t="str">
        <f>IF(ISBLANK(Table13[[#This Row],[Rating]]), "Not Rated", IF(Table13[[#This Row],[Rating]] &lt; 3, "Low", IF(Table13[[#This Row],[Rating]] &lt; 4, "Medium", "High")))</f>
        <v>Not Rated</v>
      </c>
      <c r="L2400">
        <v>0</v>
      </c>
      <c r="M2400">
        <v>60</v>
      </c>
      <c r="N2400" t="str">
        <f>IF(Table13[[#This Row],[Price USD]]&lt;20,"Budget",IF(Table13[[#This Row],[Price USD]]&lt;=50,"Mid-range","Premium"))</f>
        <v>Premium</v>
      </c>
      <c r="O2400">
        <v>0</v>
      </c>
      <c r="P2400">
        <v>0</v>
      </c>
    </row>
    <row r="2401" spans="1:16" x14ac:dyDescent="0.25">
      <c r="A2401" t="s">
        <v>4700</v>
      </c>
      <c r="B2401" t="s">
        <v>4701</v>
      </c>
      <c r="C2401">
        <v>6743</v>
      </c>
      <c r="D2401" t="s">
        <v>3942</v>
      </c>
      <c r="E2401" t="s">
        <v>21</v>
      </c>
      <c r="F2401">
        <v>867</v>
      </c>
      <c r="G240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1">
        <v>3.5</v>
      </c>
      <c r="J2401" t="str">
        <f>IF(ISBLANK(Table13[[#This Row],[Rating]]), "No", "Yes")</f>
        <v>Yes</v>
      </c>
      <c r="K2401" t="str">
        <f>IF(ISBLANK(Table13[[#This Row],[Rating]]), "Not Rated", IF(Table13[[#This Row],[Rating]] &lt; 3, "Low", IF(Table13[[#This Row],[Rating]] &lt; 4, "Medium", "High")))</f>
        <v>Medium</v>
      </c>
      <c r="L2401">
        <v>10</v>
      </c>
      <c r="M2401">
        <v>25</v>
      </c>
      <c r="N2401" t="str">
        <f>IF(Table13[[#This Row],[Price USD]]&lt;20,"Budget",IF(Table13[[#This Row],[Price USD]]&lt;=50,"Mid-range","Premium"))</f>
        <v>Mid-range</v>
      </c>
      <c r="O2401">
        <v>0</v>
      </c>
      <c r="P2401">
        <v>0</v>
      </c>
    </row>
    <row r="2402" spans="1:16" x14ac:dyDescent="0.25">
      <c r="A2402" t="s">
        <v>4698</v>
      </c>
      <c r="B2402" t="s">
        <v>4699</v>
      </c>
      <c r="C2402">
        <v>6302</v>
      </c>
      <c r="D2402" t="s">
        <v>2721</v>
      </c>
      <c r="E2402" t="s">
        <v>21</v>
      </c>
      <c r="F2402">
        <v>873</v>
      </c>
      <c r="G240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2">
        <v>4.6666999999999996</v>
      </c>
      <c r="J2402" t="str">
        <f>IF(ISBLANK(Table13[[#This Row],[Rating]]), "No", "Yes")</f>
        <v>Yes</v>
      </c>
      <c r="K2402" t="str">
        <f>IF(ISBLANK(Table13[[#This Row],[Rating]]), "Not Rated", IF(Table13[[#This Row],[Rating]] &lt; 3, "Low", IF(Table13[[#This Row],[Rating]] &lt; 4, "Medium", "High")))</f>
        <v>High</v>
      </c>
      <c r="L2402">
        <v>3</v>
      </c>
      <c r="M2402">
        <v>240</v>
      </c>
      <c r="N2402" t="str">
        <f>IF(Table13[[#This Row],[Price USD]]&lt;20,"Budget",IF(Table13[[#This Row],[Price USD]]&lt;=50,"Mid-range","Premium"))</f>
        <v>Premium</v>
      </c>
      <c r="O2402">
        <v>0</v>
      </c>
      <c r="P2402">
        <v>0</v>
      </c>
    </row>
    <row r="2403" spans="1:16" x14ac:dyDescent="0.25">
      <c r="A2403" t="s">
        <v>4696</v>
      </c>
      <c r="B2403" t="s">
        <v>4697</v>
      </c>
      <c r="C2403">
        <v>5879</v>
      </c>
      <c r="D2403" t="s">
        <v>3589</v>
      </c>
      <c r="E2403" t="s">
        <v>21</v>
      </c>
      <c r="F2403">
        <v>876</v>
      </c>
      <c r="G240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3">
        <v>5</v>
      </c>
      <c r="J2403" t="str">
        <f>IF(ISBLANK(Table13[[#This Row],[Rating]]), "No", "Yes")</f>
        <v>Yes</v>
      </c>
      <c r="K2403" t="str">
        <f>IF(ISBLANK(Table13[[#This Row],[Rating]]), "Not Rated", IF(Table13[[#This Row],[Rating]] &lt; 3, "Low", IF(Table13[[#This Row],[Rating]] &lt; 4, "Medium", "High")))</f>
        <v>High</v>
      </c>
      <c r="L2403">
        <v>3</v>
      </c>
      <c r="M2403">
        <v>94</v>
      </c>
      <c r="N2403" t="str">
        <f>IF(Table13[[#This Row],[Price USD]]&lt;20,"Budget",IF(Table13[[#This Row],[Price USD]]&lt;=50,"Mid-range","Premium"))</f>
        <v>Premium</v>
      </c>
      <c r="O2403">
        <v>0</v>
      </c>
      <c r="P2403">
        <v>0</v>
      </c>
    </row>
    <row r="2404" spans="1:16" x14ac:dyDescent="0.25">
      <c r="A2404" t="s">
        <v>4694</v>
      </c>
      <c r="B2404" t="s">
        <v>4695</v>
      </c>
      <c r="C2404">
        <v>6272</v>
      </c>
      <c r="D2404" t="s">
        <v>1711</v>
      </c>
      <c r="E2404" t="s">
        <v>347</v>
      </c>
      <c r="F2404">
        <v>876</v>
      </c>
      <c r="G240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J2404" t="str">
        <f>IF(ISBLANK(Table13[[#This Row],[Rating]]), "No", "Yes")</f>
        <v>No</v>
      </c>
      <c r="K2404" t="str">
        <f>IF(ISBLANK(Table13[[#This Row],[Rating]]), "Not Rated", IF(Table13[[#This Row],[Rating]] &lt; 3, "Low", IF(Table13[[#This Row],[Rating]] &lt; 4, "Medium", "High")))</f>
        <v>Not Rated</v>
      </c>
      <c r="L2404">
        <v>0</v>
      </c>
      <c r="M2404">
        <v>100</v>
      </c>
      <c r="N2404" t="str">
        <f>IF(Table13[[#This Row],[Price USD]]&lt;20,"Budget",IF(Table13[[#This Row],[Price USD]]&lt;=50,"Mid-range","Premium"))</f>
        <v>Premium</v>
      </c>
      <c r="O2404">
        <v>0</v>
      </c>
      <c r="P2404">
        <v>0</v>
      </c>
    </row>
    <row r="2405" spans="1:16" x14ac:dyDescent="0.25">
      <c r="A2405" t="s">
        <v>4692</v>
      </c>
      <c r="B2405" t="s">
        <v>4693</v>
      </c>
      <c r="C2405">
        <v>6309</v>
      </c>
      <c r="D2405" t="s">
        <v>1735</v>
      </c>
      <c r="E2405" t="s">
        <v>201</v>
      </c>
      <c r="F2405">
        <v>894</v>
      </c>
      <c r="G240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5">
        <v>1.8</v>
      </c>
      <c r="J2405" t="str">
        <f>IF(ISBLANK(Table13[[#This Row],[Rating]]), "No", "Yes")</f>
        <v>Yes</v>
      </c>
      <c r="K2405" t="str">
        <f>IF(ISBLANK(Table13[[#This Row],[Rating]]), "Not Rated", IF(Table13[[#This Row],[Rating]] &lt; 3, "Low", IF(Table13[[#This Row],[Rating]] &lt; 4, "Medium", "High")))</f>
        <v>Low</v>
      </c>
      <c r="L2405">
        <v>5</v>
      </c>
      <c r="M2405">
        <v>12</v>
      </c>
      <c r="N2405" t="str">
        <f>IF(Table13[[#This Row],[Price USD]]&lt;20,"Budget",IF(Table13[[#This Row],[Price USD]]&lt;=50,"Mid-range","Premium"))</f>
        <v>Budget</v>
      </c>
      <c r="O2405">
        <v>0</v>
      </c>
      <c r="P2405">
        <v>0</v>
      </c>
    </row>
    <row r="2406" spans="1:16" x14ac:dyDescent="0.25">
      <c r="A2406" t="s">
        <v>4690</v>
      </c>
      <c r="B2406" t="s">
        <v>4691</v>
      </c>
      <c r="C2406">
        <v>1254</v>
      </c>
      <c r="D2406" t="s">
        <v>136</v>
      </c>
      <c r="E2406" t="s">
        <v>21</v>
      </c>
      <c r="F2406">
        <v>904</v>
      </c>
      <c r="G240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6">
        <v>3.1537999999999999</v>
      </c>
      <c r="J2406" t="str">
        <f>IF(ISBLANK(Table13[[#This Row],[Rating]]), "No", "Yes")</f>
        <v>Yes</v>
      </c>
      <c r="K2406" t="str">
        <f>IF(ISBLANK(Table13[[#This Row],[Rating]]), "Not Rated", IF(Table13[[#This Row],[Rating]] &lt; 3, "Low", IF(Table13[[#This Row],[Rating]] &lt; 4, "Medium", "High")))</f>
        <v>Medium</v>
      </c>
      <c r="L2406">
        <v>26</v>
      </c>
      <c r="M2406">
        <v>41</v>
      </c>
      <c r="N2406" t="str">
        <f>IF(Table13[[#This Row],[Price USD]]&lt;20,"Budget",IF(Table13[[#This Row],[Price USD]]&lt;=50,"Mid-range","Premium"))</f>
        <v>Mid-range</v>
      </c>
      <c r="O2406">
        <v>0</v>
      </c>
      <c r="P2406">
        <v>1</v>
      </c>
    </row>
    <row r="2407" spans="1:16" x14ac:dyDescent="0.25">
      <c r="A2407" t="s">
        <v>4688</v>
      </c>
      <c r="B2407" t="s">
        <v>4689</v>
      </c>
      <c r="C2407">
        <v>6303</v>
      </c>
      <c r="D2407" t="s">
        <v>3247</v>
      </c>
      <c r="E2407" t="s">
        <v>8</v>
      </c>
      <c r="F2407">
        <v>906</v>
      </c>
      <c r="G240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7">
        <v>5</v>
      </c>
      <c r="J2407" t="str">
        <f>IF(ISBLANK(Table13[[#This Row],[Rating]]), "No", "Yes")</f>
        <v>Yes</v>
      </c>
      <c r="K2407" t="str">
        <f>IF(ISBLANK(Table13[[#This Row],[Rating]]), "Not Rated", IF(Table13[[#This Row],[Rating]] &lt; 3, "Low", IF(Table13[[#This Row],[Rating]] &lt; 4, "Medium", "High")))</f>
        <v>High</v>
      </c>
      <c r="L2407">
        <v>3</v>
      </c>
      <c r="M2407">
        <v>105</v>
      </c>
      <c r="N2407" t="str">
        <f>IF(Table13[[#This Row],[Price USD]]&lt;20,"Budget",IF(Table13[[#This Row],[Price USD]]&lt;=50,"Mid-range","Premium"))</f>
        <v>Premium</v>
      </c>
      <c r="O2407">
        <v>0</v>
      </c>
      <c r="P2407">
        <v>0</v>
      </c>
    </row>
    <row r="2408" spans="1:16" x14ac:dyDescent="0.25">
      <c r="A2408" t="s">
        <v>4686</v>
      </c>
      <c r="B2408" t="s">
        <v>4687</v>
      </c>
      <c r="C2408">
        <v>7037</v>
      </c>
      <c r="D2408" t="s">
        <v>1718</v>
      </c>
      <c r="E2408" t="s">
        <v>347</v>
      </c>
      <c r="F2408">
        <v>918</v>
      </c>
      <c r="G240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8">
        <v>5</v>
      </c>
      <c r="J2408" t="str">
        <f>IF(ISBLANK(Table13[[#This Row],[Rating]]), "No", "Yes")</f>
        <v>Yes</v>
      </c>
      <c r="K2408" t="str">
        <f>IF(ISBLANK(Table13[[#This Row],[Rating]]), "Not Rated", IF(Table13[[#This Row],[Rating]] &lt; 3, "Low", IF(Table13[[#This Row],[Rating]] &lt; 4, "Medium", "High")))</f>
        <v>High</v>
      </c>
      <c r="L2408">
        <v>16</v>
      </c>
      <c r="M2408">
        <v>279</v>
      </c>
      <c r="N2408" t="str">
        <f>IF(Table13[[#This Row],[Price USD]]&lt;20,"Budget",IF(Table13[[#This Row],[Price USD]]&lt;=50,"Mid-range","Premium"))</f>
        <v>Premium</v>
      </c>
      <c r="O2408">
        <v>0</v>
      </c>
      <c r="P2408">
        <v>0</v>
      </c>
    </row>
    <row r="2409" spans="1:16" x14ac:dyDescent="0.25">
      <c r="A2409" t="s">
        <v>4684</v>
      </c>
      <c r="B2409" t="s">
        <v>4685</v>
      </c>
      <c r="C2409">
        <v>6089</v>
      </c>
      <c r="D2409" t="s">
        <v>605</v>
      </c>
      <c r="E2409" t="s">
        <v>21</v>
      </c>
      <c r="F2409">
        <v>920</v>
      </c>
      <c r="G240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0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09">
        <v>3.8332999999999999</v>
      </c>
      <c r="J2409" t="str">
        <f>IF(ISBLANK(Table13[[#This Row],[Rating]]), "No", "Yes")</f>
        <v>Yes</v>
      </c>
      <c r="K2409" t="str">
        <f>IF(ISBLANK(Table13[[#This Row],[Rating]]), "Not Rated", IF(Table13[[#This Row],[Rating]] &lt; 3, "Low", IF(Table13[[#This Row],[Rating]] &lt; 4, "Medium", "High")))</f>
        <v>Medium</v>
      </c>
      <c r="L2409">
        <v>456</v>
      </c>
      <c r="M2409">
        <v>42</v>
      </c>
      <c r="N2409" t="str">
        <f>IF(Table13[[#This Row],[Price USD]]&lt;20,"Budget",IF(Table13[[#This Row],[Price USD]]&lt;=50,"Mid-range","Premium"))</f>
        <v>Mid-range</v>
      </c>
      <c r="O2409">
        <v>0</v>
      </c>
      <c r="P2409">
        <v>0</v>
      </c>
    </row>
    <row r="2410" spans="1:16" x14ac:dyDescent="0.25">
      <c r="A2410" t="s">
        <v>4682</v>
      </c>
      <c r="B2410" t="s">
        <v>4683</v>
      </c>
      <c r="C2410">
        <v>5972</v>
      </c>
      <c r="D2410" t="s">
        <v>54</v>
      </c>
      <c r="E2410" t="s">
        <v>220</v>
      </c>
      <c r="F2410">
        <v>921</v>
      </c>
      <c r="G241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0">
        <v>5</v>
      </c>
      <c r="J2410" t="str">
        <f>IF(ISBLANK(Table13[[#This Row],[Rating]]), "No", "Yes")</f>
        <v>Yes</v>
      </c>
      <c r="K2410" t="str">
        <f>IF(ISBLANK(Table13[[#This Row],[Rating]]), "Not Rated", IF(Table13[[#This Row],[Rating]] &lt; 3, "Low", IF(Table13[[#This Row],[Rating]] &lt; 4, "Medium", "High")))</f>
        <v>High</v>
      </c>
      <c r="L2410">
        <v>1</v>
      </c>
      <c r="M2410">
        <v>30</v>
      </c>
      <c r="N2410" t="str">
        <f>IF(Table13[[#This Row],[Price USD]]&lt;20,"Budget",IF(Table13[[#This Row],[Price USD]]&lt;=50,"Mid-range","Premium"))</f>
        <v>Mid-range</v>
      </c>
      <c r="O2410">
        <v>1</v>
      </c>
      <c r="P2410">
        <v>0</v>
      </c>
    </row>
    <row r="2411" spans="1:16" x14ac:dyDescent="0.25">
      <c r="A2411" t="s">
        <v>4680</v>
      </c>
      <c r="B2411" t="s">
        <v>4681</v>
      </c>
      <c r="C2411">
        <v>6307</v>
      </c>
      <c r="D2411" t="s">
        <v>1132</v>
      </c>
      <c r="E2411" t="s">
        <v>21</v>
      </c>
      <c r="F2411">
        <v>923</v>
      </c>
      <c r="G241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1">
        <v>4</v>
      </c>
      <c r="J2411" t="str">
        <f>IF(ISBLANK(Table13[[#This Row],[Rating]]), "No", "Yes")</f>
        <v>Yes</v>
      </c>
      <c r="K2411" t="str">
        <f>IF(ISBLANK(Table13[[#This Row],[Rating]]), "Not Rated", IF(Table13[[#This Row],[Rating]] &lt; 3, "Low", IF(Table13[[#This Row],[Rating]] &lt; 4, "Medium", "High")))</f>
        <v>High</v>
      </c>
      <c r="L2411">
        <v>1</v>
      </c>
      <c r="M2411">
        <v>72</v>
      </c>
      <c r="N2411" t="str">
        <f>IF(Table13[[#This Row],[Price USD]]&lt;20,"Budget",IF(Table13[[#This Row],[Price USD]]&lt;=50,"Mid-range","Premium"))</f>
        <v>Premium</v>
      </c>
      <c r="O2411">
        <v>0</v>
      </c>
      <c r="P2411">
        <v>0</v>
      </c>
    </row>
    <row r="2412" spans="1:16" x14ac:dyDescent="0.25">
      <c r="A2412" t="s">
        <v>4678</v>
      </c>
      <c r="B2412" t="s">
        <v>4679</v>
      </c>
      <c r="C2412">
        <v>6302</v>
      </c>
      <c r="D2412" t="s">
        <v>2721</v>
      </c>
      <c r="E2412" t="s">
        <v>21</v>
      </c>
      <c r="F2412">
        <v>928</v>
      </c>
      <c r="G2412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2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2">
        <v>3.2222</v>
      </c>
      <c r="J2412" t="str">
        <f>IF(ISBLANK(Table13[[#This Row],[Rating]]), "No", "Yes")</f>
        <v>Yes</v>
      </c>
      <c r="K2412" t="str">
        <f>IF(ISBLANK(Table13[[#This Row],[Rating]]), "Not Rated", IF(Table13[[#This Row],[Rating]] &lt; 3, "Low", IF(Table13[[#This Row],[Rating]] &lt; 4, "Medium", "High")))</f>
        <v>Medium</v>
      </c>
      <c r="L2412">
        <v>9</v>
      </c>
      <c r="M2412">
        <v>360</v>
      </c>
      <c r="N2412" t="str">
        <f>IF(Table13[[#This Row],[Price USD]]&lt;20,"Budget",IF(Table13[[#This Row],[Price USD]]&lt;=50,"Mid-range","Premium"))</f>
        <v>Premium</v>
      </c>
      <c r="O2412">
        <v>0</v>
      </c>
      <c r="P2412">
        <v>0</v>
      </c>
    </row>
    <row r="2413" spans="1:16" x14ac:dyDescent="0.25">
      <c r="A2413" t="s">
        <v>4676</v>
      </c>
      <c r="B2413" t="s">
        <v>4677</v>
      </c>
      <c r="C2413">
        <v>6488</v>
      </c>
      <c r="D2413" t="s">
        <v>2933</v>
      </c>
      <c r="E2413" t="s">
        <v>13</v>
      </c>
      <c r="F2413">
        <v>933</v>
      </c>
      <c r="G2413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3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3">
        <v>4.7705000000000002</v>
      </c>
      <c r="J2413" t="str">
        <f>IF(ISBLANK(Table13[[#This Row],[Rating]]), "No", "Yes")</f>
        <v>Yes</v>
      </c>
      <c r="K2413" t="str">
        <f>IF(ISBLANK(Table13[[#This Row],[Rating]]), "Not Rated", IF(Table13[[#This Row],[Rating]] &lt; 3, "Low", IF(Table13[[#This Row],[Rating]] &lt; 4, "Medium", "High")))</f>
        <v>High</v>
      </c>
      <c r="L2413">
        <v>183</v>
      </c>
      <c r="M2413">
        <v>34</v>
      </c>
      <c r="N2413" t="str">
        <f>IF(Table13[[#This Row],[Price USD]]&lt;20,"Budget",IF(Table13[[#This Row],[Price USD]]&lt;=50,"Mid-range","Premium"))</f>
        <v>Mid-range</v>
      </c>
      <c r="O2413">
        <v>0</v>
      </c>
      <c r="P2413">
        <v>0</v>
      </c>
    </row>
    <row r="2414" spans="1:16" x14ac:dyDescent="0.25">
      <c r="A2414" t="s">
        <v>4674</v>
      </c>
      <c r="B2414" t="s">
        <v>4675</v>
      </c>
      <c r="C2414">
        <v>6329</v>
      </c>
      <c r="D2414" t="s">
        <v>3435</v>
      </c>
      <c r="E2414" t="s">
        <v>21</v>
      </c>
      <c r="F2414">
        <v>936</v>
      </c>
      <c r="G2414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4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4">
        <v>4.6753</v>
      </c>
      <c r="J2414" t="str">
        <f>IF(ISBLANK(Table13[[#This Row],[Rating]]), "No", "Yes")</f>
        <v>Yes</v>
      </c>
      <c r="K2414" t="str">
        <f>IF(ISBLANK(Table13[[#This Row],[Rating]]), "Not Rated", IF(Table13[[#This Row],[Rating]] &lt; 3, "Low", IF(Table13[[#This Row],[Rating]] &lt; 4, "Medium", "High")))</f>
        <v>High</v>
      </c>
      <c r="L2414">
        <v>77</v>
      </c>
      <c r="M2414">
        <v>60</v>
      </c>
      <c r="N2414" t="str">
        <f>IF(Table13[[#This Row],[Price USD]]&lt;20,"Budget",IF(Table13[[#This Row],[Price USD]]&lt;=50,"Mid-range","Premium"))</f>
        <v>Premium</v>
      </c>
      <c r="O2414">
        <v>0</v>
      </c>
      <c r="P2414">
        <v>0</v>
      </c>
    </row>
    <row r="2415" spans="1:16" x14ac:dyDescent="0.25">
      <c r="A2415" t="s">
        <v>4672</v>
      </c>
      <c r="B2415" t="s">
        <v>4673</v>
      </c>
      <c r="C2415">
        <v>6749</v>
      </c>
      <c r="D2415" t="s">
        <v>3173</v>
      </c>
      <c r="E2415" t="s">
        <v>21</v>
      </c>
      <c r="F2415">
        <v>940</v>
      </c>
      <c r="G2415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5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5">
        <v>4.9486999999999997</v>
      </c>
      <c r="J2415" t="str">
        <f>IF(ISBLANK(Table13[[#This Row],[Rating]]), "No", "Yes")</f>
        <v>Yes</v>
      </c>
      <c r="K2415" t="str">
        <f>IF(ISBLANK(Table13[[#This Row],[Rating]]), "Not Rated", IF(Table13[[#This Row],[Rating]] &lt; 3, "Low", IF(Table13[[#This Row],[Rating]] &lt; 4, "Medium", "High")))</f>
        <v>High</v>
      </c>
      <c r="L2415">
        <v>78</v>
      </c>
      <c r="M2415">
        <v>120</v>
      </c>
      <c r="N2415" t="str">
        <f>IF(Table13[[#This Row],[Price USD]]&lt;20,"Budget",IF(Table13[[#This Row],[Price USD]]&lt;=50,"Mid-range","Premium"))</f>
        <v>Premium</v>
      </c>
      <c r="O2415">
        <v>1</v>
      </c>
      <c r="P2415">
        <v>0</v>
      </c>
    </row>
    <row r="2416" spans="1:16" x14ac:dyDescent="0.25">
      <c r="A2416" t="s">
        <v>4670</v>
      </c>
      <c r="B2416" t="s">
        <v>4671</v>
      </c>
      <c r="C2416">
        <v>6329</v>
      </c>
      <c r="D2416" t="s">
        <v>3435</v>
      </c>
      <c r="E2416" t="s">
        <v>347</v>
      </c>
      <c r="F2416">
        <v>961</v>
      </c>
      <c r="G2416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6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6">
        <v>4.7611999999999997</v>
      </c>
      <c r="J2416" t="str">
        <f>IF(ISBLANK(Table13[[#This Row],[Rating]]), "No", "Yes")</f>
        <v>Yes</v>
      </c>
      <c r="K2416" t="str">
        <f>IF(ISBLANK(Table13[[#This Row],[Rating]]), "Not Rated", IF(Table13[[#This Row],[Rating]] &lt; 3, "Low", IF(Table13[[#This Row],[Rating]] &lt; 4, "Medium", "High")))</f>
        <v>High</v>
      </c>
      <c r="L2416">
        <v>67</v>
      </c>
      <c r="M2416">
        <v>70</v>
      </c>
      <c r="N2416" t="str">
        <f>IF(Table13[[#This Row],[Price USD]]&lt;20,"Budget",IF(Table13[[#This Row],[Price USD]]&lt;=50,"Mid-range","Premium"))</f>
        <v>Premium</v>
      </c>
      <c r="O2416">
        <v>0</v>
      </c>
      <c r="P2416">
        <v>0</v>
      </c>
    </row>
    <row r="2417" spans="1:16" x14ac:dyDescent="0.25">
      <c r="A2417" t="s">
        <v>4668</v>
      </c>
      <c r="B2417" t="s">
        <v>4669</v>
      </c>
      <c r="C2417">
        <v>3297</v>
      </c>
      <c r="D2417" t="s">
        <v>238</v>
      </c>
      <c r="E2417" t="s">
        <v>21</v>
      </c>
      <c r="F2417">
        <v>972</v>
      </c>
      <c r="G2417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7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7">
        <v>4.1429</v>
      </c>
      <c r="J2417" t="str">
        <f>IF(ISBLANK(Table13[[#This Row],[Rating]]), "No", "Yes")</f>
        <v>Yes</v>
      </c>
      <c r="K2417" t="str">
        <f>IF(ISBLANK(Table13[[#This Row],[Rating]]), "Not Rated", IF(Table13[[#This Row],[Rating]] &lt; 3, "Low", IF(Table13[[#This Row],[Rating]] &lt; 4, "Medium", "High")))</f>
        <v>High</v>
      </c>
      <c r="L2417">
        <v>7</v>
      </c>
      <c r="M2417">
        <v>40</v>
      </c>
      <c r="N2417" t="str">
        <f>IF(Table13[[#This Row],[Price USD]]&lt;20,"Budget",IF(Table13[[#This Row],[Price USD]]&lt;=50,"Mid-range","Premium"))</f>
        <v>Mid-range</v>
      </c>
      <c r="O2417">
        <v>0</v>
      </c>
      <c r="P2417">
        <v>0</v>
      </c>
    </row>
    <row r="2418" spans="1:16" x14ac:dyDescent="0.25">
      <c r="A2418" t="s">
        <v>4666</v>
      </c>
      <c r="B2418" t="s">
        <v>4667</v>
      </c>
      <c r="C2418">
        <v>8012</v>
      </c>
      <c r="D2418" t="s">
        <v>2864</v>
      </c>
      <c r="E2418" t="s">
        <v>69</v>
      </c>
      <c r="F2418">
        <v>978</v>
      </c>
      <c r="G2418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8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8">
        <v>4.3810000000000002</v>
      </c>
      <c r="J2418" t="str">
        <f>IF(ISBLANK(Table13[[#This Row],[Rating]]), "No", "Yes")</f>
        <v>Yes</v>
      </c>
      <c r="K2418" t="str">
        <f>IF(ISBLANK(Table13[[#This Row],[Rating]]), "Not Rated", IF(Table13[[#This Row],[Rating]] &lt; 3, "Low", IF(Table13[[#This Row],[Rating]] &lt; 4, "Medium", "High")))</f>
        <v>High</v>
      </c>
      <c r="L2418">
        <v>126</v>
      </c>
      <c r="M2418">
        <v>27</v>
      </c>
      <c r="N2418" t="str">
        <f>IF(Table13[[#This Row],[Price USD]]&lt;20,"Budget",IF(Table13[[#This Row],[Price USD]]&lt;=50,"Mid-range","Premium"))</f>
        <v>Mid-range</v>
      </c>
      <c r="O2418">
        <v>0</v>
      </c>
      <c r="P2418">
        <v>0</v>
      </c>
    </row>
    <row r="2419" spans="1:16" x14ac:dyDescent="0.25">
      <c r="A2419" t="s">
        <v>4664</v>
      </c>
      <c r="B2419" t="s">
        <v>4665</v>
      </c>
      <c r="C2419">
        <v>8017</v>
      </c>
      <c r="D2419" t="s">
        <v>620</v>
      </c>
      <c r="E2419" t="s">
        <v>49</v>
      </c>
      <c r="F2419">
        <v>983</v>
      </c>
      <c r="G2419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19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19">
        <v>5</v>
      </c>
      <c r="J2419" t="str">
        <f>IF(ISBLANK(Table13[[#This Row],[Rating]]), "No", "Yes")</f>
        <v>Yes</v>
      </c>
      <c r="K2419" t="str">
        <f>IF(ISBLANK(Table13[[#This Row],[Rating]]), "Not Rated", IF(Table13[[#This Row],[Rating]] &lt; 3, "Low", IF(Table13[[#This Row],[Rating]] &lt; 4, "Medium", "High")))</f>
        <v>High</v>
      </c>
      <c r="L2419">
        <v>2</v>
      </c>
      <c r="M2419">
        <v>28</v>
      </c>
      <c r="N2419" t="str">
        <f>IF(Table13[[#This Row],[Price USD]]&lt;20,"Budget",IF(Table13[[#This Row],[Price USD]]&lt;=50,"Mid-range","Premium"))</f>
        <v>Mid-range</v>
      </c>
      <c r="O2419">
        <v>0</v>
      </c>
      <c r="P2419">
        <v>0</v>
      </c>
    </row>
    <row r="2420" spans="1:16" x14ac:dyDescent="0.25">
      <c r="A2420" t="s">
        <v>4662</v>
      </c>
      <c r="B2420" t="s">
        <v>4663</v>
      </c>
      <c r="C2420">
        <v>6274</v>
      </c>
      <c r="D2420" t="s">
        <v>2153</v>
      </c>
      <c r="E2420" t="s">
        <v>21</v>
      </c>
      <c r="F2420">
        <v>986</v>
      </c>
      <c r="G2420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20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20">
        <v>5</v>
      </c>
      <c r="J2420" t="str">
        <f>IF(ISBLANK(Table13[[#This Row],[Rating]]), "No", "Yes")</f>
        <v>Yes</v>
      </c>
      <c r="K2420" t="str">
        <f>IF(ISBLANK(Table13[[#This Row],[Rating]]), "Not Rated", IF(Table13[[#This Row],[Rating]] &lt; 3, "Low", IF(Table13[[#This Row],[Rating]] &lt; 4, "Medium", "High")))</f>
        <v>High</v>
      </c>
      <c r="L2420">
        <v>3</v>
      </c>
      <c r="M2420">
        <v>44</v>
      </c>
      <c r="N2420" t="str">
        <f>IF(Table13[[#This Row],[Price USD]]&lt;20,"Budget",IF(Table13[[#This Row],[Price USD]]&lt;=50,"Mid-range","Premium"))</f>
        <v>Mid-range</v>
      </c>
      <c r="O2420">
        <v>0</v>
      </c>
      <c r="P2420">
        <v>0</v>
      </c>
    </row>
    <row r="2421" spans="1:16" x14ac:dyDescent="0.25">
      <c r="A2421" t="s">
        <v>4660</v>
      </c>
      <c r="B2421" t="s">
        <v>4661</v>
      </c>
      <c r="C2421">
        <v>1073</v>
      </c>
      <c r="D2421" t="s">
        <v>767</v>
      </c>
      <c r="E2421" t="s">
        <v>69</v>
      </c>
      <c r="F2421">
        <v>993</v>
      </c>
      <c r="G2421" t="str">
        <f>IF(Table13[[#This Row],[Loves Count]]&lt;=1000,"0–1K",IF(Table13[[#This Row],[Loves Count]]&lt;=5000,"1K–5K",IF(Table13[[#This Row],[Loves Count]]&lt;=10000,"5K–10K",IF(Table13[[#This Row],[Loves Count]]&lt;=50000,"10K–50K",IF(Table13[[#This Row],[Loves Count]]&lt;=100000,"50K–1L",IF(Table13[[#This Row],[Loves Count]]&lt;=500000,"1L–5L","5L+"))))))</f>
        <v>0–1K</v>
      </c>
      <c r="H2421" t="str">
        <f>IF(Table13[[#This Row],[Loves Count]]&lt;=1000,"Very Low",IF(Table13[[#This Row],[Loves Count]]&lt;=5000,"Low",IF(Table13[[#This Row],[Loves Count]]&lt;=10000,"Medium",IF(Table13[[#This Row],[Loves Count]]&lt;=50000,"High",IF(Table13[[#This Row],[Loves Count]]&lt;=100000,"Very High",IF(Table13[[#This Row],[Loves Count]]&lt;=500000,"Viral","Extremely Viral"))))))</f>
        <v>Very Low</v>
      </c>
      <c r="I2421">
        <v>5</v>
      </c>
      <c r="J2421" t="str">
        <f>IF(ISBLANK(Table13[[#This Row],[Rating]]), "No", "Yes")</f>
        <v>Yes</v>
      </c>
      <c r="K2421" t="str">
        <f>IF(ISBLANK(Table13[[#This Row],[Rating]]), "Not Rated", IF(Table13[[#This Row],[Rating]] &lt; 3, "Low", IF(Table13[[#This Row],[Rating]] &lt; 4, "Medium", "High")))</f>
        <v>High</v>
      </c>
      <c r="L2421">
        <v>2</v>
      </c>
      <c r="M2421">
        <v>80</v>
      </c>
      <c r="N2421" t="str">
        <f>IF(Table13[[#This Row],[Price USD]]&lt;20,"Budget",IF(Table13[[#This Row],[Price USD]]&lt;=50,"Mid-range","Premium"))</f>
        <v>Premium</v>
      </c>
      <c r="O2421">
        <v>1</v>
      </c>
      <c r="P242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F075-8278-4570-94AF-E0B3217C2101}">
  <dimension ref="A3:M12"/>
  <sheetViews>
    <sheetView workbookViewId="0">
      <selection activeCell="G19" sqref="G19"/>
    </sheetView>
  </sheetViews>
  <sheetFormatPr defaultRowHeight="15" x14ac:dyDescent="0.25"/>
  <cols>
    <col min="1" max="1" width="18.28515625" bestFit="1" customWidth="1"/>
    <col min="2" max="2" width="13.7109375" bestFit="1" customWidth="1"/>
    <col min="3" max="3" width="6.140625" bestFit="1" customWidth="1"/>
    <col min="4" max="4" width="8.5703125" bestFit="1" customWidth="1"/>
    <col min="5" max="5" width="9.85546875" bestFit="1" customWidth="1"/>
    <col min="6" max="6" width="11.28515625" bestFit="1" customWidth="1"/>
    <col min="8" max="8" width="20.140625" customWidth="1"/>
    <col min="9" max="9" width="13.5703125" customWidth="1"/>
    <col min="10" max="12" width="11" customWidth="1"/>
    <col min="13" max="13" width="12.28515625" customWidth="1"/>
  </cols>
  <sheetData>
    <row r="3" spans="1:13" x14ac:dyDescent="0.25">
      <c r="A3" s="2" t="s">
        <v>5011</v>
      </c>
      <c r="B3" s="2" t="s">
        <v>4985</v>
      </c>
      <c r="H3" t="s">
        <v>5011</v>
      </c>
      <c r="I3" t="s">
        <v>4985</v>
      </c>
      <c r="J3" t="s">
        <v>5029</v>
      </c>
      <c r="K3" t="s">
        <v>5030</v>
      </c>
      <c r="L3" t="s">
        <v>5031</v>
      </c>
      <c r="M3" t="s">
        <v>5032</v>
      </c>
    </row>
    <row r="4" spans="1:13" x14ac:dyDescent="0.25">
      <c r="A4" s="2" t="s">
        <v>5006</v>
      </c>
      <c r="B4" t="s">
        <v>4993</v>
      </c>
      <c r="C4" t="s">
        <v>4994</v>
      </c>
      <c r="D4" t="s">
        <v>4995</v>
      </c>
      <c r="E4" t="s">
        <v>5010</v>
      </c>
      <c r="F4" t="s">
        <v>4991</v>
      </c>
      <c r="H4" t="s">
        <v>5006</v>
      </c>
      <c r="I4" t="s">
        <v>4993</v>
      </c>
      <c r="J4" t="s">
        <v>4994</v>
      </c>
      <c r="K4" t="s">
        <v>4995</v>
      </c>
      <c r="L4" t="s">
        <v>5010</v>
      </c>
      <c r="M4" t="s">
        <v>4991</v>
      </c>
    </row>
    <row r="5" spans="1:13" x14ac:dyDescent="0.25">
      <c r="A5" s="13" t="s">
        <v>4996</v>
      </c>
      <c r="B5" s="11">
        <v>0.52830188679245282</v>
      </c>
      <c r="C5" s="12">
        <v>3.1446540880503145E-2</v>
      </c>
      <c r="D5" s="9">
        <v>0.12578616352201258</v>
      </c>
      <c r="E5" s="9">
        <v>0.31446540880503143</v>
      </c>
      <c r="F5" s="9">
        <v>1</v>
      </c>
      <c r="H5" t="s">
        <v>5008</v>
      </c>
      <c r="I5">
        <v>5</v>
      </c>
      <c r="M5">
        <v>5</v>
      </c>
    </row>
    <row r="6" spans="1:13" x14ac:dyDescent="0.25">
      <c r="A6" s="13" t="s">
        <v>4994</v>
      </c>
      <c r="B6" s="11">
        <v>0.69064748201438853</v>
      </c>
      <c r="C6" s="12">
        <v>2.8776978417266189E-2</v>
      </c>
      <c r="D6" s="9">
        <v>0.25</v>
      </c>
      <c r="E6" s="9">
        <v>3.0575539568345324E-2</v>
      </c>
      <c r="F6" s="9">
        <v>1</v>
      </c>
      <c r="H6" t="s">
        <v>4993</v>
      </c>
      <c r="I6">
        <v>714</v>
      </c>
      <c r="J6">
        <v>3</v>
      </c>
      <c r="K6">
        <v>180</v>
      </c>
      <c r="M6">
        <v>897</v>
      </c>
    </row>
    <row r="7" spans="1:13" x14ac:dyDescent="0.25">
      <c r="A7" s="3" t="s">
        <v>4995</v>
      </c>
      <c r="B7" s="9">
        <v>0.77096114519427406</v>
      </c>
      <c r="C7" s="9">
        <v>2.4539877300613498E-2</v>
      </c>
      <c r="D7" s="9">
        <v>0.20040899795501022</v>
      </c>
      <c r="E7" s="9">
        <v>4.0899795501022499E-3</v>
      </c>
      <c r="F7" s="9">
        <v>1</v>
      </c>
      <c r="H7" t="s">
        <v>4994</v>
      </c>
      <c r="I7">
        <v>384</v>
      </c>
      <c r="J7">
        <v>16</v>
      </c>
      <c r="K7">
        <v>139</v>
      </c>
      <c r="L7">
        <v>17</v>
      </c>
      <c r="M7">
        <v>556</v>
      </c>
    </row>
    <row r="8" spans="1:13" x14ac:dyDescent="0.25">
      <c r="A8" s="13" t="s">
        <v>4993</v>
      </c>
      <c r="B8" s="11">
        <v>0.79598662207357862</v>
      </c>
      <c r="C8" s="12">
        <v>3.3444816053511705E-3</v>
      </c>
      <c r="D8" s="14">
        <v>0.20066889632107024</v>
      </c>
      <c r="E8" s="9">
        <v>0</v>
      </c>
      <c r="F8" s="9">
        <v>1</v>
      </c>
      <c r="H8" t="s">
        <v>4995</v>
      </c>
      <c r="I8">
        <v>377</v>
      </c>
      <c r="J8">
        <v>12</v>
      </c>
      <c r="K8">
        <v>98</v>
      </c>
      <c r="L8">
        <v>2</v>
      </c>
      <c r="M8">
        <v>489</v>
      </c>
    </row>
    <row r="9" spans="1:13" x14ac:dyDescent="0.25">
      <c r="A9" s="3" t="s">
        <v>5009</v>
      </c>
      <c r="B9" s="9">
        <v>0.77248677248677244</v>
      </c>
      <c r="C9" s="9">
        <v>5.2910052910052907E-3</v>
      </c>
      <c r="D9" s="9">
        <v>0.22222222222222221</v>
      </c>
      <c r="E9" s="9">
        <v>0</v>
      </c>
      <c r="F9" s="9">
        <v>1</v>
      </c>
      <c r="H9" t="s">
        <v>5009</v>
      </c>
      <c r="I9">
        <v>146</v>
      </c>
      <c r="J9">
        <v>1</v>
      </c>
      <c r="K9">
        <v>42</v>
      </c>
      <c r="M9">
        <v>189</v>
      </c>
    </row>
    <row r="10" spans="1:13" x14ac:dyDescent="0.25">
      <c r="A10" s="3" t="s">
        <v>4997</v>
      </c>
      <c r="B10" s="9">
        <v>0.86399999999999999</v>
      </c>
      <c r="C10" s="9">
        <v>0</v>
      </c>
      <c r="D10" s="9">
        <v>0.13600000000000001</v>
      </c>
      <c r="E10" s="9">
        <v>0</v>
      </c>
      <c r="F10" s="9">
        <v>1</v>
      </c>
      <c r="H10" t="s">
        <v>4996</v>
      </c>
      <c r="I10">
        <v>84</v>
      </c>
      <c r="J10">
        <v>5</v>
      </c>
      <c r="K10">
        <v>20</v>
      </c>
      <c r="L10">
        <v>50</v>
      </c>
      <c r="M10">
        <v>159</v>
      </c>
    </row>
    <row r="11" spans="1:13" x14ac:dyDescent="0.25">
      <c r="A11" s="3" t="s">
        <v>5008</v>
      </c>
      <c r="B11" s="9">
        <v>1</v>
      </c>
      <c r="C11" s="9">
        <v>0</v>
      </c>
      <c r="D11" s="9">
        <v>0</v>
      </c>
      <c r="E11" s="9">
        <v>0</v>
      </c>
      <c r="F11" s="9">
        <v>1</v>
      </c>
      <c r="H11" t="s">
        <v>4997</v>
      </c>
      <c r="I11">
        <v>108</v>
      </c>
      <c r="K11">
        <v>17</v>
      </c>
      <c r="M11">
        <v>125</v>
      </c>
    </row>
    <row r="12" spans="1:13" x14ac:dyDescent="0.25">
      <c r="A12" s="3" t="s">
        <v>4991</v>
      </c>
      <c r="B12" s="9">
        <v>0.75123966942148757</v>
      </c>
      <c r="C12" s="9">
        <v>1.5289256198347107E-2</v>
      </c>
      <c r="D12" s="9">
        <v>0.20495867768595041</v>
      </c>
      <c r="E12" s="9">
        <v>2.8512396694214875E-2</v>
      </c>
      <c r="F12" s="9">
        <v>1</v>
      </c>
      <c r="H12" t="s">
        <v>4991</v>
      </c>
      <c r="I12">
        <v>1818</v>
      </c>
      <c r="J12">
        <v>37</v>
      </c>
      <c r="K12">
        <v>496</v>
      </c>
      <c r="L12">
        <v>69</v>
      </c>
      <c r="M12">
        <v>2420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3742-65E6-49A3-92B4-6DB726B41D23}">
  <dimension ref="A1:P717"/>
  <sheetViews>
    <sheetView workbookViewId="0">
      <selection activeCell="C57" sqref="C57"/>
    </sheetView>
  </sheetViews>
  <sheetFormatPr defaultRowHeight="15" x14ac:dyDescent="0.25"/>
  <cols>
    <col min="1" max="1" width="12.28515625" bestFit="1" customWidth="1"/>
    <col min="2" max="2" width="103.42578125" bestFit="1" customWidth="1"/>
    <col min="3" max="3" width="10.5703125" bestFit="1" customWidth="1"/>
    <col min="4" max="4" width="30.42578125" bestFit="1" customWidth="1"/>
    <col min="5" max="5" width="22.140625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5019</v>
      </c>
    </row>
    <row r="2" spans="1:16" x14ac:dyDescent="0.25">
      <c r="A2" s="15" t="s">
        <v>5022</v>
      </c>
      <c r="B2" s="15"/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996</v>
      </c>
      <c r="B4" t="s">
        <v>997</v>
      </c>
      <c r="C4">
        <v>1254</v>
      </c>
      <c r="D4" t="s">
        <v>136</v>
      </c>
      <c r="E4" t="s">
        <v>144</v>
      </c>
      <c r="F4">
        <v>37388</v>
      </c>
      <c r="G4" t="s">
        <v>4999</v>
      </c>
      <c r="H4" t="s">
        <v>4993</v>
      </c>
      <c r="I4">
        <v>4.5293999999999999</v>
      </c>
      <c r="J4" t="s">
        <v>5012</v>
      </c>
      <c r="K4" t="s">
        <v>4993</v>
      </c>
      <c r="L4">
        <v>4375</v>
      </c>
      <c r="M4">
        <v>14</v>
      </c>
      <c r="N4" t="s">
        <v>5013</v>
      </c>
      <c r="O4">
        <v>0</v>
      </c>
      <c r="P4">
        <v>0</v>
      </c>
    </row>
    <row r="5" spans="1:16" x14ac:dyDescent="0.25">
      <c r="A5" t="s">
        <v>977</v>
      </c>
      <c r="B5" t="s">
        <v>978</v>
      </c>
      <c r="C5">
        <v>5715</v>
      </c>
      <c r="D5" t="s">
        <v>979</v>
      </c>
      <c r="E5" t="s">
        <v>13</v>
      </c>
      <c r="F5">
        <v>38097</v>
      </c>
      <c r="G5" t="s">
        <v>4999</v>
      </c>
      <c r="H5" t="s">
        <v>4993</v>
      </c>
      <c r="I5">
        <v>4.5667</v>
      </c>
      <c r="J5" t="s">
        <v>5012</v>
      </c>
      <c r="K5" t="s">
        <v>4993</v>
      </c>
      <c r="L5">
        <v>4186</v>
      </c>
      <c r="M5">
        <v>28</v>
      </c>
      <c r="N5" t="s">
        <v>5015</v>
      </c>
      <c r="O5">
        <v>0</v>
      </c>
      <c r="P5">
        <v>0</v>
      </c>
    </row>
    <row r="6" spans="1:16" x14ac:dyDescent="0.25">
      <c r="A6" t="s">
        <v>1414</v>
      </c>
      <c r="B6" t="s">
        <v>1415</v>
      </c>
      <c r="C6">
        <v>6041</v>
      </c>
      <c r="D6" t="s">
        <v>33</v>
      </c>
      <c r="E6" t="s">
        <v>144</v>
      </c>
      <c r="F6">
        <v>23723</v>
      </c>
      <c r="G6" t="s">
        <v>4999</v>
      </c>
      <c r="H6" t="s">
        <v>4993</v>
      </c>
      <c r="I6">
        <v>4.0244999999999997</v>
      </c>
      <c r="J6" t="s">
        <v>5012</v>
      </c>
      <c r="K6" t="s">
        <v>4993</v>
      </c>
      <c r="L6">
        <v>4168</v>
      </c>
      <c r="M6">
        <v>22</v>
      </c>
      <c r="N6" t="s">
        <v>5015</v>
      </c>
      <c r="O6">
        <v>0</v>
      </c>
      <c r="P6">
        <v>0</v>
      </c>
    </row>
    <row r="7" spans="1:16" x14ac:dyDescent="0.25">
      <c r="A7" t="s">
        <v>933</v>
      </c>
      <c r="B7" t="s">
        <v>934</v>
      </c>
      <c r="C7">
        <v>4171</v>
      </c>
      <c r="D7" t="s">
        <v>133</v>
      </c>
      <c r="E7" t="s">
        <v>21</v>
      </c>
      <c r="F7">
        <v>39840</v>
      </c>
      <c r="G7" t="s">
        <v>4999</v>
      </c>
      <c r="H7" t="s">
        <v>4993</v>
      </c>
      <c r="I7">
        <v>4.2396000000000003</v>
      </c>
      <c r="J7" t="s">
        <v>5012</v>
      </c>
      <c r="K7" t="s">
        <v>4993</v>
      </c>
      <c r="L7">
        <v>3405</v>
      </c>
      <c r="M7">
        <v>49</v>
      </c>
      <c r="N7" t="s">
        <v>5015</v>
      </c>
      <c r="O7">
        <v>0</v>
      </c>
      <c r="P7">
        <v>0</v>
      </c>
    </row>
    <row r="8" spans="1:16" x14ac:dyDescent="0.25">
      <c r="A8" t="s">
        <v>730</v>
      </c>
      <c r="B8" t="s">
        <v>731</v>
      </c>
      <c r="C8">
        <v>6084</v>
      </c>
      <c r="D8" t="s">
        <v>269</v>
      </c>
      <c r="E8" t="s">
        <v>21</v>
      </c>
      <c r="F8">
        <v>49032</v>
      </c>
      <c r="G8" t="s">
        <v>4999</v>
      </c>
      <c r="H8" t="s">
        <v>4993</v>
      </c>
      <c r="I8">
        <v>4.0807000000000002</v>
      </c>
      <c r="J8" t="s">
        <v>5012</v>
      </c>
      <c r="K8" t="s">
        <v>4993</v>
      </c>
      <c r="L8">
        <v>2949</v>
      </c>
      <c r="M8">
        <v>99</v>
      </c>
      <c r="N8" t="s">
        <v>5014</v>
      </c>
      <c r="O8">
        <v>0</v>
      </c>
      <c r="P8">
        <v>0</v>
      </c>
    </row>
    <row r="9" spans="1:16" x14ac:dyDescent="0.25">
      <c r="A9" t="s">
        <v>860</v>
      </c>
      <c r="B9" t="s">
        <v>861</v>
      </c>
      <c r="C9">
        <v>5337</v>
      </c>
      <c r="D9" t="s">
        <v>209</v>
      </c>
      <c r="E9" t="s">
        <v>49</v>
      </c>
      <c r="F9">
        <v>42257</v>
      </c>
      <c r="G9" t="s">
        <v>4999</v>
      </c>
      <c r="H9" t="s">
        <v>4993</v>
      </c>
      <c r="I9">
        <v>4.4863999999999997</v>
      </c>
      <c r="J9" t="s">
        <v>5012</v>
      </c>
      <c r="K9" t="s">
        <v>4993</v>
      </c>
      <c r="L9">
        <v>2936</v>
      </c>
      <c r="M9">
        <v>50</v>
      </c>
      <c r="N9" t="s">
        <v>5015</v>
      </c>
      <c r="O9">
        <v>0</v>
      </c>
      <c r="P9">
        <v>0</v>
      </c>
    </row>
    <row r="10" spans="1:16" x14ac:dyDescent="0.25">
      <c r="A10" t="s">
        <v>1128</v>
      </c>
      <c r="B10" t="s">
        <v>1129</v>
      </c>
      <c r="C10">
        <v>6218</v>
      </c>
      <c r="D10" t="s">
        <v>116</v>
      </c>
      <c r="E10" t="s">
        <v>144</v>
      </c>
      <c r="F10">
        <v>31687</v>
      </c>
      <c r="G10" t="s">
        <v>4999</v>
      </c>
      <c r="H10" t="s">
        <v>4993</v>
      </c>
      <c r="I10">
        <v>4.4469000000000003</v>
      </c>
      <c r="J10" t="s">
        <v>5012</v>
      </c>
      <c r="K10" t="s">
        <v>4993</v>
      </c>
      <c r="L10">
        <v>2515</v>
      </c>
      <c r="M10">
        <v>24</v>
      </c>
      <c r="N10" t="s">
        <v>5015</v>
      </c>
      <c r="O10">
        <v>1</v>
      </c>
      <c r="P10">
        <v>0</v>
      </c>
    </row>
    <row r="11" spans="1:16" x14ac:dyDescent="0.25">
      <c r="A11" t="s">
        <v>2061</v>
      </c>
      <c r="B11" t="s">
        <v>2062</v>
      </c>
      <c r="C11">
        <v>6041</v>
      </c>
      <c r="D11" t="s">
        <v>33</v>
      </c>
      <c r="E11" t="s">
        <v>21</v>
      </c>
      <c r="F11">
        <v>13964</v>
      </c>
      <c r="G11" t="s">
        <v>4999</v>
      </c>
      <c r="H11" t="s">
        <v>4993</v>
      </c>
      <c r="I11">
        <v>4.4442000000000004</v>
      </c>
      <c r="J11" t="s">
        <v>5012</v>
      </c>
      <c r="K11" t="s">
        <v>4993</v>
      </c>
      <c r="L11">
        <v>2483</v>
      </c>
      <c r="M11">
        <v>65</v>
      </c>
      <c r="N11" t="s">
        <v>5014</v>
      </c>
      <c r="O11">
        <v>0</v>
      </c>
      <c r="P11">
        <v>0</v>
      </c>
    </row>
    <row r="12" spans="1:16" x14ac:dyDescent="0.25">
      <c r="A12" t="s">
        <v>1072</v>
      </c>
      <c r="B12" t="s">
        <v>1073</v>
      </c>
      <c r="C12">
        <v>6289</v>
      </c>
      <c r="D12" t="s">
        <v>111</v>
      </c>
      <c r="E12" t="s">
        <v>21</v>
      </c>
      <c r="F12">
        <v>33646</v>
      </c>
      <c r="G12" t="s">
        <v>4999</v>
      </c>
      <c r="H12" t="s">
        <v>4993</v>
      </c>
      <c r="I12">
        <v>4.2923999999999998</v>
      </c>
      <c r="J12" t="s">
        <v>5012</v>
      </c>
      <c r="K12" t="s">
        <v>4993</v>
      </c>
      <c r="L12">
        <v>2449</v>
      </c>
      <c r="M12">
        <v>20</v>
      </c>
      <c r="N12" t="s">
        <v>5015</v>
      </c>
      <c r="O12">
        <v>0</v>
      </c>
      <c r="P12">
        <v>0</v>
      </c>
    </row>
    <row r="13" spans="1:16" x14ac:dyDescent="0.25">
      <c r="A13" t="s">
        <v>2199</v>
      </c>
      <c r="B13" t="s">
        <v>2200</v>
      </c>
      <c r="C13">
        <v>4164</v>
      </c>
      <c r="D13" t="s">
        <v>623</v>
      </c>
      <c r="E13" t="s">
        <v>144</v>
      </c>
      <c r="F13">
        <v>12651</v>
      </c>
      <c r="G13" t="s">
        <v>4999</v>
      </c>
      <c r="H13" t="s">
        <v>4993</v>
      </c>
      <c r="I13">
        <v>4.2359999999999998</v>
      </c>
      <c r="J13" t="s">
        <v>5012</v>
      </c>
      <c r="K13" t="s">
        <v>4993</v>
      </c>
      <c r="L13">
        <v>2449</v>
      </c>
      <c r="M13">
        <v>14</v>
      </c>
      <c r="N13" t="s">
        <v>5013</v>
      </c>
      <c r="O13">
        <v>0</v>
      </c>
      <c r="P13">
        <v>0</v>
      </c>
    </row>
    <row r="14" spans="1:16" x14ac:dyDescent="0.25">
      <c r="A14" t="s">
        <v>1426</v>
      </c>
      <c r="B14" t="s">
        <v>1427</v>
      </c>
      <c r="C14">
        <v>6089</v>
      </c>
      <c r="D14" t="s">
        <v>605</v>
      </c>
      <c r="E14" t="s">
        <v>144</v>
      </c>
      <c r="F14">
        <v>23348</v>
      </c>
      <c r="G14" t="s">
        <v>4999</v>
      </c>
      <c r="H14" t="s">
        <v>4993</v>
      </c>
      <c r="I14">
        <v>4.0456000000000003</v>
      </c>
      <c r="J14" t="s">
        <v>5012</v>
      </c>
      <c r="K14" t="s">
        <v>4993</v>
      </c>
      <c r="L14">
        <v>2410</v>
      </c>
      <c r="M14">
        <v>19</v>
      </c>
      <c r="N14" t="s">
        <v>5013</v>
      </c>
      <c r="O14">
        <v>0</v>
      </c>
      <c r="P14">
        <v>0</v>
      </c>
    </row>
    <row r="15" spans="1:16" x14ac:dyDescent="0.25">
      <c r="A15" t="s">
        <v>2376</v>
      </c>
      <c r="B15" t="s">
        <v>2377</v>
      </c>
      <c r="C15">
        <v>6089</v>
      </c>
      <c r="D15" t="s">
        <v>605</v>
      </c>
      <c r="E15" t="s">
        <v>8</v>
      </c>
      <c r="F15">
        <v>11269</v>
      </c>
      <c r="G15" t="s">
        <v>4999</v>
      </c>
      <c r="H15" t="s">
        <v>4993</v>
      </c>
      <c r="I15">
        <v>4.0456000000000003</v>
      </c>
      <c r="J15" t="s">
        <v>5012</v>
      </c>
      <c r="K15" t="s">
        <v>4993</v>
      </c>
      <c r="L15">
        <v>2410</v>
      </c>
      <c r="M15">
        <v>195</v>
      </c>
      <c r="N15" t="s">
        <v>5014</v>
      </c>
      <c r="O15">
        <v>0</v>
      </c>
      <c r="P15">
        <v>0</v>
      </c>
    </row>
    <row r="16" spans="1:16" x14ac:dyDescent="0.25">
      <c r="A16" t="s">
        <v>971</v>
      </c>
      <c r="B16" t="s">
        <v>972</v>
      </c>
      <c r="C16">
        <v>6316</v>
      </c>
      <c r="D16" t="s">
        <v>563</v>
      </c>
      <c r="E16" t="s">
        <v>144</v>
      </c>
      <c r="F16">
        <v>38190</v>
      </c>
      <c r="G16" t="s">
        <v>4999</v>
      </c>
      <c r="H16" t="s">
        <v>4993</v>
      </c>
      <c r="I16">
        <v>4.2460000000000004</v>
      </c>
      <c r="J16" t="s">
        <v>5012</v>
      </c>
      <c r="K16" t="s">
        <v>4993</v>
      </c>
      <c r="L16">
        <v>2207</v>
      </c>
      <c r="M16">
        <v>21</v>
      </c>
      <c r="N16" t="s">
        <v>5015</v>
      </c>
      <c r="O16">
        <v>0</v>
      </c>
      <c r="P16">
        <v>0</v>
      </c>
    </row>
    <row r="17" spans="1:16" x14ac:dyDescent="0.25">
      <c r="A17" t="s">
        <v>1733</v>
      </c>
      <c r="B17" t="s">
        <v>1734</v>
      </c>
      <c r="C17">
        <v>6309</v>
      </c>
      <c r="D17" t="s">
        <v>1735</v>
      </c>
      <c r="E17" t="s">
        <v>13</v>
      </c>
      <c r="F17">
        <v>17838</v>
      </c>
      <c r="G17" t="s">
        <v>4999</v>
      </c>
      <c r="H17" t="s">
        <v>4993</v>
      </c>
      <c r="I17">
        <v>4.4821</v>
      </c>
      <c r="J17" t="s">
        <v>5012</v>
      </c>
      <c r="K17" t="s">
        <v>4993</v>
      </c>
      <c r="L17">
        <v>2128</v>
      </c>
      <c r="M17">
        <v>125</v>
      </c>
      <c r="N17" t="s">
        <v>5014</v>
      </c>
      <c r="O17">
        <v>0</v>
      </c>
      <c r="P17">
        <v>0</v>
      </c>
    </row>
    <row r="18" spans="1:16" x14ac:dyDescent="0.25">
      <c r="A18" t="s">
        <v>2041</v>
      </c>
      <c r="B18" t="s">
        <v>2042</v>
      </c>
      <c r="C18">
        <v>6309</v>
      </c>
      <c r="D18" t="s">
        <v>1735</v>
      </c>
      <c r="E18" t="s">
        <v>144</v>
      </c>
      <c r="F18">
        <v>14292</v>
      </c>
      <c r="G18" t="s">
        <v>4999</v>
      </c>
      <c r="H18" t="s">
        <v>4993</v>
      </c>
      <c r="I18">
        <v>4.4821</v>
      </c>
      <c r="J18" t="s">
        <v>5012</v>
      </c>
      <c r="K18" t="s">
        <v>4993</v>
      </c>
      <c r="L18">
        <v>2128</v>
      </c>
      <c r="M18">
        <v>42</v>
      </c>
      <c r="N18" t="s">
        <v>5015</v>
      </c>
      <c r="O18">
        <v>0</v>
      </c>
      <c r="P18">
        <v>0</v>
      </c>
    </row>
    <row r="19" spans="1:16" x14ac:dyDescent="0.25">
      <c r="A19" t="s">
        <v>1210</v>
      </c>
      <c r="B19" t="s">
        <v>1211</v>
      </c>
      <c r="C19">
        <v>6169</v>
      </c>
      <c r="D19" t="s">
        <v>24</v>
      </c>
      <c r="E19" t="s">
        <v>144</v>
      </c>
      <c r="F19">
        <v>28957</v>
      </c>
      <c r="G19" t="s">
        <v>4999</v>
      </c>
      <c r="H19" t="s">
        <v>4993</v>
      </c>
      <c r="I19">
        <v>4.3654999999999999</v>
      </c>
      <c r="J19" t="s">
        <v>5012</v>
      </c>
      <c r="K19" t="s">
        <v>4993</v>
      </c>
      <c r="L19">
        <v>2071</v>
      </c>
      <c r="M19">
        <v>18</v>
      </c>
      <c r="N19" t="s">
        <v>5013</v>
      </c>
      <c r="O19">
        <v>0</v>
      </c>
      <c r="P19">
        <v>0</v>
      </c>
    </row>
    <row r="20" spans="1:16" x14ac:dyDescent="0.25">
      <c r="A20" t="s">
        <v>1206</v>
      </c>
      <c r="B20" t="s">
        <v>1207</v>
      </c>
      <c r="C20">
        <v>5922</v>
      </c>
      <c r="D20" t="s">
        <v>204</v>
      </c>
      <c r="E20" t="s">
        <v>21</v>
      </c>
      <c r="F20">
        <v>29027</v>
      </c>
      <c r="G20" t="s">
        <v>4999</v>
      </c>
      <c r="H20" t="s">
        <v>4993</v>
      </c>
      <c r="I20">
        <v>4.0523999999999996</v>
      </c>
      <c r="J20" t="s">
        <v>5012</v>
      </c>
      <c r="K20" t="s">
        <v>4993</v>
      </c>
      <c r="L20">
        <v>2023</v>
      </c>
      <c r="M20">
        <v>36</v>
      </c>
      <c r="N20" t="s">
        <v>5015</v>
      </c>
      <c r="O20">
        <v>0</v>
      </c>
      <c r="P20">
        <v>0</v>
      </c>
    </row>
    <row r="21" spans="1:16" x14ac:dyDescent="0.25">
      <c r="A21" t="s">
        <v>1043</v>
      </c>
      <c r="B21" t="s">
        <v>1044</v>
      </c>
      <c r="C21">
        <v>5671</v>
      </c>
      <c r="D21" t="s">
        <v>393</v>
      </c>
      <c r="E21" t="s">
        <v>4</v>
      </c>
      <c r="F21">
        <v>34913</v>
      </c>
      <c r="G21" t="s">
        <v>4999</v>
      </c>
      <c r="H21" t="s">
        <v>4993</v>
      </c>
      <c r="I21">
        <v>4.5225</v>
      </c>
      <c r="J21" t="s">
        <v>5012</v>
      </c>
      <c r="K21" t="s">
        <v>4993</v>
      </c>
      <c r="L21">
        <v>1981</v>
      </c>
      <c r="M21">
        <v>8</v>
      </c>
      <c r="N21" t="s">
        <v>5013</v>
      </c>
      <c r="O21">
        <v>0</v>
      </c>
      <c r="P21">
        <v>0</v>
      </c>
    </row>
    <row r="22" spans="1:16" x14ac:dyDescent="0.25">
      <c r="A22" t="s">
        <v>2079</v>
      </c>
      <c r="B22" t="s">
        <v>2080</v>
      </c>
      <c r="C22">
        <v>7075</v>
      </c>
      <c r="D22" t="s">
        <v>75</v>
      </c>
      <c r="E22" t="s">
        <v>4</v>
      </c>
      <c r="F22">
        <v>13764</v>
      </c>
      <c r="G22" t="s">
        <v>4999</v>
      </c>
      <c r="H22" t="s">
        <v>4993</v>
      </c>
      <c r="I22">
        <v>4.4067999999999996</v>
      </c>
      <c r="J22" t="s">
        <v>5012</v>
      </c>
      <c r="K22" t="s">
        <v>4993</v>
      </c>
      <c r="L22">
        <v>1964</v>
      </c>
      <c r="M22">
        <v>22</v>
      </c>
      <c r="N22" t="s">
        <v>5015</v>
      </c>
      <c r="O22">
        <v>0</v>
      </c>
      <c r="P22">
        <v>0</v>
      </c>
    </row>
    <row r="23" spans="1:16" x14ac:dyDescent="0.25">
      <c r="A23" t="s">
        <v>1530</v>
      </c>
      <c r="B23" t="s">
        <v>1531</v>
      </c>
      <c r="C23">
        <v>4348</v>
      </c>
      <c r="D23" t="s">
        <v>61</v>
      </c>
      <c r="E23" t="s">
        <v>8</v>
      </c>
      <c r="F23">
        <v>21533</v>
      </c>
      <c r="G23" t="s">
        <v>4999</v>
      </c>
      <c r="H23" t="s">
        <v>4993</v>
      </c>
      <c r="I23">
        <v>4.7724000000000002</v>
      </c>
      <c r="J23" t="s">
        <v>5012</v>
      </c>
      <c r="K23" t="s">
        <v>4993</v>
      </c>
      <c r="L23">
        <v>1872</v>
      </c>
      <c r="M23">
        <v>80</v>
      </c>
      <c r="N23" t="s">
        <v>5014</v>
      </c>
      <c r="O23">
        <v>0</v>
      </c>
      <c r="P23">
        <v>0</v>
      </c>
    </row>
    <row r="24" spans="1:16" x14ac:dyDescent="0.25">
      <c r="A24" t="s">
        <v>2458</v>
      </c>
      <c r="B24" t="s">
        <v>2459</v>
      </c>
      <c r="C24">
        <v>6089</v>
      </c>
      <c r="D24" t="s">
        <v>605</v>
      </c>
      <c r="E24" t="s">
        <v>149</v>
      </c>
      <c r="F24">
        <v>10521</v>
      </c>
      <c r="G24" t="s">
        <v>4999</v>
      </c>
      <c r="H24" t="s">
        <v>4993</v>
      </c>
      <c r="I24">
        <v>4.3493000000000004</v>
      </c>
      <c r="J24" t="s">
        <v>5012</v>
      </c>
      <c r="K24" t="s">
        <v>4993</v>
      </c>
      <c r="L24">
        <v>1795</v>
      </c>
      <c r="M24">
        <v>72</v>
      </c>
      <c r="N24" t="s">
        <v>5014</v>
      </c>
      <c r="O24">
        <v>0</v>
      </c>
      <c r="P24">
        <v>0</v>
      </c>
    </row>
    <row r="25" spans="1:16" x14ac:dyDescent="0.25">
      <c r="A25" t="s">
        <v>715</v>
      </c>
      <c r="B25" t="s">
        <v>716</v>
      </c>
      <c r="C25">
        <v>5674</v>
      </c>
      <c r="D25" t="s">
        <v>141</v>
      </c>
      <c r="E25" t="s">
        <v>69</v>
      </c>
      <c r="F25">
        <v>49921</v>
      </c>
      <c r="G25" t="s">
        <v>4999</v>
      </c>
      <c r="H25" t="s">
        <v>4993</v>
      </c>
      <c r="I25">
        <v>4.3853999999999997</v>
      </c>
      <c r="J25" t="s">
        <v>5012</v>
      </c>
      <c r="K25" t="s">
        <v>4993</v>
      </c>
      <c r="L25">
        <v>1785</v>
      </c>
      <c r="M25">
        <v>52</v>
      </c>
      <c r="N25" t="s">
        <v>5014</v>
      </c>
      <c r="O25">
        <v>0</v>
      </c>
      <c r="P25">
        <v>0</v>
      </c>
    </row>
    <row r="26" spans="1:16" x14ac:dyDescent="0.25">
      <c r="A26" t="s">
        <v>969</v>
      </c>
      <c r="B26" t="s">
        <v>970</v>
      </c>
      <c r="C26">
        <v>1254</v>
      </c>
      <c r="D26" t="s">
        <v>136</v>
      </c>
      <c r="E26" t="s">
        <v>21</v>
      </c>
      <c r="F26">
        <v>38202</v>
      </c>
      <c r="G26" t="s">
        <v>4999</v>
      </c>
      <c r="H26" t="s">
        <v>4993</v>
      </c>
      <c r="I26">
        <v>4.2522000000000002</v>
      </c>
      <c r="J26" t="s">
        <v>5012</v>
      </c>
      <c r="K26" t="s">
        <v>4993</v>
      </c>
      <c r="L26">
        <v>1729</v>
      </c>
      <c r="M26">
        <v>82</v>
      </c>
      <c r="N26" t="s">
        <v>5014</v>
      </c>
      <c r="O26">
        <v>0</v>
      </c>
      <c r="P26">
        <v>0</v>
      </c>
    </row>
    <row r="27" spans="1:16" x14ac:dyDescent="0.25">
      <c r="A27" t="s">
        <v>1022</v>
      </c>
      <c r="B27" t="s">
        <v>1023</v>
      </c>
      <c r="C27">
        <v>6073</v>
      </c>
      <c r="D27" t="s">
        <v>78</v>
      </c>
      <c r="E27" t="s">
        <v>149</v>
      </c>
      <c r="F27">
        <v>35885</v>
      </c>
      <c r="G27" t="s">
        <v>4999</v>
      </c>
      <c r="H27" t="s">
        <v>4993</v>
      </c>
      <c r="I27">
        <v>4.6414</v>
      </c>
      <c r="J27" t="s">
        <v>5012</v>
      </c>
      <c r="K27" t="s">
        <v>4993</v>
      </c>
      <c r="L27">
        <v>1718</v>
      </c>
      <c r="M27">
        <v>65</v>
      </c>
      <c r="N27" t="s">
        <v>5014</v>
      </c>
      <c r="O27">
        <v>0</v>
      </c>
      <c r="P27">
        <v>0</v>
      </c>
    </row>
    <row r="28" spans="1:16" x14ac:dyDescent="0.25">
      <c r="A28" t="s">
        <v>1677</v>
      </c>
      <c r="B28" t="s">
        <v>1678</v>
      </c>
      <c r="C28">
        <v>3728</v>
      </c>
      <c r="D28" t="s">
        <v>458</v>
      </c>
      <c r="E28" t="s">
        <v>144</v>
      </c>
      <c r="F28">
        <v>18585</v>
      </c>
      <c r="G28" t="s">
        <v>4999</v>
      </c>
      <c r="H28" t="s">
        <v>4993</v>
      </c>
      <c r="I28">
        <v>4.5391000000000004</v>
      </c>
      <c r="J28" t="s">
        <v>5012</v>
      </c>
      <c r="K28" t="s">
        <v>4993</v>
      </c>
      <c r="L28">
        <v>1686</v>
      </c>
      <c r="M28">
        <v>16</v>
      </c>
      <c r="N28" t="s">
        <v>5013</v>
      </c>
      <c r="O28">
        <v>0</v>
      </c>
      <c r="P28">
        <v>0</v>
      </c>
    </row>
    <row r="29" spans="1:16" x14ac:dyDescent="0.25">
      <c r="A29" t="s">
        <v>1037</v>
      </c>
      <c r="B29" t="s">
        <v>1038</v>
      </c>
      <c r="C29">
        <v>6134</v>
      </c>
      <c r="D29" t="s">
        <v>286</v>
      </c>
      <c r="E29" t="s">
        <v>21</v>
      </c>
      <c r="F29">
        <v>35156</v>
      </c>
      <c r="G29" t="s">
        <v>4999</v>
      </c>
      <c r="H29" t="s">
        <v>4993</v>
      </c>
      <c r="I29">
        <v>4.2213000000000003</v>
      </c>
      <c r="J29" t="s">
        <v>5012</v>
      </c>
      <c r="K29" t="s">
        <v>4993</v>
      </c>
      <c r="L29">
        <v>1672</v>
      </c>
      <c r="M29">
        <v>38</v>
      </c>
      <c r="N29" t="s">
        <v>5015</v>
      </c>
      <c r="O29">
        <v>0</v>
      </c>
      <c r="P29">
        <v>0</v>
      </c>
    </row>
    <row r="30" spans="1:16" x14ac:dyDescent="0.25">
      <c r="A30" t="s">
        <v>941</v>
      </c>
      <c r="B30" t="s">
        <v>942</v>
      </c>
      <c r="C30">
        <v>3733</v>
      </c>
      <c r="D30" t="s">
        <v>124</v>
      </c>
      <c r="E30" t="s">
        <v>69</v>
      </c>
      <c r="F30">
        <v>39378</v>
      </c>
      <c r="G30" t="s">
        <v>4999</v>
      </c>
      <c r="H30" t="s">
        <v>4993</v>
      </c>
      <c r="I30">
        <v>4.4954000000000001</v>
      </c>
      <c r="J30" t="s">
        <v>5012</v>
      </c>
      <c r="K30" t="s">
        <v>4993</v>
      </c>
      <c r="L30">
        <v>1643</v>
      </c>
      <c r="M30">
        <v>32</v>
      </c>
      <c r="N30" t="s">
        <v>5015</v>
      </c>
      <c r="O30">
        <v>0</v>
      </c>
      <c r="P30">
        <v>0</v>
      </c>
    </row>
    <row r="31" spans="1:16" x14ac:dyDescent="0.25">
      <c r="A31" t="s">
        <v>1098</v>
      </c>
      <c r="B31" t="s">
        <v>1099</v>
      </c>
      <c r="C31">
        <v>1254</v>
      </c>
      <c r="D31" t="s">
        <v>136</v>
      </c>
      <c r="E31" t="s">
        <v>149</v>
      </c>
      <c r="F31">
        <v>32398</v>
      </c>
      <c r="G31" t="s">
        <v>4999</v>
      </c>
      <c r="H31" t="s">
        <v>4993</v>
      </c>
      <c r="I31">
        <v>4.0721999999999996</v>
      </c>
      <c r="J31" t="s">
        <v>5012</v>
      </c>
      <c r="K31" t="s">
        <v>4993</v>
      </c>
      <c r="L31">
        <v>1635</v>
      </c>
      <c r="M31">
        <v>37</v>
      </c>
      <c r="N31" t="s">
        <v>5015</v>
      </c>
      <c r="O31">
        <v>0</v>
      </c>
      <c r="P31">
        <v>0</v>
      </c>
    </row>
    <row r="32" spans="1:16" x14ac:dyDescent="0.25">
      <c r="A32" t="s">
        <v>728</v>
      </c>
      <c r="B32" t="s">
        <v>729</v>
      </c>
      <c r="C32">
        <v>3733</v>
      </c>
      <c r="D32" t="s">
        <v>124</v>
      </c>
      <c r="E32" t="s">
        <v>13</v>
      </c>
      <c r="F32">
        <v>49081</v>
      </c>
      <c r="G32" t="s">
        <v>4999</v>
      </c>
      <c r="H32" t="s">
        <v>4993</v>
      </c>
      <c r="I32">
        <v>4.4763000000000002</v>
      </c>
      <c r="J32" t="s">
        <v>5012</v>
      </c>
      <c r="K32" t="s">
        <v>4993</v>
      </c>
      <c r="L32">
        <v>1627</v>
      </c>
      <c r="M32">
        <v>27</v>
      </c>
      <c r="N32" t="s">
        <v>5015</v>
      </c>
      <c r="O32">
        <v>0</v>
      </c>
      <c r="P32">
        <v>0</v>
      </c>
    </row>
    <row r="33" spans="1:16" x14ac:dyDescent="0.25">
      <c r="A33" t="s">
        <v>1106</v>
      </c>
      <c r="B33" t="s">
        <v>1107</v>
      </c>
      <c r="C33">
        <v>3728</v>
      </c>
      <c r="D33" t="s">
        <v>458</v>
      </c>
      <c r="E33" t="s">
        <v>13</v>
      </c>
      <c r="F33">
        <v>32125</v>
      </c>
      <c r="G33" t="s">
        <v>4999</v>
      </c>
      <c r="H33" t="s">
        <v>4993</v>
      </c>
      <c r="I33">
        <v>4.3699000000000003</v>
      </c>
      <c r="J33" t="s">
        <v>5012</v>
      </c>
      <c r="K33" t="s">
        <v>4993</v>
      </c>
      <c r="L33">
        <v>1603</v>
      </c>
      <c r="M33">
        <v>39</v>
      </c>
      <c r="N33" t="s">
        <v>5015</v>
      </c>
      <c r="O33">
        <v>0</v>
      </c>
      <c r="P33">
        <v>0</v>
      </c>
    </row>
    <row r="34" spans="1:16" x14ac:dyDescent="0.25">
      <c r="A34" t="s">
        <v>1245</v>
      </c>
      <c r="B34" t="s">
        <v>1246</v>
      </c>
      <c r="C34">
        <v>3526</v>
      </c>
      <c r="D34" t="s">
        <v>1147</v>
      </c>
      <c r="E34" t="s">
        <v>21</v>
      </c>
      <c r="F34">
        <v>27905</v>
      </c>
      <c r="G34" t="s">
        <v>4999</v>
      </c>
      <c r="H34" t="s">
        <v>4993</v>
      </c>
      <c r="I34">
        <v>4.5632000000000001</v>
      </c>
      <c r="J34" t="s">
        <v>5012</v>
      </c>
      <c r="K34" t="s">
        <v>4993</v>
      </c>
      <c r="L34">
        <v>1550</v>
      </c>
      <c r="M34">
        <v>17</v>
      </c>
      <c r="N34" t="s">
        <v>5013</v>
      </c>
      <c r="O34">
        <v>0</v>
      </c>
      <c r="P34">
        <v>0</v>
      </c>
    </row>
    <row r="35" spans="1:16" x14ac:dyDescent="0.25">
      <c r="A35" t="s">
        <v>1285</v>
      </c>
      <c r="B35" t="s">
        <v>1286</v>
      </c>
      <c r="C35">
        <v>5668</v>
      </c>
      <c r="D35" t="s">
        <v>93</v>
      </c>
      <c r="E35" t="s">
        <v>8</v>
      </c>
      <c r="F35">
        <v>26675</v>
      </c>
      <c r="G35" t="s">
        <v>4999</v>
      </c>
      <c r="H35" t="s">
        <v>4993</v>
      </c>
      <c r="I35">
        <v>4.4672000000000001</v>
      </c>
      <c r="J35" t="s">
        <v>5012</v>
      </c>
      <c r="K35" t="s">
        <v>4993</v>
      </c>
      <c r="L35">
        <v>1494</v>
      </c>
      <c r="M35">
        <v>68</v>
      </c>
      <c r="N35" t="s">
        <v>5014</v>
      </c>
      <c r="O35">
        <v>0</v>
      </c>
      <c r="P35">
        <v>1</v>
      </c>
    </row>
    <row r="36" spans="1:16" x14ac:dyDescent="0.25">
      <c r="A36" t="s">
        <v>927</v>
      </c>
      <c r="B36" t="s">
        <v>928</v>
      </c>
      <c r="C36">
        <v>5674</v>
      </c>
      <c r="D36" t="s">
        <v>141</v>
      </c>
      <c r="E36" t="s">
        <v>8</v>
      </c>
      <c r="F36">
        <v>39989</v>
      </c>
      <c r="G36" t="s">
        <v>4999</v>
      </c>
      <c r="H36" t="s">
        <v>4993</v>
      </c>
      <c r="I36">
        <v>4.5613999999999999</v>
      </c>
      <c r="J36" t="s">
        <v>5012</v>
      </c>
      <c r="K36" t="s">
        <v>4993</v>
      </c>
      <c r="L36">
        <v>1466</v>
      </c>
      <c r="M36">
        <v>60</v>
      </c>
      <c r="N36" t="s">
        <v>5014</v>
      </c>
      <c r="O36">
        <v>0</v>
      </c>
      <c r="P36">
        <v>0</v>
      </c>
    </row>
    <row r="37" spans="1:16" x14ac:dyDescent="0.25">
      <c r="A37" t="s">
        <v>919</v>
      </c>
      <c r="B37" t="s">
        <v>920</v>
      </c>
      <c r="C37">
        <v>1073</v>
      </c>
      <c r="D37" t="s">
        <v>767</v>
      </c>
      <c r="E37" t="s">
        <v>21</v>
      </c>
      <c r="F37">
        <v>40209</v>
      </c>
      <c r="G37" t="s">
        <v>4999</v>
      </c>
      <c r="H37" t="s">
        <v>4993</v>
      </c>
      <c r="I37">
        <v>4.3384</v>
      </c>
      <c r="J37" t="s">
        <v>5012</v>
      </c>
      <c r="K37" t="s">
        <v>4993</v>
      </c>
      <c r="L37">
        <v>1457</v>
      </c>
      <c r="M37">
        <v>130</v>
      </c>
      <c r="N37" t="s">
        <v>5014</v>
      </c>
      <c r="O37">
        <v>0</v>
      </c>
      <c r="P37">
        <v>0</v>
      </c>
    </row>
    <row r="38" spans="1:16" x14ac:dyDescent="0.25">
      <c r="A38" t="s">
        <v>1295</v>
      </c>
      <c r="B38" t="s">
        <v>1296</v>
      </c>
      <c r="C38">
        <v>6189</v>
      </c>
      <c r="D38" t="s">
        <v>30</v>
      </c>
      <c r="E38" t="s">
        <v>144</v>
      </c>
      <c r="F38">
        <v>26404</v>
      </c>
      <c r="G38" t="s">
        <v>4999</v>
      </c>
      <c r="H38" t="s">
        <v>4993</v>
      </c>
      <c r="I38">
        <v>4.4623999999999997</v>
      </c>
      <c r="J38" t="s">
        <v>5012</v>
      </c>
      <c r="K38" t="s">
        <v>4993</v>
      </c>
      <c r="L38">
        <v>1449</v>
      </c>
      <c r="M38">
        <v>21</v>
      </c>
      <c r="N38" t="s">
        <v>5015</v>
      </c>
      <c r="O38">
        <v>0</v>
      </c>
      <c r="P38">
        <v>0</v>
      </c>
    </row>
    <row r="39" spans="1:16" x14ac:dyDescent="0.25">
      <c r="A39" t="s">
        <v>2462</v>
      </c>
      <c r="B39" t="s">
        <v>2463</v>
      </c>
      <c r="C39">
        <v>5715</v>
      </c>
      <c r="D39" t="s">
        <v>979</v>
      </c>
      <c r="E39" t="s">
        <v>21</v>
      </c>
      <c r="F39">
        <v>10482</v>
      </c>
      <c r="G39" t="s">
        <v>4999</v>
      </c>
      <c r="H39" t="s">
        <v>4993</v>
      </c>
      <c r="I39">
        <v>4.3596000000000004</v>
      </c>
      <c r="J39" t="s">
        <v>5012</v>
      </c>
      <c r="K39" t="s">
        <v>4993</v>
      </c>
      <c r="L39">
        <v>1424</v>
      </c>
      <c r="M39">
        <v>50</v>
      </c>
      <c r="N39" t="s">
        <v>5015</v>
      </c>
      <c r="O39">
        <v>0</v>
      </c>
      <c r="P39">
        <v>0</v>
      </c>
    </row>
    <row r="40" spans="1:16" x14ac:dyDescent="0.25">
      <c r="A40" t="s">
        <v>823</v>
      </c>
      <c r="B40" t="s">
        <v>824</v>
      </c>
      <c r="C40">
        <v>5337</v>
      </c>
      <c r="D40" t="s">
        <v>209</v>
      </c>
      <c r="E40" t="s">
        <v>149</v>
      </c>
      <c r="F40">
        <v>43729</v>
      </c>
      <c r="G40" t="s">
        <v>4999</v>
      </c>
      <c r="H40" t="s">
        <v>4993</v>
      </c>
      <c r="I40">
        <v>4.3297999999999996</v>
      </c>
      <c r="J40" t="s">
        <v>5012</v>
      </c>
      <c r="K40" t="s">
        <v>4993</v>
      </c>
      <c r="L40">
        <v>1422</v>
      </c>
      <c r="M40">
        <v>64</v>
      </c>
      <c r="N40" t="s">
        <v>5014</v>
      </c>
      <c r="O40">
        <v>0</v>
      </c>
      <c r="P40">
        <v>0</v>
      </c>
    </row>
    <row r="41" spans="1:16" x14ac:dyDescent="0.25">
      <c r="A41" t="s">
        <v>910</v>
      </c>
      <c r="B41" t="s">
        <v>911</v>
      </c>
      <c r="C41">
        <v>5922</v>
      </c>
      <c r="D41" t="s">
        <v>204</v>
      </c>
      <c r="E41" t="s">
        <v>21</v>
      </c>
      <c r="F41">
        <v>40417</v>
      </c>
      <c r="G41" t="s">
        <v>4999</v>
      </c>
      <c r="H41" t="s">
        <v>4993</v>
      </c>
      <c r="I41">
        <v>4.1421000000000001</v>
      </c>
      <c r="J41" t="s">
        <v>5012</v>
      </c>
      <c r="K41" t="s">
        <v>4993</v>
      </c>
      <c r="L41">
        <v>1393</v>
      </c>
      <c r="M41">
        <v>45</v>
      </c>
      <c r="N41" t="s">
        <v>5015</v>
      </c>
      <c r="O41">
        <v>0</v>
      </c>
      <c r="P41">
        <v>0</v>
      </c>
    </row>
    <row r="42" spans="1:16" x14ac:dyDescent="0.25">
      <c r="A42" t="s">
        <v>1712</v>
      </c>
      <c r="B42" t="s">
        <v>1713</v>
      </c>
      <c r="C42">
        <v>6201</v>
      </c>
      <c r="D42" t="s">
        <v>367</v>
      </c>
      <c r="E42" t="s">
        <v>144</v>
      </c>
      <c r="F42">
        <v>18102</v>
      </c>
      <c r="G42" t="s">
        <v>4999</v>
      </c>
      <c r="H42" t="s">
        <v>4993</v>
      </c>
      <c r="I42">
        <v>4.0566000000000004</v>
      </c>
      <c r="J42" t="s">
        <v>5012</v>
      </c>
      <c r="K42" t="s">
        <v>4993</v>
      </c>
      <c r="L42">
        <v>1377</v>
      </c>
      <c r="M42">
        <v>100</v>
      </c>
      <c r="N42" t="s">
        <v>5014</v>
      </c>
      <c r="O42">
        <v>0</v>
      </c>
      <c r="P42">
        <v>0</v>
      </c>
    </row>
    <row r="43" spans="1:16" x14ac:dyDescent="0.25">
      <c r="A43" t="s">
        <v>951</v>
      </c>
      <c r="B43" t="s">
        <v>952</v>
      </c>
      <c r="C43">
        <v>1254</v>
      </c>
      <c r="D43" t="s">
        <v>136</v>
      </c>
      <c r="E43" t="s">
        <v>13</v>
      </c>
      <c r="F43">
        <v>38875</v>
      </c>
      <c r="G43" t="s">
        <v>4999</v>
      </c>
      <c r="H43" t="s">
        <v>4993</v>
      </c>
      <c r="I43">
        <v>4.3815</v>
      </c>
      <c r="J43" t="s">
        <v>5012</v>
      </c>
      <c r="K43" t="s">
        <v>4993</v>
      </c>
      <c r="L43">
        <v>1376</v>
      </c>
      <c r="M43">
        <v>20</v>
      </c>
      <c r="N43" t="s">
        <v>5015</v>
      </c>
      <c r="O43">
        <v>0</v>
      </c>
      <c r="P43">
        <v>0</v>
      </c>
    </row>
    <row r="44" spans="1:16" x14ac:dyDescent="0.25">
      <c r="A44" t="s">
        <v>1135</v>
      </c>
      <c r="B44" t="s">
        <v>1136</v>
      </c>
      <c r="C44">
        <v>4171</v>
      </c>
      <c r="D44" t="s">
        <v>133</v>
      </c>
      <c r="E44" t="s">
        <v>8</v>
      </c>
      <c r="F44">
        <v>31478</v>
      </c>
      <c r="G44" t="s">
        <v>4999</v>
      </c>
      <c r="H44" t="s">
        <v>4993</v>
      </c>
      <c r="I44">
        <v>4.3375000000000004</v>
      </c>
      <c r="J44" t="s">
        <v>5012</v>
      </c>
      <c r="K44" t="s">
        <v>4993</v>
      </c>
      <c r="L44">
        <v>1360</v>
      </c>
      <c r="M44">
        <v>52</v>
      </c>
      <c r="N44" t="s">
        <v>5014</v>
      </c>
      <c r="O44">
        <v>0</v>
      </c>
      <c r="P44">
        <v>0</v>
      </c>
    </row>
    <row r="45" spans="1:16" x14ac:dyDescent="0.25">
      <c r="A45" t="s">
        <v>768</v>
      </c>
      <c r="B45" t="s">
        <v>769</v>
      </c>
      <c r="C45">
        <v>6041</v>
      </c>
      <c r="D45" t="s">
        <v>33</v>
      </c>
      <c r="E45" t="s">
        <v>8</v>
      </c>
      <c r="F45">
        <v>47060</v>
      </c>
      <c r="G45" t="s">
        <v>4999</v>
      </c>
      <c r="H45" t="s">
        <v>4993</v>
      </c>
      <c r="I45">
        <v>4.3761000000000001</v>
      </c>
      <c r="J45" t="s">
        <v>5012</v>
      </c>
      <c r="K45" t="s">
        <v>4993</v>
      </c>
      <c r="L45">
        <v>1348</v>
      </c>
      <c r="M45">
        <v>49</v>
      </c>
      <c r="N45" t="s">
        <v>5015</v>
      </c>
      <c r="O45">
        <v>0</v>
      </c>
      <c r="P45">
        <v>0</v>
      </c>
    </row>
    <row r="46" spans="1:16" x14ac:dyDescent="0.25">
      <c r="A46" t="s">
        <v>2167</v>
      </c>
      <c r="B46" t="s">
        <v>2168</v>
      </c>
      <c r="C46">
        <v>5337</v>
      </c>
      <c r="D46" t="s">
        <v>209</v>
      </c>
      <c r="E46" t="s">
        <v>49</v>
      </c>
      <c r="F46">
        <v>12870</v>
      </c>
      <c r="G46" t="s">
        <v>4999</v>
      </c>
      <c r="H46" t="s">
        <v>4993</v>
      </c>
      <c r="I46">
        <v>4.4532999999999996</v>
      </c>
      <c r="J46" t="s">
        <v>5012</v>
      </c>
      <c r="K46" t="s">
        <v>4993</v>
      </c>
      <c r="L46">
        <v>1337</v>
      </c>
      <c r="M46">
        <v>50</v>
      </c>
      <c r="N46" t="s">
        <v>5015</v>
      </c>
      <c r="O46">
        <v>0</v>
      </c>
      <c r="P46">
        <v>0</v>
      </c>
    </row>
    <row r="47" spans="1:16" x14ac:dyDescent="0.25">
      <c r="A47" t="s">
        <v>1707</v>
      </c>
      <c r="B47" t="s">
        <v>1708</v>
      </c>
      <c r="C47">
        <v>3733</v>
      </c>
      <c r="D47" t="s">
        <v>124</v>
      </c>
      <c r="E47" t="s">
        <v>21</v>
      </c>
      <c r="F47">
        <v>18198</v>
      </c>
      <c r="G47" t="s">
        <v>4999</v>
      </c>
      <c r="H47" t="s">
        <v>4993</v>
      </c>
      <c r="I47">
        <v>4.3159000000000001</v>
      </c>
      <c r="J47" t="s">
        <v>5012</v>
      </c>
      <c r="K47" t="s">
        <v>4993</v>
      </c>
      <c r="L47">
        <v>1336</v>
      </c>
      <c r="M47">
        <v>52</v>
      </c>
      <c r="N47" t="s">
        <v>5014</v>
      </c>
      <c r="O47">
        <v>0</v>
      </c>
      <c r="P47">
        <v>0</v>
      </c>
    </row>
    <row r="48" spans="1:16" x14ac:dyDescent="0.25">
      <c r="A48" t="s">
        <v>2003</v>
      </c>
      <c r="B48" t="s">
        <v>2004</v>
      </c>
      <c r="C48">
        <v>7075</v>
      </c>
      <c r="D48" t="s">
        <v>75</v>
      </c>
      <c r="E48" t="s">
        <v>13</v>
      </c>
      <c r="F48">
        <v>14738</v>
      </c>
      <c r="G48" t="s">
        <v>4999</v>
      </c>
      <c r="H48" t="s">
        <v>4993</v>
      </c>
      <c r="I48">
        <v>4.4598000000000004</v>
      </c>
      <c r="J48" t="s">
        <v>5012</v>
      </c>
      <c r="K48" t="s">
        <v>4993</v>
      </c>
      <c r="L48">
        <v>1331</v>
      </c>
      <c r="M48">
        <v>38</v>
      </c>
      <c r="N48" t="s">
        <v>5015</v>
      </c>
      <c r="O48">
        <v>0</v>
      </c>
      <c r="P48">
        <v>0</v>
      </c>
    </row>
    <row r="49" spans="1:16" x14ac:dyDescent="0.25">
      <c r="A49" t="s">
        <v>1065</v>
      </c>
      <c r="B49" t="s">
        <v>1066</v>
      </c>
      <c r="C49">
        <v>6018</v>
      </c>
      <c r="D49" t="s">
        <v>517</v>
      </c>
      <c r="E49" t="s">
        <v>21</v>
      </c>
      <c r="F49">
        <v>33910</v>
      </c>
      <c r="G49" t="s">
        <v>4999</v>
      </c>
      <c r="H49" t="s">
        <v>4993</v>
      </c>
      <c r="I49">
        <v>4.5412999999999997</v>
      </c>
      <c r="J49" t="s">
        <v>5012</v>
      </c>
      <c r="K49" t="s">
        <v>4993</v>
      </c>
      <c r="L49">
        <v>1321</v>
      </c>
      <c r="M49">
        <v>98</v>
      </c>
      <c r="N49" t="s">
        <v>5014</v>
      </c>
      <c r="O49">
        <v>0</v>
      </c>
      <c r="P49">
        <v>0</v>
      </c>
    </row>
    <row r="50" spans="1:16" x14ac:dyDescent="0.25">
      <c r="A50" t="s">
        <v>852</v>
      </c>
      <c r="B50" t="s">
        <v>853</v>
      </c>
      <c r="C50">
        <v>5674</v>
      </c>
      <c r="D50" t="s">
        <v>141</v>
      </c>
      <c r="E50" t="s">
        <v>13</v>
      </c>
      <c r="F50">
        <v>42708</v>
      </c>
      <c r="G50" t="s">
        <v>4999</v>
      </c>
      <c r="H50" t="s">
        <v>4993</v>
      </c>
      <c r="I50">
        <v>4.5795000000000003</v>
      </c>
      <c r="J50" t="s">
        <v>5012</v>
      </c>
      <c r="K50" t="s">
        <v>4993</v>
      </c>
      <c r="L50">
        <v>1277</v>
      </c>
      <c r="M50">
        <v>35</v>
      </c>
      <c r="N50" t="s">
        <v>5015</v>
      </c>
      <c r="O50">
        <v>0</v>
      </c>
      <c r="P50">
        <v>0</v>
      </c>
    </row>
    <row r="51" spans="1:16" x14ac:dyDescent="0.25">
      <c r="A51" t="s">
        <v>1768</v>
      </c>
      <c r="B51" t="s">
        <v>1769</v>
      </c>
      <c r="C51">
        <v>3733</v>
      </c>
      <c r="D51" t="s">
        <v>124</v>
      </c>
      <c r="E51" t="s">
        <v>21</v>
      </c>
      <c r="F51">
        <v>17465</v>
      </c>
      <c r="G51" t="s">
        <v>4999</v>
      </c>
      <c r="H51" t="s">
        <v>4993</v>
      </c>
      <c r="I51">
        <v>4.2685000000000004</v>
      </c>
      <c r="J51" t="s">
        <v>5012</v>
      </c>
      <c r="K51" t="s">
        <v>4993</v>
      </c>
      <c r="L51">
        <v>1270</v>
      </c>
      <c r="M51">
        <v>40</v>
      </c>
      <c r="N51" t="s">
        <v>5015</v>
      </c>
      <c r="O51">
        <v>0</v>
      </c>
      <c r="P51">
        <v>0</v>
      </c>
    </row>
    <row r="52" spans="1:16" x14ac:dyDescent="0.25">
      <c r="A52" t="s">
        <v>1920</v>
      </c>
      <c r="B52" t="s">
        <v>1921</v>
      </c>
      <c r="C52">
        <v>1741</v>
      </c>
      <c r="D52" t="s">
        <v>388</v>
      </c>
      <c r="E52" t="s">
        <v>21</v>
      </c>
      <c r="F52">
        <v>15564</v>
      </c>
      <c r="G52" t="s">
        <v>4999</v>
      </c>
      <c r="H52" t="s">
        <v>4993</v>
      </c>
      <c r="I52">
        <v>4.5629</v>
      </c>
      <c r="J52" t="s">
        <v>5012</v>
      </c>
      <c r="K52" t="s">
        <v>4993</v>
      </c>
      <c r="L52">
        <v>1256</v>
      </c>
      <c r="M52">
        <v>48</v>
      </c>
      <c r="N52" t="s">
        <v>5015</v>
      </c>
      <c r="O52">
        <v>0</v>
      </c>
      <c r="P52">
        <v>1</v>
      </c>
    </row>
    <row r="53" spans="1:16" x14ac:dyDescent="0.25">
      <c r="A53" t="s">
        <v>1636</v>
      </c>
      <c r="B53" t="s">
        <v>1637</v>
      </c>
      <c r="C53">
        <v>7075</v>
      </c>
      <c r="D53" t="s">
        <v>75</v>
      </c>
      <c r="E53" t="s">
        <v>21</v>
      </c>
      <c r="F53">
        <v>19491</v>
      </c>
      <c r="G53" t="s">
        <v>4999</v>
      </c>
      <c r="H53" t="s">
        <v>4993</v>
      </c>
      <c r="I53">
        <v>4.4992000000000001</v>
      </c>
      <c r="J53" t="s">
        <v>5012</v>
      </c>
      <c r="K53" t="s">
        <v>4993</v>
      </c>
      <c r="L53">
        <v>1242</v>
      </c>
      <c r="M53">
        <v>45</v>
      </c>
      <c r="N53" t="s">
        <v>5015</v>
      </c>
      <c r="O53">
        <v>0</v>
      </c>
      <c r="P53">
        <v>0</v>
      </c>
    </row>
    <row r="54" spans="1:16" x14ac:dyDescent="0.25">
      <c r="A54" t="s">
        <v>835</v>
      </c>
      <c r="B54" t="s">
        <v>836</v>
      </c>
      <c r="C54">
        <v>5674</v>
      </c>
      <c r="D54" t="s">
        <v>141</v>
      </c>
      <c r="E54" t="s">
        <v>8</v>
      </c>
      <c r="F54">
        <v>43324</v>
      </c>
      <c r="G54" t="s">
        <v>4999</v>
      </c>
      <c r="H54" t="s">
        <v>4993</v>
      </c>
      <c r="I54">
        <v>4.2873000000000001</v>
      </c>
      <c r="J54" t="s">
        <v>5012</v>
      </c>
      <c r="K54" t="s">
        <v>4993</v>
      </c>
      <c r="L54">
        <v>1239</v>
      </c>
      <c r="M54">
        <v>60</v>
      </c>
      <c r="N54" t="s">
        <v>5014</v>
      </c>
      <c r="O54">
        <v>0</v>
      </c>
      <c r="P54">
        <v>0</v>
      </c>
    </row>
    <row r="55" spans="1:16" x14ac:dyDescent="0.25">
      <c r="A55" t="s">
        <v>1568</v>
      </c>
      <c r="B55" t="s">
        <v>1569</v>
      </c>
      <c r="C55">
        <v>5857</v>
      </c>
      <c r="D55" t="s">
        <v>433</v>
      </c>
      <c r="E55" t="s">
        <v>13</v>
      </c>
      <c r="F55">
        <v>20852</v>
      </c>
      <c r="G55" t="s">
        <v>4999</v>
      </c>
      <c r="H55" t="s">
        <v>4993</v>
      </c>
      <c r="I55">
        <v>4.1429999999999998</v>
      </c>
      <c r="J55" t="s">
        <v>5012</v>
      </c>
      <c r="K55" t="s">
        <v>4993</v>
      </c>
      <c r="L55">
        <v>1238</v>
      </c>
      <c r="M55">
        <v>22</v>
      </c>
      <c r="N55" t="s">
        <v>5015</v>
      </c>
      <c r="O55">
        <v>0</v>
      </c>
      <c r="P55">
        <v>0</v>
      </c>
    </row>
    <row r="56" spans="1:16" x14ac:dyDescent="0.25">
      <c r="A56" t="s">
        <v>811</v>
      </c>
      <c r="B56" t="s">
        <v>812</v>
      </c>
      <c r="C56">
        <v>4348</v>
      </c>
      <c r="D56" t="s">
        <v>61</v>
      </c>
      <c r="E56" t="s">
        <v>69</v>
      </c>
      <c r="F56">
        <v>44288</v>
      </c>
      <c r="G56" t="s">
        <v>4999</v>
      </c>
      <c r="H56" t="s">
        <v>4993</v>
      </c>
      <c r="I56">
        <v>4.4585999999999997</v>
      </c>
      <c r="J56" t="s">
        <v>5012</v>
      </c>
      <c r="K56" t="s">
        <v>4993</v>
      </c>
      <c r="L56">
        <v>1232</v>
      </c>
      <c r="M56">
        <v>29</v>
      </c>
      <c r="N56" t="s">
        <v>5015</v>
      </c>
      <c r="O56">
        <v>0</v>
      </c>
      <c r="P56">
        <v>0</v>
      </c>
    </row>
    <row r="57" spans="1:16" x14ac:dyDescent="0.25">
      <c r="A57" t="s">
        <v>713</v>
      </c>
      <c r="B57" t="s">
        <v>714</v>
      </c>
      <c r="C57">
        <v>6219</v>
      </c>
      <c r="D57" t="s">
        <v>277</v>
      </c>
      <c r="E57" t="s">
        <v>13</v>
      </c>
      <c r="F57">
        <v>49959</v>
      </c>
      <c r="G57" t="s">
        <v>4999</v>
      </c>
      <c r="H57" t="s">
        <v>4993</v>
      </c>
      <c r="I57">
        <v>4.5434999999999999</v>
      </c>
      <c r="J57" t="s">
        <v>5012</v>
      </c>
      <c r="K57" t="s">
        <v>4993</v>
      </c>
      <c r="L57">
        <v>1229</v>
      </c>
      <c r="M57">
        <v>49</v>
      </c>
      <c r="N57" t="s">
        <v>5015</v>
      </c>
      <c r="O57">
        <v>0</v>
      </c>
      <c r="P57">
        <v>0</v>
      </c>
    </row>
    <row r="58" spans="1:16" x14ac:dyDescent="0.25">
      <c r="A58" t="s">
        <v>1556</v>
      </c>
      <c r="B58" t="s">
        <v>1557</v>
      </c>
      <c r="C58">
        <v>6219</v>
      </c>
      <c r="D58" t="s">
        <v>277</v>
      </c>
      <c r="E58" t="s">
        <v>144</v>
      </c>
      <c r="F58">
        <v>20995</v>
      </c>
      <c r="G58" t="s">
        <v>4999</v>
      </c>
      <c r="H58" t="s">
        <v>4993</v>
      </c>
      <c r="I58">
        <v>4.5434999999999999</v>
      </c>
      <c r="J58" t="s">
        <v>5012</v>
      </c>
      <c r="K58" t="s">
        <v>4993</v>
      </c>
      <c r="L58">
        <v>1229</v>
      </c>
      <c r="M58">
        <v>15</v>
      </c>
      <c r="N58" t="s">
        <v>5013</v>
      </c>
      <c r="O58">
        <v>0</v>
      </c>
      <c r="P58">
        <v>0</v>
      </c>
    </row>
    <row r="59" spans="1:16" x14ac:dyDescent="0.25">
      <c r="A59" t="s">
        <v>2075</v>
      </c>
      <c r="B59" t="s">
        <v>2076</v>
      </c>
      <c r="C59">
        <v>1132</v>
      </c>
      <c r="D59" t="s">
        <v>1319</v>
      </c>
      <c r="E59" t="s">
        <v>21</v>
      </c>
      <c r="F59">
        <v>13825</v>
      </c>
      <c r="G59" t="s">
        <v>4999</v>
      </c>
      <c r="H59" t="s">
        <v>4993</v>
      </c>
      <c r="I59">
        <v>4.3464999999999998</v>
      </c>
      <c r="J59" t="s">
        <v>5012</v>
      </c>
      <c r="K59" t="s">
        <v>4993</v>
      </c>
      <c r="L59">
        <v>1215</v>
      </c>
      <c r="M59">
        <v>145</v>
      </c>
      <c r="N59" t="s">
        <v>5014</v>
      </c>
      <c r="O59">
        <v>0</v>
      </c>
      <c r="P59">
        <v>0</v>
      </c>
    </row>
    <row r="60" spans="1:16" x14ac:dyDescent="0.25">
      <c r="A60" t="s">
        <v>1078</v>
      </c>
      <c r="B60" t="s">
        <v>1079</v>
      </c>
      <c r="C60">
        <v>5922</v>
      </c>
      <c r="D60" t="s">
        <v>204</v>
      </c>
      <c r="E60" t="s">
        <v>21</v>
      </c>
      <c r="F60">
        <v>33244</v>
      </c>
      <c r="G60" t="s">
        <v>4999</v>
      </c>
      <c r="H60" t="s">
        <v>4993</v>
      </c>
      <c r="I60">
        <v>4.5163000000000002</v>
      </c>
      <c r="J60" t="s">
        <v>5012</v>
      </c>
      <c r="K60" t="s">
        <v>4993</v>
      </c>
      <c r="L60">
        <v>1197</v>
      </c>
      <c r="M60">
        <v>28</v>
      </c>
      <c r="N60" t="s">
        <v>5015</v>
      </c>
      <c r="O60">
        <v>0</v>
      </c>
      <c r="P60">
        <v>0</v>
      </c>
    </row>
    <row r="61" spans="1:16" x14ac:dyDescent="0.25">
      <c r="A61" t="s">
        <v>898</v>
      </c>
      <c r="B61" t="s">
        <v>899</v>
      </c>
      <c r="C61">
        <v>1254</v>
      </c>
      <c r="D61" t="s">
        <v>136</v>
      </c>
      <c r="E61" t="s">
        <v>13</v>
      </c>
      <c r="F61">
        <v>40899</v>
      </c>
      <c r="G61" t="s">
        <v>4999</v>
      </c>
      <c r="H61" t="s">
        <v>4993</v>
      </c>
      <c r="I61">
        <v>4.6121999999999996</v>
      </c>
      <c r="J61" t="s">
        <v>5012</v>
      </c>
      <c r="K61" t="s">
        <v>4993</v>
      </c>
      <c r="L61">
        <v>1194</v>
      </c>
      <c r="M61">
        <v>26</v>
      </c>
      <c r="N61" t="s">
        <v>5015</v>
      </c>
      <c r="O61">
        <v>0</v>
      </c>
      <c r="P61">
        <v>0</v>
      </c>
    </row>
    <row r="62" spans="1:16" x14ac:dyDescent="0.25">
      <c r="A62" t="s">
        <v>1511</v>
      </c>
      <c r="B62" t="s">
        <v>1512</v>
      </c>
      <c r="C62">
        <v>4372</v>
      </c>
      <c r="D62" t="s">
        <v>1513</v>
      </c>
      <c r="E62" t="s">
        <v>69</v>
      </c>
      <c r="F62">
        <v>21773</v>
      </c>
      <c r="G62" t="s">
        <v>4999</v>
      </c>
      <c r="H62" t="s">
        <v>4993</v>
      </c>
      <c r="I62">
        <v>4.5788000000000002</v>
      </c>
      <c r="J62" t="s">
        <v>5012</v>
      </c>
      <c r="K62" t="s">
        <v>4993</v>
      </c>
      <c r="L62">
        <v>1187</v>
      </c>
      <c r="M62">
        <v>54</v>
      </c>
      <c r="N62" t="s">
        <v>5014</v>
      </c>
      <c r="O62">
        <v>0</v>
      </c>
      <c r="P62">
        <v>0</v>
      </c>
    </row>
    <row r="63" spans="1:16" x14ac:dyDescent="0.25">
      <c r="A63" t="s">
        <v>1655</v>
      </c>
      <c r="B63" t="s">
        <v>1656</v>
      </c>
      <c r="C63">
        <v>6073</v>
      </c>
      <c r="D63" t="s">
        <v>78</v>
      </c>
      <c r="E63" t="s">
        <v>21</v>
      </c>
      <c r="F63">
        <v>19213</v>
      </c>
      <c r="G63" t="s">
        <v>4999</v>
      </c>
      <c r="H63" t="s">
        <v>4993</v>
      </c>
      <c r="I63">
        <v>4.0839999999999996</v>
      </c>
      <c r="J63" t="s">
        <v>5012</v>
      </c>
      <c r="K63" t="s">
        <v>4993</v>
      </c>
      <c r="L63">
        <v>1178</v>
      </c>
      <c r="M63">
        <v>65</v>
      </c>
      <c r="N63" t="s">
        <v>5014</v>
      </c>
      <c r="O63">
        <v>0</v>
      </c>
      <c r="P63">
        <v>0</v>
      </c>
    </row>
    <row r="64" spans="1:16" x14ac:dyDescent="0.25">
      <c r="A64" t="s">
        <v>1187</v>
      </c>
      <c r="B64" t="s">
        <v>310</v>
      </c>
      <c r="C64">
        <v>6218</v>
      </c>
      <c r="D64" t="s">
        <v>116</v>
      </c>
      <c r="E64" t="s">
        <v>144</v>
      </c>
      <c r="F64">
        <v>29687</v>
      </c>
      <c r="G64" t="s">
        <v>4999</v>
      </c>
      <c r="H64" t="s">
        <v>4993</v>
      </c>
      <c r="I64">
        <v>4.2173999999999996</v>
      </c>
      <c r="J64" t="s">
        <v>5012</v>
      </c>
      <c r="K64" t="s">
        <v>4993</v>
      </c>
      <c r="L64">
        <v>1173</v>
      </c>
      <c r="M64">
        <v>30</v>
      </c>
      <c r="N64" t="s">
        <v>5015</v>
      </c>
      <c r="O64">
        <v>0</v>
      </c>
      <c r="P64">
        <v>0</v>
      </c>
    </row>
    <row r="65" spans="1:16" x14ac:dyDescent="0.25">
      <c r="A65" t="s">
        <v>1293</v>
      </c>
      <c r="B65" t="s">
        <v>1294</v>
      </c>
      <c r="C65">
        <v>6207</v>
      </c>
      <c r="D65" t="s">
        <v>914</v>
      </c>
      <c r="E65" t="s">
        <v>144</v>
      </c>
      <c r="F65">
        <v>26453</v>
      </c>
      <c r="G65" t="s">
        <v>4999</v>
      </c>
      <c r="H65" t="s">
        <v>4993</v>
      </c>
      <c r="I65">
        <v>4.3876999999999997</v>
      </c>
      <c r="J65" t="s">
        <v>5012</v>
      </c>
      <c r="K65" t="s">
        <v>4993</v>
      </c>
      <c r="L65">
        <v>1166</v>
      </c>
      <c r="M65">
        <v>28</v>
      </c>
      <c r="N65" t="s">
        <v>5015</v>
      </c>
      <c r="O65">
        <v>0</v>
      </c>
      <c r="P65">
        <v>0</v>
      </c>
    </row>
    <row r="66" spans="1:16" x14ac:dyDescent="0.25">
      <c r="A66" t="s">
        <v>732</v>
      </c>
      <c r="B66" t="s">
        <v>733</v>
      </c>
      <c r="C66">
        <v>5648</v>
      </c>
      <c r="D66" t="s">
        <v>408</v>
      </c>
      <c r="E66" t="s">
        <v>13</v>
      </c>
      <c r="F66">
        <v>48796</v>
      </c>
      <c r="G66" t="s">
        <v>4999</v>
      </c>
      <c r="H66" t="s">
        <v>4993</v>
      </c>
      <c r="I66">
        <v>4.3120000000000003</v>
      </c>
      <c r="J66" t="s">
        <v>5012</v>
      </c>
      <c r="K66" t="s">
        <v>4993</v>
      </c>
      <c r="L66">
        <v>1157</v>
      </c>
      <c r="M66">
        <v>12</v>
      </c>
      <c r="N66" t="s">
        <v>5013</v>
      </c>
      <c r="O66">
        <v>0</v>
      </c>
      <c r="P66">
        <v>1</v>
      </c>
    </row>
    <row r="67" spans="1:16" x14ac:dyDescent="0.25">
      <c r="A67" t="s">
        <v>868</v>
      </c>
      <c r="B67" t="s">
        <v>869</v>
      </c>
      <c r="C67">
        <v>4348</v>
      </c>
      <c r="D67" t="s">
        <v>61</v>
      </c>
      <c r="E67" t="s">
        <v>4</v>
      </c>
      <c r="F67">
        <v>41928</v>
      </c>
      <c r="G67" t="s">
        <v>4999</v>
      </c>
      <c r="H67" t="s">
        <v>4993</v>
      </c>
      <c r="I67">
        <v>4.5244</v>
      </c>
      <c r="J67" t="s">
        <v>5012</v>
      </c>
      <c r="K67" t="s">
        <v>4993</v>
      </c>
      <c r="L67">
        <v>1148</v>
      </c>
      <c r="M67">
        <v>25</v>
      </c>
      <c r="N67" t="s">
        <v>5015</v>
      </c>
      <c r="O67">
        <v>0</v>
      </c>
      <c r="P67">
        <v>0</v>
      </c>
    </row>
    <row r="68" spans="1:16" x14ac:dyDescent="0.25">
      <c r="A68" t="s">
        <v>1727</v>
      </c>
      <c r="B68" t="s">
        <v>1728</v>
      </c>
      <c r="C68">
        <v>6018</v>
      </c>
      <c r="D68" t="s">
        <v>517</v>
      </c>
      <c r="E68" t="s">
        <v>149</v>
      </c>
      <c r="F68">
        <v>17890</v>
      </c>
      <c r="G68" t="s">
        <v>4999</v>
      </c>
      <c r="H68" t="s">
        <v>4993</v>
      </c>
      <c r="I68">
        <v>4.5305999999999997</v>
      </c>
      <c r="J68" t="s">
        <v>5012</v>
      </c>
      <c r="K68" t="s">
        <v>4993</v>
      </c>
      <c r="L68">
        <v>1142</v>
      </c>
      <c r="M68">
        <v>68</v>
      </c>
      <c r="N68" t="s">
        <v>5014</v>
      </c>
      <c r="O68">
        <v>0</v>
      </c>
      <c r="P68">
        <v>0</v>
      </c>
    </row>
    <row r="69" spans="1:16" x14ac:dyDescent="0.25">
      <c r="A69" t="s">
        <v>1175</v>
      </c>
      <c r="B69" t="s">
        <v>1176</v>
      </c>
      <c r="C69">
        <v>4348</v>
      </c>
      <c r="D69" t="s">
        <v>61</v>
      </c>
      <c r="E69" t="s">
        <v>69</v>
      </c>
      <c r="F69">
        <v>30022</v>
      </c>
      <c r="G69" t="s">
        <v>4999</v>
      </c>
      <c r="H69" t="s">
        <v>4993</v>
      </c>
      <c r="I69">
        <v>4.7969999999999997</v>
      </c>
      <c r="J69" t="s">
        <v>5012</v>
      </c>
      <c r="K69" t="s">
        <v>4993</v>
      </c>
      <c r="L69">
        <v>1128</v>
      </c>
      <c r="M69">
        <v>69</v>
      </c>
      <c r="N69" t="s">
        <v>5014</v>
      </c>
      <c r="O69">
        <v>0</v>
      </c>
      <c r="P69">
        <v>0</v>
      </c>
    </row>
    <row r="70" spans="1:16" x14ac:dyDescent="0.25">
      <c r="A70" t="s">
        <v>980</v>
      </c>
      <c r="B70" t="s">
        <v>981</v>
      </c>
      <c r="C70">
        <v>6207</v>
      </c>
      <c r="D70" t="s">
        <v>914</v>
      </c>
      <c r="E70" t="s">
        <v>21</v>
      </c>
      <c r="F70">
        <v>38003</v>
      </c>
      <c r="G70" t="s">
        <v>4999</v>
      </c>
      <c r="H70" t="s">
        <v>4993</v>
      </c>
      <c r="I70">
        <v>4.4112</v>
      </c>
      <c r="J70" t="s">
        <v>5012</v>
      </c>
      <c r="K70" t="s">
        <v>4993</v>
      </c>
      <c r="L70">
        <v>1121</v>
      </c>
      <c r="M70">
        <v>72</v>
      </c>
      <c r="N70" t="s">
        <v>5014</v>
      </c>
      <c r="O70">
        <v>0</v>
      </c>
      <c r="P70">
        <v>0</v>
      </c>
    </row>
    <row r="71" spans="1:16" x14ac:dyDescent="0.25">
      <c r="A71" t="s">
        <v>1741</v>
      </c>
      <c r="B71" t="s">
        <v>1742</v>
      </c>
      <c r="C71">
        <v>6041</v>
      </c>
      <c r="D71" t="s">
        <v>33</v>
      </c>
      <c r="E71" t="s">
        <v>21</v>
      </c>
      <c r="F71">
        <v>17810</v>
      </c>
      <c r="G71" t="s">
        <v>4999</v>
      </c>
      <c r="H71" t="s">
        <v>4993</v>
      </c>
      <c r="I71">
        <v>4.5473999999999997</v>
      </c>
      <c r="J71" t="s">
        <v>5012</v>
      </c>
      <c r="K71" t="s">
        <v>4993</v>
      </c>
      <c r="L71">
        <v>1098</v>
      </c>
      <c r="M71">
        <v>22</v>
      </c>
      <c r="N71" t="s">
        <v>5015</v>
      </c>
      <c r="O71">
        <v>0</v>
      </c>
      <c r="P71">
        <v>0</v>
      </c>
    </row>
    <row r="72" spans="1:16" x14ac:dyDescent="0.25">
      <c r="A72" t="s">
        <v>939</v>
      </c>
      <c r="B72" t="s">
        <v>940</v>
      </c>
      <c r="C72">
        <v>5922</v>
      </c>
      <c r="D72" t="s">
        <v>204</v>
      </c>
      <c r="E72" t="s">
        <v>8</v>
      </c>
      <c r="F72">
        <v>39408</v>
      </c>
      <c r="G72" t="s">
        <v>4999</v>
      </c>
      <c r="H72" t="s">
        <v>4993</v>
      </c>
      <c r="I72">
        <v>4.0679999999999996</v>
      </c>
      <c r="J72" t="s">
        <v>5012</v>
      </c>
      <c r="K72" t="s">
        <v>4993</v>
      </c>
      <c r="L72">
        <v>1088</v>
      </c>
      <c r="M72">
        <v>56</v>
      </c>
      <c r="N72" t="s">
        <v>5014</v>
      </c>
      <c r="O72">
        <v>0</v>
      </c>
      <c r="P72">
        <v>0</v>
      </c>
    </row>
    <row r="73" spans="1:16" x14ac:dyDescent="0.25">
      <c r="A73" t="s">
        <v>1039</v>
      </c>
      <c r="B73" t="s">
        <v>1040</v>
      </c>
      <c r="C73">
        <v>3733</v>
      </c>
      <c r="D73" t="s">
        <v>124</v>
      </c>
      <c r="E73" t="s">
        <v>69</v>
      </c>
      <c r="F73">
        <v>34965</v>
      </c>
      <c r="G73" t="s">
        <v>4999</v>
      </c>
      <c r="H73" t="s">
        <v>4993</v>
      </c>
      <c r="I73">
        <v>4.6452999999999998</v>
      </c>
      <c r="J73" t="s">
        <v>5012</v>
      </c>
      <c r="K73" t="s">
        <v>4993</v>
      </c>
      <c r="L73">
        <v>1074</v>
      </c>
      <c r="M73">
        <v>37</v>
      </c>
      <c r="N73" t="s">
        <v>5015</v>
      </c>
      <c r="O73">
        <v>0</v>
      </c>
      <c r="P73">
        <v>0</v>
      </c>
    </row>
    <row r="74" spans="1:16" x14ac:dyDescent="0.25">
      <c r="A74" t="s">
        <v>984</v>
      </c>
      <c r="B74" t="s">
        <v>985</v>
      </c>
      <c r="C74">
        <v>5972</v>
      </c>
      <c r="D74" t="s">
        <v>54</v>
      </c>
      <c r="E74" t="s">
        <v>13</v>
      </c>
      <c r="F74">
        <v>37998</v>
      </c>
      <c r="G74" t="s">
        <v>4999</v>
      </c>
      <c r="H74" t="s">
        <v>4993</v>
      </c>
      <c r="I74">
        <v>4.2607999999999997</v>
      </c>
      <c r="J74" t="s">
        <v>5012</v>
      </c>
      <c r="K74" t="s">
        <v>4993</v>
      </c>
      <c r="L74">
        <v>1062</v>
      </c>
      <c r="M74">
        <v>24</v>
      </c>
      <c r="N74" t="s">
        <v>5015</v>
      </c>
      <c r="O74">
        <v>0</v>
      </c>
      <c r="P74">
        <v>0</v>
      </c>
    </row>
    <row r="75" spans="1:16" x14ac:dyDescent="0.25">
      <c r="A75" t="s">
        <v>2163</v>
      </c>
      <c r="B75" t="s">
        <v>2164</v>
      </c>
      <c r="C75">
        <v>5987</v>
      </c>
      <c r="D75" t="s">
        <v>48</v>
      </c>
      <c r="E75" t="s">
        <v>144</v>
      </c>
      <c r="F75">
        <v>12937</v>
      </c>
      <c r="G75" t="s">
        <v>4999</v>
      </c>
      <c r="H75" t="s">
        <v>4993</v>
      </c>
      <c r="I75">
        <v>4.0953999999999997</v>
      </c>
      <c r="J75" t="s">
        <v>5012</v>
      </c>
      <c r="K75" t="s">
        <v>4993</v>
      </c>
      <c r="L75">
        <v>1059</v>
      </c>
      <c r="M75">
        <v>22</v>
      </c>
      <c r="N75" t="s">
        <v>5015</v>
      </c>
      <c r="O75">
        <v>0</v>
      </c>
      <c r="P75">
        <v>0</v>
      </c>
    </row>
    <row r="76" spans="1:16" x14ac:dyDescent="0.25">
      <c r="A76" t="s">
        <v>2356</v>
      </c>
      <c r="B76" t="s">
        <v>2357</v>
      </c>
      <c r="C76">
        <v>5626</v>
      </c>
      <c r="D76" t="s">
        <v>1069</v>
      </c>
      <c r="E76" t="s">
        <v>106</v>
      </c>
      <c r="F76">
        <v>11386</v>
      </c>
      <c r="G76" t="s">
        <v>4999</v>
      </c>
      <c r="H76" t="s">
        <v>4993</v>
      </c>
      <c r="I76">
        <v>4.6685999999999996</v>
      </c>
      <c r="J76" t="s">
        <v>5012</v>
      </c>
      <c r="K76" t="s">
        <v>4993</v>
      </c>
      <c r="L76">
        <v>1053</v>
      </c>
      <c r="M76">
        <v>42</v>
      </c>
      <c r="N76" t="s">
        <v>5015</v>
      </c>
      <c r="O76">
        <v>0</v>
      </c>
      <c r="P76">
        <v>0</v>
      </c>
    </row>
    <row r="77" spans="1:16" x14ac:dyDescent="0.25">
      <c r="A77" t="s">
        <v>1398</v>
      </c>
      <c r="B77" t="s">
        <v>1399</v>
      </c>
      <c r="C77">
        <v>7075</v>
      </c>
      <c r="D77" t="s">
        <v>75</v>
      </c>
      <c r="E77" t="s">
        <v>13</v>
      </c>
      <c r="F77">
        <v>24132</v>
      </c>
      <c r="G77" t="s">
        <v>4999</v>
      </c>
      <c r="H77" t="s">
        <v>4993</v>
      </c>
      <c r="I77">
        <v>4.3609999999999998</v>
      </c>
      <c r="J77" t="s">
        <v>5012</v>
      </c>
      <c r="K77" t="s">
        <v>4993</v>
      </c>
      <c r="L77">
        <v>1050</v>
      </c>
      <c r="M77">
        <v>30</v>
      </c>
      <c r="N77" t="s">
        <v>5015</v>
      </c>
      <c r="O77">
        <v>0</v>
      </c>
      <c r="P77">
        <v>0</v>
      </c>
    </row>
    <row r="78" spans="1:16" x14ac:dyDescent="0.25">
      <c r="A78" t="s">
        <v>1894</v>
      </c>
      <c r="B78" t="s">
        <v>1895</v>
      </c>
      <c r="C78">
        <v>5946</v>
      </c>
      <c r="D78" t="s">
        <v>341</v>
      </c>
      <c r="E78" t="s">
        <v>21</v>
      </c>
      <c r="F78">
        <v>15906</v>
      </c>
      <c r="G78" t="s">
        <v>4999</v>
      </c>
      <c r="H78" t="s">
        <v>4993</v>
      </c>
      <c r="I78">
        <v>4.5110000000000001</v>
      </c>
      <c r="J78" t="s">
        <v>5012</v>
      </c>
      <c r="K78" t="s">
        <v>4993</v>
      </c>
      <c r="L78">
        <v>1041</v>
      </c>
      <c r="M78">
        <v>76</v>
      </c>
      <c r="N78" t="s">
        <v>5014</v>
      </c>
      <c r="O78">
        <v>0</v>
      </c>
      <c r="P78">
        <v>0</v>
      </c>
    </row>
    <row r="79" spans="1:16" x14ac:dyDescent="0.25">
      <c r="A79" t="s">
        <v>829</v>
      </c>
      <c r="B79" t="s">
        <v>830</v>
      </c>
      <c r="C79">
        <v>1254</v>
      </c>
      <c r="D79" t="s">
        <v>136</v>
      </c>
      <c r="E79" t="s">
        <v>13</v>
      </c>
      <c r="F79">
        <v>43458</v>
      </c>
      <c r="G79" t="s">
        <v>4999</v>
      </c>
      <c r="H79" t="s">
        <v>4993</v>
      </c>
      <c r="I79">
        <v>4.1685999999999996</v>
      </c>
      <c r="J79" t="s">
        <v>5012</v>
      </c>
      <c r="K79" t="s">
        <v>4993</v>
      </c>
      <c r="L79">
        <v>1038</v>
      </c>
      <c r="M79">
        <v>23.5</v>
      </c>
      <c r="N79" t="s">
        <v>5015</v>
      </c>
      <c r="O79">
        <v>0</v>
      </c>
      <c r="P79">
        <v>0</v>
      </c>
    </row>
    <row r="80" spans="1:16" x14ac:dyDescent="0.25">
      <c r="A80" t="s">
        <v>1450</v>
      </c>
      <c r="B80" t="s">
        <v>1451</v>
      </c>
      <c r="C80">
        <v>5674</v>
      </c>
      <c r="D80" t="s">
        <v>141</v>
      </c>
      <c r="E80" t="s">
        <v>21</v>
      </c>
      <c r="F80">
        <v>23082</v>
      </c>
      <c r="G80" t="s">
        <v>4999</v>
      </c>
      <c r="H80" t="s">
        <v>4993</v>
      </c>
      <c r="I80">
        <v>4.3959000000000001</v>
      </c>
      <c r="J80" t="s">
        <v>5012</v>
      </c>
      <c r="K80" t="s">
        <v>4993</v>
      </c>
      <c r="L80">
        <v>1033</v>
      </c>
      <c r="M80">
        <v>51</v>
      </c>
      <c r="N80" t="s">
        <v>5014</v>
      </c>
      <c r="O80">
        <v>0</v>
      </c>
      <c r="P80">
        <v>0</v>
      </c>
    </row>
    <row r="81" spans="1:16" x14ac:dyDescent="0.25">
      <c r="A81" t="s">
        <v>975</v>
      </c>
      <c r="B81" t="s">
        <v>976</v>
      </c>
      <c r="C81">
        <v>4164</v>
      </c>
      <c r="D81" t="s">
        <v>623</v>
      </c>
      <c r="E81" t="s">
        <v>8</v>
      </c>
      <c r="F81">
        <v>38145</v>
      </c>
      <c r="G81" t="s">
        <v>4999</v>
      </c>
      <c r="H81" t="s">
        <v>4993</v>
      </c>
      <c r="I81">
        <v>4.5877999999999997</v>
      </c>
      <c r="J81" t="s">
        <v>5012</v>
      </c>
      <c r="K81" t="s">
        <v>4993</v>
      </c>
      <c r="L81">
        <v>1031</v>
      </c>
      <c r="M81">
        <v>92</v>
      </c>
      <c r="N81" t="s">
        <v>5014</v>
      </c>
      <c r="O81">
        <v>0</v>
      </c>
      <c r="P81">
        <v>0</v>
      </c>
    </row>
    <row r="82" spans="1:16" x14ac:dyDescent="0.25">
      <c r="A82" t="s">
        <v>1251</v>
      </c>
      <c r="B82" t="s">
        <v>1252</v>
      </c>
      <c r="C82">
        <v>5857</v>
      </c>
      <c r="D82" t="s">
        <v>433</v>
      </c>
      <c r="E82" t="s">
        <v>21</v>
      </c>
      <c r="F82">
        <v>27837</v>
      </c>
      <c r="G82" t="s">
        <v>4999</v>
      </c>
      <c r="H82" t="s">
        <v>4993</v>
      </c>
      <c r="I82">
        <v>4.2016999999999998</v>
      </c>
      <c r="J82" t="s">
        <v>5012</v>
      </c>
      <c r="K82" t="s">
        <v>4993</v>
      </c>
      <c r="L82">
        <v>1031</v>
      </c>
      <c r="M82">
        <v>52</v>
      </c>
      <c r="N82" t="s">
        <v>5014</v>
      </c>
      <c r="O82">
        <v>0</v>
      </c>
      <c r="P82">
        <v>0</v>
      </c>
    </row>
    <row r="83" spans="1:16" x14ac:dyDescent="0.25">
      <c r="A83" t="s">
        <v>1315</v>
      </c>
      <c r="B83" t="s">
        <v>1316</v>
      </c>
      <c r="C83">
        <v>7083</v>
      </c>
      <c r="D83" t="s">
        <v>20</v>
      </c>
      <c r="E83" t="s">
        <v>13</v>
      </c>
      <c r="F83">
        <v>26131</v>
      </c>
      <c r="G83" t="s">
        <v>4999</v>
      </c>
      <c r="H83" t="s">
        <v>4993</v>
      </c>
      <c r="I83">
        <v>4.2812000000000001</v>
      </c>
      <c r="J83" t="s">
        <v>5012</v>
      </c>
      <c r="K83" t="s">
        <v>4993</v>
      </c>
      <c r="L83">
        <v>1017</v>
      </c>
      <c r="M83">
        <v>14</v>
      </c>
      <c r="N83" t="s">
        <v>5013</v>
      </c>
      <c r="O83">
        <v>0</v>
      </c>
      <c r="P83">
        <v>0</v>
      </c>
    </row>
    <row r="84" spans="1:16" x14ac:dyDescent="0.25">
      <c r="A84" t="s">
        <v>1608</v>
      </c>
      <c r="B84" t="s">
        <v>1609</v>
      </c>
      <c r="C84">
        <v>7083</v>
      </c>
      <c r="D84" t="s">
        <v>20</v>
      </c>
      <c r="E84" t="s">
        <v>144</v>
      </c>
      <c r="F84">
        <v>19854</v>
      </c>
      <c r="G84" t="s">
        <v>4999</v>
      </c>
      <c r="H84" t="s">
        <v>4993</v>
      </c>
      <c r="I84">
        <v>4.2812000000000001</v>
      </c>
      <c r="J84" t="s">
        <v>5012</v>
      </c>
      <c r="K84" t="s">
        <v>4993</v>
      </c>
      <c r="L84">
        <v>1017</v>
      </c>
      <c r="M84">
        <v>14</v>
      </c>
      <c r="N84" t="s">
        <v>5013</v>
      </c>
      <c r="O84">
        <v>0</v>
      </c>
      <c r="P84">
        <v>0</v>
      </c>
    </row>
    <row r="85" spans="1:16" x14ac:dyDescent="0.25">
      <c r="A85" t="s">
        <v>1808</v>
      </c>
      <c r="B85" t="s">
        <v>1809</v>
      </c>
      <c r="C85">
        <v>6207</v>
      </c>
      <c r="D85" t="s">
        <v>914</v>
      </c>
      <c r="E85" t="s">
        <v>21</v>
      </c>
      <c r="F85">
        <v>17005</v>
      </c>
      <c r="G85" t="s">
        <v>4999</v>
      </c>
      <c r="H85" t="s">
        <v>4993</v>
      </c>
      <c r="I85">
        <v>4.4984999999999999</v>
      </c>
      <c r="J85" t="s">
        <v>5012</v>
      </c>
      <c r="K85" t="s">
        <v>4993</v>
      </c>
      <c r="L85">
        <v>1017</v>
      </c>
      <c r="M85">
        <v>62</v>
      </c>
      <c r="N85" t="s">
        <v>5014</v>
      </c>
      <c r="O85">
        <v>0</v>
      </c>
      <c r="P85">
        <v>0</v>
      </c>
    </row>
    <row r="86" spans="1:16" x14ac:dyDescent="0.25">
      <c r="A86" t="s">
        <v>2266</v>
      </c>
      <c r="B86" t="s">
        <v>2267</v>
      </c>
      <c r="C86">
        <v>6314</v>
      </c>
      <c r="D86" t="s">
        <v>558</v>
      </c>
      <c r="E86" t="s">
        <v>144</v>
      </c>
      <c r="F86">
        <v>12100</v>
      </c>
      <c r="G86" t="s">
        <v>4999</v>
      </c>
      <c r="H86" t="s">
        <v>4993</v>
      </c>
      <c r="I86">
        <v>4.2568999999999999</v>
      </c>
      <c r="J86" t="s">
        <v>5012</v>
      </c>
      <c r="K86" t="s">
        <v>4993</v>
      </c>
      <c r="L86">
        <v>1012</v>
      </c>
      <c r="M86">
        <v>30</v>
      </c>
      <c r="N86" t="s">
        <v>5015</v>
      </c>
      <c r="O86">
        <v>0</v>
      </c>
      <c r="P86">
        <v>0</v>
      </c>
    </row>
    <row r="87" spans="1:16" x14ac:dyDescent="0.25">
      <c r="A87" t="s">
        <v>902</v>
      </c>
      <c r="B87" t="s">
        <v>903</v>
      </c>
      <c r="C87">
        <v>1254</v>
      </c>
      <c r="D87" t="s">
        <v>136</v>
      </c>
      <c r="E87" t="s">
        <v>13</v>
      </c>
      <c r="F87">
        <v>40683</v>
      </c>
      <c r="G87" t="s">
        <v>4999</v>
      </c>
      <c r="H87" t="s">
        <v>4993</v>
      </c>
      <c r="I87">
        <v>4.4042000000000003</v>
      </c>
      <c r="J87" t="s">
        <v>5012</v>
      </c>
      <c r="K87" t="s">
        <v>4993</v>
      </c>
      <c r="L87">
        <v>1007</v>
      </c>
      <c r="M87">
        <v>20</v>
      </c>
      <c r="N87" t="s">
        <v>5015</v>
      </c>
      <c r="O87">
        <v>0</v>
      </c>
      <c r="P87">
        <v>0</v>
      </c>
    </row>
    <row r="88" spans="1:16" x14ac:dyDescent="0.25">
      <c r="A88" t="s">
        <v>1509</v>
      </c>
      <c r="B88" t="s">
        <v>1510</v>
      </c>
      <c r="C88">
        <v>1741</v>
      </c>
      <c r="D88" t="s">
        <v>388</v>
      </c>
      <c r="E88" t="s">
        <v>149</v>
      </c>
      <c r="F88">
        <v>21787</v>
      </c>
      <c r="G88" t="s">
        <v>4999</v>
      </c>
      <c r="H88" t="s">
        <v>4993</v>
      </c>
      <c r="I88">
        <v>4.0968</v>
      </c>
      <c r="J88" t="s">
        <v>5012</v>
      </c>
      <c r="K88" t="s">
        <v>4993</v>
      </c>
      <c r="L88">
        <v>1002</v>
      </c>
      <c r="M88">
        <v>80</v>
      </c>
      <c r="N88" t="s">
        <v>5014</v>
      </c>
      <c r="O88">
        <v>0</v>
      </c>
      <c r="P88">
        <v>0</v>
      </c>
    </row>
    <row r="89" spans="1:16" x14ac:dyDescent="0.25">
      <c r="A89" t="s">
        <v>1402</v>
      </c>
      <c r="B89" t="s">
        <v>1403</v>
      </c>
      <c r="C89">
        <v>6084</v>
      </c>
      <c r="D89" t="s">
        <v>269</v>
      </c>
      <c r="E89" t="s">
        <v>13</v>
      </c>
      <c r="F89">
        <v>24003</v>
      </c>
      <c r="G89" t="s">
        <v>4999</v>
      </c>
      <c r="H89" t="s">
        <v>4993</v>
      </c>
      <c r="I89">
        <v>4.0959000000000003</v>
      </c>
      <c r="J89" t="s">
        <v>5012</v>
      </c>
      <c r="K89" t="s">
        <v>4993</v>
      </c>
      <c r="L89">
        <v>1001</v>
      </c>
      <c r="M89">
        <v>80</v>
      </c>
      <c r="N89" t="s">
        <v>5014</v>
      </c>
      <c r="O89">
        <v>0</v>
      </c>
      <c r="P89">
        <v>0</v>
      </c>
    </row>
    <row r="90" spans="1:16" x14ac:dyDescent="0.25">
      <c r="A90" t="s">
        <v>1837</v>
      </c>
      <c r="B90" t="s">
        <v>1838</v>
      </c>
      <c r="C90">
        <v>4164</v>
      </c>
      <c r="D90" t="s">
        <v>623</v>
      </c>
      <c r="E90" t="s">
        <v>144</v>
      </c>
      <c r="F90">
        <v>16664</v>
      </c>
      <c r="G90" t="s">
        <v>4999</v>
      </c>
      <c r="H90" t="s">
        <v>4993</v>
      </c>
      <c r="I90">
        <v>4.6089000000000002</v>
      </c>
      <c r="J90" t="s">
        <v>5012</v>
      </c>
      <c r="K90" t="s">
        <v>4993</v>
      </c>
      <c r="L90">
        <v>987</v>
      </c>
      <c r="M90">
        <v>32</v>
      </c>
      <c r="N90" t="s">
        <v>5015</v>
      </c>
      <c r="O90">
        <v>0</v>
      </c>
      <c r="P90">
        <v>0</v>
      </c>
    </row>
    <row r="91" spans="1:16" x14ac:dyDescent="0.25">
      <c r="A91" t="s">
        <v>761</v>
      </c>
      <c r="B91" t="s">
        <v>762</v>
      </c>
      <c r="C91">
        <v>7075</v>
      </c>
      <c r="D91" t="s">
        <v>75</v>
      </c>
      <c r="E91" t="s">
        <v>21</v>
      </c>
      <c r="F91">
        <v>47248</v>
      </c>
      <c r="G91" t="s">
        <v>4999</v>
      </c>
      <c r="H91" t="s">
        <v>4993</v>
      </c>
      <c r="I91">
        <v>4.5147000000000004</v>
      </c>
      <c r="J91" t="s">
        <v>5012</v>
      </c>
      <c r="K91" t="s">
        <v>4993</v>
      </c>
      <c r="L91">
        <v>985</v>
      </c>
      <c r="M91">
        <v>38</v>
      </c>
      <c r="N91" t="s">
        <v>5015</v>
      </c>
      <c r="O91">
        <v>0</v>
      </c>
      <c r="P91">
        <v>1</v>
      </c>
    </row>
    <row r="92" spans="1:16" x14ac:dyDescent="0.25">
      <c r="A92" t="s">
        <v>1328</v>
      </c>
      <c r="B92" t="s">
        <v>1329</v>
      </c>
      <c r="C92">
        <v>6307</v>
      </c>
      <c r="D92" t="s">
        <v>1132</v>
      </c>
      <c r="E92" t="s">
        <v>8</v>
      </c>
      <c r="F92">
        <v>25847</v>
      </c>
      <c r="G92" t="s">
        <v>4999</v>
      </c>
      <c r="H92" t="s">
        <v>4993</v>
      </c>
      <c r="I92">
        <v>4.5707000000000004</v>
      </c>
      <c r="J92" t="s">
        <v>5012</v>
      </c>
      <c r="K92" t="s">
        <v>4993</v>
      </c>
      <c r="L92">
        <v>976</v>
      </c>
      <c r="M92">
        <v>89</v>
      </c>
      <c r="N92" t="s">
        <v>5014</v>
      </c>
      <c r="O92">
        <v>0</v>
      </c>
      <c r="P92">
        <v>0</v>
      </c>
    </row>
    <row r="93" spans="1:16" x14ac:dyDescent="0.25">
      <c r="A93" t="s">
        <v>2295</v>
      </c>
      <c r="B93" t="s">
        <v>2296</v>
      </c>
      <c r="C93">
        <v>6307</v>
      </c>
      <c r="D93" t="s">
        <v>1132</v>
      </c>
      <c r="E93" t="s">
        <v>144</v>
      </c>
      <c r="F93">
        <v>11881</v>
      </c>
      <c r="G93" t="s">
        <v>4999</v>
      </c>
      <c r="H93" t="s">
        <v>4993</v>
      </c>
      <c r="I93">
        <v>4.5707000000000004</v>
      </c>
      <c r="J93" t="s">
        <v>5012</v>
      </c>
      <c r="K93" t="s">
        <v>4993</v>
      </c>
      <c r="L93">
        <v>976</v>
      </c>
      <c r="M93">
        <v>25</v>
      </c>
      <c r="N93" t="s">
        <v>5015</v>
      </c>
      <c r="O93">
        <v>0</v>
      </c>
      <c r="P93">
        <v>0</v>
      </c>
    </row>
    <row r="94" spans="1:16" x14ac:dyDescent="0.25">
      <c r="A94" t="s">
        <v>959</v>
      </c>
      <c r="B94" t="s">
        <v>960</v>
      </c>
      <c r="C94">
        <v>5648</v>
      </c>
      <c r="D94" t="s">
        <v>408</v>
      </c>
      <c r="E94" t="s">
        <v>13</v>
      </c>
      <c r="F94">
        <v>38635</v>
      </c>
      <c r="G94" t="s">
        <v>4999</v>
      </c>
      <c r="H94" t="s">
        <v>4993</v>
      </c>
      <c r="I94">
        <v>4.5315000000000003</v>
      </c>
      <c r="J94" t="s">
        <v>5012</v>
      </c>
      <c r="K94" t="s">
        <v>4993</v>
      </c>
      <c r="L94">
        <v>969</v>
      </c>
      <c r="M94">
        <v>22</v>
      </c>
      <c r="N94" t="s">
        <v>5015</v>
      </c>
      <c r="O94">
        <v>0</v>
      </c>
      <c r="P94">
        <v>1</v>
      </c>
    </row>
    <row r="95" spans="1:16" x14ac:dyDescent="0.25">
      <c r="A95" t="s">
        <v>1481</v>
      </c>
      <c r="B95" t="s">
        <v>1482</v>
      </c>
      <c r="C95">
        <v>6134</v>
      </c>
      <c r="D95" t="s">
        <v>286</v>
      </c>
      <c r="E95" t="s">
        <v>21</v>
      </c>
      <c r="F95">
        <v>22337</v>
      </c>
      <c r="G95" t="s">
        <v>4999</v>
      </c>
      <c r="H95" t="s">
        <v>4993</v>
      </c>
      <c r="I95">
        <v>4.3712999999999997</v>
      </c>
      <c r="J95" t="s">
        <v>5012</v>
      </c>
      <c r="K95" t="s">
        <v>4993</v>
      </c>
      <c r="L95">
        <v>967</v>
      </c>
      <c r="M95">
        <v>39</v>
      </c>
      <c r="N95" t="s">
        <v>5015</v>
      </c>
      <c r="O95">
        <v>0</v>
      </c>
      <c r="P95">
        <v>0</v>
      </c>
    </row>
    <row r="96" spans="1:16" x14ac:dyDescent="0.25">
      <c r="A96" t="s">
        <v>1026</v>
      </c>
      <c r="B96" t="s">
        <v>1027</v>
      </c>
      <c r="C96">
        <v>3733</v>
      </c>
      <c r="D96" t="s">
        <v>124</v>
      </c>
      <c r="E96" t="s">
        <v>149</v>
      </c>
      <c r="F96">
        <v>35804</v>
      </c>
      <c r="G96" t="s">
        <v>4999</v>
      </c>
      <c r="H96" t="s">
        <v>4993</v>
      </c>
      <c r="I96">
        <v>4.4569999999999999</v>
      </c>
      <c r="J96" t="s">
        <v>5012</v>
      </c>
      <c r="K96" t="s">
        <v>4993</v>
      </c>
      <c r="L96">
        <v>965</v>
      </c>
      <c r="M96">
        <v>37</v>
      </c>
      <c r="N96" t="s">
        <v>5015</v>
      </c>
      <c r="O96">
        <v>0</v>
      </c>
      <c r="P96">
        <v>0</v>
      </c>
    </row>
    <row r="97" spans="1:16" x14ac:dyDescent="0.25">
      <c r="A97" t="s">
        <v>740</v>
      </c>
      <c r="B97" t="s">
        <v>741</v>
      </c>
      <c r="C97">
        <v>6285</v>
      </c>
      <c r="D97" t="s">
        <v>119</v>
      </c>
      <c r="E97" t="s">
        <v>8</v>
      </c>
      <c r="F97">
        <v>48143</v>
      </c>
      <c r="G97" t="s">
        <v>4999</v>
      </c>
      <c r="H97" t="s">
        <v>4993</v>
      </c>
      <c r="I97">
        <v>4.3936999999999999</v>
      </c>
      <c r="J97" t="s">
        <v>5012</v>
      </c>
      <c r="K97" t="s">
        <v>4993</v>
      </c>
      <c r="L97">
        <v>960</v>
      </c>
      <c r="M97">
        <v>14.99</v>
      </c>
      <c r="N97" t="s">
        <v>5013</v>
      </c>
      <c r="O97">
        <v>0</v>
      </c>
      <c r="P97">
        <v>0</v>
      </c>
    </row>
    <row r="98" spans="1:16" x14ac:dyDescent="0.25">
      <c r="A98" t="s">
        <v>1152</v>
      </c>
      <c r="B98" t="s">
        <v>1153</v>
      </c>
      <c r="C98">
        <v>4171</v>
      </c>
      <c r="D98" t="s">
        <v>133</v>
      </c>
      <c r="E98" t="s">
        <v>13</v>
      </c>
      <c r="F98">
        <v>30905</v>
      </c>
      <c r="G98" t="s">
        <v>4999</v>
      </c>
      <c r="H98" t="s">
        <v>4993</v>
      </c>
      <c r="I98">
        <v>4.4615</v>
      </c>
      <c r="J98" t="s">
        <v>5012</v>
      </c>
      <c r="K98" t="s">
        <v>4993</v>
      </c>
      <c r="L98">
        <v>949</v>
      </c>
      <c r="M98">
        <v>30</v>
      </c>
      <c r="N98" t="s">
        <v>5015</v>
      </c>
      <c r="O98">
        <v>0</v>
      </c>
      <c r="P98">
        <v>0</v>
      </c>
    </row>
    <row r="99" spans="1:16" x14ac:dyDescent="0.25">
      <c r="A99" t="s">
        <v>2272</v>
      </c>
      <c r="B99" t="s">
        <v>2273</v>
      </c>
      <c r="C99">
        <v>5337</v>
      </c>
      <c r="D99" t="s">
        <v>209</v>
      </c>
      <c r="E99" t="s">
        <v>21</v>
      </c>
      <c r="F99">
        <v>12045</v>
      </c>
      <c r="G99" t="s">
        <v>4999</v>
      </c>
      <c r="H99" t="s">
        <v>4993</v>
      </c>
      <c r="I99">
        <v>4.5776000000000003</v>
      </c>
      <c r="J99" t="s">
        <v>5012</v>
      </c>
      <c r="K99" t="s">
        <v>4993</v>
      </c>
      <c r="L99">
        <v>947</v>
      </c>
      <c r="M99">
        <v>75</v>
      </c>
      <c r="N99" t="s">
        <v>5014</v>
      </c>
      <c r="O99">
        <v>0</v>
      </c>
      <c r="P99">
        <v>0</v>
      </c>
    </row>
    <row r="100" spans="1:16" x14ac:dyDescent="0.25">
      <c r="A100" t="s">
        <v>1289</v>
      </c>
      <c r="B100" t="s">
        <v>1290</v>
      </c>
      <c r="C100">
        <v>6219</v>
      </c>
      <c r="D100" t="s">
        <v>277</v>
      </c>
      <c r="E100" t="s">
        <v>149</v>
      </c>
      <c r="F100">
        <v>26613</v>
      </c>
      <c r="G100" t="s">
        <v>4999</v>
      </c>
      <c r="H100" t="s">
        <v>4993</v>
      </c>
      <c r="I100">
        <v>4.5228000000000002</v>
      </c>
      <c r="J100" t="s">
        <v>5012</v>
      </c>
      <c r="K100" t="s">
        <v>4993</v>
      </c>
      <c r="L100">
        <v>945</v>
      </c>
      <c r="M100">
        <v>74</v>
      </c>
      <c r="N100" t="s">
        <v>5014</v>
      </c>
      <c r="O100">
        <v>0</v>
      </c>
      <c r="P100">
        <v>0</v>
      </c>
    </row>
    <row r="101" spans="1:16" x14ac:dyDescent="0.25">
      <c r="A101" t="s">
        <v>935</v>
      </c>
      <c r="B101" t="s">
        <v>936</v>
      </c>
      <c r="C101">
        <v>6289</v>
      </c>
      <c r="D101" t="s">
        <v>111</v>
      </c>
      <c r="E101" t="s">
        <v>149</v>
      </c>
      <c r="F101">
        <v>39524</v>
      </c>
      <c r="G101" t="s">
        <v>4999</v>
      </c>
      <c r="H101" t="s">
        <v>4993</v>
      </c>
      <c r="I101">
        <v>4.3169000000000004</v>
      </c>
      <c r="J101" t="s">
        <v>5012</v>
      </c>
      <c r="K101" t="s">
        <v>4993</v>
      </c>
      <c r="L101">
        <v>934</v>
      </c>
      <c r="M101">
        <v>44</v>
      </c>
      <c r="N101" t="s">
        <v>5015</v>
      </c>
      <c r="O101">
        <v>0</v>
      </c>
      <c r="P101">
        <v>0</v>
      </c>
    </row>
    <row r="102" spans="1:16" x14ac:dyDescent="0.25">
      <c r="A102" t="s">
        <v>2057</v>
      </c>
      <c r="B102" t="s">
        <v>2058</v>
      </c>
      <c r="C102">
        <v>6084</v>
      </c>
      <c r="D102" t="s">
        <v>269</v>
      </c>
      <c r="E102" t="s">
        <v>13</v>
      </c>
      <c r="F102">
        <v>14027</v>
      </c>
      <c r="G102" t="s">
        <v>4999</v>
      </c>
      <c r="H102" t="s">
        <v>4993</v>
      </c>
      <c r="I102">
        <v>4.1306000000000003</v>
      </c>
      <c r="J102" t="s">
        <v>5012</v>
      </c>
      <c r="K102" t="s">
        <v>4993</v>
      </c>
      <c r="L102">
        <v>919</v>
      </c>
      <c r="M102">
        <v>75</v>
      </c>
      <c r="N102" t="s">
        <v>5014</v>
      </c>
      <c r="O102">
        <v>0</v>
      </c>
      <c r="P102">
        <v>0</v>
      </c>
    </row>
    <row r="103" spans="1:16" x14ac:dyDescent="0.25">
      <c r="A103" t="s">
        <v>1390</v>
      </c>
      <c r="B103" t="s">
        <v>1391</v>
      </c>
      <c r="C103">
        <v>1254</v>
      </c>
      <c r="D103" t="s">
        <v>136</v>
      </c>
      <c r="E103" t="s">
        <v>13</v>
      </c>
      <c r="F103">
        <v>24326</v>
      </c>
      <c r="G103" t="s">
        <v>4999</v>
      </c>
      <c r="H103" t="s">
        <v>4993</v>
      </c>
      <c r="I103">
        <v>4.3181000000000003</v>
      </c>
      <c r="J103" t="s">
        <v>5012</v>
      </c>
      <c r="K103" t="s">
        <v>4993</v>
      </c>
      <c r="L103">
        <v>918</v>
      </c>
      <c r="M103">
        <v>20</v>
      </c>
      <c r="N103" t="s">
        <v>5015</v>
      </c>
      <c r="O103">
        <v>0</v>
      </c>
      <c r="P103">
        <v>0</v>
      </c>
    </row>
    <row r="104" spans="1:16" x14ac:dyDescent="0.25">
      <c r="A104" t="s">
        <v>1694</v>
      </c>
      <c r="B104" t="s">
        <v>1695</v>
      </c>
      <c r="C104">
        <v>6283</v>
      </c>
      <c r="D104" t="s">
        <v>1696</v>
      </c>
      <c r="E104" t="s">
        <v>8</v>
      </c>
      <c r="F104">
        <v>18300</v>
      </c>
      <c r="G104" t="s">
        <v>4999</v>
      </c>
      <c r="H104" t="s">
        <v>4993</v>
      </c>
      <c r="I104">
        <v>4.5092999999999996</v>
      </c>
      <c r="J104" t="s">
        <v>5012</v>
      </c>
      <c r="K104" t="s">
        <v>4993</v>
      </c>
      <c r="L104">
        <v>915</v>
      </c>
      <c r="M104">
        <v>56</v>
      </c>
      <c r="N104" t="s">
        <v>5014</v>
      </c>
      <c r="O104">
        <v>0</v>
      </c>
      <c r="P104">
        <v>0</v>
      </c>
    </row>
    <row r="105" spans="1:16" x14ac:dyDescent="0.25">
      <c r="A105" t="s">
        <v>1100</v>
      </c>
      <c r="B105" t="s">
        <v>1101</v>
      </c>
      <c r="C105">
        <v>8001</v>
      </c>
      <c r="D105" t="s">
        <v>27</v>
      </c>
      <c r="E105" t="s">
        <v>8</v>
      </c>
      <c r="F105">
        <v>32224</v>
      </c>
      <c r="G105" t="s">
        <v>4999</v>
      </c>
      <c r="H105" t="s">
        <v>4993</v>
      </c>
      <c r="I105">
        <v>4.3190999999999997</v>
      </c>
      <c r="J105" t="s">
        <v>5012</v>
      </c>
      <c r="K105" t="s">
        <v>4993</v>
      </c>
      <c r="L105">
        <v>912</v>
      </c>
      <c r="M105">
        <v>48</v>
      </c>
      <c r="N105" t="s">
        <v>5015</v>
      </c>
      <c r="O105">
        <v>0</v>
      </c>
      <c r="P105">
        <v>0</v>
      </c>
    </row>
    <row r="106" spans="1:16" x14ac:dyDescent="0.25">
      <c r="A106" t="s">
        <v>1104</v>
      </c>
      <c r="B106" t="s">
        <v>1105</v>
      </c>
      <c r="C106">
        <v>4164</v>
      </c>
      <c r="D106" t="s">
        <v>623</v>
      </c>
      <c r="E106" t="s">
        <v>13</v>
      </c>
      <c r="F106">
        <v>32202</v>
      </c>
      <c r="G106" t="s">
        <v>4999</v>
      </c>
      <c r="H106" t="s">
        <v>4993</v>
      </c>
      <c r="I106">
        <v>4.3476999999999997</v>
      </c>
      <c r="J106" t="s">
        <v>5012</v>
      </c>
      <c r="K106" t="s">
        <v>4993</v>
      </c>
      <c r="L106">
        <v>906</v>
      </c>
      <c r="M106">
        <v>39</v>
      </c>
      <c r="N106" t="s">
        <v>5015</v>
      </c>
      <c r="O106">
        <v>0</v>
      </c>
      <c r="P106">
        <v>0</v>
      </c>
    </row>
    <row r="107" spans="1:16" x14ac:dyDescent="0.25">
      <c r="A107" t="s">
        <v>788</v>
      </c>
      <c r="B107" t="s">
        <v>789</v>
      </c>
      <c r="C107">
        <v>5648</v>
      </c>
      <c r="D107" t="s">
        <v>408</v>
      </c>
      <c r="E107" t="s">
        <v>149</v>
      </c>
      <c r="F107">
        <v>45734</v>
      </c>
      <c r="G107" t="s">
        <v>4999</v>
      </c>
      <c r="H107" t="s">
        <v>4993</v>
      </c>
      <c r="I107">
        <v>4.0088999999999997</v>
      </c>
      <c r="J107" t="s">
        <v>5012</v>
      </c>
      <c r="K107" t="s">
        <v>4993</v>
      </c>
      <c r="L107">
        <v>901</v>
      </c>
      <c r="M107">
        <v>39</v>
      </c>
      <c r="N107" t="s">
        <v>5015</v>
      </c>
      <c r="O107">
        <v>0</v>
      </c>
      <c r="P107">
        <v>0</v>
      </c>
    </row>
    <row r="108" spans="1:16" x14ac:dyDescent="0.25">
      <c r="A108" t="s">
        <v>1505</v>
      </c>
      <c r="B108" t="s">
        <v>1506</v>
      </c>
      <c r="C108">
        <v>4164</v>
      </c>
      <c r="D108" t="s">
        <v>623</v>
      </c>
      <c r="E108" t="s">
        <v>13</v>
      </c>
      <c r="F108">
        <v>21951</v>
      </c>
      <c r="G108" t="s">
        <v>4999</v>
      </c>
      <c r="H108" t="s">
        <v>4993</v>
      </c>
      <c r="I108">
        <v>4.3179999999999996</v>
      </c>
      <c r="J108" t="s">
        <v>5012</v>
      </c>
      <c r="K108" t="s">
        <v>4993</v>
      </c>
      <c r="L108">
        <v>890</v>
      </c>
      <c r="M108">
        <v>30</v>
      </c>
      <c r="N108" t="s">
        <v>5015</v>
      </c>
      <c r="O108">
        <v>0</v>
      </c>
      <c r="P108">
        <v>0</v>
      </c>
    </row>
    <row r="109" spans="1:16" x14ac:dyDescent="0.25">
      <c r="A109" t="s">
        <v>1324</v>
      </c>
      <c r="B109" t="s">
        <v>1325</v>
      </c>
      <c r="C109">
        <v>5674</v>
      </c>
      <c r="D109" t="s">
        <v>141</v>
      </c>
      <c r="E109" t="s">
        <v>149</v>
      </c>
      <c r="F109">
        <v>26008</v>
      </c>
      <c r="G109" t="s">
        <v>4999</v>
      </c>
      <c r="H109" t="s">
        <v>4993</v>
      </c>
      <c r="I109">
        <v>4.3939000000000004</v>
      </c>
      <c r="J109" t="s">
        <v>5012</v>
      </c>
      <c r="K109" t="s">
        <v>4993</v>
      </c>
      <c r="L109">
        <v>886</v>
      </c>
      <c r="M109">
        <v>52</v>
      </c>
      <c r="N109" t="s">
        <v>5014</v>
      </c>
      <c r="O109">
        <v>0</v>
      </c>
      <c r="P109">
        <v>0</v>
      </c>
    </row>
    <row r="110" spans="1:16" x14ac:dyDescent="0.25">
      <c r="A110" t="s">
        <v>746</v>
      </c>
      <c r="B110" t="s">
        <v>747</v>
      </c>
      <c r="C110">
        <v>5674</v>
      </c>
      <c r="D110" t="s">
        <v>141</v>
      </c>
      <c r="E110" t="s">
        <v>21</v>
      </c>
      <c r="F110">
        <v>47908</v>
      </c>
      <c r="G110" t="s">
        <v>4999</v>
      </c>
      <c r="H110" t="s">
        <v>4993</v>
      </c>
      <c r="I110">
        <v>4.5522</v>
      </c>
      <c r="J110" t="s">
        <v>5012</v>
      </c>
      <c r="K110" t="s">
        <v>4993</v>
      </c>
      <c r="L110">
        <v>862</v>
      </c>
      <c r="M110">
        <v>51</v>
      </c>
      <c r="N110" t="s">
        <v>5014</v>
      </c>
      <c r="O110">
        <v>0</v>
      </c>
      <c r="P110">
        <v>0</v>
      </c>
    </row>
    <row r="111" spans="1:16" x14ac:dyDescent="0.25">
      <c r="A111" t="s">
        <v>2517</v>
      </c>
      <c r="B111" t="s">
        <v>2518</v>
      </c>
      <c r="C111">
        <v>1741</v>
      </c>
      <c r="D111" t="s">
        <v>388</v>
      </c>
      <c r="E111" t="s">
        <v>21</v>
      </c>
      <c r="F111">
        <v>10202</v>
      </c>
      <c r="G111" t="s">
        <v>4999</v>
      </c>
      <c r="H111" t="s">
        <v>4993</v>
      </c>
      <c r="I111">
        <v>4.6429999999999998</v>
      </c>
      <c r="J111" t="s">
        <v>5012</v>
      </c>
      <c r="K111" t="s">
        <v>4993</v>
      </c>
      <c r="L111">
        <v>846</v>
      </c>
      <c r="M111">
        <v>95</v>
      </c>
      <c r="N111" t="s">
        <v>5014</v>
      </c>
      <c r="O111">
        <v>0</v>
      </c>
      <c r="P111">
        <v>0</v>
      </c>
    </row>
    <row r="112" spans="1:16" x14ac:dyDescent="0.25">
      <c r="A112" t="s">
        <v>1133</v>
      </c>
      <c r="B112" t="s">
        <v>1134</v>
      </c>
      <c r="C112">
        <v>6236</v>
      </c>
      <c r="D112" t="s">
        <v>272</v>
      </c>
      <c r="E112" t="s">
        <v>149</v>
      </c>
      <c r="F112">
        <v>31496</v>
      </c>
      <c r="G112" t="s">
        <v>4999</v>
      </c>
      <c r="H112" t="s">
        <v>4993</v>
      </c>
      <c r="I112">
        <v>4.3539000000000003</v>
      </c>
      <c r="J112" t="s">
        <v>5012</v>
      </c>
      <c r="K112" t="s">
        <v>4993</v>
      </c>
      <c r="L112">
        <v>842</v>
      </c>
      <c r="M112">
        <v>65</v>
      </c>
      <c r="N112" t="s">
        <v>5014</v>
      </c>
      <c r="O112">
        <v>0</v>
      </c>
      <c r="P112">
        <v>0</v>
      </c>
    </row>
    <row r="113" spans="1:16" x14ac:dyDescent="0.25">
      <c r="A113" t="s">
        <v>1291</v>
      </c>
      <c r="B113" t="s">
        <v>1292</v>
      </c>
      <c r="C113">
        <v>3728</v>
      </c>
      <c r="D113" t="s">
        <v>458</v>
      </c>
      <c r="E113" t="s">
        <v>21</v>
      </c>
      <c r="F113">
        <v>26530</v>
      </c>
      <c r="G113" t="s">
        <v>4999</v>
      </c>
      <c r="H113" t="s">
        <v>4993</v>
      </c>
      <c r="I113">
        <v>4.2885999999999997</v>
      </c>
      <c r="J113" t="s">
        <v>5012</v>
      </c>
      <c r="K113" t="s">
        <v>4993</v>
      </c>
      <c r="L113">
        <v>842</v>
      </c>
      <c r="M113">
        <v>55</v>
      </c>
      <c r="N113" t="s">
        <v>5014</v>
      </c>
      <c r="O113">
        <v>0</v>
      </c>
      <c r="P113">
        <v>0</v>
      </c>
    </row>
    <row r="114" spans="1:16" x14ac:dyDescent="0.25">
      <c r="A114" t="s">
        <v>1374</v>
      </c>
      <c r="B114" t="s">
        <v>1375</v>
      </c>
      <c r="C114">
        <v>4164</v>
      </c>
      <c r="D114" t="s">
        <v>623</v>
      </c>
      <c r="E114" t="s">
        <v>21</v>
      </c>
      <c r="F114">
        <v>24570</v>
      </c>
      <c r="G114" t="s">
        <v>4999</v>
      </c>
      <c r="H114" t="s">
        <v>4993</v>
      </c>
      <c r="I114">
        <v>4.2484999999999999</v>
      </c>
      <c r="J114" t="s">
        <v>5012</v>
      </c>
      <c r="K114" t="s">
        <v>4993</v>
      </c>
      <c r="L114">
        <v>829</v>
      </c>
      <c r="M114">
        <v>68</v>
      </c>
      <c r="N114" t="s">
        <v>5014</v>
      </c>
      <c r="O114">
        <v>0</v>
      </c>
      <c r="P114">
        <v>0</v>
      </c>
    </row>
    <row r="115" spans="1:16" x14ac:dyDescent="0.25">
      <c r="A115" t="s">
        <v>1249</v>
      </c>
      <c r="B115" t="s">
        <v>1250</v>
      </c>
      <c r="C115">
        <v>8001</v>
      </c>
      <c r="D115" t="s">
        <v>27</v>
      </c>
      <c r="E115" t="s">
        <v>8</v>
      </c>
      <c r="F115">
        <v>27859</v>
      </c>
      <c r="G115" t="s">
        <v>4999</v>
      </c>
      <c r="H115" t="s">
        <v>4993</v>
      </c>
      <c r="I115">
        <v>4.4314999999999998</v>
      </c>
      <c r="J115" t="s">
        <v>5012</v>
      </c>
      <c r="K115" t="s">
        <v>4993</v>
      </c>
      <c r="L115">
        <v>825</v>
      </c>
      <c r="M115">
        <v>50</v>
      </c>
      <c r="N115" t="s">
        <v>5015</v>
      </c>
      <c r="O115">
        <v>0</v>
      </c>
      <c r="P115">
        <v>0</v>
      </c>
    </row>
    <row r="116" spans="1:16" x14ac:dyDescent="0.25">
      <c r="A116" t="s">
        <v>1749</v>
      </c>
      <c r="B116" t="s">
        <v>1750</v>
      </c>
      <c r="C116">
        <v>1254</v>
      </c>
      <c r="D116" t="s">
        <v>136</v>
      </c>
      <c r="E116" t="s">
        <v>13</v>
      </c>
      <c r="F116">
        <v>17770</v>
      </c>
      <c r="G116" t="s">
        <v>4999</v>
      </c>
      <c r="H116" t="s">
        <v>4993</v>
      </c>
      <c r="I116">
        <v>4.4932999999999996</v>
      </c>
      <c r="J116" t="s">
        <v>5012</v>
      </c>
      <c r="K116" t="s">
        <v>4993</v>
      </c>
      <c r="L116">
        <v>821</v>
      </c>
      <c r="M116">
        <v>23.5</v>
      </c>
      <c r="N116" t="s">
        <v>5015</v>
      </c>
      <c r="O116">
        <v>0</v>
      </c>
      <c r="P116">
        <v>0</v>
      </c>
    </row>
    <row r="117" spans="1:16" x14ac:dyDescent="0.25">
      <c r="A117" t="s">
        <v>1759</v>
      </c>
      <c r="B117" t="s">
        <v>1760</v>
      </c>
      <c r="C117">
        <v>8001</v>
      </c>
      <c r="D117" t="s">
        <v>27</v>
      </c>
      <c r="E117" t="s">
        <v>13</v>
      </c>
      <c r="F117">
        <v>17610</v>
      </c>
      <c r="G117" t="s">
        <v>4999</v>
      </c>
      <c r="H117" t="s">
        <v>4993</v>
      </c>
      <c r="I117">
        <v>4.4835000000000003</v>
      </c>
      <c r="J117" t="s">
        <v>5012</v>
      </c>
      <c r="K117" t="s">
        <v>4993</v>
      </c>
      <c r="L117">
        <v>819</v>
      </c>
      <c r="M117">
        <v>16</v>
      </c>
      <c r="N117" t="s">
        <v>5013</v>
      </c>
      <c r="O117">
        <v>0</v>
      </c>
      <c r="P117">
        <v>0</v>
      </c>
    </row>
    <row r="118" spans="1:16" x14ac:dyDescent="0.25">
      <c r="A118" t="s">
        <v>1841</v>
      </c>
      <c r="B118" t="s">
        <v>1842</v>
      </c>
      <c r="C118">
        <v>1254</v>
      </c>
      <c r="D118" t="s">
        <v>136</v>
      </c>
      <c r="E118" t="s">
        <v>13</v>
      </c>
      <c r="F118">
        <v>16656</v>
      </c>
      <c r="G118" t="s">
        <v>4999</v>
      </c>
      <c r="H118" t="s">
        <v>4993</v>
      </c>
      <c r="I118">
        <v>4.5320999999999998</v>
      </c>
      <c r="J118" t="s">
        <v>5012</v>
      </c>
      <c r="K118" t="s">
        <v>4993</v>
      </c>
      <c r="L118">
        <v>810</v>
      </c>
      <c r="M118">
        <v>26</v>
      </c>
      <c r="N118" t="s">
        <v>5015</v>
      </c>
      <c r="O118">
        <v>0</v>
      </c>
      <c r="P118">
        <v>0</v>
      </c>
    </row>
    <row r="119" spans="1:16" x14ac:dyDescent="0.25">
      <c r="A119" t="s">
        <v>877</v>
      </c>
      <c r="B119" t="s">
        <v>878</v>
      </c>
      <c r="C119">
        <v>7091</v>
      </c>
      <c r="D119" t="s">
        <v>879</v>
      </c>
      <c r="E119" t="s">
        <v>49</v>
      </c>
      <c r="F119">
        <v>41546</v>
      </c>
      <c r="G119" t="s">
        <v>4999</v>
      </c>
      <c r="H119" t="s">
        <v>4993</v>
      </c>
      <c r="I119">
        <v>4.4204999999999997</v>
      </c>
      <c r="J119" t="s">
        <v>5012</v>
      </c>
      <c r="K119" t="s">
        <v>4993</v>
      </c>
      <c r="L119">
        <v>799</v>
      </c>
      <c r="M119">
        <v>48</v>
      </c>
      <c r="N119" t="s">
        <v>5015</v>
      </c>
      <c r="O119">
        <v>0</v>
      </c>
      <c r="P119">
        <v>0</v>
      </c>
    </row>
    <row r="120" spans="1:16" x14ac:dyDescent="0.25">
      <c r="A120" t="s">
        <v>1725</v>
      </c>
      <c r="B120" t="s">
        <v>1726</v>
      </c>
      <c r="C120">
        <v>6134</v>
      </c>
      <c r="D120" t="s">
        <v>286</v>
      </c>
      <c r="E120" t="s">
        <v>13</v>
      </c>
      <c r="F120">
        <v>17898</v>
      </c>
      <c r="G120" t="s">
        <v>4999</v>
      </c>
      <c r="H120" t="s">
        <v>4993</v>
      </c>
      <c r="I120">
        <v>4.4259000000000004</v>
      </c>
      <c r="J120" t="s">
        <v>5012</v>
      </c>
      <c r="K120" t="s">
        <v>4993</v>
      </c>
      <c r="L120">
        <v>789</v>
      </c>
      <c r="M120">
        <v>30</v>
      </c>
      <c r="N120" t="s">
        <v>5015</v>
      </c>
      <c r="O120">
        <v>0</v>
      </c>
      <c r="P120">
        <v>0</v>
      </c>
    </row>
    <row r="121" spans="1:16" x14ac:dyDescent="0.25">
      <c r="A121" t="s">
        <v>844</v>
      </c>
      <c r="B121" t="s">
        <v>845</v>
      </c>
      <c r="C121">
        <v>6289</v>
      </c>
      <c r="D121" t="s">
        <v>111</v>
      </c>
      <c r="E121" t="s">
        <v>21</v>
      </c>
      <c r="F121">
        <v>43004</v>
      </c>
      <c r="G121" t="s">
        <v>4999</v>
      </c>
      <c r="H121" t="s">
        <v>4993</v>
      </c>
      <c r="I121">
        <v>4.5273000000000003</v>
      </c>
      <c r="J121" t="s">
        <v>5012</v>
      </c>
      <c r="K121" t="s">
        <v>4993</v>
      </c>
      <c r="L121">
        <v>768</v>
      </c>
      <c r="M121">
        <v>48</v>
      </c>
      <c r="N121" t="s">
        <v>5015</v>
      </c>
      <c r="O121">
        <v>0</v>
      </c>
      <c r="P121">
        <v>0</v>
      </c>
    </row>
    <row r="122" spans="1:16" x14ac:dyDescent="0.25">
      <c r="A122" t="s">
        <v>1523</v>
      </c>
      <c r="B122" t="s">
        <v>1524</v>
      </c>
      <c r="C122">
        <v>4348</v>
      </c>
      <c r="D122" t="s">
        <v>61</v>
      </c>
      <c r="E122" t="s">
        <v>149</v>
      </c>
      <c r="F122">
        <v>21612</v>
      </c>
      <c r="G122" t="s">
        <v>4999</v>
      </c>
      <c r="H122" t="s">
        <v>4993</v>
      </c>
      <c r="I122">
        <v>4.4036999999999997</v>
      </c>
      <c r="J122" t="s">
        <v>5012</v>
      </c>
      <c r="K122" t="s">
        <v>4993</v>
      </c>
      <c r="L122">
        <v>763</v>
      </c>
      <c r="M122">
        <v>45</v>
      </c>
      <c r="N122" t="s">
        <v>5015</v>
      </c>
      <c r="O122">
        <v>0</v>
      </c>
      <c r="P122">
        <v>0</v>
      </c>
    </row>
    <row r="123" spans="1:16" x14ac:dyDescent="0.25">
      <c r="A123" t="s">
        <v>1160</v>
      </c>
      <c r="B123" t="s">
        <v>1161</v>
      </c>
      <c r="C123">
        <v>3728</v>
      </c>
      <c r="D123" t="s">
        <v>458</v>
      </c>
      <c r="E123" t="s">
        <v>8</v>
      </c>
      <c r="F123">
        <v>30830</v>
      </c>
      <c r="G123" t="s">
        <v>4999</v>
      </c>
      <c r="H123" t="s">
        <v>4993</v>
      </c>
      <c r="I123">
        <v>4.0275999999999996</v>
      </c>
      <c r="J123" t="s">
        <v>5012</v>
      </c>
      <c r="K123" t="s">
        <v>4993</v>
      </c>
      <c r="L123">
        <v>762</v>
      </c>
      <c r="M123">
        <v>105</v>
      </c>
      <c r="N123" t="s">
        <v>5014</v>
      </c>
      <c r="O123">
        <v>0</v>
      </c>
      <c r="P123">
        <v>0</v>
      </c>
    </row>
    <row r="124" spans="1:16" x14ac:dyDescent="0.25">
      <c r="A124" t="s">
        <v>1958</v>
      </c>
      <c r="B124" t="s">
        <v>1959</v>
      </c>
      <c r="C124">
        <v>5922</v>
      </c>
      <c r="D124" t="s">
        <v>204</v>
      </c>
      <c r="E124" t="s">
        <v>8</v>
      </c>
      <c r="F124">
        <v>15095</v>
      </c>
      <c r="G124" t="s">
        <v>4999</v>
      </c>
      <c r="H124" t="s">
        <v>4993</v>
      </c>
      <c r="I124">
        <v>4.4131999999999998</v>
      </c>
      <c r="J124" t="s">
        <v>5012</v>
      </c>
      <c r="K124" t="s">
        <v>4993</v>
      </c>
      <c r="L124">
        <v>760</v>
      </c>
      <c r="M124">
        <v>69</v>
      </c>
      <c r="N124" t="s">
        <v>5014</v>
      </c>
      <c r="O124">
        <v>0</v>
      </c>
      <c r="P124">
        <v>0</v>
      </c>
    </row>
    <row r="125" spans="1:16" x14ac:dyDescent="0.25">
      <c r="A125" t="s">
        <v>1002</v>
      </c>
      <c r="B125" t="s">
        <v>1003</v>
      </c>
      <c r="C125">
        <v>6014</v>
      </c>
      <c r="D125" t="s">
        <v>102</v>
      </c>
      <c r="E125" t="s">
        <v>69</v>
      </c>
      <c r="F125">
        <v>37108</v>
      </c>
      <c r="G125" t="s">
        <v>4999</v>
      </c>
      <c r="H125" t="s">
        <v>4993</v>
      </c>
      <c r="I125">
        <v>4.5464000000000002</v>
      </c>
      <c r="J125" t="s">
        <v>5012</v>
      </c>
      <c r="K125" t="s">
        <v>4993</v>
      </c>
      <c r="L125">
        <v>743</v>
      </c>
      <c r="M125">
        <v>42</v>
      </c>
      <c r="N125" t="s">
        <v>5015</v>
      </c>
      <c r="O125">
        <v>0</v>
      </c>
      <c r="P125">
        <v>1</v>
      </c>
    </row>
    <row r="126" spans="1:16" x14ac:dyDescent="0.25">
      <c r="A126" t="s">
        <v>2473</v>
      </c>
      <c r="B126" t="s">
        <v>2474</v>
      </c>
      <c r="C126">
        <v>4164</v>
      </c>
      <c r="D126" t="s">
        <v>623</v>
      </c>
      <c r="E126" t="s">
        <v>144</v>
      </c>
      <c r="F126">
        <v>10438</v>
      </c>
      <c r="G126" t="s">
        <v>4999</v>
      </c>
      <c r="H126" t="s">
        <v>4993</v>
      </c>
      <c r="I126">
        <v>4.4897999999999998</v>
      </c>
      <c r="J126" t="s">
        <v>5012</v>
      </c>
      <c r="K126" t="s">
        <v>4993</v>
      </c>
      <c r="L126">
        <v>733</v>
      </c>
      <c r="M126">
        <v>17</v>
      </c>
      <c r="N126" t="s">
        <v>5013</v>
      </c>
      <c r="O126">
        <v>0</v>
      </c>
      <c r="P126">
        <v>0</v>
      </c>
    </row>
    <row r="127" spans="1:16" x14ac:dyDescent="0.25">
      <c r="A127" t="s">
        <v>780</v>
      </c>
      <c r="B127" t="s">
        <v>781</v>
      </c>
      <c r="C127">
        <v>6189</v>
      </c>
      <c r="D127" t="s">
        <v>30</v>
      </c>
      <c r="E127" t="s">
        <v>8</v>
      </c>
      <c r="F127">
        <v>46292</v>
      </c>
      <c r="G127" t="s">
        <v>4999</v>
      </c>
      <c r="H127" t="s">
        <v>4993</v>
      </c>
      <c r="I127">
        <v>4.6795</v>
      </c>
      <c r="J127" t="s">
        <v>5012</v>
      </c>
      <c r="K127" t="s">
        <v>4993</v>
      </c>
      <c r="L127">
        <v>730</v>
      </c>
      <c r="M127">
        <v>40</v>
      </c>
      <c r="N127" t="s">
        <v>5015</v>
      </c>
      <c r="O127">
        <v>0</v>
      </c>
      <c r="P127">
        <v>0</v>
      </c>
    </row>
    <row r="128" spans="1:16" x14ac:dyDescent="0.25">
      <c r="A128" t="s">
        <v>1053</v>
      </c>
      <c r="B128" t="s">
        <v>1054</v>
      </c>
      <c r="C128">
        <v>6219</v>
      </c>
      <c r="D128" t="s">
        <v>277</v>
      </c>
      <c r="E128" t="s">
        <v>13</v>
      </c>
      <c r="F128">
        <v>34428</v>
      </c>
      <c r="G128" t="s">
        <v>4999</v>
      </c>
      <c r="H128" t="s">
        <v>4993</v>
      </c>
      <c r="I128">
        <v>4.5195999999999996</v>
      </c>
      <c r="J128" t="s">
        <v>5012</v>
      </c>
      <c r="K128" t="s">
        <v>4993</v>
      </c>
      <c r="L128">
        <v>716</v>
      </c>
      <c r="M128">
        <v>42</v>
      </c>
      <c r="N128" t="s">
        <v>5015</v>
      </c>
      <c r="O128">
        <v>0</v>
      </c>
      <c r="P128">
        <v>0</v>
      </c>
    </row>
    <row r="129" spans="1:16" x14ac:dyDescent="0.25">
      <c r="A129" t="s">
        <v>1853</v>
      </c>
      <c r="B129" t="s">
        <v>1854</v>
      </c>
      <c r="C129">
        <v>6219</v>
      </c>
      <c r="D129" t="s">
        <v>277</v>
      </c>
      <c r="E129" t="s">
        <v>144</v>
      </c>
      <c r="F129">
        <v>16436</v>
      </c>
      <c r="G129" t="s">
        <v>4999</v>
      </c>
      <c r="H129" t="s">
        <v>4993</v>
      </c>
      <c r="I129">
        <v>4.5195999999999996</v>
      </c>
      <c r="J129" t="s">
        <v>5012</v>
      </c>
      <c r="K129" t="s">
        <v>4993</v>
      </c>
      <c r="L129">
        <v>716</v>
      </c>
      <c r="M129">
        <v>13</v>
      </c>
      <c r="N129" t="s">
        <v>5013</v>
      </c>
      <c r="O129">
        <v>0</v>
      </c>
      <c r="P129">
        <v>0</v>
      </c>
    </row>
    <row r="130" spans="1:16" x14ac:dyDescent="0.25">
      <c r="A130" t="s">
        <v>1786</v>
      </c>
      <c r="B130" t="s">
        <v>1787</v>
      </c>
      <c r="C130">
        <v>1254</v>
      </c>
      <c r="D130" t="s">
        <v>136</v>
      </c>
      <c r="E130" t="s">
        <v>8</v>
      </c>
      <c r="F130">
        <v>17157</v>
      </c>
      <c r="G130" t="s">
        <v>4999</v>
      </c>
      <c r="H130" t="s">
        <v>4993</v>
      </c>
      <c r="I130">
        <v>4.0182000000000002</v>
      </c>
      <c r="J130" t="s">
        <v>5012</v>
      </c>
      <c r="K130" t="s">
        <v>4993</v>
      </c>
      <c r="L130">
        <v>713</v>
      </c>
      <c r="M130">
        <v>26</v>
      </c>
      <c r="N130" t="s">
        <v>5015</v>
      </c>
      <c r="O130">
        <v>0</v>
      </c>
      <c r="P130">
        <v>0</v>
      </c>
    </row>
    <row r="131" spans="1:16" x14ac:dyDescent="0.25">
      <c r="A131" t="s">
        <v>827</v>
      </c>
      <c r="B131" t="s">
        <v>828</v>
      </c>
      <c r="C131">
        <v>4164</v>
      </c>
      <c r="D131" t="s">
        <v>623</v>
      </c>
      <c r="E131" t="s">
        <v>8</v>
      </c>
      <c r="F131">
        <v>43504</v>
      </c>
      <c r="G131" t="s">
        <v>4999</v>
      </c>
      <c r="H131" t="s">
        <v>4993</v>
      </c>
      <c r="I131">
        <v>4.1166999999999998</v>
      </c>
      <c r="J131" t="s">
        <v>5012</v>
      </c>
      <c r="K131" t="s">
        <v>4993</v>
      </c>
      <c r="L131">
        <v>711</v>
      </c>
      <c r="M131">
        <v>38</v>
      </c>
      <c r="N131" t="s">
        <v>5015</v>
      </c>
      <c r="O131">
        <v>0</v>
      </c>
      <c r="P131">
        <v>0</v>
      </c>
    </row>
    <row r="132" spans="1:16" x14ac:dyDescent="0.25">
      <c r="A132" t="s">
        <v>1487</v>
      </c>
      <c r="B132" t="s">
        <v>1488</v>
      </c>
      <c r="C132">
        <v>1741</v>
      </c>
      <c r="D132" t="s">
        <v>388</v>
      </c>
      <c r="E132" t="s">
        <v>149</v>
      </c>
      <c r="F132">
        <v>22310</v>
      </c>
      <c r="G132" t="s">
        <v>4999</v>
      </c>
      <c r="H132" t="s">
        <v>4993</v>
      </c>
      <c r="I132">
        <v>4.6132999999999997</v>
      </c>
      <c r="J132" t="s">
        <v>5012</v>
      </c>
      <c r="K132" t="s">
        <v>4993</v>
      </c>
      <c r="L132">
        <v>706</v>
      </c>
      <c r="M132">
        <v>79</v>
      </c>
      <c r="N132" t="s">
        <v>5014</v>
      </c>
      <c r="O132">
        <v>0</v>
      </c>
      <c r="P132">
        <v>0</v>
      </c>
    </row>
    <row r="133" spans="1:16" x14ac:dyDescent="0.25">
      <c r="A133" t="s">
        <v>1761</v>
      </c>
      <c r="B133" t="s">
        <v>1762</v>
      </c>
      <c r="C133">
        <v>5946</v>
      </c>
      <c r="D133" t="s">
        <v>341</v>
      </c>
      <c r="E133" t="s">
        <v>21</v>
      </c>
      <c r="F133">
        <v>17558</v>
      </c>
      <c r="G133" t="s">
        <v>4999</v>
      </c>
      <c r="H133" t="s">
        <v>4993</v>
      </c>
      <c r="I133">
        <v>4.1489000000000003</v>
      </c>
      <c r="J133" t="s">
        <v>5012</v>
      </c>
      <c r="K133" t="s">
        <v>4993</v>
      </c>
      <c r="L133">
        <v>705</v>
      </c>
      <c r="M133">
        <v>76</v>
      </c>
      <c r="N133" t="s">
        <v>5014</v>
      </c>
      <c r="O133">
        <v>0</v>
      </c>
      <c r="P133">
        <v>0</v>
      </c>
    </row>
    <row r="134" spans="1:16" x14ac:dyDescent="0.25">
      <c r="A134" t="s">
        <v>2103</v>
      </c>
      <c r="B134" t="s">
        <v>2104</v>
      </c>
      <c r="C134">
        <v>6169</v>
      </c>
      <c r="D134" t="s">
        <v>24</v>
      </c>
      <c r="E134" t="s">
        <v>220</v>
      </c>
      <c r="F134">
        <v>13592</v>
      </c>
      <c r="G134" t="s">
        <v>4999</v>
      </c>
      <c r="H134" t="s">
        <v>4993</v>
      </c>
      <c r="I134">
        <v>4.25</v>
      </c>
      <c r="J134" t="s">
        <v>5012</v>
      </c>
      <c r="K134" t="s">
        <v>4993</v>
      </c>
      <c r="L134">
        <v>4</v>
      </c>
      <c r="M134">
        <v>20</v>
      </c>
      <c r="N134" t="s">
        <v>5015</v>
      </c>
      <c r="O134">
        <v>0</v>
      </c>
      <c r="P134">
        <v>0</v>
      </c>
    </row>
    <row r="135" spans="1:16" x14ac:dyDescent="0.25">
      <c r="A135" t="s">
        <v>2479</v>
      </c>
      <c r="B135" t="s">
        <v>2480</v>
      </c>
      <c r="C135">
        <v>6169</v>
      </c>
      <c r="D135" t="s">
        <v>24</v>
      </c>
      <c r="E135" t="s">
        <v>220</v>
      </c>
      <c r="F135">
        <v>10406</v>
      </c>
      <c r="G135" t="s">
        <v>4999</v>
      </c>
      <c r="H135" t="s">
        <v>4993</v>
      </c>
      <c r="I135">
        <v>4.1666999999999996</v>
      </c>
      <c r="J135" t="s">
        <v>5012</v>
      </c>
      <c r="K135" t="s">
        <v>4993</v>
      </c>
      <c r="L135">
        <v>6</v>
      </c>
      <c r="M135">
        <v>28</v>
      </c>
      <c r="N135" t="s">
        <v>5015</v>
      </c>
      <c r="O135">
        <v>0</v>
      </c>
      <c r="P135">
        <v>0</v>
      </c>
    </row>
    <row r="136" spans="1:16" x14ac:dyDescent="0.25">
      <c r="A136" t="s">
        <v>1659</v>
      </c>
      <c r="B136" t="s">
        <v>1660</v>
      </c>
      <c r="C136">
        <v>4171</v>
      </c>
      <c r="D136" t="s">
        <v>133</v>
      </c>
      <c r="E136" t="s">
        <v>21</v>
      </c>
      <c r="F136">
        <v>19036</v>
      </c>
      <c r="G136" t="s">
        <v>4999</v>
      </c>
      <c r="H136" t="s">
        <v>4993</v>
      </c>
      <c r="I136">
        <v>4.3968999999999996</v>
      </c>
      <c r="J136" t="s">
        <v>5012</v>
      </c>
      <c r="K136" t="s">
        <v>4993</v>
      </c>
      <c r="L136">
        <v>703</v>
      </c>
      <c r="M136">
        <v>65</v>
      </c>
      <c r="N136" t="s">
        <v>5014</v>
      </c>
      <c r="O136">
        <v>0</v>
      </c>
      <c r="P136">
        <v>0</v>
      </c>
    </row>
    <row r="137" spans="1:16" x14ac:dyDescent="0.25">
      <c r="A137" t="s">
        <v>2244</v>
      </c>
      <c r="B137" t="s">
        <v>2245</v>
      </c>
      <c r="C137">
        <v>7083</v>
      </c>
      <c r="D137" t="s">
        <v>20</v>
      </c>
      <c r="E137" t="s">
        <v>220</v>
      </c>
      <c r="F137">
        <v>12280</v>
      </c>
      <c r="G137" t="s">
        <v>4999</v>
      </c>
      <c r="H137" t="s">
        <v>4993</v>
      </c>
      <c r="I137">
        <v>5</v>
      </c>
      <c r="J137" t="s">
        <v>5012</v>
      </c>
      <c r="K137" t="s">
        <v>4993</v>
      </c>
      <c r="L137">
        <v>7</v>
      </c>
      <c r="M137">
        <v>28</v>
      </c>
      <c r="N137" t="s">
        <v>5015</v>
      </c>
      <c r="O137">
        <v>0</v>
      </c>
      <c r="P137">
        <v>1</v>
      </c>
    </row>
    <row r="138" spans="1:16" x14ac:dyDescent="0.25">
      <c r="A138" t="s">
        <v>2143</v>
      </c>
      <c r="B138" t="s">
        <v>2144</v>
      </c>
      <c r="C138">
        <v>6236</v>
      </c>
      <c r="D138" t="s">
        <v>272</v>
      </c>
      <c r="E138" t="s">
        <v>144</v>
      </c>
      <c r="F138">
        <v>13165</v>
      </c>
      <c r="G138" t="s">
        <v>4999</v>
      </c>
      <c r="H138" t="s">
        <v>4993</v>
      </c>
      <c r="I138">
        <v>4.7142999999999997</v>
      </c>
      <c r="J138" t="s">
        <v>5012</v>
      </c>
      <c r="K138" t="s">
        <v>4993</v>
      </c>
      <c r="L138">
        <v>7</v>
      </c>
      <c r="M138">
        <v>30</v>
      </c>
      <c r="N138" t="s">
        <v>5015</v>
      </c>
      <c r="O138">
        <v>0</v>
      </c>
      <c r="P138">
        <v>0</v>
      </c>
    </row>
    <row r="139" spans="1:16" x14ac:dyDescent="0.25">
      <c r="A139" t="s">
        <v>1648</v>
      </c>
      <c r="B139" t="s">
        <v>1649</v>
      </c>
      <c r="C139">
        <v>3728</v>
      </c>
      <c r="D139" t="s">
        <v>458</v>
      </c>
      <c r="E139" t="s">
        <v>220</v>
      </c>
      <c r="F139">
        <v>19378</v>
      </c>
      <c r="G139" t="s">
        <v>4999</v>
      </c>
      <c r="H139" t="s">
        <v>4993</v>
      </c>
      <c r="I139">
        <v>4</v>
      </c>
      <c r="J139" t="s">
        <v>5012</v>
      </c>
      <c r="K139" t="s">
        <v>4993</v>
      </c>
      <c r="L139">
        <v>7</v>
      </c>
      <c r="M139">
        <v>19</v>
      </c>
      <c r="N139" t="s">
        <v>5013</v>
      </c>
      <c r="O139">
        <v>0</v>
      </c>
      <c r="P139">
        <v>0</v>
      </c>
    </row>
    <row r="140" spans="1:16" x14ac:dyDescent="0.25">
      <c r="A140" t="s">
        <v>921</v>
      </c>
      <c r="B140" t="s">
        <v>922</v>
      </c>
      <c r="C140">
        <v>7020</v>
      </c>
      <c r="D140" t="s">
        <v>657</v>
      </c>
      <c r="E140" t="s">
        <v>13</v>
      </c>
      <c r="F140">
        <v>40150</v>
      </c>
      <c r="G140" t="s">
        <v>4999</v>
      </c>
      <c r="H140" t="s">
        <v>4993</v>
      </c>
      <c r="I140">
        <v>4.4649000000000001</v>
      </c>
      <c r="J140" t="s">
        <v>5012</v>
      </c>
      <c r="K140" t="s">
        <v>4993</v>
      </c>
      <c r="L140">
        <v>699</v>
      </c>
      <c r="M140">
        <v>88</v>
      </c>
      <c r="N140" t="s">
        <v>5014</v>
      </c>
      <c r="O140">
        <v>0</v>
      </c>
      <c r="P140">
        <v>0</v>
      </c>
    </row>
    <row r="141" spans="1:16" x14ac:dyDescent="0.25">
      <c r="A141" t="s">
        <v>1234</v>
      </c>
      <c r="B141" t="s">
        <v>1235</v>
      </c>
      <c r="C141">
        <v>4348</v>
      </c>
      <c r="D141" t="s">
        <v>61</v>
      </c>
      <c r="E141" t="s">
        <v>4</v>
      </c>
      <c r="F141">
        <v>28208</v>
      </c>
      <c r="G141" t="s">
        <v>4999</v>
      </c>
      <c r="H141" t="s">
        <v>4993</v>
      </c>
      <c r="I141">
        <v>4.3891</v>
      </c>
      <c r="J141" t="s">
        <v>5012</v>
      </c>
      <c r="K141" t="s">
        <v>4993</v>
      </c>
      <c r="L141">
        <v>699</v>
      </c>
      <c r="M141">
        <v>25</v>
      </c>
      <c r="N141" t="s">
        <v>5015</v>
      </c>
      <c r="O141">
        <v>0</v>
      </c>
      <c r="P141">
        <v>0</v>
      </c>
    </row>
    <row r="142" spans="1:16" x14ac:dyDescent="0.25">
      <c r="A142" t="s">
        <v>2364</v>
      </c>
      <c r="B142" t="s">
        <v>2365</v>
      </c>
      <c r="C142">
        <v>1741</v>
      </c>
      <c r="D142" t="s">
        <v>388</v>
      </c>
      <c r="E142" t="s">
        <v>220</v>
      </c>
      <c r="F142">
        <v>11331</v>
      </c>
      <c r="G142" t="s">
        <v>4999</v>
      </c>
      <c r="H142" t="s">
        <v>4993</v>
      </c>
      <c r="I142">
        <v>4.6666999999999996</v>
      </c>
      <c r="J142" t="s">
        <v>5012</v>
      </c>
      <c r="K142" t="s">
        <v>4993</v>
      </c>
      <c r="L142">
        <v>9</v>
      </c>
      <c r="M142">
        <v>49</v>
      </c>
      <c r="N142" t="s">
        <v>5015</v>
      </c>
      <c r="O142">
        <v>0</v>
      </c>
      <c r="P142">
        <v>1</v>
      </c>
    </row>
    <row r="143" spans="1:16" x14ac:dyDescent="0.25">
      <c r="A143" t="s">
        <v>2232</v>
      </c>
      <c r="B143" t="s">
        <v>2233</v>
      </c>
      <c r="C143">
        <v>1254</v>
      </c>
      <c r="D143" t="s">
        <v>136</v>
      </c>
      <c r="E143" t="s">
        <v>220</v>
      </c>
      <c r="F143">
        <v>12369</v>
      </c>
      <c r="G143" t="s">
        <v>4999</v>
      </c>
      <c r="H143" t="s">
        <v>4993</v>
      </c>
      <c r="I143">
        <v>4.6666999999999996</v>
      </c>
      <c r="J143" t="s">
        <v>5012</v>
      </c>
      <c r="K143" t="s">
        <v>4993</v>
      </c>
      <c r="L143">
        <v>9</v>
      </c>
      <c r="M143">
        <v>25</v>
      </c>
      <c r="N143" t="s">
        <v>5015</v>
      </c>
      <c r="O143">
        <v>0</v>
      </c>
      <c r="P143">
        <v>0</v>
      </c>
    </row>
    <row r="144" spans="1:16" x14ac:dyDescent="0.25">
      <c r="A144" t="s">
        <v>2173</v>
      </c>
      <c r="B144" t="s">
        <v>2174</v>
      </c>
      <c r="C144">
        <v>7083</v>
      </c>
      <c r="D144" t="s">
        <v>20</v>
      </c>
      <c r="E144" t="s">
        <v>220</v>
      </c>
      <c r="F144">
        <v>12819</v>
      </c>
      <c r="G144" t="s">
        <v>4999</v>
      </c>
      <c r="H144" t="s">
        <v>4993</v>
      </c>
      <c r="I144">
        <v>4.4443999999999999</v>
      </c>
      <c r="J144" t="s">
        <v>5012</v>
      </c>
      <c r="K144" t="s">
        <v>4993</v>
      </c>
      <c r="L144">
        <v>9</v>
      </c>
      <c r="M144">
        <v>74</v>
      </c>
      <c r="N144" t="s">
        <v>5014</v>
      </c>
      <c r="O144">
        <v>0</v>
      </c>
      <c r="P144">
        <v>1</v>
      </c>
    </row>
    <row r="145" spans="1:16" x14ac:dyDescent="0.25">
      <c r="A145" t="s">
        <v>1908</v>
      </c>
      <c r="B145" t="s">
        <v>1909</v>
      </c>
      <c r="C145">
        <v>6341</v>
      </c>
      <c r="D145" t="s">
        <v>66</v>
      </c>
      <c r="E145" t="s">
        <v>220</v>
      </c>
      <c r="F145">
        <v>15686</v>
      </c>
      <c r="G145" t="s">
        <v>4999</v>
      </c>
      <c r="H145" t="s">
        <v>4993</v>
      </c>
      <c r="I145">
        <v>4.4443999999999999</v>
      </c>
      <c r="J145" t="s">
        <v>5012</v>
      </c>
      <c r="K145" t="s">
        <v>4993</v>
      </c>
      <c r="L145">
        <v>9</v>
      </c>
      <c r="M145">
        <v>64</v>
      </c>
      <c r="N145" t="s">
        <v>5014</v>
      </c>
      <c r="O145">
        <v>0</v>
      </c>
      <c r="P145">
        <v>0</v>
      </c>
    </row>
    <row r="146" spans="1:16" x14ac:dyDescent="0.25">
      <c r="A146" t="s">
        <v>1800</v>
      </c>
      <c r="B146" t="s">
        <v>1801</v>
      </c>
      <c r="C146">
        <v>7075</v>
      </c>
      <c r="D146" t="s">
        <v>75</v>
      </c>
      <c r="E146" t="s">
        <v>13</v>
      </c>
      <c r="F146">
        <v>17087</v>
      </c>
      <c r="G146" t="s">
        <v>4999</v>
      </c>
      <c r="H146" t="s">
        <v>4993</v>
      </c>
      <c r="I146">
        <v>4.2942999999999998</v>
      </c>
      <c r="J146" t="s">
        <v>5012</v>
      </c>
      <c r="K146" t="s">
        <v>4993</v>
      </c>
      <c r="L146">
        <v>683</v>
      </c>
      <c r="M146">
        <v>30</v>
      </c>
      <c r="N146" t="s">
        <v>5015</v>
      </c>
      <c r="O146">
        <v>0</v>
      </c>
      <c r="P146">
        <v>0</v>
      </c>
    </row>
    <row r="147" spans="1:16" x14ac:dyDescent="0.25">
      <c r="A147" t="s">
        <v>1892</v>
      </c>
      <c r="B147" t="s">
        <v>1893</v>
      </c>
      <c r="C147">
        <v>5922</v>
      </c>
      <c r="D147" t="s">
        <v>204</v>
      </c>
      <c r="E147" t="s">
        <v>13</v>
      </c>
      <c r="F147">
        <v>16013</v>
      </c>
      <c r="G147" t="s">
        <v>4999</v>
      </c>
      <c r="H147" t="s">
        <v>4993</v>
      </c>
      <c r="I147">
        <v>4.2436999999999996</v>
      </c>
      <c r="J147" t="s">
        <v>5012</v>
      </c>
      <c r="K147" t="s">
        <v>4993</v>
      </c>
      <c r="L147">
        <v>677</v>
      </c>
      <c r="M147">
        <v>29</v>
      </c>
      <c r="N147" t="s">
        <v>5015</v>
      </c>
      <c r="O147">
        <v>0</v>
      </c>
      <c r="P147">
        <v>0</v>
      </c>
    </row>
    <row r="148" spans="1:16" x14ac:dyDescent="0.25">
      <c r="A148" t="s">
        <v>1910</v>
      </c>
      <c r="B148" t="s">
        <v>1911</v>
      </c>
      <c r="C148">
        <v>6041</v>
      </c>
      <c r="D148" t="s">
        <v>33</v>
      </c>
      <c r="E148" t="s">
        <v>220</v>
      </c>
      <c r="F148">
        <v>15655</v>
      </c>
      <c r="G148" t="s">
        <v>4999</v>
      </c>
      <c r="H148" t="s">
        <v>4993</v>
      </c>
      <c r="I148">
        <v>4.2</v>
      </c>
      <c r="J148" t="s">
        <v>5012</v>
      </c>
      <c r="K148" t="s">
        <v>4993</v>
      </c>
      <c r="L148">
        <v>10</v>
      </c>
      <c r="M148">
        <v>88</v>
      </c>
      <c r="N148" t="s">
        <v>5014</v>
      </c>
      <c r="O148">
        <v>0</v>
      </c>
      <c r="P148">
        <v>1</v>
      </c>
    </row>
    <row r="149" spans="1:16" x14ac:dyDescent="0.25">
      <c r="A149" t="s">
        <v>1454</v>
      </c>
      <c r="B149" t="s">
        <v>1455</v>
      </c>
      <c r="C149">
        <v>6234</v>
      </c>
      <c r="D149" t="s">
        <v>7</v>
      </c>
      <c r="E149" t="s">
        <v>220</v>
      </c>
      <c r="F149">
        <v>23001</v>
      </c>
      <c r="G149" t="s">
        <v>4999</v>
      </c>
      <c r="H149" t="s">
        <v>4993</v>
      </c>
      <c r="I149">
        <v>4.5</v>
      </c>
      <c r="J149" t="s">
        <v>5012</v>
      </c>
      <c r="K149" t="s">
        <v>4993</v>
      </c>
      <c r="L149">
        <v>10</v>
      </c>
      <c r="M149">
        <v>22</v>
      </c>
      <c r="N149" t="s">
        <v>5015</v>
      </c>
      <c r="O149">
        <v>0</v>
      </c>
      <c r="P149">
        <v>0</v>
      </c>
    </row>
    <row r="150" spans="1:16" x14ac:dyDescent="0.25">
      <c r="A150" t="s">
        <v>776</v>
      </c>
      <c r="B150" t="s">
        <v>777</v>
      </c>
      <c r="C150">
        <v>6041</v>
      </c>
      <c r="D150" t="s">
        <v>33</v>
      </c>
      <c r="E150" t="s">
        <v>4</v>
      </c>
      <c r="F150">
        <v>46733</v>
      </c>
      <c r="G150" t="s">
        <v>4999</v>
      </c>
      <c r="H150" t="s">
        <v>4993</v>
      </c>
      <c r="I150">
        <v>4.2805999999999997</v>
      </c>
      <c r="J150" t="s">
        <v>5012</v>
      </c>
      <c r="K150" t="s">
        <v>4993</v>
      </c>
      <c r="L150">
        <v>670</v>
      </c>
      <c r="M150">
        <v>30</v>
      </c>
      <c r="N150" t="s">
        <v>5015</v>
      </c>
      <c r="O150">
        <v>0</v>
      </c>
      <c r="P150">
        <v>0</v>
      </c>
    </row>
    <row r="151" spans="1:16" x14ac:dyDescent="0.25">
      <c r="A151" t="s">
        <v>2511</v>
      </c>
      <c r="B151" t="s">
        <v>2512</v>
      </c>
      <c r="C151">
        <v>6235</v>
      </c>
      <c r="D151" t="s">
        <v>1166</v>
      </c>
      <c r="E151" t="s">
        <v>69</v>
      </c>
      <c r="F151">
        <v>10245</v>
      </c>
      <c r="G151" t="s">
        <v>4999</v>
      </c>
      <c r="H151" t="s">
        <v>4993</v>
      </c>
      <c r="I151">
        <v>4.0833000000000004</v>
      </c>
      <c r="J151" t="s">
        <v>5012</v>
      </c>
      <c r="K151" t="s">
        <v>4993</v>
      </c>
      <c r="L151">
        <v>12</v>
      </c>
      <c r="M151">
        <v>15</v>
      </c>
      <c r="N151" t="s">
        <v>5013</v>
      </c>
      <c r="O151">
        <v>0</v>
      </c>
      <c r="P151">
        <v>0</v>
      </c>
    </row>
    <row r="152" spans="1:16" x14ac:dyDescent="0.25">
      <c r="A152" t="s">
        <v>2466</v>
      </c>
      <c r="B152" t="s">
        <v>2467</v>
      </c>
      <c r="C152">
        <v>6073</v>
      </c>
      <c r="D152" t="s">
        <v>78</v>
      </c>
      <c r="E152" t="s">
        <v>220</v>
      </c>
      <c r="F152">
        <v>10461</v>
      </c>
      <c r="G152" t="s">
        <v>4999</v>
      </c>
      <c r="H152" t="s">
        <v>4993</v>
      </c>
      <c r="I152">
        <v>4.0833000000000004</v>
      </c>
      <c r="J152" t="s">
        <v>5012</v>
      </c>
      <c r="K152" t="s">
        <v>4993</v>
      </c>
      <c r="L152">
        <v>12</v>
      </c>
      <c r="M152">
        <v>93</v>
      </c>
      <c r="N152" t="s">
        <v>5014</v>
      </c>
      <c r="O152">
        <v>0</v>
      </c>
      <c r="P152">
        <v>0</v>
      </c>
    </row>
    <row r="153" spans="1:16" x14ac:dyDescent="0.25">
      <c r="A153" t="s">
        <v>2362</v>
      </c>
      <c r="B153" t="s">
        <v>2363</v>
      </c>
      <c r="C153">
        <v>3902</v>
      </c>
      <c r="D153" t="s">
        <v>72</v>
      </c>
      <c r="E153" t="s">
        <v>220</v>
      </c>
      <c r="F153">
        <v>11340</v>
      </c>
      <c r="G153" t="s">
        <v>4999</v>
      </c>
      <c r="H153" t="s">
        <v>4993</v>
      </c>
      <c r="I153">
        <v>4.5833000000000004</v>
      </c>
      <c r="J153" t="s">
        <v>5012</v>
      </c>
      <c r="K153" t="s">
        <v>4993</v>
      </c>
      <c r="L153">
        <v>12</v>
      </c>
      <c r="M153">
        <v>15</v>
      </c>
      <c r="N153" t="s">
        <v>5013</v>
      </c>
      <c r="O153">
        <v>0</v>
      </c>
      <c r="P153">
        <v>0</v>
      </c>
    </row>
    <row r="154" spans="1:16" x14ac:dyDescent="0.25">
      <c r="A154" t="s">
        <v>2191</v>
      </c>
      <c r="B154" t="s">
        <v>2192</v>
      </c>
      <c r="C154">
        <v>6236</v>
      </c>
      <c r="D154" t="s">
        <v>272</v>
      </c>
      <c r="E154" t="s">
        <v>21</v>
      </c>
      <c r="F154">
        <v>12680</v>
      </c>
      <c r="G154" t="s">
        <v>4999</v>
      </c>
      <c r="H154" t="s">
        <v>4993</v>
      </c>
      <c r="I154">
        <v>4.5833000000000004</v>
      </c>
      <c r="J154" t="s">
        <v>5012</v>
      </c>
      <c r="K154" t="s">
        <v>4993</v>
      </c>
      <c r="L154">
        <v>12</v>
      </c>
      <c r="M154">
        <v>85</v>
      </c>
      <c r="N154" t="s">
        <v>5014</v>
      </c>
      <c r="O154">
        <v>0</v>
      </c>
      <c r="P154">
        <v>0</v>
      </c>
    </row>
    <row r="155" spans="1:16" x14ac:dyDescent="0.25">
      <c r="A155" t="s">
        <v>2324</v>
      </c>
      <c r="B155" t="s">
        <v>2325</v>
      </c>
      <c r="C155">
        <v>6073</v>
      </c>
      <c r="D155" t="s">
        <v>78</v>
      </c>
      <c r="E155" t="s">
        <v>220</v>
      </c>
      <c r="F155">
        <v>11638</v>
      </c>
      <c r="G155" t="s">
        <v>4999</v>
      </c>
      <c r="H155" t="s">
        <v>4993</v>
      </c>
      <c r="I155">
        <v>4.0769000000000002</v>
      </c>
      <c r="J155" t="s">
        <v>5012</v>
      </c>
      <c r="K155" t="s">
        <v>4993</v>
      </c>
      <c r="L155">
        <v>13</v>
      </c>
      <c r="M155">
        <v>95</v>
      </c>
      <c r="N155" t="s">
        <v>5014</v>
      </c>
      <c r="O155">
        <v>0</v>
      </c>
      <c r="P155">
        <v>0</v>
      </c>
    </row>
    <row r="156" spans="1:16" x14ac:dyDescent="0.25">
      <c r="A156" t="s">
        <v>2083</v>
      </c>
      <c r="B156" t="s">
        <v>2084</v>
      </c>
      <c r="C156">
        <v>6201</v>
      </c>
      <c r="D156" t="s">
        <v>367</v>
      </c>
      <c r="E156" t="s">
        <v>220</v>
      </c>
      <c r="F156">
        <v>13729</v>
      </c>
      <c r="G156" t="s">
        <v>4999</v>
      </c>
      <c r="H156" t="s">
        <v>4993</v>
      </c>
      <c r="I156">
        <v>4.4615</v>
      </c>
      <c r="J156" t="s">
        <v>5012</v>
      </c>
      <c r="K156" t="s">
        <v>4993</v>
      </c>
      <c r="L156">
        <v>13</v>
      </c>
      <c r="M156">
        <v>380</v>
      </c>
      <c r="N156" t="s">
        <v>5014</v>
      </c>
      <c r="O156">
        <v>1</v>
      </c>
      <c r="P156">
        <v>0</v>
      </c>
    </row>
    <row r="157" spans="1:16" x14ac:dyDescent="0.25">
      <c r="A157" t="s">
        <v>1679</v>
      </c>
      <c r="B157" t="s">
        <v>1680</v>
      </c>
      <c r="C157">
        <v>6189</v>
      </c>
      <c r="D157" t="s">
        <v>30</v>
      </c>
      <c r="E157" t="s">
        <v>8</v>
      </c>
      <c r="F157">
        <v>18565</v>
      </c>
      <c r="G157" t="s">
        <v>4999</v>
      </c>
      <c r="H157" t="s">
        <v>4993</v>
      </c>
      <c r="I157">
        <v>4</v>
      </c>
      <c r="J157" t="s">
        <v>5012</v>
      </c>
      <c r="K157" t="s">
        <v>4993</v>
      </c>
      <c r="L157">
        <v>13</v>
      </c>
      <c r="M157">
        <v>20</v>
      </c>
      <c r="N157" t="s">
        <v>5015</v>
      </c>
      <c r="O157">
        <v>1</v>
      </c>
      <c r="P157">
        <v>0</v>
      </c>
    </row>
    <row r="158" spans="1:16" x14ac:dyDescent="0.25">
      <c r="A158" t="s">
        <v>2432</v>
      </c>
      <c r="B158" t="s">
        <v>2433</v>
      </c>
      <c r="C158">
        <v>6117</v>
      </c>
      <c r="D158" t="s">
        <v>229</v>
      </c>
      <c r="E158" t="s">
        <v>220</v>
      </c>
      <c r="F158">
        <v>10728</v>
      </c>
      <c r="G158" t="s">
        <v>4999</v>
      </c>
      <c r="H158" t="s">
        <v>4993</v>
      </c>
      <c r="I158">
        <v>4.1429</v>
      </c>
      <c r="J158" t="s">
        <v>5012</v>
      </c>
      <c r="K158" t="s">
        <v>4993</v>
      </c>
      <c r="L158">
        <v>14</v>
      </c>
      <c r="M158">
        <v>32</v>
      </c>
      <c r="N158" t="s">
        <v>5015</v>
      </c>
      <c r="O158">
        <v>0</v>
      </c>
      <c r="P158">
        <v>0</v>
      </c>
    </row>
    <row r="159" spans="1:16" x14ac:dyDescent="0.25">
      <c r="A159" t="s">
        <v>882</v>
      </c>
      <c r="B159" t="s">
        <v>883</v>
      </c>
      <c r="C159">
        <v>4171</v>
      </c>
      <c r="D159" t="s">
        <v>133</v>
      </c>
      <c r="E159" t="s">
        <v>13</v>
      </c>
      <c r="F159">
        <v>41456</v>
      </c>
      <c r="G159" t="s">
        <v>4999</v>
      </c>
      <c r="H159" t="s">
        <v>4993</v>
      </c>
      <c r="I159">
        <v>4.0090000000000003</v>
      </c>
      <c r="J159" t="s">
        <v>5012</v>
      </c>
      <c r="K159" t="s">
        <v>4993</v>
      </c>
      <c r="L159">
        <v>664</v>
      </c>
      <c r="M159">
        <v>30</v>
      </c>
      <c r="N159" t="s">
        <v>5015</v>
      </c>
      <c r="O159">
        <v>0</v>
      </c>
      <c r="P159">
        <v>0</v>
      </c>
    </row>
    <row r="160" spans="1:16" x14ac:dyDescent="0.25">
      <c r="A160" t="s">
        <v>2067</v>
      </c>
      <c r="B160" t="s">
        <v>2068</v>
      </c>
      <c r="C160">
        <v>6089</v>
      </c>
      <c r="D160" t="s">
        <v>605</v>
      </c>
      <c r="E160" t="s">
        <v>149</v>
      </c>
      <c r="F160">
        <v>13898</v>
      </c>
      <c r="G160" t="s">
        <v>4999</v>
      </c>
      <c r="H160" t="s">
        <v>4993</v>
      </c>
      <c r="I160">
        <v>4.2142999999999997</v>
      </c>
      <c r="J160" t="s">
        <v>5012</v>
      </c>
      <c r="K160" t="s">
        <v>4993</v>
      </c>
      <c r="L160">
        <v>14</v>
      </c>
      <c r="M160">
        <v>42</v>
      </c>
      <c r="N160" t="s">
        <v>5015</v>
      </c>
      <c r="O160">
        <v>0</v>
      </c>
      <c r="P160">
        <v>0</v>
      </c>
    </row>
    <row r="161" spans="1:16" x14ac:dyDescent="0.25">
      <c r="A161" t="s">
        <v>1993</v>
      </c>
      <c r="B161" t="s">
        <v>1994</v>
      </c>
      <c r="C161">
        <v>6272</v>
      </c>
      <c r="D161" t="s">
        <v>1711</v>
      </c>
      <c r="E161" t="s">
        <v>347</v>
      </c>
      <c r="F161">
        <v>14832</v>
      </c>
      <c r="G161" t="s">
        <v>4999</v>
      </c>
      <c r="H161" t="s">
        <v>4993</v>
      </c>
      <c r="I161">
        <v>4.0713999999999997</v>
      </c>
      <c r="J161" t="s">
        <v>5012</v>
      </c>
      <c r="K161" t="s">
        <v>4993</v>
      </c>
      <c r="L161">
        <v>14</v>
      </c>
      <c r="M161">
        <v>49</v>
      </c>
      <c r="N161" t="s">
        <v>5015</v>
      </c>
      <c r="O161">
        <v>0</v>
      </c>
      <c r="P161">
        <v>0</v>
      </c>
    </row>
    <row r="162" spans="1:16" x14ac:dyDescent="0.25">
      <c r="A162" t="s">
        <v>2521</v>
      </c>
      <c r="B162" t="s">
        <v>2522</v>
      </c>
      <c r="C162">
        <v>3902</v>
      </c>
      <c r="D162" t="s">
        <v>72</v>
      </c>
      <c r="E162" t="s">
        <v>69</v>
      </c>
      <c r="F162">
        <v>10162</v>
      </c>
      <c r="G162" t="s">
        <v>4999</v>
      </c>
      <c r="H162" t="s">
        <v>4993</v>
      </c>
      <c r="I162">
        <v>4.4000000000000004</v>
      </c>
      <c r="J162" t="s">
        <v>5012</v>
      </c>
      <c r="K162" t="s">
        <v>4993</v>
      </c>
      <c r="L162">
        <v>15</v>
      </c>
      <c r="M162">
        <v>5.5</v>
      </c>
      <c r="N162" t="s">
        <v>5013</v>
      </c>
      <c r="O162">
        <v>0</v>
      </c>
      <c r="P162">
        <v>0</v>
      </c>
    </row>
    <row r="163" spans="1:16" x14ac:dyDescent="0.25">
      <c r="A163" t="s">
        <v>2124</v>
      </c>
      <c r="B163" t="s">
        <v>2125</v>
      </c>
      <c r="C163">
        <v>6751</v>
      </c>
      <c r="D163" t="s">
        <v>1738</v>
      </c>
      <c r="E163" t="s">
        <v>8</v>
      </c>
      <c r="F163">
        <v>13371</v>
      </c>
      <c r="G163" t="s">
        <v>4999</v>
      </c>
      <c r="H163" t="s">
        <v>4993</v>
      </c>
      <c r="I163">
        <v>4.7332999999999998</v>
      </c>
      <c r="J163" t="s">
        <v>5012</v>
      </c>
      <c r="K163" t="s">
        <v>4993</v>
      </c>
      <c r="L163">
        <v>15</v>
      </c>
      <c r="M163">
        <v>29</v>
      </c>
      <c r="N163" t="s">
        <v>5015</v>
      </c>
      <c r="O163">
        <v>1</v>
      </c>
      <c r="P163">
        <v>0</v>
      </c>
    </row>
    <row r="164" spans="1:16" x14ac:dyDescent="0.25">
      <c r="A164" t="s">
        <v>1382</v>
      </c>
      <c r="B164" t="s">
        <v>1383</v>
      </c>
      <c r="C164">
        <v>6234</v>
      </c>
      <c r="D164" t="s">
        <v>7</v>
      </c>
      <c r="E164" t="s">
        <v>220</v>
      </c>
      <c r="F164">
        <v>24451</v>
      </c>
      <c r="G164" t="s">
        <v>4999</v>
      </c>
      <c r="H164" t="s">
        <v>4993</v>
      </c>
      <c r="I164">
        <v>4.0625</v>
      </c>
      <c r="J164" t="s">
        <v>5012</v>
      </c>
      <c r="K164" t="s">
        <v>4993</v>
      </c>
      <c r="L164">
        <v>16</v>
      </c>
      <c r="M164">
        <v>40.700000000000003</v>
      </c>
      <c r="N164" t="s">
        <v>5015</v>
      </c>
      <c r="O164">
        <v>0</v>
      </c>
      <c r="P164">
        <v>0</v>
      </c>
    </row>
    <row r="165" spans="1:16" x14ac:dyDescent="0.25">
      <c r="A165" t="s">
        <v>2450</v>
      </c>
      <c r="B165" t="s">
        <v>2451</v>
      </c>
      <c r="C165">
        <v>6751</v>
      </c>
      <c r="D165" t="s">
        <v>1738</v>
      </c>
      <c r="E165" t="s">
        <v>8</v>
      </c>
      <c r="F165">
        <v>10568</v>
      </c>
      <c r="G165" t="s">
        <v>4999</v>
      </c>
      <c r="H165" t="s">
        <v>4993</v>
      </c>
      <c r="I165">
        <v>4.5881999999999996</v>
      </c>
      <c r="J165" t="s">
        <v>5012</v>
      </c>
      <c r="K165" t="s">
        <v>4993</v>
      </c>
      <c r="L165">
        <v>17</v>
      </c>
      <c r="M165">
        <v>29</v>
      </c>
      <c r="N165" t="s">
        <v>5015</v>
      </c>
      <c r="O165">
        <v>1</v>
      </c>
      <c r="P165">
        <v>0</v>
      </c>
    </row>
    <row r="166" spans="1:16" x14ac:dyDescent="0.25">
      <c r="A166" t="s">
        <v>2052</v>
      </c>
      <c r="B166" t="s">
        <v>2053</v>
      </c>
      <c r="C166">
        <v>4348</v>
      </c>
      <c r="D166" t="s">
        <v>61</v>
      </c>
      <c r="E166" t="s">
        <v>21</v>
      </c>
      <c r="F166">
        <v>14153</v>
      </c>
      <c r="G166" t="s">
        <v>4999</v>
      </c>
      <c r="H166" t="s">
        <v>4993</v>
      </c>
      <c r="I166">
        <v>4.4706000000000001</v>
      </c>
      <c r="J166" t="s">
        <v>5012</v>
      </c>
      <c r="K166" t="s">
        <v>4993</v>
      </c>
      <c r="L166">
        <v>17</v>
      </c>
      <c r="M166">
        <v>24</v>
      </c>
      <c r="N166" t="s">
        <v>5015</v>
      </c>
      <c r="O166">
        <v>0</v>
      </c>
      <c r="P166">
        <v>0</v>
      </c>
    </row>
    <row r="167" spans="1:16" x14ac:dyDescent="0.25">
      <c r="A167" t="s">
        <v>2546</v>
      </c>
      <c r="B167" t="s">
        <v>2547</v>
      </c>
      <c r="C167">
        <v>6235</v>
      </c>
      <c r="D167" t="s">
        <v>1166</v>
      </c>
      <c r="E167" t="s">
        <v>149</v>
      </c>
      <c r="F167">
        <v>10008</v>
      </c>
      <c r="G167" t="s">
        <v>4999</v>
      </c>
      <c r="H167" t="s">
        <v>4993</v>
      </c>
      <c r="I167">
        <v>4.5556000000000001</v>
      </c>
      <c r="J167" t="s">
        <v>5012</v>
      </c>
      <c r="K167" t="s">
        <v>4993</v>
      </c>
      <c r="L167">
        <v>18</v>
      </c>
      <c r="M167">
        <v>20</v>
      </c>
      <c r="N167" t="s">
        <v>5015</v>
      </c>
      <c r="O167">
        <v>0</v>
      </c>
      <c r="P167">
        <v>1</v>
      </c>
    </row>
    <row r="168" spans="1:16" x14ac:dyDescent="0.25">
      <c r="A168" t="s">
        <v>1114</v>
      </c>
      <c r="B168" t="s">
        <v>1115</v>
      </c>
      <c r="C168">
        <v>6041</v>
      </c>
      <c r="D168" t="s">
        <v>33</v>
      </c>
      <c r="E168" t="s">
        <v>220</v>
      </c>
      <c r="F168">
        <v>32077</v>
      </c>
      <c r="G168" t="s">
        <v>4999</v>
      </c>
      <c r="H168" t="s">
        <v>4993</v>
      </c>
      <c r="I168">
        <v>4.4211</v>
      </c>
      <c r="J168" t="s">
        <v>5012</v>
      </c>
      <c r="K168" t="s">
        <v>4993</v>
      </c>
      <c r="L168">
        <v>19</v>
      </c>
      <c r="M168">
        <v>68</v>
      </c>
      <c r="N168" t="s">
        <v>5014</v>
      </c>
      <c r="O168">
        <v>1</v>
      </c>
      <c r="P168">
        <v>0</v>
      </c>
    </row>
    <row r="169" spans="1:16" x14ac:dyDescent="0.25">
      <c r="A169" t="s">
        <v>2216</v>
      </c>
      <c r="B169" t="s">
        <v>2217</v>
      </c>
      <c r="C169">
        <v>3902</v>
      </c>
      <c r="D169" t="s">
        <v>72</v>
      </c>
      <c r="E169" t="s">
        <v>347</v>
      </c>
      <c r="F169">
        <v>12554</v>
      </c>
      <c r="G169" t="s">
        <v>4999</v>
      </c>
      <c r="H169" t="s">
        <v>4993</v>
      </c>
      <c r="I169">
        <v>4.4000000000000004</v>
      </c>
      <c r="J169" t="s">
        <v>5012</v>
      </c>
      <c r="K169" t="s">
        <v>4993</v>
      </c>
      <c r="L169">
        <v>20</v>
      </c>
      <c r="M169">
        <v>10</v>
      </c>
      <c r="N169" t="s">
        <v>5013</v>
      </c>
      <c r="O169">
        <v>0</v>
      </c>
      <c r="P169">
        <v>0</v>
      </c>
    </row>
    <row r="170" spans="1:16" x14ac:dyDescent="0.25">
      <c r="A170" t="s">
        <v>2203</v>
      </c>
      <c r="B170" t="s">
        <v>2204</v>
      </c>
      <c r="C170">
        <v>6041</v>
      </c>
      <c r="D170" t="s">
        <v>33</v>
      </c>
      <c r="E170" t="s">
        <v>21</v>
      </c>
      <c r="F170">
        <v>12625</v>
      </c>
      <c r="G170" t="s">
        <v>4999</v>
      </c>
      <c r="H170" t="s">
        <v>4993</v>
      </c>
      <c r="I170">
        <v>4.1500000000000004</v>
      </c>
      <c r="J170" t="s">
        <v>5012</v>
      </c>
      <c r="K170" t="s">
        <v>4993</v>
      </c>
      <c r="L170">
        <v>20</v>
      </c>
      <c r="M170">
        <v>112</v>
      </c>
      <c r="N170" t="s">
        <v>5014</v>
      </c>
      <c r="O170">
        <v>0</v>
      </c>
      <c r="P170">
        <v>0</v>
      </c>
    </row>
    <row r="171" spans="1:16" x14ac:dyDescent="0.25">
      <c r="A171" t="s">
        <v>1653</v>
      </c>
      <c r="B171" t="s">
        <v>1654</v>
      </c>
      <c r="C171">
        <v>4164</v>
      </c>
      <c r="D171" t="s">
        <v>623</v>
      </c>
      <c r="E171" t="s">
        <v>8</v>
      </c>
      <c r="F171">
        <v>19264</v>
      </c>
      <c r="G171" t="s">
        <v>4999</v>
      </c>
      <c r="H171" t="s">
        <v>4993</v>
      </c>
      <c r="I171">
        <v>4.3875999999999999</v>
      </c>
      <c r="J171" t="s">
        <v>5012</v>
      </c>
      <c r="K171" t="s">
        <v>4993</v>
      </c>
      <c r="L171">
        <v>663</v>
      </c>
      <c r="M171">
        <v>83</v>
      </c>
      <c r="N171" t="s">
        <v>5014</v>
      </c>
      <c r="O171">
        <v>0</v>
      </c>
      <c r="P171">
        <v>0</v>
      </c>
    </row>
    <row r="172" spans="1:16" x14ac:dyDescent="0.25">
      <c r="A172" t="s">
        <v>1936</v>
      </c>
      <c r="B172" t="s">
        <v>1937</v>
      </c>
      <c r="C172">
        <v>7050</v>
      </c>
      <c r="D172" t="s">
        <v>721</v>
      </c>
      <c r="E172" t="s">
        <v>201</v>
      </c>
      <c r="F172">
        <v>15373</v>
      </c>
      <c r="G172" t="s">
        <v>4999</v>
      </c>
      <c r="H172" t="s">
        <v>4993</v>
      </c>
      <c r="I172">
        <v>4.1151999999999997</v>
      </c>
      <c r="J172" t="s">
        <v>5012</v>
      </c>
      <c r="K172" t="s">
        <v>4993</v>
      </c>
      <c r="L172">
        <v>660</v>
      </c>
      <c r="M172">
        <v>40</v>
      </c>
      <c r="N172" t="s">
        <v>5015</v>
      </c>
      <c r="O172">
        <v>0</v>
      </c>
      <c r="P172">
        <v>0</v>
      </c>
    </row>
    <row r="173" spans="1:16" x14ac:dyDescent="0.25">
      <c r="A173" t="s">
        <v>2145</v>
      </c>
      <c r="B173" t="s">
        <v>2146</v>
      </c>
      <c r="C173">
        <v>7037</v>
      </c>
      <c r="D173" t="s">
        <v>1718</v>
      </c>
      <c r="E173" t="s">
        <v>69</v>
      </c>
      <c r="F173">
        <v>13055</v>
      </c>
      <c r="G173" t="s">
        <v>4999</v>
      </c>
      <c r="H173" t="s">
        <v>4993</v>
      </c>
      <c r="I173">
        <v>4.5909000000000004</v>
      </c>
      <c r="J173" t="s">
        <v>5012</v>
      </c>
      <c r="K173" t="s">
        <v>4993</v>
      </c>
      <c r="L173">
        <v>22</v>
      </c>
      <c r="M173">
        <v>10.99</v>
      </c>
      <c r="N173" t="s">
        <v>5013</v>
      </c>
      <c r="O173">
        <v>0</v>
      </c>
      <c r="P173">
        <v>0</v>
      </c>
    </row>
    <row r="174" spans="1:16" x14ac:dyDescent="0.25">
      <c r="A174" t="s">
        <v>1452</v>
      </c>
      <c r="B174" t="s">
        <v>1453</v>
      </c>
      <c r="C174">
        <v>6125</v>
      </c>
      <c r="D174" t="s">
        <v>3</v>
      </c>
      <c r="E174" t="s">
        <v>220</v>
      </c>
      <c r="F174">
        <v>23044</v>
      </c>
      <c r="G174" t="s">
        <v>4999</v>
      </c>
      <c r="H174" t="s">
        <v>4993</v>
      </c>
      <c r="I174">
        <v>4.3635999999999999</v>
      </c>
      <c r="J174" t="s">
        <v>5012</v>
      </c>
      <c r="K174" t="s">
        <v>4993</v>
      </c>
      <c r="L174">
        <v>22</v>
      </c>
      <c r="M174">
        <v>35</v>
      </c>
      <c r="N174" t="s">
        <v>5015</v>
      </c>
      <c r="O174">
        <v>0</v>
      </c>
      <c r="P174">
        <v>0</v>
      </c>
    </row>
    <row r="175" spans="1:16" x14ac:dyDescent="0.25">
      <c r="A175" t="s">
        <v>1326</v>
      </c>
      <c r="B175" t="s">
        <v>1327</v>
      </c>
      <c r="C175">
        <v>6316</v>
      </c>
      <c r="D175" t="s">
        <v>563</v>
      </c>
      <c r="E175" t="s">
        <v>21</v>
      </c>
      <c r="F175">
        <v>25888</v>
      </c>
      <c r="G175" t="s">
        <v>4999</v>
      </c>
      <c r="H175" t="s">
        <v>4993</v>
      </c>
      <c r="I175">
        <v>4.1886999999999999</v>
      </c>
      <c r="J175" t="s">
        <v>5012</v>
      </c>
      <c r="K175" t="s">
        <v>4993</v>
      </c>
      <c r="L175">
        <v>657</v>
      </c>
      <c r="M175">
        <v>43</v>
      </c>
      <c r="N175" t="s">
        <v>5015</v>
      </c>
      <c r="O175">
        <v>0</v>
      </c>
      <c r="P175">
        <v>0</v>
      </c>
    </row>
    <row r="176" spans="1:16" x14ac:dyDescent="0.25">
      <c r="A176" t="s">
        <v>2534</v>
      </c>
      <c r="B176" t="s">
        <v>2535</v>
      </c>
      <c r="C176">
        <v>5987</v>
      </c>
      <c r="D176" t="s">
        <v>48</v>
      </c>
      <c r="E176" t="s">
        <v>49</v>
      </c>
      <c r="F176">
        <v>10079</v>
      </c>
      <c r="G176" t="s">
        <v>4999</v>
      </c>
      <c r="H176" t="s">
        <v>4993</v>
      </c>
      <c r="I176">
        <v>4.125</v>
      </c>
      <c r="J176" t="s">
        <v>5012</v>
      </c>
      <c r="K176" t="s">
        <v>4993</v>
      </c>
      <c r="L176">
        <v>24</v>
      </c>
      <c r="M176">
        <v>22</v>
      </c>
      <c r="N176" t="s">
        <v>5015</v>
      </c>
      <c r="O176">
        <v>0</v>
      </c>
      <c r="P176">
        <v>0</v>
      </c>
    </row>
    <row r="177" spans="1:16" x14ac:dyDescent="0.25">
      <c r="A177" t="s">
        <v>2268</v>
      </c>
      <c r="B177" t="s">
        <v>2269</v>
      </c>
      <c r="C177">
        <v>6247</v>
      </c>
      <c r="D177" t="s">
        <v>38</v>
      </c>
      <c r="E177" t="s">
        <v>21</v>
      </c>
      <c r="F177">
        <v>12092</v>
      </c>
      <c r="G177" t="s">
        <v>4999</v>
      </c>
      <c r="H177" t="s">
        <v>4993</v>
      </c>
      <c r="I177">
        <v>4.4612999999999996</v>
      </c>
      <c r="J177" t="s">
        <v>5012</v>
      </c>
      <c r="K177" t="s">
        <v>4993</v>
      </c>
      <c r="L177">
        <v>646</v>
      </c>
      <c r="M177">
        <v>17</v>
      </c>
      <c r="N177" t="s">
        <v>5013</v>
      </c>
      <c r="O177">
        <v>0</v>
      </c>
      <c r="P177">
        <v>0</v>
      </c>
    </row>
    <row r="178" spans="1:16" x14ac:dyDescent="0.25">
      <c r="A178" t="s">
        <v>2181</v>
      </c>
      <c r="B178" t="s">
        <v>2182</v>
      </c>
      <c r="C178">
        <v>6014</v>
      </c>
      <c r="D178" t="s">
        <v>102</v>
      </c>
      <c r="E178" t="s">
        <v>69</v>
      </c>
      <c r="F178">
        <v>12733</v>
      </c>
      <c r="G178" t="s">
        <v>4999</v>
      </c>
      <c r="H178" t="s">
        <v>4993</v>
      </c>
      <c r="I178">
        <v>4.3600000000000003</v>
      </c>
      <c r="J178" t="s">
        <v>5012</v>
      </c>
      <c r="K178" t="s">
        <v>4993</v>
      </c>
      <c r="L178">
        <v>25</v>
      </c>
      <c r="M178">
        <v>9</v>
      </c>
      <c r="N178" t="s">
        <v>5013</v>
      </c>
      <c r="O178">
        <v>0</v>
      </c>
      <c r="P178">
        <v>0</v>
      </c>
    </row>
    <row r="179" spans="1:16" x14ac:dyDescent="0.25">
      <c r="A179" t="s">
        <v>1774</v>
      </c>
      <c r="B179" t="s">
        <v>1775</v>
      </c>
      <c r="C179">
        <v>5644</v>
      </c>
      <c r="D179" t="s">
        <v>158</v>
      </c>
      <c r="E179" t="s">
        <v>21</v>
      </c>
      <c r="F179">
        <v>17355</v>
      </c>
      <c r="G179" t="s">
        <v>4999</v>
      </c>
      <c r="H179" t="s">
        <v>4993</v>
      </c>
      <c r="I179">
        <v>4.84</v>
      </c>
      <c r="J179" t="s">
        <v>5012</v>
      </c>
      <c r="K179" t="s">
        <v>4993</v>
      </c>
      <c r="L179">
        <v>25</v>
      </c>
      <c r="M179">
        <v>99</v>
      </c>
      <c r="N179" t="s">
        <v>5014</v>
      </c>
      <c r="O179">
        <v>0</v>
      </c>
      <c r="P179">
        <v>0</v>
      </c>
    </row>
    <row r="180" spans="1:16" x14ac:dyDescent="0.25">
      <c r="A180" t="s">
        <v>1646</v>
      </c>
      <c r="B180" t="s">
        <v>1647</v>
      </c>
      <c r="C180">
        <v>6073</v>
      </c>
      <c r="D180" t="s">
        <v>78</v>
      </c>
      <c r="E180" t="s">
        <v>220</v>
      </c>
      <c r="F180">
        <v>19425</v>
      </c>
      <c r="G180" t="s">
        <v>4999</v>
      </c>
      <c r="H180" t="s">
        <v>4993</v>
      </c>
      <c r="I180">
        <v>4.16</v>
      </c>
      <c r="J180" t="s">
        <v>5012</v>
      </c>
      <c r="K180" t="s">
        <v>4993</v>
      </c>
      <c r="L180">
        <v>25</v>
      </c>
      <c r="M180">
        <v>130</v>
      </c>
      <c r="N180" t="s">
        <v>5014</v>
      </c>
      <c r="O180">
        <v>0</v>
      </c>
      <c r="P180">
        <v>0</v>
      </c>
    </row>
    <row r="181" spans="1:16" x14ac:dyDescent="0.25">
      <c r="A181" t="s">
        <v>2281</v>
      </c>
      <c r="B181" t="s">
        <v>2282</v>
      </c>
      <c r="C181">
        <v>6316</v>
      </c>
      <c r="D181" t="s">
        <v>563</v>
      </c>
      <c r="E181" t="s">
        <v>149</v>
      </c>
      <c r="F181">
        <v>11916</v>
      </c>
      <c r="G181" t="s">
        <v>4999</v>
      </c>
      <c r="H181" t="s">
        <v>4993</v>
      </c>
      <c r="I181">
        <v>4</v>
      </c>
      <c r="J181" t="s">
        <v>5012</v>
      </c>
      <c r="K181" t="s">
        <v>4993</v>
      </c>
      <c r="L181">
        <v>26</v>
      </c>
      <c r="M181">
        <v>45</v>
      </c>
      <c r="N181" t="s">
        <v>5015</v>
      </c>
      <c r="O181">
        <v>0</v>
      </c>
      <c r="P181">
        <v>0</v>
      </c>
    </row>
    <row r="182" spans="1:16" x14ac:dyDescent="0.25">
      <c r="A182" t="s">
        <v>1057</v>
      </c>
      <c r="B182" t="s">
        <v>1058</v>
      </c>
      <c r="C182">
        <v>6014</v>
      </c>
      <c r="D182" t="s">
        <v>102</v>
      </c>
      <c r="E182" t="s">
        <v>21</v>
      </c>
      <c r="F182">
        <v>34356</v>
      </c>
      <c r="G182" t="s">
        <v>4999</v>
      </c>
      <c r="H182" t="s">
        <v>4993</v>
      </c>
      <c r="I182">
        <v>4.4977</v>
      </c>
      <c r="J182" t="s">
        <v>5012</v>
      </c>
      <c r="K182" t="s">
        <v>4993</v>
      </c>
      <c r="L182">
        <v>645</v>
      </c>
      <c r="M182">
        <v>49</v>
      </c>
      <c r="N182" t="s">
        <v>5015</v>
      </c>
      <c r="O182">
        <v>0</v>
      </c>
      <c r="P182">
        <v>0</v>
      </c>
    </row>
    <row r="183" spans="1:16" x14ac:dyDescent="0.25">
      <c r="A183" t="s">
        <v>2515</v>
      </c>
      <c r="B183" t="s">
        <v>2516</v>
      </c>
      <c r="C183">
        <v>6207</v>
      </c>
      <c r="D183" t="s">
        <v>914</v>
      </c>
      <c r="E183" t="s">
        <v>201</v>
      </c>
      <c r="F183">
        <v>10216</v>
      </c>
      <c r="G183" t="s">
        <v>4999</v>
      </c>
      <c r="H183" t="s">
        <v>4993</v>
      </c>
      <c r="I183">
        <v>4.0713999999999997</v>
      </c>
      <c r="J183" t="s">
        <v>5012</v>
      </c>
      <c r="K183" t="s">
        <v>4993</v>
      </c>
      <c r="L183">
        <v>28</v>
      </c>
      <c r="M183">
        <v>63</v>
      </c>
      <c r="N183" t="s">
        <v>5014</v>
      </c>
      <c r="O183">
        <v>0</v>
      </c>
      <c r="P183">
        <v>0</v>
      </c>
    </row>
    <row r="184" spans="1:16" x14ac:dyDescent="0.25">
      <c r="A184" t="s">
        <v>1261</v>
      </c>
      <c r="B184" t="s">
        <v>1262</v>
      </c>
      <c r="C184">
        <v>5922</v>
      </c>
      <c r="D184" t="s">
        <v>204</v>
      </c>
      <c r="E184" t="s">
        <v>149</v>
      </c>
      <c r="F184">
        <v>27604</v>
      </c>
      <c r="G184" t="s">
        <v>4999</v>
      </c>
      <c r="H184" t="s">
        <v>4993</v>
      </c>
      <c r="I184">
        <v>4.4774000000000003</v>
      </c>
      <c r="J184" t="s">
        <v>5012</v>
      </c>
      <c r="K184" t="s">
        <v>4993</v>
      </c>
      <c r="L184">
        <v>641</v>
      </c>
      <c r="M184">
        <v>42</v>
      </c>
      <c r="N184" t="s">
        <v>5015</v>
      </c>
      <c r="O184">
        <v>0</v>
      </c>
      <c r="P184">
        <v>0</v>
      </c>
    </row>
    <row r="185" spans="1:16" x14ac:dyDescent="0.25">
      <c r="A185" t="s">
        <v>1988</v>
      </c>
      <c r="B185" t="s">
        <v>1989</v>
      </c>
      <c r="C185">
        <v>3902</v>
      </c>
      <c r="D185" t="s">
        <v>72</v>
      </c>
      <c r="E185" t="s">
        <v>8</v>
      </c>
      <c r="F185">
        <v>14845</v>
      </c>
      <c r="G185" t="s">
        <v>4999</v>
      </c>
      <c r="H185" t="s">
        <v>4993</v>
      </c>
      <c r="I185">
        <v>4.5861999999999998</v>
      </c>
      <c r="J185" t="s">
        <v>5012</v>
      </c>
      <c r="K185" t="s">
        <v>4993</v>
      </c>
      <c r="L185">
        <v>29</v>
      </c>
      <c r="M185">
        <v>17</v>
      </c>
      <c r="N185" t="s">
        <v>5013</v>
      </c>
      <c r="O185">
        <v>0</v>
      </c>
      <c r="P185">
        <v>0</v>
      </c>
    </row>
    <row r="186" spans="1:16" x14ac:dyDescent="0.25">
      <c r="A186" t="s">
        <v>807</v>
      </c>
      <c r="B186" t="s">
        <v>808</v>
      </c>
      <c r="C186">
        <v>6195</v>
      </c>
      <c r="D186" t="s">
        <v>163</v>
      </c>
      <c r="E186" t="s">
        <v>8</v>
      </c>
      <c r="F186">
        <v>44580</v>
      </c>
      <c r="G186" t="s">
        <v>4999</v>
      </c>
      <c r="H186" t="s">
        <v>4993</v>
      </c>
      <c r="I186">
        <v>4.3464999999999998</v>
      </c>
      <c r="J186" t="s">
        <v>5012</v>
      </c>
      <c r="K186" t="s">
        <v>4993</v>
      </c>
      <c r="L186">
        <v>635</v>
      </c>
      <c r="M186">
        <v>65</v>
      </c>
      <c r="N186" t="s">
        <v>5014</v>
      </c>
      <c r="O186">
        <v>0</v>
      </c>
      <c r="P186">
        <v>0</v>
      </c>
    </row>
    <row r="187" spans="1:16" x14ac:dyDescent="0.25">
      <c r="A187" t="s">
        <v>1830</v>
      </c>
      <c r="B187" t="s">
        <v>1831</v>
      </c>
      <c r="C187">
        <v>4164</v>
      </c>
      <c r="D187" t="s">
        <v>623</v>
      </c>
      <c r="E187" t="s">
        <v>8</v>
      </c>
      <c r="F187">
        <v>16688</v>
      </c>
      <c r="G187" t="s">
        <v>4999</v>
      </c>
      <c r="H187" t="s">
        <v>4993</v>
      </c>
      <c r="I187">
        <v>4.2897999999999996</v>
      </c>
      <c r="J187" t="s">
        <v>5012</v>
      </c>
      <c r="K187" t="s">
        <v>4993</v>
      </c>
      <c r="L187">
        <v>635</v>
      </c>
      <c r="M187">
        <v>48</v>
      </c>
      <c r="N187" t="s">
        <v>5015</v>
      </c>
      <c r="O187">
        <v>0</v>
      </c>
      <c r="P187">
        <v>0</v>
      </c>
    </row>
    <row r="188" spans="1:16" x14ac:dyDescent="0.25">
      <c r="A188" t="s">
        <v>2526</v>
      </c>
      <c r="B188" t="s">
        <v>2527</v>
      </c>
      <c r="C188">
        <v>5644</v>
      </c>
      <c r="D188" t="s">
        <v>158</v>
      </c>
      <c r="E188" t="s">
        <v>13</v>
      </c>
      <c r="F188">
        <v>10137</v>
      </c>
      <c r="G188" t="s">
        <v>4999</v>
      </c>
      <c r="H188" t="s">
        <v>4993</v>
      </c>
      <c r="I188">
        <v>4.4062999999999999</v>
      </c>
      <c r="J188" t="s">
        <v>5012</v>
      </c>
      <c r="K188" t="s">
        <v>4993</v>
      </c>
      <c r="L188">
        <v>32</v>
      </c>
      <c r="M188">
        <v>53</v>
      </c>
      <c r="N188" t="s">
        <v>5014</v>
      </c>
      <c r="O188">
        <v>0</v>
      </c>
      <c r="P188">
        <v>0</v>
      </c>
    </row>
    <row r="189" spans="1:16" x14ac:dyDescent="0.25">
      <c r="A189" t="s">
        <v>1550</v>
      </c>
      <c r="B189" t="s">
        <v>1551</v>
      </c>
      <c r="C189">
        <v>4164</v>
      </c>
      <c r="D189" t="s">
        <v>623</v>
      </c>
      <c r="E189" t="s">
        <v>21</v>
      </c>
      <c r="F189">
        <v>21135</v>
      </c>
      <c r="G189" t="s">
        <v>4999</v>
      </c>
      <c r="H189" t="s">
        <v>4993</v>
      </c>
      <c r="I189">
        <v>4.4755000000000003</v>
      </c>
      <c r="J189" t="s">
        <v>5012</v>
      </c>
      <c r="K189" t="s">
        <v>4993</v>
      </c>
      <c r="L189">
        <v>633</v>
      </c>
      <c r="M189">
        <v>71</v>
      </c>
      <c r="N189" t="s">
        <v>5014</v>
      </c>
      <c r="O189">
        <v>0</v>
      </c>
      <c r="P189">
        <v>0</v>
      </c>
    </row>
    <row r="190" spans="1:16" x14ac:dyDescent="0.25">
      <c r="A190" t="s">
        <v>2396</v>
      </c>
      <c r="B190" t="s">
        <v>2397</v>
      </c>
      <c r="C190">
        <v>8008</v>
      </c>
      <c r="D190" t="s">
        <v>105</v>
      </c>
      <c r="E190" t="s">
        <v>106</v>
      </c>
      <c r="F190">
        <v>11103</v>
      </c>
      <c r="G190" t="s">
        <v>4999</v>
      </c>
      <c r="H190" t="s">
        <v>4993</v>
      </c>
      <c r="I190">
        <v>4.0312999999999999</v>
      </c>
      <c r="J190" t="s">
        <v>5012</v>
      </c>
      <c r="K190" t="s">
        <v>4993</v>
      </c>
      <c r="L190">
        <v>32</v>
      </c>
      <c r="M190">
        <v>24</v>
      </c>
      <c r="N190" t="s">
        <v>5015</v>
      </c>
      <c r="O190">
        <v>0</v>
      </c>
      <c r="P190">
        <v>0</v>
      </c>
    </row>
    <row r="191" spans="1:16" x14ac:dyDescent="0.25">
      <c r="A191" t="s">
        <v>784</v>
      </c>
      <c r="B191" t="s">
        <v>785</v>
      </c>
      <c r="C191">
        <v>6125</v>
      </c>
      <c r="D191" t="s">
        <v>3</v>
      </c>
      <c r="E191" t="s">
        <v>21</v>
      </c>
      <c r="F191">
        <v>45923</v>
      </c>
      <c r="G191" t="s">
        <v>4999</v>
      </c>
      <c r="H191" t="s">
        <v>4993</v>
      </c>
      <c r="I191">
        <v>4.4912999999999998</v>
      </c>
      <c r="J191" t="s">
        <v>5012</v>
      </c>
      <c r="K191" t="s">
        <v>4993</v>
      </c>
      <c r="L191">
        <v>631</v>
      </c>
      <c r="M191">
        <v>35</v>
      </c>
      <c r="N191" t="s">
        <v>5015</v>
      </c>
      <c r="O191">
        <v>0</v>
      </c>
      <c r="P191">
        <v>0</v>
      </c>
    </row>
    <row r="192" spans="1:16" x14ac:dyDescent="0.25">
      <c r="A192" t="s">
        <v>2279</v>
      </c>
      <c r="B192" t="s">
        <v>2280</v>
      </c>
      <c r="C192">
        <v>6283</v>
      </c>
      <c r="D192" t="s">
        <v>1696</v>
      </c>
      <c r="E192" t="s">
        <v>144</v>
      </c>
      <c r="F192">
        <v>11971</v>
      </c>
      <c r="G192" t="s">
        <v>4999</v>
      </c>
      <c r="H192" t="s">
        <v>4993</v>
      </c>
      <c r="I192">
        <v>4</v>
      </c>
      <c r="J192" t="s">
        <v>5012</v>
      </c>
      <c r="K192" t="s">
        <v>4993</v>
      </c>
      <c r="L192">
        <v>34</v>
      </c>
      <c r="M192">
        <v>22</v>
      </c>
      <c r="N192" t="s">
        <v>5015</v>
      </c>
      <c r="O192">
        <v>0</v>
      </c>
      <c r="P192">
        <v>0</v>
      </c>
    </row>
    <row r="193" spans="1:16" x14ac:dyDescent="0.25">
      <c r="A193" t="s">
        <v>2260</v>
      </c>
      <c r="B193" t="s">
        <v>2261</v>
      </c>
      <c r="C193">
        <v>8017</v>
      </c>
      <c r="D193" t="s">
        <v>620</v>
      </c>
      <c r="E193" t="s">
        <v>13</v>
      </c>
      <c r="F193">
        <v>12154</v>
      </c>
      <c r="G193" t="s">
        <v>4999</v>
      </c>
      <c r="H193" t="s">
        <v>4993</v>
      </c>
      <c r="I193">
        <v>4.0881999999999996</v>
      </c>
      <c r="J193" t="s">
        <v>5012</v>
      </c>
      <c r="K193" t="s">
        <v>4993</v>
      </c>
      <c r="L193">
        <v>34</v>
      </c>
      <c r="M193">
        <v>14</v>
      </c>
      <c r="N193" t="s">
        <v>5013</v>
      </c>
      <c r="O193">
        <v>0</v>
      </c>
      <c r="P193">
        <v>0</v>
      </c>
    </row>
    <row r="194" spans="1:16" x14ac:dyDescent="0.25">
      <c r="A194" t="s">
        <v>892</v>
      </c>
      <c r="B194" t="s">
        <v>893</v>
      </c>
      <c r="C194">
        <v>6117</v>
      </c>
      <c r="D194" t="s">
        <v>229</v>
      </c>
      <c r="E194" t="s">
        <v>13</v>
      </c>
      <c r="F194">
        <v>41051</v>
      </c>
      <c r="G194" t="s">
        <v>4999</v>
      </c>
      <c r="H194" t="s">
        <v>4993</v>
      </c>
      <c r="I194">
        <v>4.3577000000000004</v>
      </c>
      <c r="J194" t="s">
        <v>5012</v>
      </c>
      <c r="K194" t="s">
        <v>4993</v>
      </c>
      <c r="L194">
        <v>629</v>
      </c>
      <c r="M194">
        <v>26</v>
      </c>
      <c r="N194" t="s">
        <v>5015</v>
      </c>
      <c r="O194">
        <v>0</v>
      </c>
      <c r="P194">
        <v>0</v>
      </c>
    </row>
    <row r="195" spans="1:16" x14ac:dyDescent="0.25">
      <c r="A195" t="s">
        <v>1843</v>
      </c>
      <c r="B195" t="s">
        <v>1844</v>
      </c>
      <c r="C195">
        <v>7083</v>
      </c>
      <c r="D195" t="s">
        <v>20</v>
      </c>
      <c r="E195" t="s">
        <v>144</v>
      </c>
      <c r="F195">
        <v>16632</v>
      </c>
      <c r="G195" t="s">
        <v>4999</v>
      </c>
      <c r="H195" t="s">
        <v>4993</v>
      </c>
      <c r="I195">
        <v>4.1429</v>
      </c>
      <c r="J195" t="s">
        <v>5012</v>
      </c>
      <c r="K195" t="s">
        <v>4993</v>
      </c>
      <c r="L195">
        <v>35</v>
      </c>
      <c r="M195">
        <v>16</v>
      </c>
      <c r="N195" t="s">
        <v>5013</v>
      </c>
      <c r="O195">
        <v>0</v>
      </c>
      <c r="P195">
        <v>0</v>
      </c>
    </row>
    <row r="196" spans="1:16" x14ac:dyDescent="0.25">
      <c r="A196" t="s">
        <v>1173</v>
      </c>
      <c r="B196" t="s">
        <v>1174</v>
      </c>
      <c r="C196">
        <v>6169</v>
      </c>
      <c r="D196" t="s">
        <v>24</v>
      </c>
      <c r="E196" t="s">
        <v>13</v>
      </c>
      <c r="F196">
        <v>30088</v>
      </c>
      <c r="G196" t="s">
        <v>4999</v>
      </c>
      <c r="H196" t="s">
        <v>4993</v>
      </c>
      <c r="I196">
        <v>4.3868999999999998</v>
      </c>
      <c r="J196" t="s">
        <v>5012</v>
      </c>
      <c r="K196" t="s">
        <v>4993</v>
      </c>
      <c r="L196">
        <v>628</v>
      </c>
      <c r="M196">
        <v>39</v>
      </c>
      <c r="N196" t="s">
        <v>5015</v>
      </c>
      <c r="O196">
        <v>0</v>
      </c>
      <c r="P196">
        <v>0</v>
      </c>
    </row>
    <row r="197" spans="1:16" x14ac:dyDescent="0.25">
      <c r="A197" t="s">
        <v>1714</v>
      </c>
      <c r="B197" t="s">
        <v>1715</v>
      </c>
      <c r="C197">
        <v>8008</v>
      </c>
      <c r="D197" t="s">
        <v>105</v>
      </c>
      <c r="E197" t="s">
        <v>106</v>
      </c>
      <c r="F197">
        <v>17964</v>
      </c>
      <c r="G197" t="s">
        <v>4999</v>
      </c>
      <c r="H197" t="s">
        <v>4993</v>
      </c>
      <c r="I197">
        <v>4.8056000000000001</v>
      </c>
      <c r="J197" t="s">
        <v>5012</v>
      </c>
      <c r="K197" t="s">
        <v>4993</v>
      </c>
      <c r="L197">
        <v>36</v>
      </c>
      <c r="M197">
        <v>24</v>
      </c>
      <c r="N197" t="s">
        <v>5015</v>
      </c>
      <c r="O197">
        <v>0</v>
      </c>
      <c r="P197">
        <v>0</v>
      </c>
    </row>
    <row r="198" spans="1:16" x14ac:dyDescent="0.25">
      <c r="A198" t="s">
        <v>2402</v>
      </c>
      <c r="B198" t="s">
        <v>2403</v>
      </c>
      <c r="C198">
        <v>6089</v>
      </c>
      <c r="D198" t="s">
        <v>605</v>
      </c>
      <c r="E198" t="s">
        <v>8</v>
      </c>
      <c r="F198">
        <v>11042</v>
      </c>
      <c r="G198" t="s">
        <v>4999</v>
      </c>
      <c r="H198" t="s">
        <v>4993</v>
      </c>
      <c r="I198">
        <v>4.4595000000000002</v>
      </c>
      <c r="J198" t="s">
        <v>5012</v>
      </c>
      <c r="K198" t="s">
        <v>4993</v>
      </c>
      <c r="L198">
        <v>37</v>
      </c>
      <c r="M198">
        <v>92</v>
      </c>
      <c r="N198" t="s">
        <v>5014</v>
      </c>
      <c r="O198">
        <v>0</v>
      </c>
      <c r="P198">
        <v>0</v>
      </c>
    </row>
    <row r="199" spans="1:16" x14ac:dyDescent="0.25">
      <c r="A199" t="s">
        <v>1430</v>
      </c>
      <c r="B199" t="s">
        <v>1431</v>
      </c>
      <c r="C199">
        <v>3728</v>
      </c>
      <c r="D199" t="s">
        <v>458</v>
      </c>
      <c r="E199" t="s">
        <v>8</v>
      </c>
      <c r="F199">
        <v>23319</v>
      </c>
      <c r="G199" t="s">
        <v>4999</v>
      </c>
      <c r="H199" t="s">
        <v>4993</v>
      </c>
      <c r="I199">
        <v>4.2767999999999997</v>
      </c>
      <c r="J199" t="s">
        <v>5012</v>
      </c>
      <c r="K199" t="s">
        <v>4993</v>
      </c>
      <c r="L199">
        <v>625</v>
      </c>
      <c r="M199">
        <v>48</v>
      </c>
      <c r="N199" t="s">
        <v>5015</v>
      </c>
      <c r="O199">
        <v>0</v>
      </c>
      <c r="P199">
        <v>0</v>
      </c>
    </row>
    <row r="200" spans="1:16" x14ac:dyDescent="0.25">
      <c r="A200" t="s">
        <v>1978</v>
      </c>
      <c r="B200" t="s">
        <v>1979</v>
      </c>
      <c r="C200">
        <v>6352</v>
      </c>
      <c r="D200" t="s">
        <v>251</v>
      </c>
      <c r="E200" t="s">
        <v>21</v>
      </c>
      <c r="F200">
        <v>14985</v>
      </c>
      <c r="G200" t="s">
        <v>4999</v>
      </c>
      <c r="H200" t="s">
        <v>4993</v>
      </c>
      <c r="I200">
        <v>4.4865000000000004</v>
      </c>
      <c r="J200" t="s">
        <v>5012</v>
      </c>
      <c r="K200" t="s">
        <v>4993</v>
      </c>
      <c r="L200">
        <v>37</v>
      </c>
      <c r="M200">
        <v>35</v>
      </c>
      <c r="N200" t="s">
        <v>5015</v>
      </c>
      <c r="O200">
        <v>0</v>
      </c>
      <c r="P200">
        <v>0</v>
      </c>
    </row>
    <row r="201" spans="1:16" x14ac:dyDescent="0.25">
      <c r="A201" t="s">
        <v>1780</v>
      </c>
      <c r="B201" t="s">
        <v>1781</v>
      </c>
      <c r="C201">
        <v>6341</v>
      </c>
      <c r="D201" t="s">
        <v>66</v>
      </c>
      <c r="E201" t="s">
        <v>21</v>
      </c>
      <c r="F201">
        <v>17313</v>
      </c>
      <c r="G201" t="s">
        <v>4999</v>
      </c>
      <c r="H201" t="s">
        <v>4993</v>
      </c>
      <c r="I201">
        <v>4.3243</v>
      </c>
      <c r="J201" t="s">
        <v>5012</v>
      </c>
      <c r="K201" t="s">
        <v>4993</v>
      </c>
      <c r="L201">
        <v>37</v>
      </c>
      <c r="M201">
        <v>37</v>
      </c>
      <c r="N201" t="s">
        <v>5015</v>
      </c>
      <c r="O201">
        <v>0</v>
      </c>
      <c r="P201">
        <v>0</v>
      </c>
    </row>
    <row r="202" spans="1:16" x14ac:dyDescent="0.25">
      <c r="A202" t="s">
        <v>1416</v>
      </c>
      <c r="B202" t="s">
        <v>1417</v>
      </c>
      <c r="C202">
        <v>6041</v>
      </c>
      <c r="D202" t="s">
        <v>33</v>
      </c>
      <c r="E202" t="s">
        <v>220</v>
      </c>
      <c r="F202">
        <v>23678</v>
      </c>
      <c r="G202" t="s">
        <v>4999</v>
      </c>
      <c r="H202" t="s">
        <v>4993</v>
      </c>
      <c r="I202">
        <v>4.5404999999999998</v>
      </c>
      <c r="J202" t="s">
        <v>5012</v>
      </c>
      <c r="K202" t="s">
        <v>4993</v>
      </c>
      <c r="L202">
        <v>37</v>
      </c>
      <c r="M202">
        <v>27</v>
      </c>
      <c r="N202" t="s">
        <v>5015</v>
      </c>
      <c r="O202">
        <v>1</v>
      </c>
      <c r="P202">
        <v>0</v>
      </c>
    </row>
    <row r="203" spans="1:16" x14ac:dyDescent="0.25">
      <c r="A203" t="s">
        <v>2195</v>
      </c>
      <c r="B203" t="s">
        <v>2196</v>
      </c>
      <c r="C203">
        <v>7037</v>
      </c>
      <c r="D203" t="s">
        <v>1718</v>
      </c>
      <c r="E203" t="s">
        <v>347</v>
      </c>
      <c r="F203">
        <v>12668</v>
      </c>
      <c r="G203" t="s">
        <v>4999</v>
      </c>
      <c r="H203" t="s">
        <v>4993</v>
      </c>
      <c r="I203">
        <v>4.3947000000000003</v>
      </c>
      <c r="J203" t="s">
        <v>5012</v>
      </c>
      <c r="K203" t="s">
        <v>4993</v>
      </c>
      <c r="L203">
        <v>38</v>
      </c>
      <c r="M203">
        <v>299</v>
      </c>
      <c r="N203" t="s">
        <v>5014</v>
      </c>
      <c r="O203">
        <v>0</v>
      </c>
      <c r="P203">
        <v>0</v>
      </c>
    </row>
    <row r="204" spans="1:16" x14ac:dyDescent="0.25">
      <c r="A204" t="s">
        <v>963</v>
      </c>
      <c r="B204" t="s">
        <v>964</v>
      </c>
      <c r="C204">
        <v>5857</v>
      </c>
      <c r="D204" t="s">
        <v>433</v>
      </c>
      <c r="E204" t="s">
        <v>21</v>
      </c>
      <c r="F204">
        <v>38294</v>
      </c>
      <c r="G204" t="s">
        <v>4999</v>
      </c>
      <c r="H204" t="s">
        <v>4993</v>
      </c>
      <c r="I204">
        <v>4.4863999999999997</v>
      </c>
      <c r="J204" t="s">
        <v>5012</v>
      </c>
      <c r="K204" t="s">
        <v>4993</v>
      </c>
      <c r="L204">
        <v>623</v>
      </c>
      <c r="M204">
        <v>55</v>
      </c>
      <c r="N204" t="s">
        <v>5014</v>
      </c>
      <c r="O204">
        <v>0</v>
      </c>
      <c r="P204">
        <v>0</v>
      </c>
    </row>
    <row r="205" spans="1:16" x14ac:dyDescent="0.25">
      <c r="A205" t="s">
        <v>1102</v>
      </c>
      <c r="B205" t="s">
        <v>1103</v>
      </c>
      <c r="C205">
        <v>3902</v>
      </c>
      <c r="D205" t="s">
        <v>72</v>
      </c>
      <c r="E205" t="s">
        <v>69</v>
      </c>
      <c r="F205">
        <v>32212</v>
      </c>
      <c r="G205" t="s">
        <v>4999</v>
      </c>
      <c r="H205" t="s">
        <v>4993</v>
      </c>
      <c r="I205">
        <v>4.3684000000000003</v>
      </c>
      <c r="J205" t="s">
        <v>5012</v>
      </c>
      <c r="K205" t="s">
        <v>4993</v>
      </c>
      <c r="L205">
        <v>38</v>
      </c>
      <c r="M205">
        <v>10</v>
      </c>
      <c r="N205" t="s">
        <v>5013</v>
      </c>
      <c r="O205">
        <v>0</v>
      </c>
      <c r="P205">
        <v>0</v>
      </c>
    </row>
    <row r="206" spans="1:16" x14ac:dyDescent="0.25">
      <c r="A206" t="s">
        <v>866</v>
      </c>
      <c r="B206" t="s">
        <v>867</v>
      </c>
      <c r="C206">
        <v>6125</v>
      </c>
      <c r="D206" t="s">
        <v>3</v>
      </c>
      <c r="E206" t="s">
        <v>220</v>
      </c>
      <c r="F206">
        <v>41957</v>
      </c>
      <c r="G206" t="s">
        <v>4999</v>
      </c>
      <c r="H206" t="s">
        <v>4993</v>
      </c>
      <c r="I206">
        <v>4.2632000000000003</v>
      </c>
      <c r="J206" t="s">
        <v>5012</v>
      </c>
      <c r="K206" t="s">
        <v>4993</v>
      </c>
      <c r="L206">
        <v>38</v>
      </c>
      <c r="M206">
        <v>21</v>
      </c>
      <c r="N206" t="s">
        <v>5015</v>
      </c>
      <c r="O206">
        <v>1</v>
      </c>
      <c r="P206">
        <v>0</v>
      </c>
    </row>
    <row r="207" spans="1:16" x14ac:dyDescent="0.25">
      <c r="A207" t="s">
        <v>1012</v>
      </c>
      <c r="B207" t="s">
        <v>1013</v>
      </c>
      <c r="C207">
        <v>5946</v>
      </c>
      <c r="D207" t="s">
        <v>341</v>
      </c>
      <c r="E207" t="s">
        <v>8</v>
      </c>
      <c r="F207">
        <v>36518</v>
      </c>
      <c r="G207" t="s">
        <v>4999</v>
      </c>
      <c r="H207" t="s">
        <v>4993</v>
      </c>
      <c r="I207">
        <v>4.2392000000000003</v>
      </c>
      <c r="J207" t="s">
        <v>5012</v>
      </c>
      <c r="K207" t="s">
        <v>4993</v>
      </c>
      <c r="L207">
        <v>623</v>
      </c>
      <c r="M207">
        <v>44</v>
      </c>
      <c r="N207" t="s">
        <v>5015</v>
      </c>
      <c r="O207">
        <v>0</v>
      </c>
      <c r="P207">
        <v>0</v>
      </c>
    </row>
    <row r="208" spans="1:16" x14ac:dyDescent="0.25">
      <c r="A208" t="s">
        <v>2384</v>
      </c>
      <c r="B208" t="s">
        <v>2385</v>
      </c>
      <c r="C208">
        <v>3733</v>
      </c>
      <c r="D208" t="s">
        <v>124</v>
      </c>
      <c r="E208" t="s">
        <v>21</v>
      </c>
      <c r="F208">
        <v>11217</v>
      </c>
      <c r="G208" t="s">
        <v>4999</v>
      </c>
      <c r="H208" t="s">
        <v>4993</v>
      </c>
      <c r="I208">
        <v>4.5385</v>
      </c>
      <c r="J208" t="s">
        <v>5012</v>
      </c>
      <c r="K208" t="s">
        <v>4993</v>
      </c>
      <c r="L208">
        <v>39</v>
      </c>
      <c r="M208">
        <v>73</v>
      </c>
      <c r="N208" t="s">
        <v>5014</v>
      </c>
      <c r="O208">
        <v>0</v>
      </c>
      <c r="P208">
        <v>0</v>
      </c>
    </row>
    <row r="209" spans="1:16" x14ac:dyDescent="0.25">
      <c r="A209" t="s">
        <v>1970</v>
      </c>
      <c r="B209" t="s">
        <v>1971</v>
      </c>
      <c r="C209">
        <v>3728</v>
      </c>
      <c r="D209" t="s">
        <v>458</v>
      </c>
      <c r="E209" t="s">
        <v>220</v>
      </c>
      <c r="F209">
        <v>15019</v>
      </c>
      <c r="G209" t="s">
        <v>4999</v>
      </c>
      <c r="H209" t="s">
        <v>4993</v>
      </c>
      <c r="I209">
        <v>4.5999999999999996</v>
      </c>
      <c r="J209" t="s">
        <v>5012</v>
      </c>
      <c r="K209" t="s">
        <v>4993</v>
      </c>
      <c r="L209">
        <v>40</v>
      </c>
      <c r="M209">
        <v>58</v>
      </c>
      <c r="N209" t="s">
        <v>5014</v>
      </c>
      <c r="O209">
        <v>1</v>
      </c>
      <c r="P209">
        <v>0</v>
      </c>
    </row>
    <row r="210" spans="1:16" x14ac:dyDescent="0.25">
      <c r="A210" t="s">
        <v>1946</v>
      </c>
      <c r="B210" t="s">
        <v>1947</v>
      </c>
      <c r="C210">
        <v>3902</v>
      </c>
      <c r="D210" t="s">
        <v>72</v>
      </c>
      <c r="E210" t="s">
        <v>347</v>
      </c>
      <c r="F210">
        <v>15323</v>
      </c>
      <c r="G210" t="s">
        <v>4999</v>
      </c>
      <c r="H210" t="s">
        <v>4993</v>
      </c>
      <c r="I210">
        <v>4</v>
      </c>
      <c r="J210" t="s">
        <v>5012</v>
      </c>
      <c r="K210" t="s">
        <v>4993</v>
      </c>
      <c r="L210">
        <v>40</v>
      </c>
      <c r="M210">
        <v>14</v>
      </c>
      <c r="N210" t="s">
        <v>5013</v>
      </c>
      <c r="O210">
        <v>0</v>
      </c>
      <c r="P210">
        <v>1</v>
      </c>
    </row>
    <row r="211" spans="1:16" x14ac:dyDescent="0.25">
      <c r="A211" t="s">
        <v>1630</v>
      </c>
      <c r="B211" t="s">
        <v>1631</v>
      </c>
      <c r="C211">
        <v>5946</v>
      </c>
      <c r="D211" t="s">
        <v>341</v>
      </c>
      <c r="E211" t="s">
        <v>21</v>
      </c>
      <c r="F211">
        <v>19623</v>
      </c>
      <c r="G211" t="s">
        <v>4999</v>
      </c>
      <c r="H211" t="s">
        <v>4993</v>
      </c>
      <c r="I211">
        <v>4.0449000000000002</v>
      </c>
      <c r="J211" t="s">
        <v>5012</v>
      </c>
      <c r="K211" t="s">
        <v>4993</v>
      </c>
      <c r="L211">
        <v>623</v>
      </c>
      <c r="M211">
        <v>76</v>
      </c>
      <c r="N211" t="s">
        <v>5014</v>
      </c>
      <c r="O211">
        <v>0</v>
      </c>
      <c r="P211">
        <v>0</v>
      </c>
    </row>
    <row r="212" spans="1:16" x14ac:dyDescent="0.25">
      <c r="A212" t="s">
        <v>1154</v>
      </c>
      <c r="B212" t="s">
        <v>1155</v>
      </c>
      <c r="C212">
        <v>6189</v>
      </c>
      <c r="D212" t="s">
        <v>30</v>
      </c>
      <c r="E212" t="s">
        <v>13</v>
      </c>
      <c r="F212">
        <v>30873</v>
      </c>
      <c r="G212" t="s">
        <v>4999</v>
      </c>
      <c r="H212" t="s">
        <v>4993</v>
      </c>
      <c r="I212">
        <v>4.4386999999999999</v>
      </c>
      <c r="J212" t="s">
        <v>5012</v>
      </c>
      <c r="K212" t="s">
        <v>4993</v>
      </c>
      <c r="L212">
        <v>620</v>
      </c>
      <c r="M212">
        <v>28</v>
      </c>
      <c r="N212" t="s">
        <v>5015</v>
      </c>
      <c r="O212">
        <v>1</v>
      </c>
      <c r="P212">
        <v>0</v>
      </c>
    </row>
    <row r="213" spans="1:16" x14ac:dyDescent="0.25">
      <c r="A213" t="s">
        <v>1473</v>
      </c>
      <c r="B213" t="s">
        <v>1474</v>
      </c>
      <c r="C213">
        <v>6195</v>
      </c>
      <c r="D213" t="s">
        <v>163</v>
      </c>
      <c r="E213" t="s">
        <v>21</v>
      </c>
      <c r="F213">
        <v>22591</v>
      </c>
      <c r="G213" t="s">
        <v>4999</v>
      </c>
      <c r="H213" t="s">
        <v>4993</v>
      </c>
      <c r="I213">
        <v>4.1500000000000004</v>
      </c>
      <c r="J213" t="s">
        <v>5012</v>
      </c>
      <c r="K213" t="s">
        <v>4993</v>
      </c>
      <c r="L213">
        <v>40</v>
      </c>
      <c r="M213">
        <v>40</v>
      </c>
      <c r="N213" t="s">
        <v>5015</v>
      </c>
      <c r="O213">
        <v>0</v>
      </c>
      <c r="P213">
        <v>0</v>
      </c>
    </row>
    <row r="214" spans="1:16" x14ac:dyDescent="0.25">
      <c r="A214" t="s">
        <v>2081</v>
      </c>
      <c r="B214" t="s">
        <v>2082</v>
      </c>
      <c r="C214">
        <v>6014</v>
      </c>
      <c r="D214" t="s">
        <v>102</v>
      </c>
      <c r="E214" t="s">
        <v>21</v>
      </c>
      <c r="F214">
        <v>13761</v>
      </c>
      <c r="G214" t="s">
        <v>4999</v>
      </c>
      <c r="H214" t="s">
        <v>4993</v>
      </c>
      <c r="I214">
        <v>4.2435</v>
      </c>
      <c r="J214" t="s">
        <v>5012</v>
      </c>
      <c r="K214" t="s">
        <v>4993</v>
      </c>
      <c r="L214">
        <v>620</v>
      </c>
      <c r="M214">
        <v>35</v>
      </c>
      <c r="N214" t="s">
        <v>5015</v>
      </c>
      <c r="O214">
        <v>0</v>
      </c>
      <c r="P214">
        <v>0</v>
      </c>
    </row>
    <row r="215" spans="1:16" x14ac:dyDescent="0.25">
      <c r="A215" t="s">
        <v>2025</v>
      </c>
      <c r="B215" t="s">
        <v>2026</v>
      </c>
      <c r="C215">
        <v>5972</v>
      </c>
      <c r="D215" t="s">
        <v>54</v>
      </c>
      <c r="E215" t="s">
        <v>69</v>
      </c>
      <c r="F215">
        <v>14414</v>
      </c>
      <c r="G215" t="s">
        <v>4999</v>
      </c>
      <c r="H215" t="s">
        <v>4993</v>
      </c>
      <c r="I215">
        <v>4.5366</v>
      </c>
      <c r="J215" t="s">
        <v>5012</v>
      </c>
      <c r="K215" t="s">
        <v>4993</v>
      </c>
      <c r="L215">
        <v>41</v>
      </c>
      <c r="M215">
        <v>30</v>
      </c>
      <c r="N215" t="s">
        <v>5015</v>
      </c>
      <c r="O215">
        <v>0</v>
      </c>
      <c r="P215">
        <v>1</v>
      </c>
    </row>
    <row r="216" spans="1:16" x14ac:dyDescent="0.25">
      <c r="A216" t="s">
        <v>1116</v>
      </c>
      <c r="B216" t="s">
        <v>1117</v>
      </c>
      <c r="C216">
        <v>3902</v>
      </c>
      <c r="D216" t="s">
        <v>72</v>
      </c>
      <c r="E216" t="s">
        <v>347</v>
      </c>
      <c r="F216">
        <v>31987</v>
      </c>
      <c r="G216" t="s">
        <v>4999</v>
      </c>
      <c r="H216" t="s">
        <v>4993</v>
      </c>
      <c r="I216">
        <v>4.4146000000000001</v>
      </c>
      <c r="J216" t="s">
        <v>5012</v>
      </c>
      <c r="K216" t="s">
        <v>4993</v>
      </c>
      <c r="L216">
        <v>41</v>
      </c>
      <c r="M216">
        <v>12</v>
      </c>
      <c r="N216" t="s">
        <v>5013</v>
      </c>
      <c r="O216">
        <v>0</v>
      </c>
      <c r="P216">
        <v>0</v>
      </c>
    </row>
    <row r="217" spans="1:16" x14ac:dyDescent="0.25">
      <c r="A217" t="s">
        <v>1497</v>
      </c>
      <c r="B217" t="s">
        <v>1498</v>
      </c>
      <c r="C217">
        <v>8001</v>
      </c>
      <c r="D217" t="s">
        <v>27</v>
      </c>
      <c r="E217" t="s">
        <v>13</v>
      </c>
      <c r="F217">
        <v>22126</v>
      </c>
      <c r="G217" t="s">
        <v>4999</v>
      </c>
      <c r="H217" t="s">
        <v>4993</v>
      </c>
      <c r="I217">
        <v>4.6494</v>
      </c>
      <c r="J217" t="s">
        <v>5012</v>
      </c>
      <c r="K217" t="s">
        <v>4993</v>
      </c>
      <c r="L217">
        <v>619</v>
      </c>
      <c r="M217">
        <v>36</v>
      </c>
      <c r="N217" t="s">
        <v>5015</v>
      </c>
      <c r="O217">
        <v>0</v>
      </c>
      <c r="P217">
        <v>0</v>
      </c>
    </row>
    <row r="218" spans="1:16" x14ac:dyDescent="0.25">
      <c r="A218" t="s">
        <v>1966</v>
      </c>
      <c r="B218" t="s">
        <v>1967</v>
      </c>
      <c r="C218">
        <v>6201</v>
      </c>
      <c r="D218" t="s">
        <v>367</v>
      </c>
      <c r="E218" t="s">
        <v>69</v>
      </c>
      <c r="F218">
        <v>15023</v>
      </c>
      <c r="G218" t="s">
        <v>4999</v>
      </c>
      <c r="H218" t="s">
        <v>4993</v>
      </c>
      <c r="I218">
        <v>4.2857000000000003</v>
      </c>
      <c r="J218" t="s">
        <v>5012</v>
      </c>
      <c r="K218" t="s">
        <v>4993</v>
      </c>
      <c r="L218">
        <v>42</v>
      </c>
      <c r="M218">
        <v>300</v>
      </c>
      <c r="N218" t="s">
        <v>5014</v>
      </c>
      <c r="O218">
        <v>0</v>
      </c>
      <c r="P218">
        <v>0</v>
      </c>
    </row>
    <row r="219" spans="1:16" x14ac:dyDescent="0.25">
      <c r="A219" t="s">
        <v>1580</v>
      </c>
      <c r="B219" t="s">
        <v>1581</v>
      </c>
      <c r="C219">
        <v>6234</v>
      </c>
      <c r="D219" t="s">
        <v>7</v>
      </c>
      <c r="E219" t="s">
        <v>8</v>
      </c>
      <c r="F219">
        <v>20715</v>
      </c>
      <c r="G219" t="s">
        <v>4999</v>
      </c>
      <c r="H219" t="s">
        <v>4993</v>
      </c>
      <c r="I219">
        <v>4</v>
      </c>
      <c r="J219" t="s">
        <v>5012</v>
      </c>
      <c r="K219" t="s">
        <v>4993</v>
      </c>
      <c r="L219">
        <v>42</v>
      </c>
      <c r="M219">
        <v>20</v>
      </c>
      <c r="N219" t="s">
        <v>5015</v>
      </c>
      <c r="O219">
        <v>0</v>
      </c>
      <c r="P219">
        <v>1</v>
      </c>
    </row>
    <row r="220" spans="1:16" x14ac:dyDescent="0.25">
      <c r="A220" t="s">
        <v>719</v>
      </c>
      <c r="B220" t="s">
        <v>720</v>
      </c>
      <c r="C220">
        <v>7050</v>
      </c>
      <c r="D220" t="s">
        <v>721</v>
      </c>
      <c r="E220" t="s">
        <v>201</v>
      </c>
      <c r="F220">
        <v>49678</v>
      </c>
      <c r="G220" t="s">
        <v>4999</v>
      </c>
      <c r="H220" t="s">
        <v>4993</v>
      </c>
      <c r="I220">
        <v>4.0534999999999997</v>
      </c>
      <c r="J220" t="s">
        <v>5012</v>
      </c>
      <c r="K220" t="s">
        <v>4993</v>
      </c>
      <c r="L220">
        <v>617</v>
      </c>
      <c r="M220">
        <v>26</v>
      </c>
      <c r="N220" t="s">
        <v>5015</v>
      </c>
      <c r="O220">
        <v>0</v>
      </c>
      <c r="P220">
        <v>0</v>
      </c>
    </row>
    <row r="221" spans="1:16" x14ac:dyDescent="0.25">
      <c r="A221" t="s">
        <v>1952</v>
      </c>
      <c r="B221" t="s">
        <v>1953</v>
      </c>
      <c r="C221">
        <v>3902</v>
      </c>
      <c r="D221" t="s">
        <v>72</v>
      </c>
      <c r="E221" t="s">
        <v>149</v>
      </c>
      <c r="F221">
        <v>15171</v>
      </c>
      <c r="G221" t="s">
        <v>4999</v>
      </c>
      <c r="H221" t="s">
        <v>4993</v>
      </c>
      <c r="I221">
        <v>4.1364000000000001</v>
      </c>
      <c r="J221" t="s">
        <v>5012</v>
      </c>
      <c r="K221" t="s">
        <v>4993</v>
      </c>
      <c r="L221">
        <v>44</v>
      </c>
      <c r="M221">
        <v>18</v>
      </c>
      <c r="N221" t="s">
        <v>5013</v>
      </c>
      <c r="O221">
        <v>0</v>
      </c>
      <c r="P221">
        <v>0</v>
      </c>
    </row>
    <row r="222" spans="1:16" x14ac:dyDescent="0.25">
      <c r="A222" t="s">
        <v>2426</v>
      </c>
      <c r="B222" t="s">
        <v>2427</v>
      </c>
      <c r="C222">
        <v>6218</v>
      </c>
      <c r="D222" t="s">
        <v>116</v>
      </c>
      <c r="E222" t="s">
        <v>69</v>
      </c>
      <c r="F222">
        <v>10799</v>
      </c>
      <c r="G222" t="s">
        <v>4999</v>
      </c>
      <c r="H222" t="s">
        <v>4993</v>
      </c>
      <c r="I222">
        <v>4.5110999999999999</v>
      </c>
      <c r="J222" t="s">
        <v>5012</v>
      </c>
      <c r="K222" t="s">
        <v>4993</v>
      </c>
      <c r="L222">
        <v>45</v>
      </c>
      <c r="M222">
        <v>47</v>
      </c>
      <c r="N222" t="s">
        <v>5015</v>
      </c>
      <c r="O222">
        <v>0</v>
      </c>
      <c r="P222">
        <v>0</v>
      </c>
    </row>
    <row r="223" spans="1:16" x14ac:dyDescent="0.25">
      <c r="A223" t="s">
        <v>2005</v>
      </c>
      <c r="B223" t="s">
        <v>2006</v>
      </c>
      <c r="C223">
        <v>7050</v>
      </c>
      <c r="D223" t="s">
        <v>721</v>
      </c>
      <c r="E223" t="s">
        <v>201</v>
      </c>
      <c r="F223">
        <v>14709</v>
      </c>
      <c r="G223" t="s">
        <v>4999</v>
      </c>
      <c r="H223" t="s">
        <v>4993</v>
      </c>
      <c r="I223">
        <v>4.6444000000000001</v>
      </c>
      <c r="J223" t="s">
        <v>5012</v>
      </c>
      <c r="K223" t="s">
        <v>4993</v>
      </c>
      <c r="L223">
        <v>45</v>
      </c>
      <c r="M223">
        <v>12</v>
      </c>
      <c r="N223" t="s">
        <v>5013</v>
      </c>
      <c r="O223">
        <v>0</v>
      </c>
      <c r="P223">
        <v>0</v>
      </c>
    </row>
    <row r="224" spans="1:16" x14ac:dyDescent="0.25">
      <c r="A224" t="s">
        <v>1063</v>
      </c>
      <c r="B224" t="s">
        <v>1064</v>
      </c>
      <c r="C224">
        <v>3902</v>
      </c>
      <c r="D224" t="s">
        <v>72</v>
      </c>
      <c r="E224" t="s">
        <v>21</v>
      </c>
      <c r="F224">
        <v>34044</v>
      </c>
      <c r="G224" t="s">
        <v>4999</v>
      </c>
      <c r="H224" t="s">
        <v>4993</v>
      </c>
      <c r="I224">
        <v>4.0217000000000001</v>
      </c>
      <c r="J224" t="s">
        <v>5012</v>
      </c>
      <c r="K224" t="s">
        <v>4993</v>
      </c>
      <c r="L224">
        <v>46</v>
      </c>
      <c r="M224">
        <v>18</v>
      </c>
      <c r="N224" t="s">
        <v>5013</v>
      </c>
      <c r="O224">
        <v>0</v>
      </c>
      <c r="P224">
        <v>0</v>
      </c>
    </row>
    <row r="225" spans="1:16" x14ac:dyDescent="0.25">
      <c r="A225" t="s">
        <v>1521</v>
      </c>
      <c r="B225" t="s">
        <v>1522</v>
      </c>
      <c r="C225">
        <v>6219</v>
      </c>
      <c r="D225" t="s">
        <v>277</v>
      </c>
      <c r="E225" t="s">
        <v>8</v>
      </c>
      <c r="F225">
        <v>21673</v>
      </c>
      <c r="G225" t="s">
        <v>4999</v>
      </c>
      <c r="H225" t="s">
        <v>4993</v>
      </c>
      <c r="I225">
        <v>4.5713999999999997</v>
      </c>
      <c r="J225" t="s">
        <v>5012</v>
      </c>
      <c r="K225" t="s">
        <v>4993</v>
      </c>
      <c r="L225">
        <v>616</v>
      </c>
      <c r="M225">
        <v>95</v>
      </c>
      <c r="N225" t="s">
        <v>5014</v>
      </c>
      <c r="O225">
        <v>0</v>
      </c>
      <c r="P225">
        <v>0</v>
      </c>
    </row>
    <row r="226" spans="1:16" x14ac:dyDescent="0.25">
      <c r="A226" t="s">
        <v>825</v>
      </c>
      <c r="B226" t="s">
        <v>826</v>
      </c>
      <c r="C226">
        <v>6285</v>
      </c>
      <c r="D226" t="s">
        <v>119</v>
      </c>
      <c r="E226" t="s">
        <v>8</v>
      </c>
      <c r="F226">
        <v>43585</v>
      </c>
      <c r="G226" t="s">
        <v>4999</v>
      </c>
      <c r="H226" t="s">
        <v>4993</v>
      </c>
      <c r="I226">
        <v>4.3087999999999997</v>
      </c>
      <c r="J226" t="s">
        <v>5012</v>
      </c>
      <c r="K226" t="s">
        <v>4993</v>
      </c>
      <c r="L226">
        <v>612</v>
      </c>
      <c r="M226">
        <v>9.99</v>
      </c>
      <c r="N226" t="s">
        <v>5013</v>
      </c>
      <c r="O226">
        <v>0</v>
      </c>
      <c r="P226">
        <v>0</v>
      </c>
    </row>
    <row r="227" spans="1:16" x14ac:dyDescent="0.25">
      <c r="A227" t="s">
        <v>2015</v>
      </c>
      <c r="B227" t="s">
        <v>2016</v>
      </c>
      <c r="C227">
        <v>6341</v>
      </c>
      <c r="D227" t="s">
        <v>66</v>
      </c>
      <c r="E227" t="s">
        <v>13</v>
      </c>
      <c r="F227">
        <v>14565</v>
      </c>
      <c r="G227" t="s">
        <v>4999</v>
      </c>
      <c r="H227" t="s">
        <v>4993</v>
      </c>
      <c r="I227">
        <v>4.617</v>
      </c>
      <c r="J227" t="s">
        <v>5012</v>
      </c>
      <c r="K227" t="s">
        <v>4993</v>
      </c>
      <c r="L227">
        <v>47</v>
      </c>
      <c r="M227">
        <v>34</v>
      </c>
      <c r="N227" t="s">
        <v>5015</v>
      </c>
      <c r="O227">
        <v>0</v>
      </c>
      <c r="P227">
        <v>0</v>
      </c>
    </row>
    <row r="228" spans="1:16" x14ac:dyDescent="0.25">
      <c r="A228" t="s">
        <v>2264</v>
      </c>
      <c r="B228" t="s">
        <v>2265</v>
      </c>
      <c r="C228">
        <v>7075</v>
      </c>
      <c r="D228" t="s">
        <v>75</v>
      </c>
      <c r="E228" t="s">
        <v>21</v>
      </c>
      <c r="F228">
        <v>12101</v>
      </c>
      <c r="G228" t="s">
        <v>4999</v>
      </c>
      <c r="H228" t="s">
        <v>4993</v>
      </c>
      <c r="I228">
        <v>4.1041999999999996</v>
      </c>
      <c r="J228" t="s">
        <v>5012</v>
      </c>
      <c r="K228" t="s">
        <v>4993</v>
      </c>
      <c r="L228">
        <v>48</v>
      </c>
      <c r="M228">
        <v>38</v>
      </c>
      <c r="N228" t="s">
        <v>5015</v>
      </c>
      <c r="O228">
        <v>0</v>
      </c>
      <c r="P228">
        <v>0</v>
      </c>
    </row>
    <row r="229" spans="1:16" x14ac:dyDescent="0.25">
      <c r="A229" t="s">
        <v>2224</v>
      </c>
      <c r="B229" t="s">
        <v>2225</v>
      </c>
      <c r="C229">
        <v>3902</v>
      </c>
      <c r="D229" t="s">
        <v>72</v>
      </c>
      <c r="E229" t="s">
        <v>13</v>
      </c>
      <c r="F229">
        <v>12475</v>
      </c>
      <c r="G229" t="s">
        <v>4999</v>
      </c>
      <c r="H229" t="s">
        <v>4993</v>
      </c>
      <c r="I229">
        <v>4.6875</v>
      </c>
      <c r="J229" t="s">
        <v>5012</v>
      </c>
      <c r="K229" t="s">
        <v>4993</v>
      </c>
      <c r="L229">
        <v>48</v>
      </c>
      <c r="M229">
        <v>6</v>
      </c>
      <c r="N229" t="s">
        <v>5013</v>
      </c>
      <c r="O229">
        <v>0</v>
      </c>
      <c r="P229">
        <v>0</v>
      </c>
    </row>
    <row r="230" spans="1:16" x14ac:dyDescent="0.25">
      <c r="A230" t="s">
        <v>2538</v>
      </c>
      <c r="B230" t="s">
        <v>2539</v>
      </c>
      <c r="C230">
        <v>8017</v>
      </c>
      <c r="D230" t="s">
        <v>620</v>
      </c>
      <c r="E230" t="s">
        <v>8</v>
      </c>
      <c r="F230">
        <v>10060</v>
      </c>
      <c r="G230" t="s">
        <v>4999</v>
      </c>
      <c r="H230" t="s">
        <v>4993</v>
      </c>
      <c r="I230">
        <v>4.0815999999999999</v>
      </c>
      <c r="J230" t="s">
        <v>5012</v>
      </c>
      <c r="K230" t="s">
        <v>4993</v>
      </c>
      <c r="L230">
        <v>49</v>
      </c>
      <c r="M230">
        <v>45</v>
      </c>
      <c r="N230" t="s">
        <v>5015</v>
      </c>
      <c r="O230">
        <v>0</v>
      </c>
      <c r="P230">
        <v>0</v>
      </c>
    </row>
    <row r="231" spans="1:16" x14ac:dyDescent="0.25">
      <c r="A231" t="s">
        <v>1317</v>
      </c>
      <c r="B231" t="s">
        <v>1318</v>
      </c>
      <c r="C231">
        <v>1132</v>
      </c>
      <c r="D231" t="s">
        <v>1319</v>
      </c>
      <c r="E231" t="s">
        <v>8</v>
      </c>
      <c r="F231">
        <v>26130</v>
      </c>
      <c r="G231" t="s">
        <v>4999</v>
      </c>
      <c r="H231" t="s">
        <v>4993</v>
      </c>
      <c r="I231">
        <v>4.1020000000000003</v>
      </c>
      <c r="J231" t="s">
        <v>5012</v>
      </c>
      <c r="K231" t="s">
        <v>4993</v>
      </c>
      <c r="L231">
        <v>49</v>
      </c>
      <c r="M231">
        <v>32</v>
      </c>
      <c r="N231" t="s">
        <v>5015</v>
      </c>
      <c r="O231">
        <v>0</v>
      </c>
      <c r="P231">
        <v>0</v>
      </c>
    </row>
    <row r="232" spans="1:16" x14ac:dyDescent="0.25">
      <c r="A232" t="s">
        <v>2087</v>
      </c>
      <c r="B232" t="s">
        <v>2088</v>
      </c>
      <c r="C232">
        <v>5674</v>
      </c>
      <c r="D232" t="s">
        <v>141</v>
      </c>
      <c r="E232" t="s">
        <v>144</v>
      </c>
      <c r="F232">
        <v>13714</v>
      </c>
      <c r="G232" t="s">
        <v>4999</v>
      </c>
      <c r="H232" t="s">
        <v>4993</v>
      </c>
      <c r="I232">
        <v>4.1923000000000004</v>
      </c>
      <c r="J232" t="s">
        <v>5012</v>
      </c>
      <c r="K232" t="s">
        <v>4993</v>
      </c>
      <c r="L232">
        <v>52</v>
      </c>
      <c r="M232">
        <v>18</v>
      </c>
      <c r="N232" t="s">
        <v>5013</v>
      </c>
      <c r="O232">
        <v>0</v>
      </c>
      <c r="P232">
        <v>0</v>
      </c>
    </row>
    <row r="233" spans="1:16" x14ac:dyDescent="0.25">
      <c r="A233" t="s">
        <v>1804</v>
      </c>
      <c r="B233" t="s">
        <v>1805</v>
      </c>
      <c r="C233">
        <v>6125</v>
      </c>
      <c r="D233" t="s">
        <v>3</v>
      </c>
      <c r="E233" t="s">
        <v>144</v>
      </c>
      <c r="F233">
        <v>17031</v>
      </c>
      <c r="G233" t="s">
        <v>4999</v>
      </c>
      <c r="H233" t="s">
        <v>4993</v>
      </c>
      <c r="I233">
        <v>4.3076999999999996</v>
      </c>
      <c r="J233" t="s">
        <v>5012</v>
      </c>
      <c r="K233" t="s">
        <v>4993</v>
      </c>
      <c r="L233">
        <v>52</v>
      </c>
      <c r="M233">
        <v>15</v>
      </c>
      <c r="N233" t="s">
        <v>5013</v>
      </c>
      <c r="O233">
        <v>0</v>
      </c>
      <c r="P233">
        <v>1</v>
      </c>
    </row>
    <row r="234" spans="1:16" x14ac:dyDescent="0.25">
      <c r="A234" t="s">
        <v>1243</v>
      </c>
      <c r="B234" t="s">
        <v>1244</v>
      </c>
      <c r="C234">
        <v>5946</v>
      </c>
      <c r="D234" t="s">
        <v>341</v>
      </c>
      <c r="E234" t="s">
        <v>8</v>
      </c>
      <c r="F234">
        <v>28025</v>
      </c>
      <c r="G234" t="s">
        <v>4999</v>
      </c>
      <c r="H234" t="s">
        <v>4993</v>
      </c>
      <c r="I234">
        <v>4.4599000000000002</v>
      </c>
      <c r="J234" t="s">
        <v>5012</v>
      </c>
      <c r="K234" t="s">
        <v>4993</v>
      </c>
      <c r="L234">
        <v>611</v>
      </c>
      <c r="M234">
        <v>56</v>
      </c>
      <c r="N234" t="s">
        <v>5014</v>
      </c>
      <c r="O234">
        <v>0</v>
      </c>
      <c r="P234">
        <v>0</v>
      </c>
    </row>
    <row r="235" spans="1:16" x14ac:dyDescent="0.25">
      <c r="A235" t="s">
        <v>917</v>
      </c>
      <c r="B235" t="s">
        <v>918</v>
      </c>
      <c r="C235">
        <v>6125</v>
      </c>
      <c r="D235" t="s">
        <v>3</v>
      </c>
      <c r="E235" t="s">
        <v>220</v>
      </c>
      <c r="F235">
        <v>40254</v>
      </c>
      <c r="G235" t="s">
        <v>4999</v>
      </c>
      <c r="H235" t="s">
        <v>4993</v>
      </c>
      <c r="I235">
        <v>4.0191999999999997</v>
      </c>
      <c r="J235" t="s">
        <v>5012</v>
      </c>
      <c r="K235" t="s">
        <v>4993</v>
      </c>
      <c r="L235">
        <v>52</v>
      </c>
      <c r="M235">
        <v>45</v>
      </c>
      <c r="N235" t="s">
        <v>5015</v>
      </c>
      <c r="O235">
        <v>0</v>
      </c>
      <c r="P235">
        <v>0</v>
      </c>
    </row>
    <row r="236" spans="1:16" x14ac:dyDescent="0.25">
      <c r="A236" t="s">
        <v>1074</v>
      </c>
      <c r="B236" t="s">
        <v>1075</v>
      </c>
      <c r="C236">
        <v>6014</v>
      </c>
      <c r="D236" t="s">
        <v>102</v>
      </c>
      <c r="E236" t="s">
        <v>21</v>
      </c>
      <c r="F236">
        <v>33513</v>
      </c>
      <c r="G236" t="s">
        <v>4999</v>
      </c>
      <c r="H236" t="s">
        <v>4993</v>
      </c>
      <c r="I236">
        <v>4.3228999999999997</v>
      </c>
      <c r="J236" t="s">
        <v>5012</v>
      </c>
      <c r="K236" t="s">
        <v>4993</v>
      </c>
      <c r="L236">
        <v>607</v>
      </c>
      <c r="M236">
        <v>44</v>
      </c>
      <c r="N236" t="s">
        <v>5015</v>
      </c>
      <c r="O236">
        <v>0</v>
      </c>
      <c r="P236">
        <v>0</v>
      </c>
    </row>
    <row r="237" spans="1:16" x14ac:dyDescent="0.25">
      <c r="A237" t="s">
        <v>2120</v>
      </c>
      <c r="B237" t="s">
        <v>2121</v>
      </c>
      <c r="C237">
        <v>6256</v>
      </c>
      <c r="D237" t="s">
        <v>346</v>
      </c>
      <c r="E237" t="s">
        <v>201</v>
      </c>
      <c r="F237">
        <v>13390</v>
      </c>
      <c r="G237" t="s">
        <v>4999</v>
      </c>
      <c r="H237" t="s">
        <v>4993</v>
      </c>
      <c r="I237">
        <v>4.3773999999999997</v>
      </c>
      <c r="J237" t="s">
        <v>5012</v>
      </c>
      <c r="K237" t="s">
        <v>4993</v>
      </c>
      <c r="L237">
        <v>53</v>
      </c>
      <c r="M237">
        <v>46</v>
      </c>
      <c r="N237" t="s">
        <v>5015</v>
      </c>
      <c r="O237">
        <v>0</v>
      </c>
      <c r="P237">
        <v>0</v>
      </c>
    </row>
    <row r="238" spans="1:16" x14ac:dyDescent="0.25">
      <c r="A238" t="s">
        <v>1828</v>
      </c>
      <c r="B238" t="s">
        <v>1829</v>
      </c>
      <c r="C238">
        <v>6041</v>
      </c>
      <c r="D238" t="s">
        <v>33</v>
      </c>
      <c r="E238" t="s">
        <v>13</v>
      </c>
      <c r="F238">
        <v>16714</v>
      </c>
      <c r="G238" t="s">
        <v>4999</v>
      </c>
      <c r="H238" t="s">
        <v>4993</v>
      </c>
      <c r="I238">
        <v>4.4074</v>
      </c>
      <c r="J238" t="s">
        <v>5012</v>
      </c>
      <c r="K238" t="s">
        <v>4993</v>
      </c>
      <c r="L238">
        <v>54</v>
      </c>
      <c r="M238">
        <v>14</v>
      </c>
      <c r="N238" t="s">
        <v>5013</v>
      </c>
      <c r="O238">
        <v>0</v>
      </c>
      <c r="P238">
        <v>0</v>
      </c>
    </row>
    <row r="239" spans="1:16" x14ac:dyDescent="0.25">
      <c r="A239" t="s">
        <v>1392</v>
      </c>
      <c r="B239" t="s">
        <v>1393</v>
      </c>
      <c r="C239">
        <v>5674</v>
      </c>
      <c r="D239" t="s">
        <v>141</v>
      </c>
      <c r="E239" t="s">
        <v>21</v>
      </c>
      <c r="F239">
        <v>24293</v>
      </c>
      <c r="G239" t="s">
        <v>4999</v>
      </c>
      <c r="H239" t="s">
        <v>4993</v>
      </c>
      <c r="I239">
        <v>4.8140000000000001</v>
      </c>
      <c r="J239" t="s">
        <v>5012</v>
      </c>
      <c r="K239" t="s">
        <v>4993</v>
      </c>
      <c r="L239">
        <v>602</v>
      </c>
      <c r="M239">
        <v>48</v>
      </c>
      <c r="N239" t="s">
        <v>5015</v>
      </c>
      <c r="O239">
        <v>0</v>
      </c>
      <c r="P239">
        <v>0</v>
      </c>
    </row>
    <row r="240" spans="1:16" x14ac:dyDescent="0.25">
      <c r="A240" t="s">
        <v>1968</v>
      </c>
      <c r="B240" t="s">
        <v>1969</v>
      </c>
      <c r="C240">
        <v>3728</v>
      </c>
      <c r="D240" t="s">
        <v>458</v>
      </c>
      <c r="E240" t="s">
        <v>149</v>
      </c>
      <c r="F240">
        <v>15022</v>
      </c>
      <c r="G240" t="s">
        <v>4999</v>
      </c>
      <c r="H240" t="s">
        <v>4993</v>
      </c>
      <c r="I240">
        <v>4.3254999999999999</v>
      </c>
      <c r="J240" t="s">
        <v>5012</v>
      </c>
      <c r="K240" t="s">
        <v>4993</v>
      </c>
      <c r="L240">
        <v>599</v>
      </c>
      <c r="M240">
        <v>55</v>
      </c>
      <c r="N240" t="s">
        <v>5014</v>
      </c>
      <c r="O240">
        <v>0</v>
      </c>
      <c r="P240">
        <v>0</v>
      </c>
    </row>
    <row r="241" spans="1:16" x14ac:dyDescent="0.25">
      <c r="A241" t="s">
        <v>2077</v>
      </c>
      <c r="B241" t="s">
        <v>2078</v>
      </c>
      <c r="C241">
        <v>6341</v>
      </c>
      <c r="D241" t="s">
        <v>66</v>
      </c>
      <c r="E241" t="s">
        <v>13</v>
      </c>
      <c r="F241">
        <v>13813</v>
      </c>
      <c r="G241" t="s">
        <v>4999</v>
      </c>
      <c r="H241" t="s">
        <v>4993</v>
      </c>
      <c r="I241">
        <v>4.7091000000000003</v>
      </c>
      <c r="J241" t="s">
        <v>5012</v>
      </c>
      <c r="K241" t="s">
        <v>4993</v>
      </c>
      <c r="L241">
        <v>55</v>
      </c>
      <c r="M241">
        <v>34</v>
      </c>
      <c r="N241" t="s">
        <v>5015</v>
      </c>
      <c r="O241">
        <v>0</v>
      </c>
      <c r="P241">
        <v>0</v>
      </c>
    </row>
    <row r="242" spans="1:16" x14ac:dyDescent="0.25">
      <c r="A242" t="s">
        <v>1964</v>
      </c>
      <c r="B242" t="s">
        <v>1965</v>
      </c>
      <c r="C242">
        <v>3902</v>
      </c>
      <c r="D242" t="s">
        <v>72</v>
      </c>
      <c r="E242" t="s">
        <v>8</v>
      </c>
      <c r="F242">
        <v>15027</v>
      </c>
      <c r="G242" t="s">
        <v>4999</v>
      </c>
      <c r="H242" t="s">
        <v>4993</v>
      </c>
      <c r="I242">
        <v>4.1818</v>
      </c>
      <c r="J242" t="s">
        <v>5012</v>
      </c>
      <c r="K242" t="s">
        <v>4993</v>
      </c>
      <c r="L242">
        <v>55</v>
      </c>
      <c r="M242">
        <v>20</v>
      </c>
      <c r="N242" t="s">
        <v>5015</v>
      </c>
      <c r="O242">
        <v>0</v>
      </c>
      <c r="P242">
        <v>0</v>
      </c>
    </row>
    <row r="243" spans="1:16" x14ac:dyDescent="0.25">
      <c r="A243" t="s">
        <v>1671</v>
      </c>
      <c r="B243" t="s">
        <v>1672</v>
      </c>
      <c r="C243">
        <v>6341</v>
      </c>
      <c r="D243" t="s">
        <v>66</v>
      </c>
      <c r="E243" t="s">
        <v>8</v>
      </c>
      <c r="F243">
        <v>18794</v>
      </c>
      <c r="G243" t="s">
        <v>4999</v>
      </c>
      <c r="H243" t="s">
        <v>4993</v>
      </c>
      <c r="I243">
        <v>4.0545</v>
      </c>
      <c r="J243" t="s">
        <v>5012</v>
      </c>
      <c r="K243" t="s">
        <v>4993</v>
      </c>
      <c r="L243">
        <v>55</v>
      </c>
      <c r="M243">
        <v>42</v>
      </c>
      <c r="N243" t="s">
        <v>5015</v>
      </c>
      <c r="O243">
        <v>0</v>
      </c>
      <c r="P243">
        <v>0</v>
      </c>
    </row>
    <row r="244" spans="1:16" x14ac:dyDescent="0.25">
      <c r="A244" t="s">
        <v>850</v>
      </c>
      <c r="B244" t="s">
        <v>851</v>
      </c>
      <c r="C244">
        <v>6218</v>
      </c>
      <c r="D244" t="s">
        <v>116</v>
      </c>
      <c r="E244" t="s">
        <v>8</v>
      </c>
      <c r="F244">
        <v>42766</v>
      </c>
      <c r="G244" t="s">
        <v>4999</v>
      </c>
      <c r="H244" t="s">
        <v>4993</v>
      </c>
      <c r="I244">
        <v>4.4916</v>
      </c>
      <c r="J244" t="s">
        <v>5012</v>
      </c>
      <c r="K244" t="s">
        <v>4993</v>
      </c>
      <c r="L244">
        <v>598</v>
      </c>
      <c r="M244">
        <v>65</v>
      </c>
      <c r="N244" t="s">
        <v>5014</v>
      </c>
      <c r="O244">
        <v>0</v>
      </c>
      <c r="P244">
        <v>0</v>
      </c>
    </row>
    <row r="245" spans="1:16" x14ac:dyDescent="0.25">
      <c r="A245" t="s">
        <v>2452</v>
      </c>
      <c r="B245" t="s">
        <v>2453</v>
      </c>
      <c r="C245">
        <v>6751</v>
      </c>
      <c r="D245" t="s">
        <v>1738</v>
      </c>
      <c r="E245" t="s">
        <v>13</v>
      </c>
      <c r="F245">
        <v>10558</v>
      </c>
      <c r="G245" t="s">
        <v>4999</v>
      </c>
      <c r="H245" t="s">
        <v>4993</v>
      </c>
      <c r="I245">
        <v>4.0876999999999999</v>
      </c>
      <c r="J245" t="s">
        <v>5012</v>
      </c>
      <c r="K245" t="s">
        <v>4993</v>
      </c>
      <c r="L245">
        <v>57</v>
      </c>
      <c r="M245">
        <v>19</v>
      </c>
      <c r="N245" t="s">
        <v>5013</v>
      </c>
      <c r="O245">
        <v>1</v>
      </c>
      <c r="P245">
        <v>0</v>
      </c>
    </row>
    <row r="246" spans="1:16" x14ac:dyDescent="0.25">
      <c r="A246" t="s">
        <v>1538</v>
      </c>
      <c r="B246" t="s">
        <v>1539</v>
      </c>
      <c r="C246">
        <v>4348</v>
      </c>
      <c r="D246" t="s">
        <v>61</v>
      </c>
      <c r="E246" t="s">
        <v>4</v>
      </c>
      <c r="F246">
        <v>21441</v>
      </c>
      <c r="G246" t="s">
        <v>4999</v>
      </c>
      <c r="H246" t="s">
        <v>4993</v>
      </c>
      <c r="I246">
        <v>4.6973000000000003</v>
      </c>
      <c r="J246" t="s">
        <v>5012</v>
      </c>
      <c r="K246" t="s">
        <v>4993</v>
      </c>
      <c r="L246">
        <v>598</v>
      </c>
      <c r="M246">
        <v>28</v>
      </c>
      <c r="N246" t="s">
        <v>5015</v>
      </c>
      <c r="O246">
        <v>0</v>
      </c>
      <c r="P246">
        <v>0</v>
      </c>
    </row>
    <row r="247" spans="1:16" x14ac:dyDescent="0.25">
      <c r="A247" t="s">
        <v>1035</v>
      </c>
      <c r="B247" t="s">
        <v>1036</v>
      </c>
      <c r="C247">
        <v>2082</v>
      </c>
      <c r="D247" t="s">
        <v>594</v>
      </c>
      <c r="E247" t="s">
        <v>4</v>
      </c>
      <c r="F247">
        <v>35345</v>
      </c>
      <c r="G247" t="s">
        <v>4999</v>
      </c>
      <c r="H247" t="s">
        <v>4993</v>
      </c>
      <c r="I247">
        <v>4.3509000000000002</v>
      </c>
      <c r="J247" t="s">
        <v>5012</v>
      </c>
      <c r="K247" t="s">
        <v>4993</v>
      </c>
      <c r="L247">
        <v>57</v>
      </c>
      <c r="M247">
        <v>28</v>
      </c>
      <c r="N247" t="s">
        <v>5015</v>
      </c>
      <c r="O247">
        <v>1</v>
      </c>
      <c r="P247">
        <v>0</v>
      </c>
    </row>
    <row r="248" spans="1:16" x14ac:dyDescent="0.25">
      <c r="A248" t="s">
        <v>1212</v>
      </c>
      <c r="B248" t="s">
        <v>1213</v>
      </c>
      <c r="C248">
        <v>6285</v>
      </c>
      <c r="D248" t="s">
        <v>119</v>
      </c>
      <c r="E248" t="s">
        <v>8</v>
      </c>
      <c r="F248">
        <v>28910</v>
      </c>
      <c r="G248" t="s">
        <v>4999</v>
      </c>
      <c r="H248" t="s">
        <v>4993</v>
      </c>
      <c r="I248">
        <v>4.1723999999999997</v>
      </c>
      <c r="J248" t="s">
        <v>5012</v>
      </c>
      <c r="K248" t="s">
        <v>4993</v>
      </c>
      <c r="L248">
        <v>58</v>
      </c>
      <c r="M248">
        <v>15.99</v>
      </c>
      <c r="N248" t="s">
        <v>5013</v>
      </c>
      <c r="O248">
        <v>0</v>
      </c>
      <c r="P248">
        <v>0</v>
      </c>
    </row>
    <row r="249" spans="1:16" x14ac:dyDescent="0.25">
      <c r="A249" t="s">
        <v>2416</v>
      </c>
      <c r="B249" t="s">
        <v>2417</v>
      </c>
      <c r="C249">
        <v>5626</v>
      </c>
      <c r="D249" t="s">
        <v>1069</v>
      </c>
      <c r="E249" t="s">
        <v>106</v>
      </c>
      <c r="F249">
        <v>10899</v>
      </c>
      <c r="G249" t="s">
        <v>4999</v>
      </c>
      <c r="H249" t="s">
        <v>4993</v>
      </c>
      <c r="I249">
        <v>4.9492000000000003</v>
      </c>
      <c r="J249" t="s">
        <v>5012</v>
      </c>
      <c r="K249" t="s">
        <v>4993</v>
      </c>
      <c r="L249">
        <v>59</v>
      </c>
      <c r="M249">
        <v>9</v>
      </c>
      <c r="N249" t="s">
        <v>5013</v>
      </c>
      <c r="O249">
        <v>0</v>
      </c>
      <c r="P249">
        <v>0</v>
      </c>
    </row>
    <row r="250" spans="1:16" x14ac:dyDescent="0.25">
      <c r="A250" t="s">
        <v>2380</v>
      </c>
      <c r="B250" t="s">
        <v>2381</v>
      </c>
      <c r="C250">
        <v>6341</v>
      </c>
      <c r="D250" t="s">
        <v>66</v>
      </c>
      <c r="E250" t="s">
        <v>49</v>
      </c>
      <c r="F250">
        <v>11227</v>
      </c>
      <c r="G250" t="s">
        <v>4999</v>
      </c>
      <c r="H250" t="s">
        <v>4993</v>
      </c>
      <c r="I250">
        <v>4.4915000000000003</v>
      </c>
      <c r="J250" t="s">
        <v>5012</v>
      </c>
      <c r="K250" t="s">
        <v>4993</v>
      </c>
      <c r="L250">
        <v>59</v>
      </c>
      <c r="M250">
        <v>37</v>
      </c>
      <c r="N250" t="s">
        <v>5015</v>
      </c>
      <c r="O250">
        <v>0</v>
      </c>
      <c r="P250">
        <v>0</v>
      </c>
    </row>
    <row r="251" spans="1:16" x14ac:dyDescent="0.25">
      <c r="A251" t="s">
        <v>2187</v>
      </c>
      <c r="B251" t="s">
        <v>2188</v>
      </c>
      <c r="C251">
        <v>6114</v>
      </c>
      <c r="D251" t="s">
        <v>1355</v>
      </c>
      <c r="E251" t="s">
        <v>347</v>
      </c>
      <c r="F251">
        <v>12714</v>
      </c>
      <c r="G251" t="s">
        <v>4999</v>
      </c>
      <c r="H251" t="s">
        <v>4993</v>
      </c>
      <c r="I251">
        <v>4.3220000000000001</v>
      </c>
      <c r="J251" t="s">
        <v>5012</v>
      </c>
      <c r="K251" t="s">
        <v>4993</v>
      </c>
      <c r="L251">
        <v>59</v>
      </c>
      <c r="M251">
        <v>159</v>
      </c>
      <c r="N251" t="s">
        <v>5014</v>
      </c>
      <c r="O251">
        <v>0</v>
      </c>
      <c r="P251">
        <v>0</v>
      </c>
    </row>
    <row r="252" spans="1:16" x14ac:dyDescent="0.25">
      <c r="A252" t="s">
        <v>2497</v>
      </c>
      <c r="B252" t="s">
        <v>2498</v>
      </c>
      <c r="C252">
        <v>6218</v>
      </c>
      <c r="D252" t="s">
        <v>116</v>
      </c>
      <c r="E252" t="s">
        <v>8</v>
      </c>
      <c r="F252">
        <v>10302</v>
      </c>
      <c r="G252" t="s">
        <v>4999</v>
      </c>
      <c r="H252" t="s">
        <v>4993</v>
      </c>
      <c r="I252">
        <v>4.2194000000000003</v>
      </c>
      <c r="J252" t="s">
        <v>5012</v>
      </c>
      <c r="K252" t="s">
        <v>4993</v>
      </c>
      <c r="L252">
        <v>597</v>
      </c>
      <c r="M252">
        <v>60</v>
      </c>
      <c r="N252" t="s">
        <v>5014</v>
      </c>
      <c r="O252">
        <v>0</v>
      </c>
      <c r="P252">
        <v>1</v>
      </c>
    </row>
    <row r="253" spans="1:16" x14ac:dyDescent="0.25">
      <c r="A253" t="s">
        <v>2360</v>
      </c>
      <c r="B253" t="s">
        <v>2361</v>
      </c>
      <c r="C253">
        <v>5337</v>
      </c>
      <c r="D253" t="s">
        <v>209</v>
      </c>
      <c r="E253" t="s">
        <v>69</v>
      </c>
      <c r="F253">
        <v>11355</v>
      </c>
      <c r="G253" t="s">
        <v>4999</v>
      </c>
      <c r="H253" t="s">
        <v>4993</v>
      </c>
      <c r="I253">
        <v>4.45</v>
      </c>
      <c r="J253" t="s">
        <v>5012</v>
      </c>
      <c r="K253" t="s">
        <v>4993</v>
      </c>
      <c r="L253">
        <v>60</v>
      </c>
      <c r="M253">
        <v>70</v>
      </c>
      <c r="N253" t="s">
        <v>5014</v>
      </c>
      <c r="O253">
        <v>0</v>
      </c>
      <c r="P253">
        <v>0</v>
      </c>
    </row>
    <row r="254" spans="1:16" x14ac:dyDescent="0.25">
      <c r="A254" t="s">
        <v>2274</v>
      </c>
      <c r="B254" t="s">
        <v>2275</v>
      </c>
      <c r="C254">
        <v>2366</v>
      </c>
      <c r="D254" t="s">
        <v>2276</v>
      </c>
      <c r="E254" t="s">
        <v>8</v>
      </c>
      <c r="F254">
        <v>12040</v>
      </c>
      <c r="G254" t="s">
        <v>4999</v>
      </c>
      <c r="H254" t="s">
        <v>4993</v>
      </c>
      <c r="I254">
        <v>4.5332999999999997</v>
      </c>
      <c r="J254" t="s">
        <v>5012</v>
      </c>
      <c r="K254" t="s">
        <v>4993</v>
      </c>
      <c r="L254">
        <v>60</v>
      </c>
      <c r="M254">
        <v>65</v>
      </c>
      <c r="N254" t="s">
        <v>5014</v>
      </c>
      <c r="O254">
        <v>0</v>
      </c>
      <c r="P254">
        <v>0</v>
      </c>
    </row>
    <row r="255" spans="1:16" x14ac:dyDescent="0.25">
      <c r="A255" t="s">
        <v>2326</v>
      </c>
      <c r="B255" t="s">
        <v>2327</v>
      </c>
      <c r="C255">
        <v>6236</v>
      </c>
      <c r="D255" t="s">
        <v>272</v>
      </c>
      <c r="E255" t="s">
        <v>69</v>
      </c>
      <c r="F255">
        <v>11636</v>
      </c>
      <c r="G255" t="s">
        <v>4999</v>
      </c>
      <c r="H255" t="s">
        <v>4993</v>
      </c>
      <c r="I255">
        <v>4.3114999999999997</v>
      </c>
      <c r="J255" t="s">
        <v>5012</v>
      </c>
      <c r="K255" t="s">
        <v>4993</v>
      </c>
      <c r="L255">
        <v>61</v>
      </c>
      <c r="M255">
        <v>58</v>
      </c>
      <c r="N255" t="s">
        <v>5014</v>
      </c>
      <c r="O255">
        <v>0</v>
      </c>
      <c r="P255">
        <v>0</v>
      </c>
    </row>
    <row r="256" spans="1:16" x14ac:dyDescent="0.25">
      <c r="A256" t="s">
        <v>2111</v>
      </c>
      <c r="B256" t="s">
        <v>2112</v>
      </c>
      <c r="C256">
        <v>6341</v>
      </c>
      <c r="D256" t="s">
        <v>66</v>
      </c>
      <c r="E256" t="s">
        <v>13</v>
      </c>
      <c r="F256">
        <v>13473</v>
      </c>
      <c r="G256" t="s">
        <v>4999</v>
      </c>
      <c r="H256" t="s">
        <v>4993</v>
      </c>
      <c r="I256">
        <v>4.5484</v>
      </c>
      <c r="J256" t="s">
        <v>5012</v>
      </c>
      <c r="K256" t="s">
        <v>4993</v>
      </c>
      <c r="L256">
        <v>62</v>
      </c>
      <c r="M256">
        <v>35</v>
      </c>
      <c r="N256" t="s">
        <v>5015</v>
      </c>
      <c r="O256">
        <v>0</v>
      </c>
      <c r="P256">
        <v>0</v>
      </c>
    </row>
    <row r="257" spans="1:16" x14ac:dyDescent="0.25">
      <c r="A257" t="s">
        <v>2446</v>
      </c>
      <c r="B257" t="s">
        <v>2447</v>
      </c>
      <c r="C257">
        <v>3902</v>
      </c>
      <c r="D257" t="s">
        <v>72</v>
      </c>
      <c r="E257" t="s">
        <v>8</v>
      </c>
      <c r="F257">
        <v>10594</v>
      </c>
      <c r="G257" t="s">
        <v>4999</v>
      </c>
      <c r="H257" t="s">
        <v>4993</v>
      </c>
      <c r="I257">
        <v>4.2222</v>
      </c>
      <c r="J257" t="s">
        <v>5012</v>
      </c>
      <c r="K257" t="s">
        <v>4993</v>
      </c>
      <c r="L257">
        <v>63</v>
      </c>
      <c r="M257">
        <v>20</v>
      </c>
      <c r="N257" t="s">
        <v>5015</v>
      </c>
      <c r="O257">
        <v>0</v>
      </c>
      <c r="P257">
        <v>1</v>
      </c>
    </row>
    <row r="258" spans="1:16" x14ac:dyDescent="0.25">
      <c r="A258" t="s">
        <v>2444</v>
      </c>
      <c r="B258" t="s">
        <v>2445</v>
      </c>
      <c r="C258">
        <v>3733</v>
      </c>
      <c r="D258" t="s">
        <v>124</v>
      </c>
      <c r="E258" t="s">
        <v>21</v>
      </c>
      <c r="F258">
        <v>10649</v>
      </c>
      <c r="G258" t="s">
        <v>4999</v>
      </c>
      <c r="H258" t="s">
        <v>4993</v>
      </c>
      <c r="I258">
        <v>4.2539999999999996</v>
      </c>
      <c r="J258" t="s">
        <v>5012</v>
      </c>
      <c r="K258" t="s">
        <v>4993</v>
      </c>
      <c r="L258">
        <v>63</v>
      </c>
      <c r="M258">
        <v>73</v>
      </c>
      <c r="N258" t="s">
        <v>5014</v>
      </c>
      <c r="O258">
        <v>0</v>
      </c>
      <c r="P258">
        <v>0</v>
      </c>
    </row>
    <row r="259" spans="1:16" x14ac:dyDescent="0.25">
      <c r="A259" t="s">
        <v>1010</v>
      </c>
      <c r="B259" t="s">
        <v>1011</v>
      </c>
      <c r="C259">
        <v>6169</v>
      </c>
      <c r="D259" t="s">
        <v>24</v>
      </c>
      <c r="E259" t="s">
        <v>13</v>
      </c>
      <c r="F259">
        <v>36699</v>
      </c>
      <c r="G259" t="s">
        <v>4999</v>
      </c>
      <c r="H259" t="s">
        <v>4993</v>
      </c>
      <c r="I259">
        <v>4.6746999999999996</v>
      </c>
      <c r="J259" t="s">
        <v>5012</v>
      </c>
      <c r="K259" t="s">
        <v>4993</v>
      </c>
      <c r="L259">
        <v>584</v>
      </c>
      <c r="M259">
        <v>16</v>
      </c>
      <c r="N259" t="s">
        <v>5013</v>
      </c>
      <c r="O259">
        <v>0</v>
      </c>
      <c r="P259">
        <v>0</v>
      </c>
    </row>
    <row r="260" spans="1:16" x14ac:dyDescent="0.25">
      <c r="A260" t="s">
        <v>2073</v>
      </c>
      <c r="B260" t="s">
        <v>2074</v>
      </c>
      <c r="C260">
        <v>1254</v>
      </c>
      <c r="D260" t="s">
        <v>136</v>
      </c>
      <c r="E260" t="s">
        <v>106</v>
      </c>
      <c r="F260">
        <v>13842</v>
      </c>
      <c r="G260" t="s">
        <v>4999</v>
      </c>
      <c r="H260" t="s">
        <v>4993</v>
      </c>
      <c r="I260">
        <v>4.2857000000000003</v>
      </c>
      <c r="J260" t="s">
        <v>5012</v>
      </c>
      <c r="K260" t="s">
        <v>4993</v>
      </c>
      <c r="L260">
        <v>63</v>
      </c>
      <c r="M260">
        <v>34</v>
      </c>
      <c r="N260" t="s">
        <v>5015</v>
      </c>
      <c r="O260">
        <v>0</v>
      </c>
      <c r="P260">
        <v>0</v>
      </c>
    </row>
    <row r="261" spans="1:16" x14ac:dyDescent="0.25">
      <c r="A261" t="s">
        <v>1642</v>
      </c>
      <c r="B261" t="s">
        <v>1643</v>
      </c>
      <c r="C261">
        <v>1254</v>
      </c>
      <c r="D261" t="s">
        <v>136</v>
      </c>
      <c r="E261" t="s">
        <v>21</v>
      </c>
      <c r="F261">
        <v>19437</v>
      </c>
      <c r="G261" t="s">
        <v>4999</v>
      </c>
      <c r="H261" t="s">
        <v>4993</v>
      </c>
      <c r="I261">
        <v>4.0050999999999997</v>
      </c>
      <c r="J261" t="s">
        <v>5012</v>
      </c>
      <c r="K261" t="s">
        <v>4993</v>
      </c>
      <c r="L261">
        <v>583</v>
      </c>
      <c r="M261">
        <v>56</v>
      </c>
      <c r="N261" t="s">
        <v>5014</v>
      </c>
      <c r="O261">
        <v>0</v>
      </c>
      <c r="P261">
        <v>0</v>
      </c>
    </row>
    <row r="262" spans="1:16" x14ac:dyDescent="0.25">
      <c r="A262" t="s">
        <v>1477</v>
      </c>
      <c r="B262" t="s">
        <v>1478</v>
      </c>
      <c r="C262">
        <v>6218</v>
      </c>
      <c r="D262" t="s">
        <v>116</v>
      </c>
      <c r="E262" t="s">
        <v>149</v>
      </c>
      <c r="F262">
        <v>22539</v>
      </c>
      <c r="G262" t="s">
        <v>4999</v>
      </c>
      <c r="H262" t="s">
        <v>4993</v>
      </c>
      <c r="I262">
        <v>4.5713999999999997</v>
      </c>
      <c r="J262" t="s">
        <v>5012</v>
      </c>
      <c r="K262" t="s">
        <v>4993</v>
      </c>
      <c r="L262">
        <v>581</v>
      </c>
      <c r="M262">
        <v>60</v>
      </c>
      <c r="N262" t="s">
        <v>5014</v>
      </c>
      <c r="O262">
        <v>0</v>
      </c>
      <c r="P262">
        <v>0</v>
      </c>
    </row>
    <row r="263" spans="1:16" x14ac:dyDescent="0.25">
      <c r="A263" t="s">
        <v>794</v>
      </c>
      <c r="B263" t="s">
        <v>795</v>
      </c>
      <c r="C263">
        <v>5674</v>
      </c>
      <c r="D263" t="s">
        <v>141</v>
      </c>
      <c r="E263" t="s">
        <v>149</v>
      </c>
      <c r="F263">
        <v>45414</v>
      </c>
      <c r="G263" t="s">
        <v>4999</v>
      </c>
      <c r="H263" t="s">
        <v>4993</v>
      </c>
      <c r="I263">
        <v>4.2016999999999998</v>
      </c>
      <c r="J263" t="s">
        <v>5012</v>
      </c>
      <c r="K263" t="s">
        <v>4993</v>
      </c>
      <c r="L263">
        <v>575</v>
      </c>
      <c r="M263">
        <v>42</v>
      </c>
      <c r="N263" t="s">
        <v>5015</v>
      </c>
      <c r="O263">
        <v>0</v>
      </c>
      <c r="P263">
        <v>0</v>
      </c>
    </row>
    <row r="264" spans="1:16" x14ac:dyDescent="0.25">
      <c r="A264" t="s">
        <v>1228</v>
      </c>
      <c r="B264" t="s">
        <v>1229</v>
      </c>
      <c r="C264">
        <v>8001</v>
      </c>
      <c r="D264" t="s">
        <v>27</v>
      </c>
      <c r="E264" t="s">
        <v>149</v>
      </c>
      <c r="F264">
        <v>28506</v>
      </c>
      <c r="G264" t="s">
        <v>4999</v>
      </c>
      <c r="H264" t="s">
        <v>4993</v>
      </c>
      <c r="I264">
        <v>4.7118000000000002</v>
      </c>
      <c r="J264" t="s">
        <v>5012</v>
      </c>
      <c r="K264" t="s">
        <v>4993</v>
      </c>
      <c r="L264">
        <v>569</v>
      </c>
      <c r="M264">
        <v>45</v>
      </c>
      <c r="N264" t="s">
        <v>5015</v>
      </c>
      <c r="O264">
        <v>0</v>
      </c>
      <c r="P264">
        <v>0</v>
      </c>
    </row>
    <row r="265" spans="1:16" x14ac:dyDescent="0.25">
      <c r="A265" t="s">
        <v>1330</v>
      </c>
      <c r="B265" t="s">
        <v>1331</v>
      </c>
      <c r="C265">
        <v>6289</v>
      </c>
      <c r="D265" t="s">
        <v>111</v>
      </c>
      <c r="E265" t="s">
        <v>21</v>
      </c>
      <c r="F265">
        <v>25515</v>
      </c>
      <c r="G265" t="s">
        <v>4999</v>
      </c>
      <c r="H265" t="s">
        <v>4993</v>
      </c>
      <c r="I265">
        <v>4.6502999999999997</v>
      </c>
      <c r="J265" t="s">
        <v>5012</v>
      </c>
      <c r="K265" t="s">
        <v>4993</v>
      </c>
      <c r="L265">
        <v>569</v>
      </c>
      <c r="M265">
        <v>42</v>
      </c>
      <c r="N265" t="s">
        <v>5015</v>
      </c>
      <c r="O265">
        <v>0</v>
      </c>
      <c r="P265">
        <v>0</v>
      </c>
    </row>
    <row r="266" spans="1:16" x14ac:dyDescent="0.25">
      <c r="A266" t="s">
        <v>2382</v>
      </c>
      <c r="B266" t="s">
        <v>2383</v>
      </c>
      <c r="C266">
        <v>7050</v>
      </c>
      <c r="D266" t="s">
        <v>721</v>
      </c>
      <c r="E266" t="s">
        <v>201</v>
      </c>
      <c r="F266">
        <v>11224</v>
      </c>
      <c r="G266" t="s">
        <v>4999</v>
      </c>
      <c r="H266" t="s">
        <v>4993</v>
      </c>
      <c r="I266">
        <v>4.3076999999999996</v>
      </c>
      <c r="J266" t="s">
        <v>5012</v>
      </c>
      <c r="K266" t="s">
        <v>4993</v>
      </c>
      <c r="L266">
        <v>65</v>
      </c>
      <c r="M266">
        <v>30</v>
      </c>
      <c r="N266" t="s">
        <v>5015</v>
      </c>
      <c r="O266">
        <v>0</v>
      </c>
      <c r="P266">
        <v>0</v>
      </c>
    </row>
    <row r="267" spans="1:16" x14ac:dyDescent="0.25">
      <c r="A267" t="s">
        <v>2097</v>
      </c>
      <c r="B267" t="s">
        <v>2098</v>
      </c>
      <c r="C267">
        <v>5972</v>
      </c>
      <c r="D267" t="s">
        <v>54</v>
      </c>
      <c r="E267" t="s">
        <v>8</v>
      </c>
      <c r="F267">
        <v>13624</v>
      </c>
      <c r="G267" t="s">
        <v>4999</v>
      </c>
      <c r="H267" t="s">
        <v>4993</v>
      </c>
      <c r="I267">
        <v>4.5692000000000004</v>
      </c>
      <c r="J267" t="s">
        <v>5012</v>
      </c>
      <c r="K267" t="s">
        <v>4993</v>
      </c>
      <c r="L267">
        <v>65</v>
      </c>
      <c r="M267">
        <v>30</v>
      </c>
      <c r="N267" t="s">
        <v>5015</v>
      </c>
      <c r="O267">
        <v>0</v>
      </c>
      <c r="P267">
        <v>0</v>
      </c>
    </row>
    <row r="268" spans="1:16" x14ac:dyDescent="0.25">
      <c r="A268" t="s">
        <v>2091</v>
      </c>
      <c r="B268" t="s">
        <v>2092</v>
      </c>
      <c r="C268">
        <v>6341</v>
      </c>
      <c r="D268" t="s">
        <v>66</v>
      </c>
      <c r="E268" t="s">
        <v>8</v>
      </c>
      <c r="F268">
        <v>13705</v>
      </c>
      <c r="G268" t="s">
        <v>4999</v>
      </c>
      <c r="H268" t="s">
        <v>4993</v>
      </c>
      <c r="I268">
        <v>4.8333000000000004</v>
      </c>
      <c r="J268" t="s">
        <v>5012</v>
      </c>
      <c r="K268" t="s">
        <v>4993</v>
      </c>
      <c r="L268">
        <v>66</v>
      </c>
      <c r="M268">
        <v>22</v>
      </c>
      <c r="N268" t="s">
        <v>5015</v>
      </c>
      <c r="O268">
        <v>0</v>
      </c>
      <c r="P268">
        <v>0</v>
      </c>
    </row>
    <row r="269" spans="1:16" x14ac:dyDescent="0.25">
      <c r="A269" t="s">
        <v>1384</v>
      </c>
      <c r="B269" t="s">
        <v>1385</v>
      </c>
      <c r="C269">
        <v>1254</v>
      </c>
      <c r="D269" t="s">
        <v>136</v>
      </c>
      <c r="E269" t="s">
        <v>13</v>
      </c>
      <c r="F269">
        <v>24438</v>
      </c>
      <c r="G269" t="s">
        <v>4999</v>
      </c>
      <c r="H269" t="s">
        <v>4993</v>
      </c>
      <c r="I269">
        <v>4.1124999999999998</v>
      </c>
      <c r="J269" t="s">
        <v>5012</v>
      </c>
      <c r="K269" t="s">
        <v>4993</v>
      </c>
      <c r="L269">
        <v>569</v>
      </c>
      <c r="M269">
        <v>26.5</v>
      </c>
      <c r="N269" t="s">
        <v>5015</v>
      </c>
      <c r="O269">
        <v>0</v>
      </c>
      <c r="P269">
        <v>0</v>
      </c>
    </row>
    <row r="270" spans="1:16" x14ac:dyDescent="0.25">
      <c r="A270" t="s">
        <v>2523</v>
      </c>
      <c r="B270" t="s">
        <v>2524</v>
      </c>
      <c r="C270">
        <v>6353</v>
      </c>
      <c r="D270" t="s">
        <v>2525</v>
      </c>
      <c r="E270" t="s">
        <v>21</v>
      </c>
      <c r="F270">
        <v>10153</v>
      </c>
      <c r="G270" t="s">
        <v>4999</v>
      </c>
      <c r="H270" t="s">
        <v>4993</v>
      </c>
      <c r="I270">
        <v>4.6269</v>
      </c>
      <c r="J270" t="s">
        <v>5012</v>
      </c>
      <c r="K270" t="s">
        <v>4993</v>
      </c>
      <c r="L270">
        <v>67</v>
      </c>
      <c r="M270">
        <v>30</v>
      </c>
      <c r="N270" t="s">
        <v>5015</v>
      </c>
      <c r="O270">
        <v>0</v>
      </c>
      <c r="P270">
        <v>0</v>
      </c>
    </row>
    <row r="271" spans="1:16" x14ac:dyDescent="0.25">
      <c r="A271" t="s">
        <v>2468</v>
      </c>
      <c r="B271" t="s">
        <v>2469</v>
      </c>
      <c r="C271">
        <v>2002</v>
      </c>
      <c r="D271" t="s">
        <v>2470</v>
      </c>
      <c r="E271" t="s">
        <v>201</v>
      </c>
      <c r="F271">
        <v>10451</v>
      </c>
      <c r="G271" t="s">
        <v>4999</v>
      </c>
      <c r="H271" t="s">
        <v>4993</v>
      </c>
      <c r="I271">
        <v>4.4328000000000003</v>
      </c>
      <c r="J271" t="s">
        <v>5012</v>
      </c>
      <c r="K271" t="s">
        <v>4993</v>
      </c>
      <c r="L271">
        <v>67</v>
      </c>
      <c r="M271">
        <v>195</v>
      </c>
      <c r="N271" t="s">
        <v>5014</v>
      </c>
      <c r="O271">
        <v>0</v>
      </c>
      <c r="P271">
        <v>0</v>
      </c>
    </row>
    <row r="272" spans="1:16" x14ac:dyDescent="0.25">
      <c r="A272" t="s">
        <v>2159</v>
      </c>
      <c r="B272" t="s">
        <v>2160</v>
      </c>
      <c r="C272">
        <v>6201</v>
      </c>
      <c r="D272" t="s">
        <v>367</v>
      </c>
      <c r="E272" t="s">
        <v>49</v>
      </c>
      <c r="F272">
        <v>12975</v>
      </c>
      <c r="G272" t="s">
        <v>4999</v>
      </c>
      <c r="H272" t="s">
        <v>4993</v>
      </c>
      <c r="I272">
        <v>4.2537000000000003</v>
      </c>
      <c r="J272" t="s">
        <v>5012</v>
      </c>
      <c r="K272" t="s">
        <v>4993</v>
      </c>
      <c r="L272">
        <v>67</v>
      </c>
      <c r="M272">
        <v>105</v>
      </c>
      <c r="N272" t="s">
        <v>5014</v>
      </c>
      <c r="O272">
        <v>0</v>
      </c>
      <c r="P272">
        <v>0</v>
      </c>
    </row>
    <row r="273" spans="1:16" x14ac:dyDescent="0.25">
      <c r="A273" t="s">
        <v>2139</v>
      </c>
      <c r="B273" t="s">
        <v>2140</v>
      </c>
      <c r="C273">
        <v>6117</v>
      </c>
      <c r="D273" t="s">
        <v>229</v>
      </c>
      <c r="E273" t="s">
        <v>21</v>
      </c>
      <c r="F273">
        <v>13225</v>
      </c>
      <c r="G273" t="s">
        <v>4999</v>
      </c>
      <c r="H273" t="s">
        <v>4993</v>
      </c>
      <c r="I273">
        <v>4.0587999999999997</v>
      </c>
      <c r="J273" t="s">
        <v>5012</v>
      </c>
      <c r="K273" t="s">
        <v>4993</v>
      </c>
      <c r="L273">
        <v>68</v>
      </c>
      <c r="M273">
        <v>36</v>
      </c>
      <c r="N273" t="s">
        <v>5015</v>
      </c>
      <c r="O273">
        <v>0</v>
      </c>
      <c r="P273">
        <v>0</v>
      </c>
    </row>
    <row r="274" spans="1:16" x14ac:dyDescent="0.25">
      <c r="A274" t="s">
        <v>1232</v>
      </c>
      <c r="B274" t="s">
        <v>1233</v>
      </c>
      <c r="C274">
        <v>3728</v>
      </c>
      <c r="D274" t="s">
        <v>458</v>
      </c>
      <c r="E274" t="s">
        <v>8</v>
      </c>
      <c r="F274">
        <v>28361</v>
      </c>
      <c r="G274" t="s">
        <v>4999</v>
      </c>
      <c r="H274" t="s">
        <v>4993</v>
      </c>
      <c r="I274">
        <v>4.3262</v>
      </c>
      <c r="J274" t="s">
        <v>5012</v>
      </c>
      <c r="K274" t="s">
        <v>4993</v>
      </c>
      <c r="L274">
        <v>564</v>
      </c>
      <c r="M274">
        <v>65</v>
      </c>
      <c r="N274" t="s">
        <v>5014</v>
      </c>
      <c r="O274">
        <v>0</v>
      </c>
      <c r="P274">
        <v>0</v>
      </c>
    </row>
    <row r="275" spans="1:16" x14ac:dyDescent="0.25">
      <c r="A275" t="s">
        <v>846</v>
      </c>
      <c r="B275" t="s">
        <v>847</v>
      </c>
      <c r="C275">
        <v>6285</v>
      </c>
      <c r="D275" t="s">
        <v>119</v>
      </c>
      <c r="E275" t="s">
        <v>21</v>
      </c>
      <c r="F275">
        <v>42831</v>
      </c>
      <c r="G275" t="s">
        <v>4999</v>
      </c>
      <c r="H275" t="s">
        <v>4993</v>
      </c>
      <c r="I275">
        <v>4.0730000000000004</v>
      </c>
      <c r="J275" t="s">
        <v>5012</v>
      </c>
      <c r="K275" t="s">
        <v>4993</v>
      </c>
      <c r="L275">
        <v>562</v>
      </c>
      <c r="M275">
        <v>10.99</v>
      </c>
      <c r="N275" t="s">
        <v>5013</v>
      </c>
      <c r="O275">
        <v>0</v>
      </c>
      <c r="P275">
        <v>0</v>
      </c>
    </row>
    <row r="276" spans="1:16" x14ac:dyDescent="0.25">
      <c r="A276" t="s">
        <v>2023</v>
      </c>
      <c r="B276" t="s">
        <v>2024</v>
      </c>
      <c r="C276">
        <v>7050</v>
      </c>
      <c r="D276" t="s">
        <v>721</v>
      </c>
      <c r="E276" t="s">
        <v>201</v>
      </c>
      <c r="F276">
        <v>14443</v>
      </c>
      <c r="G276" t="s">
        <v>4999</v>
      </c>
      <c r="H276" t="s">
        <v>4993</v>
      </c>
      <c r="I276">
        <v>4.2609000000000004</v>
      </c>
      <c r="J276" t="s">
        <v>5012</v>
      </c>
      <c r="K276" t="s">
        <v>4993</v>
      </c>
      <c r="L276">
        <v>69</v>
      </c>
      <c r="M276">
        <v>25</v>
      </c>
      <c r="N276" t="s">
        <v>5015</v>
      </c>
      <c r="O276">
        <v>0</v>
      </c>
      <c r="P276">
        <v>1</v>
      </c>
    </row>
    <row r="277" spans="1:16" x14ac:dyDescent="0.25">
      <c r="A277" t="s">
        <v>888</v>
      </c>
      <c r="B277" t="s">
        <v>889</v>
      </c>
      <c r="C277">
        <v>6117</v>
      </c>
      <c r="D277" t="s">
        <v>229</v>
      </c>
      <c r="E277" t="s">
        <v>21</v>
      </c>
      <c r="F277">
        <v>41254</v>
      </c>
      <c r="G277" t="s">
        <v>4999</v>
      </c>
      <c r="H277" t="s">
        <v>4993</v>
      </c>
      <c r="I277">
        <v>4.3644999999999996</v>
      </c>
      <c r="J277" t="s">
        <v>5012</v>
      </c>
      <c r="K277" t="s">
        <v>4993</v>
      </c>
      <c r="L277">
        <v>557</v>
      </c>
      <c r="M277">
        <v>60</v>
      </c>
      <c r="N277" t="s">
        <v>5014</v>
      </c>
      <c r="O277">
        <v>0</v>
      </c>
      <c r="P277">
        <v>0</v>
      </c>
    </row>
    <row r="278" spans="1:16" x14ac:dyDescent="0.25">
      <c r="A278" t="s">
        <v>1890</v>
      </c>
      <c r="B278" t="s">
        <v>1891</v>
      </c>
      <c r="C278">
        <v>6014</v>
      </c>
      <c r="D278" t="s">
        <v>102</v>
      </c>
      <c r="E278" t="s">
        <v>69</v>
      </c>
      <c r="F278">
        <v>16054</v>
      </c>
      <c r="G278" t="s">
        <v>4999</v>
      </c>
      <c r="H278" t="s">
        <v>4993</v>
      </c>
      <c r="I278">
        <v>4.0571000000000002</v>
      </c>
      <c r="J278" t="s">
        <v>5012</v>
      </c>
      <c r="K278" t="s">
        <v>4993</v>
      </c>
      <c r="L278">
        <v>70</v>
      </c>
      <c r="M278">
        <v>9</v>
      </c>
      <c r="N278" t="s">
        <v>5013</v>
      </c>
      <c r="O278">
        <v>0</v>
      </c>
      <c r="P278">
        <v>0</v>
      </c>
    </row>
    <row r="279" spans="1:16" x14ac:dyDescent="0.25">
      <c r="A279" t="s">
        <v>1438</v>
      </c>
      <c r="B279" t="s">
        <v>1439</v>
      </c>
      <c r="C279">
        <v>6014</v>
      </c>
      <c r="D279" t="s">
        <v>102</v>
      </c>
      <c r="E279" t="s">
        <v>21</v>
      </c>
      <c r="F279">
        <v>23218</v>
      </c>
      <c r="G279" t="s">
        <v>4999</v>
      </c>
      <c r="H279" t="s">
        <v>4993</v>
      </c>
      <c r="I279">
        <v>4.4314</v>
      </c>
      <c r="J279" t="s">
        <v>5012</v>
      </c>
      <c r="K279" t="s">
        <v>4993</v>
      </c>
      <c r="L279">
        <v>554</v>
      </c>
      <c r="M279">
        <v>25</v>
      </c>
      <c r="N279" t="s">
        <v>5015</v>
      </c>
      <c r="O279">
        <v>0</v>
      </c>
      <c r="P279">
        <v>1</v>
      </c>
    </row>
    <row r="280" spans="1:16" x14ac:dyDescent="0.25">
      <c r="A280" t="s">
        <v>1190</v>
      </c>
      <c r="B280" t="s">
        <v>1191</v>
      </c>
      <c r="C280">
        <v>1254</v>
      </c>
      <c r="D280" t="s">
        <v>136</v>
      </c>
      <c r="E280" t="s">
        <v>21</v>
      </c>
      <c r="F280">
        <v>29640</v>
      </c>
      <c r="G280" t="s">
        <v>4999</v>
      </c>
      <c r="H280" t="s">
        <v>4993</v>
      </c>
      <c r="I280">
        <v>4.3308999999999997</v>
      </c>
      <c r="J280" t="s">
        <v>5012</v>
      </c>
      <c r="K280" t="s">
        <v>4993</v>
      </c>
      <c r="L280">
        <v>550</v>
      </c>
      <c r="M280">
        <v>34.5</v>
      </c>
      <c r="N280" t="s">
        <v>5015</v>
      </c>
      <c r="O280">
        <v>0</v>
      </c>
      <c r="P280">
        <v>0</v>
      </c>
    </row>
    <row r="281" spans="1:16" x14ac:dyDescent="0.25">
      <c r="A281" t="s">
        <v>1094</v>
      </c>
      <c r="B281" t="s">
        <v>1095</v>
      </c>
      <c r="C281">
        <v>8001</v>
      </c>
      <c r="D281" t="s">
        <v>27</v>
      </c>
      <c r="E281" t="s">
        <v>69</v>
      </c>
      <c r="F281">
        <v>32523</v>
      </c>
      <c r="G281" t="s">
        <v>4999</v>
      </c>
      <c r="H281" t="s">
        <v>4993</v>
      </c>
      <c r="I281">
        <v>4</v>
      </c>
      <c r="J281" t="s">
        <v>5012</v>
      </c>
      <c r="K281" t="s">
        <v>4993</v>
      </c>
      <c r="L281">
        <v>70</v>
      </c>
      <c r="M281">
        <v>60</v>
      </c>
      <c r="N281" t="s">
        <v>5014</v>
      </c>
      <c r="O281">
        <v>0</v>
      </c>
      <c r="P281">
        <v>0</v>
      </c>
    </row>
    <row r="282" spans="1:16" x14ac:dyDescent="0.25">
      <c r="A282" t="s">
        <v>1867</v>
      </c>
      <c r="B282" t="s">
        <v>1868</v>
      </c>
      <c r="C282">
        <v>3728</v>
      </c>
      <c r="D282" t="s">
        <v>458</v>
      </c>
      <c r="E282" t="s">
        <v>8</v>
      </c>
      <c r="F282">
        <v>16263</v>
      </c>
      <c r="G282" t="s">
        <v>4999</v>
      </c>
      <c r="H282" t="s">
        <v>4993</v>
      </c>
      <c r="I282">
        <v>4.6452999999999998</v>
      </c>
      <c r="J282" t="s">
        <v>5012</v>
      </c>
      <c r="K282" t="s">
        <v>4993</v>
      </c>
      <c r="L282">
        <v>547</v>
      </c>
      <c r="M282">
        <v>55</v>
      </c>
      <c r="N282" t="s">
        <v>5014</v>
      </c>
      <c r="O282">
        <v>0</v>
      </c>
      <c r="P282">
        <v>0</v>
      </c>
    </row>
    <row r="283" spans="1:16" x14ac:dyDescent="0.25">
      <c r="A283" t="s">
        <v>957</v>
      </c>
      <c r="B283" t="s">
        <v>958</v>
      </c>
      <c r="C283">
        <v>6149</v>
      </c>
      <c r="D283" t="s">
        <v>752</v>
      </c>
      <c r="E283" t="s">
        <v>149</v>
      </c>
      <c r="F283">
        <v>38772</v>
      </c>
      <c r="G283" t="s">
        <v>4999</v>
      </c>
      <c r="H283" t="s">
        <v>4993</v>
      </c>
      <c r="I283">
        <v>4.0986000000000002</v>
      </c>
      <c r="J283" t="s">
        <v>5012</v>
      </c>
      <c r="K283" t="s">
        <v>4993</v>
      </c>
      <c r="L283">
        <v>71</v>
      </c>
      <c r="M283">
        <v>26</v>
      </c>
      <c r="N283" t="s">
        <v>5015</v>
      </c>
      <c r="O283">
        <v>0</v>
      </c>
      <c r="P283">
        <v>0</v>
      </c>
    </row>
    <row r="284" spans="1:16" x14ac:dyDescent="0.25">
      <c r="A284" t="s">
        <v>813</v>
      </c>
      <c r="B284" t="s">
        <v>814</v>
      </c>
      <c r="C284">
        <v>6234</v>
      </c>
      <c r="D284" t="s">
        <v>7</v>
      </c>
      <c r="E284" t="s">
        <v>8</v>
      </c>
      <c r="F284">
        <v>43971</v>
      </c>
      <c r="G284" t="s">
        <v>4999</v>
      </c>
      <c r="H284" t="s">
        <v>4993</v>
      </c>
      <c r="I284">
        <v>4.2534999999999998</v>
      </c>
      <c r="J284" t="s">
        <v>5012</v>
      </c>
      <c r="K284" t="s">
        <v>4993</v>
      </c>
      <c r="L284">
        <v>71</v>
      </c>
      <c r="M284">
        <v>6.5</v>
      </c>
      <c r="N284" t="s">
        <v>5013</v>
      </c>
      <c r="O284">
        <v>0</v>
      </c>
      <c r="P284">
        <v>0</v>
      </c>
    </row>
    <row r="285" spans="1:16" x14ac:dyDescent="0.25">
      <c r="A285" t="s">
        <v>2011</v>
      </c>
      <c r="B285" t="s">
        <v>2012</v>
      </c>
      <c r="C285">
        <v>8017</v>
      </c>
      <c r="D285" t="s">
        <v>620</v>
      </c>
      <c r="E285" t="s">
        <v>13</v>
      </c>
      <c r="F285">
        <v>14598</v>
      </c>
      <c r="G285" t="s">
        <v>4999</v>
      </c>
      <c r="H285" t="s">
        <v>4993</v>
      </c>
      <c r="I285">
        <v>4.1506999999999996</v>
      </c>
      <c r="J285" t="s">
        <v>5012</v>
      </c>
      <c r="K285" t="s">
        <v>4993</v>
      </c>
      <c r="L285">
        <v>73</v>
      </c>
      <c r="M285">
        <v>18</v>
      </c>
      <c r="N285" t="s">
        <v>5013</v>
      </c>
      <c r="O285">
        <v>0</v>
      </c>
      <c r="P285">
        <v>0</v>
      </c>
    </row>
    <row r="286" spans="1:16" x14ac:dyDescent="0.25">
      <c r="A286" t="s">
        <v>1368</v>
      </c>
      <c r="B286" t="s">
        <v>1369</v>
      </c>
      <c r="C286">
        <v>6341</v>
      </c>
      <c r="D286" t="s">
        <v>66</v>
      </c>
      <c r="E286" t="s">
        <v>13</v>
      </c>
      <c r="F286">
        <v>24652</v>
      </c>
      <c r="G286" t="s">
        <v>4999</v>
      </c>
      <c r="H286" t="s">
        <v>4993</v>
      </c>
      <c r="I286">
        <v>4.1369999999999996</v>
      </c>
      <c r="J286" t="s">
        <v>5012</v>
      </c>
      <c r="K286" t="s">
        <v>4993</v>
      </c>
      <c r="L286">
        <v>73</v>
      </c>
      <c r="M286">
        <v>15</v>
      </c>
      <c r="N286" t="s">
        <v>5013</v>
      </c>
      <c r="O286">
        <v>0</v>
      </c>
      <c r="P286">
        <v>0</v>
      </c>
    </row>
    <row r="287" spans="1:16" x14ac:dyDescent="0.25">
      <c r="A287" t="s">
        <v>2454</v>
      </c>
      <c r="B287" t="s">
        <v>2455</v>
      </c>
      <c r="C287">
        <v>6289</v>
      </c>
      <c r="D287" t="s">
        <v>111</v>
      </c>
      <c r="E287" t="s">
        <v>220</v>
      </c>
      <c r="F287">
        <v>10557</v>
      </c>
      <c r="G287" t="s">
        <v>4999</v>
      </c>
      <c r="H287" t="s">
        <v>4993</v>
      </c>
      <c r="I287">
        <v>4.7161999999999997</v>
      </c>
      <c r="J287" t="s">
        <v>5012</v>
      </c>
      <c r="K287" t="s">
        <v>4993</v>
      </c>
      <c r="L287">
        <v>74</v>
      </c>
      <c r="M287">
        <v>40</v>
      </c>
      <c r="N287" t="s">
        <v>5015</v>
      </c>
      <c r="O287">
        <v>0</v>
      </c>
      <c r="P287">
        <v>0</v>
      </c>
    </row>
    <row r="288" spans="1:16" x14ac:dyDescent="0.25">
      <c r="A288" t="s">
        <v>1552</v>
      </c>
      <c r="B288" t="s">
        <v>1553</v>
      </c>
      <c r="C288">
        <v>6234</v>
      </c>
      <c r="D288" t="s">
        <v>7</v>
      </c>
      <c r="E288" t="s">
        <v>21</v>
      </c>
      <c r="F288">
        <v>21125</v>
      </c>
      <c r="G288" t="s">
        <v>4999</v>
      </c>
      <c r="H288" t="s">
        <v>4993</v>
      </c>
      <c r="I288">
        <v>4.1891999999999996</v>
      </c>
      <c r="J288" t="s">
        <v>5012</v>
      </c>
      <c r="K288" t="s">
        <v>4993</v>
      </c>
      <c r="L288">
        <v>74</v>
      </c>
      <c r="M288">
        <v>8.5</v>
      </c>
      <c r="N288" t="s">
        <v>5013</v>
      </c>
      <c r="O288">
        <v>0</v>
      </c>
      <c r="P288">
        <v>1</v>
      </c>
    </row>
    <row r="289" spans="1:16" x14ac:dyDescent="0.25">
      <c r="A289" t="s">
        <v>1313</v>
      </c>
      <c r="B289" t="s">
        <v>1314</v>
      </c>
      <c r="C289">
        <v>8008</v>
      </c>
      <c r="D289" t="s">
        <v>105</v>
      </c>
      <c r="E289" t="s">
        <v>220</v>
      </c>
      <c r="F289">
        <v>26141</v>
      </c>
      <c r="G289" t="s">
        <v>4999</v>
      </c>
      <c r="H289" t="s">
        <v>4993</v>
      </c>
      <c r="I289">
        <v>4.0945999999999998</v>
      </c>
      <c r="J289" t="s">
        <v>5012</v>
      </c>
      <c r="K289" t="s">
        <v>4993</v>
      </c>
      <c r="L289">
        <v>74</v>
      </c>
      <c r="M289">
        <v>30</v>
      </c>
      <c r="N289" t="s">
        <v>5015</v>
      </c>
      <c r="O289">
        <v>0</v>
      </c>
      <c r="P289">
        <v>0</v>
      </c>
    </row>
    <row r="290" spans="1:16" x14ac:dyDescent="0.25">
      <c r="A290" t="s">
        <v>1926</v>
      </c>
      <c r="B290" t="s">
        <v>1927</v>
      </c>
      <c r="C290">
        <v>6219</v>
      </c>
      <c r="D290" t="s">
        <v>277</v>
      </c>
      <c r="E290" t="s">
        <v>13</v>
      </c>
      <c r="F290">
        <v>15540</v>
      </c>
      <c r="G290" t="s">
        <v>4999</v>
      </c>
      <c r="H290" t="s">
        <v>4993</v>
      </c>
      <c r="I290">
        <v>4.6303000000000001</v>
      </c>
      <c r="J290" t="s">
        <v>5012</v>
      </c>
      <c r="K290" t="s">
        <v>4993</v>
      </c>
      <c r="L290">
        <v>541</v>
      </c>
      <c r="M290">
        <v>42</v>
      </c>
      <c r="N290" t="s">
        <v>5015</v>
      </c>
      <c r="O290">
        <v>0</v>
      </c>
      <c r="P290">
        <v>0</v>
      </c>
    </row>
    <row r="291" spans="1:16" x14ac:dyDescent="0.25">
      <c r="A291" t="s">
        <v>2354</v>
      </c>
      <c r="B291" t="s">
        <v>2355</v>
      </c>
      <c r="C291">
        <v>7020</v>
      </c>
      <c r="D291" t="s">
        <v>657</v>
      </c>
      <c r="E291" t="s">
        <v>21</v>
      </c>
      <c r="F291">
        <v>11417</v>
      </c>
      <c r="G291" t="s">
        <v>4999</v>
      </c>
      <c r="H291" t="s">
        <v>4993</v>
      </c>
      <c r="I291">
        <v>4.2</v>
      </c>
      <c r="J291" t="s">
        <v>5012</v>
      </c>
      <c r="K291" t="s">
        <v>4993</v>
      </c>
      <c r="L291">
        <v>75</v>
      </c>
      <c r="M291">
        <v>165</v>
      </c>
      <c r="N291" t="s">
        <v>5014</v>
      </c>
      <c r="O291">
        <v>0</v>
      </c>
      <c r="P291">
        <v>0</v>
      </c>
    </row>
    <row r="292" spans="1:16" x14ac:dyDescent="0.25">
      <c r="A292" t="s">
        <v>1408</v>
      </c>
      <c r="B292" t="s">
        <v>1409</v>
      </c>
      <c r="C292">
        <v>3728</v>
      </c>
      <c r="D292" t="s">
        <v>458</v>
      </c>
      <c r="E292" t="s">
        <v>69</v>
      </c>
      <c r="F292">
        <v>23860</v>
      </c>
      <c r="G292" t="s">
        <v>4999</v>
      </c>
      <c r="H292" t="s">
        <v>4993</v>
      </c>
      <c r="I292">
        <v>4.3723999999999998</v>
      </c>
      <c r="J292" t="s">
        <v>5012</v>
      </c>
      <c r="K292" t="s">
        <v>4993</v>
      </c>
      <c r="L292">
        <v>537</v>
      </c>
      <c r="M292">
        <v>60</v>
      </c>
      <c r="N292" t="s">
        <v>5014</v>
      </c>
      <c r="O292">
        <v>0</v>
      </c>
      <c r="P292">
        <v>0</v>
      </c>
    </row>
    <row r="293" spans="1:16" x14ac:dyDescent="0.25">
      <c r="A293" t="s">
        <v>1669</v>
      </c>
      <c r="B293" t="s">
        <v>1670</v>
      </c>
      <c r="C293">
        <v>6256</v>
      </c>
      <c r="D293" t="s">
        <v>346</v>
      </c>
      <c r="E293" t="s">
        <v>201</v>
      </c>
      <c r="F293">
        <v>18840</v>
      </c>
      <c r="G293" t="s">
        <v>4999</v>
      </c>
      <c r="H293" t="s">
        <v>4993</v>
      </c>
      <c r="I293">
        <v>4</v>
      </c>
      <c r="J293" t="s">
        <v>5012</v>
      </c>
      <c r="K293" t="s">
        <v>4993</v>
      </c>
      <c r="L293">
        <v>75</v>
      </c>
      <c r="M293">
        <v>40</v>
      </c>
      <c r="N293" t="s">
        <v>5015</v>
      </c>
      <c r="O293">
        <v>0</v>
      </c>
      <c r="P293">
        <v>0</v>
      </c>
    </row>
    <row r="294" spans="1:16" x14ac:dyDescent="0.25">
      <c r="A294" t="s">
        <v>1120</v>
      </c>
      <c r="B294" t="s">
        <v>1121</v>
      </c>
      <c r="C294">
        <v>6189</v>
      </c>
      <c r="D294" t="s">
        <v>30</v>
      </c>
      <c r="E294" t="s">
        <v>8</v>
      </c>
      <c r="F294">
        <v>31946</v>
      </c>
      <c r="G294" t="s">
        <v>4999</v>
      </c>
      <c r="H294" t="s">
        <v>4993</v>
      </c>
      <c r="I294">
        <v>4.6859999999999999</v>
      </c>
      <c r="J294" t="s">
        <v>5012</v>
      </c>
      <c r="K294" t="s">
        <v>4993</v>
      </c>
      <c r="L294">
        <v>535</v>
      </c>
      <c r="M294">
        <v>32</v>
      </c>
      <c r="N294" t="s">
        <v>5015</v>
      </c>
      <c r="O294">
        <v>1</v>
      </c>
      <c r="P294">
        <v>0</v>
      </c>
    </row>
    <row r="295" spans="1:16" x14ac:dyDescent="0.25">
      <c r="A295" t="s">
        <v>1148</v>
      </c>
      <c r="B295" t="s">
        <v>1149</v>
      </c>
      <c r="C295">
        <v>3728</v>
      </c>
      <c r="D295" t="s">
        <v>458</v>
      </c>
      <c r="E295" t="s">
        <v>69</v>
      </c>
      <c r="F295">
        <v>31288</v>
      </c>
      <c r="G295" t="s">
        <v>4999</v>
      </c>
      <c r="H295" t="s">
        <v>4993</v>
      </c>
      <c r="I295">
        <v>4.1989000000000001</v>
      </c>
      <c r="J295" t="s">
        <v>5012</v>
      </c>
      <c r="K295" t="s">
        <v>4993</v>
      </c>
      <c r="L295">
        <v>533</v>
      </c>
      <c r="M295">
        <v>55</v>
      </c>
      <c r="N295" t="s">
        <v>5014</v>
      </c>
      <c r="O295">
        <v>0</v>
      </c>
      <c r="P295">
        <v>0</v>
      </c>
    </row>
    <row r="296" spans="1:16" x14ac:dyDescent="0.25">
      <c r="A296" t="s">
        <v>2495</v>
      </c>
      <c r="B296" t="s">
        <v>2496</v>
      </c>
      <c r="C296">
        <v>6114</v>
      </c>
      <c r="D296" t="s">
        <v>1355</v>
      </c>
      <c r="E296" t="s">
        <v>347</v>
      </c>
      <c r="F296">
        <v>10303</v>
      </c>
      <c r="G296" t="s">
        <v>4999</v>
      </c>
      <c r="H296" t="s">
        <v>4993</v>
      </c>
      <c r="I296">
        <v>4.6494</v>
      </c>
      <c r="J296" t="s">
        <v>5012</v>
      </c>
      <c r="K296" t="s">
        <v>4993</v>
      </c>
      <c r="L296">
        <v>77</v>
      </c>
      <c r="M296">
        <v>159</v>
      </c>
      <c r="N296" t="s">
        <v>5014</v>
      </c>
      <c r="O296">
        <v>0</v>
      </c>
      <c r="P296">
        <v>0</v>
      </c>
    </row>
    <row r="297" spans="1:16" x14ac:dyDescent="0.25">
      <c r="A297" t="s">
        <v>2222</v>
      </c>
      <c r="B297" t="s">
        <v>2223</v>
      </c>
      <c r="C297">
        <v>7091</v>
      </c>
      <c r="D297" t="s">
        <v>879</v>
      </c>
      <c r="E297" t="s">
        <v>49</v>
      </c>
      <c r="F297">
        <v>12498</v>
      </c>
      <c r="G297" t="s">
        <v>4999</v>
      </c>
      <c r="H297" t="s">
        <v>4993</v>
      </c>
      <c r="I297">
        <v>4.3635999999999999</v>
      </c>
      <c r="J297" t="s">
        <v>5012</v>
      </c>
      <c r="K297" t="s">
        <v>4993</v>
      </c>
      <c r="L297">
        <v>77</v>
      </c>
      <c r="M297">
        <v>28</v>
      </c>
      <c r="N297" t="s">
        <v>5015</v>
      </c>
      <c r="O297">
        <v>0</v>
      </c>
      <c r="P297">
        <v>0</v>
      </c>
    </row>
    <row r="298" spans="1:16" x14ac:dyDescent="0.25">
      <c r="A298" t="s">
        <v>2154</v>
      </c>
      <c r="B298" t="s">
        <v>2155</v>
      </c>
      <c r="C298">
        <v>5972</v>
      </c>
      <c r="D298" t="s">
        <v>54</v>
      </c>
      <c r="E298" t="s">
        <v>8</v>
      </c>
      <c r="F298">
        <v>13002</v>
      </c>
      <c r="G298" t="s">
        <v>4999</v>
      </c>
      <c r="H298" t="s">
        <v>4993</v>
      </c>
      <c r="I298">
        <v>4.2857000000000003</v>
      </c>
      <c r="J298" t="s">
        <v>5012</v>
      </c>
      <c r="K298" t="s">
        <v>4993</v>
      </c>
      <c r="L298">
        <v>77</v>
      </c>
      <c r="M298">
        <v>26</v>
      </c>
      <c r="N298" t="s">
        <v>5015</v>
      </c>
      <c r="O298">
        <v>0</v>
      </c>
      <c r="P298">
        <v>0</v>
      </c>
    </row>
    <row r="299" spans="1:16" x14ac:dyDescent="0.25">
      <c r="A299" t="s">
        <v>2085</v>
      </c>
      <c r="B299" t="s">
        <v>2086</v>
      </c>
      <c r="C299">
        <v>6285</v>
      </c>
      <c r="D299" t="s">
        <v>119</v>
      </c>
      <c r="E299" t="s">
        <v>8</v>
      </c>
      <c r="F299">
        <v>13720</v>
      </c>
      <c r="G299" t="s">
        <v>4999</v>
      </c>
      <c r="H299" t="s">
        <v>4993</v>
      </c>
      <c r="I299">
        <v>4.1558000000000002</v>
      </c>
      <c r="J299" t="s">
        <v>5012</v>
      </c>
      <c r="K299" t="s">
        <v>4993</v>
      </c>
      <c r="L299">
        <v>77</v>
      </c>
      <c r="M299">
        <v>24.99</v>
      </c>
      <c r="N299" t="s">
        <v>5015</v>
      </c>
      <c r="O299">
        <v>0</v>
      </c>
      <c r="P299">
        <v>0</v>
      </c>
    </row>
    <row r="300" spans="1:16" x14ac:dyDescent="0.25">
      <c r="A300" t="s">
        <v>2129</v>
      </c>
      <c r="B300" t="s">
        <v>2130</v>
      </c>
      <c r="C300">
        <v>5337</v>
      </c>
      <c r="D300" t="s">
        <v>209</v>
      </c>
      <c r="E300" t="s">
        <v>69</v>
      </c>
      <c r="F300">
        <v>13301</v>
      </c>
      <c r="G300" t="s">
        <v>4999</v>
      </c>
      <c r="H300" t="s">
        <v>4993</v>
      </c>
      <c r="I300">
        <v>4.2531999999999996</v>
      </c>
      <c r="J300" t="s">
        <v>5012</v>
      </c>
      <c r="K300" t="s">
        <v>4993</v>
      </c>
      <c r="L300">
        <v>79</v>
      </c>
      <c r="M300">
        <v>72</v>
      </c>
      <c r="N300" t="s">
        <v>5014</v>
      </c>
      <c r="O300">
        <v>0</v>
      </c>
      <c r="P300">
        <v>0</v>
      </c>
    </row>
    <row r="301" spans="1:16" x14ac:dyDescent="0.25">
      <c r="A301" t="s">
        <v>2236</v>
      </c>
      <c r="B301" t="s">
        <v>2237</v>
      </c>
      <c r="C301">
        <v>5922</v>
      </c>
      <c r="D301" t="s">
        <v>204</v>
      </c>
      <c r="E301" t="s">
        <v>8</v>
      </c>
      <c r="F301">
        <v>12342</v>
      </c>
      <c r="G301" t="s">
        <v>4999</v>
      </c>
      <c r="H301" t="s">
        <v>4993</v>
      </c>
      <c r="I301">
        <v>4.3955000000000002</v>
      </c>
      <c r="J301" t="s">
        <v>5012</v>
      </c>
      <c r="K301" t="s">
        <v>4993</v>
      </c>
      <c r="L301">
        <v>531</v>
      </c>
      <c r="M301">
        <v>66</v>
      </c>
      <c r="N301" t="s">
        <v>5014</v>
      </c>
      <c r="O301">
        <v>0</v>
      </c>
      <c r="P301">
        <v>0</v>
      </c>
    </row>
    <row r="302" spans="1:16" x14ac:dyDescent="0.25">
      <c r="A302" t="s">
        <v>2370</v>
      </c>
      <c r="B302" t="s">
        <v>2371</v>
      </c>
      <c r="C302">
        <v>6169</v>
      </c>
      <c r="D302" t="s">
        <v>24</v>
      </c>
      <c r="E302" t="s">
        <v>13</v>
      </c>
      <c r="F302">
        <v>11299</v>
      </c>
      <c r="G302" t="s">
        <v>4999</v>
      </c>
      <c r="H302" t="s">
        <v>4993</v>
      </c>
      <c r="I302">
        <v>4.5926</v>
      </c>
      <c r="J302" t="s">
        <v>5012</v>
      </c>
      <c r="K302" t="s">
        <v>4993</v>
      </c>
      <c r="L302">
        <v>81</v>
      </c>
      <c r="M302">
        <v>42</v>
      </c>
      <c r="N302" t="s">
        <v>5015</v>
      </c>
      <c r="O302">
        <v>0</v>
      </c>
      <c r="P302">
        <v>0</v>
      </c>
    </row>
    <row r="303" spans="1:16" x14ac:dyDescent="0.25">
      <c r="A303" t="s">
        <v>1788</v>
      </c>
      <c r="B303" t="s">
        <v>1789</v>
      </c>
      <c r="C303">
        <v>6218</v>
      </c>
      <c r="D303" t="s">
        <v>116</v>
      </c>
      <c r="E303" t="s">
        <v>13</v>
      </c>
      <c r="F303">
        <v>17152</v>
      </c>
      <c r="G303" t="s">
        <v>4999</v>
      </c>
      <c r="H303" t="s">
        <v>4993</v>
      </c>
      <c r="I303">
        <v>4.6173000000000002</v>
      </c>
      <c r="J303" t="s">
        <v>5012</v>
      </c>
      <c r="K303" t="s">
        <v>4993</v>
      </c>
      <c r="L303">
        <v>81</v>
      </c>
      <c r="M303">
        <v>46</v>
      </c>
      <c r="N303" t="s">
        <v>5015</v>
      </c>
      <c r="O303">
        <v>0</v>
      </c>
      <c r="P303">
        <v>0</v>
      </c>
    </row>
    <row r="304" spans="1:16" x14ac:dyDescent="0.25">
      <c r="A304" t="s">
        <v>1493</v>
      </c>
      <c r="B304" t="s">
        <v>1494</v>
      </c>
      <c r="C304">
        <v>5674</v>
      </c>
      <c r="D304" t="s">
        <v>141</v>
      </c>
      <c r="E304" t="s">
        <v>220</v>
      </c>
      <c r="F304">
        <v>22166</v>
      </c>
      <c r="G304" t="s">
        <v>4999</v>
      </c>
      <c r="H304" t="s">
        <v>4993</v>
      </c>
      <c r="I304">
        <v>4.2346000000000004</v>
      </c>
      <c r="J304" t="s">
        <v>5012</v>
      </c>
      <c r="K304" t="s">
        <v>4993</v>
      </c>
      <c r="L304">
        <v>81</v>
      </c>
      <c r="M304">
        <v>65</v>
      </c>
      <c r="N304" t="s">
        <v>5014</v>
      </c>
      <c r="O304">
        <v>0</v>
      </c>
      <c r="P304">
        <v>0</v>
      </c>
    </row>
    <row r="305" spans="1:16" x14ac:dyDescent="0.25">
      <c r="A305" t="s">
        <v>1271</v>
      </c>
      <c r="B305" t="s">
        <v>1272</v>
      </c>
      <c r="C305">
        <v>6041</v>
      </c>
      <c r="D305" t="s">
        <v>33</v>
      </c>
      <c r="E305" t="s">
        <v>69</v>
      </c>
      <c r="F305">
        <v>27298</v>
      </c>
      <c r="G305" t="s">
        <v>4999</v>
      </c>
      <c r="H305" t="s">
        <v>4993</v>
      </c>
      <c r="I305">
        <v>4.4074</v>
      </c>
      <c r="J305" t="s">
        <v>5012</v>
      </c>
      <c r="K305" t="s">
        <v>4993</v>
      </c>
      <c r="L305">
        <v>81</v>
      </c>
      <c r="M305">
        <v>95</v>
      </c>
      <c r="N305" t="s">
        <v>5014</v>
      </c>
      <c r="O305">
        <v>0</v>
      </c>
      <c r="P305">
        <v>0</v>
      </c>
    </row>
    <row r="306" spans="1:16" x14ac:dyDescent="0.25">
      <c r="A306" t="s">
        <v>2513</v>
      </c>
      <c r="B306" t="s">
        <v>2514</v>
      </c>
      <c r="C306">
        <v>5972</v>
      </c>
      <c r="D306" t="s">
        <v>54</v>
      </c>
      <c r="E306" t="s">
        <v>220</v>
      </c>
      <c r="F306">
        <v>10231</v>
      </c>
      <c r="G306" t="s">
        <v>4999</v>
      </c>
      <c r="H306" t="s">
        <v>4993</v>
      </c>
      <c r="I306">
        <v>4.5853999999999999</v>
      </c>
      <c r="J306" t="s">
        <v>5012</v>
      </c>
      <c r="K306" t="s">
        <v>4993</v>
      </c>
      <c r="L306">
        <v>82</v>
      </c>
      <c r="M306">
        <v>30</v>
      </c>
      <c r="N306" t="s">
        <v>5015</v>
      </c>
      <c r="O306">
        <v>0</v>
      </c>
      <c r="P306">
        <v>1</v>
      </c>
    </row>
    <row r="307" spans="1:16" x14ac:dyDescent="0.25">
      <c r="A307" t="s">
        <v>1047</v>
      </c>
      <c r="B307" t="s">
        <v>1048</v>
      </c>
      <c r="C307">
        <v>8001</v>
      </c>
      <c r="D307" t="s">
        <v>27</v>
      </c>
      <c r="E307" t="s">
        <v>21</v>
      </c>
      <c r="F307">
        <v>34646</v>
      </c>
      <c r="G307" t="s">
        <v>4999</v>
      </c>
      <c r="H307" t="s">
        <v>4993</v>
      </c>
      <c r="I307">
        <v>4.4348000000000001</v>
      </c>
      <c r="J307" t="s">
        <v>5012</v>
      </c>
      <c r="K307" t="s">
        <v>4993</v>
      </c>
      <c r="L307">
        <v>529</v>
      </c>
      <c r="M307">
        <v>34</v>
      </c>
      <c r="N307" t="s">
        <v>5015</v>
      </c>
      <c r="O307">
        <v>0</v>
      </c>
      <c r="P307">
        <v>0</v>
      </c>
    </row>
    <row r="308" spans="1:16" x14ac:dyDescent="0.25">
      <c r="A308" t="s">
        <v>943</v>
      </c>
      <c r="B308" t="s">
        <v>944</v>
      </c>
      <c r="C308">
        <v>6195</v>
      </c>
      <c r="D308" t="s">
        <v>163</v>
      </c>
      <c r="E308" t="s">
        <v>13</v>
      </c>
      <c r="F308">
        <v>39366</v>
      </c>
      <c r="G308" t="s">
        <v>4999</v>
      </c>
      <c r="H308" t="s">
        <v>4993</v>
      </c>
      <c r="I308">
        <v>4.4071999999999996</v>
      </c>
      <c r="J308" t="s">
        <v>5012</v>
      </c>
      <c r="K308" t="s">
        <v>4993</v>
      </c>
      <c r="L308">
        <v>528</v>
      </c>
      <c r="M308">
        <v>28</v>
      </c>
      <c r="N308" t="s">
        <v>5015</v>
      </c>
      <c r="O308">
        <v>0</v>
      </c>
      <c r="P308">
        <v>0</v>
      </c>
    </row>
    <row r="309" spans="1:16" x14ac:dyDescent="0.25">
      <c r="A309" t="s">
        <v>1320</v>
      </c>
      <c r="B309" t="s">
        <v>1321</v>
      </c>
      <c r="C309">
        <v>4348</v>
      </c>
      <c r="D309" t="s">
        <v>61</v>
      </c>
      <c r="E309" t="s">
        <v>4</v>
      </c>
      <c r="F309">
        <v>26121</v>
      </c>
      <c r="G309" t="s">
        <v>4999</v>
      </c>
      <c r="H309" t="s">
        <v>4993</v>
      </c>
      <c r="I309">
        <v>4.0833000000000004</v>
      </c>
      <c r="J309" t="s">
        <v>5012</v>
      </c>
      <c r="K309" t="s">
        <v>4993</v>
      </c>
      <c r="L309">
        <v>528</v>
      </c>
      <c r="M309">
        <v>25</v>
      </c>
      <c r="N309" t="s">
        <v>5015</v>
      </c>
      <c r="O309">
        <v>0</v>
      </c>
      <c r="P309">
        <v>0</v>
      </c>
    </row>
    <row r="310" spans="1:16" x14ac:dyDescent="0.25">
      <c r="A310" t="s">
        <v>1709</v>
      </c>
      <c r="B310" t="s">
        <v>1710</v>
      </c>
      <c r="C310">
        <v>6272</v>
      </c>
      <c r="D310" t="s">
        <v>1711</v>
      </c>
      <c r="E310" t="s">
        <v>201</v>
      </c>
      <c r="F310">
        <v>18126</v>
      </c>
      <c r="G310" t="s">
        <v>4999</v>
      </c>
      <c r="H310" t="s">
        <v>4993</v>
      </c>
      <c r="I310">
        <v>4.5833000000000004</v>
      </c>
      <c r="J310" t="s">
        <v>5012</v>
      </c>
      <c r="K310" t="s">
        <v>4993</v>
      </c>
      <c r="L310">
        <v>84</v>
      </c>
      <c r="M310">
        <v>65</v>
      </c>
      <c r="N310" t="s">
        <v>5014</v>
      </c>
      <c r="O310">
        <v>0</v>
      </c>
      <c r="P310">
        <v>0</v>
      </c>
    </row>
    <row r="311" spans="1:16" x14ac:dyDescent="0.25">
      <c r="A311" t="s">
        <v>1124</v>
      </c>
      <c r="B311" t="s">
        <v>1125</v>
      </c>
      <c r="C311">
        <v>7083</v>
      </c>
      <c r="D311" t="s">
        <v>20</v>
      </c>
      <c r="E311" t="s">
        <v>144</v>
      </c>
      <c r="F311">
        <v>31898</v>
      </c>
      <c r="G311" t="s">
        <v>4999</v>
      </c>
      <c r="H311" t="s">
        <v>4993</v>
      </c>
      <c r="I311">
        <v>4</v>
      </c>
      <c r="J311" t="s">
        <v>5012</v>
      </c>
      <c r="K311" t="s">
        <v>4993</v>
      </c>
      <c r="L311">
        <v>84</v>
      </c>
      <c r="M311">
        <v>28</v>
      </c>
      <c r="N311" t="s">
        <v>5015</v>
      </c>
      <c r="O311">
        <v>0</v>
      </c>
      <c r="P311">
        <v>0</v>
      </c>
    </row>
    <row r="312" spans="1:16" x14ac:dyDescent="0.25">
      <c r="A312" t="s">
        <v>2179</v>
      </c>
      <c r="B312" t="s">
        <v>2180</v>
      </c>
      <c r="C312">
        <v>5715</v>
      </c>
      <c r="D312" t="s">
        <v>979</v>
      </c>
      <c r="E312" t="s">
        <v>144</v>
      </c>
      <c r="F312">
        <v>12738</v>
      </c>
      <c r="G312" t="s">
        <v>4999</v>
      </c>
      <c r="H312" t="s">
        <v>4993</v>
      </c>
      <c r="I312">
        <v>4.2470999999999997</v>
      </c>
      <c r="J312" t="s">
        <v>5012</v>
      </c>
      <c r="K312" t="s">
        <v>4993</v>
      </c>
      <c r="L312">
        <v>85</v>
      </c>
      <c r="M312">
        <v>16</v>
      </c>
      <c r="N312" t="s">
        <v>5013</v>
      </c>
      <c r="O312">
        <v>0</v>
      </c>
      <c r="P312">
        <v>0</v>
      </c>
    </row>
    <row r="313" spans="1:16" x14ac:dyDescent="0.25">
      <c r="A313" t="s">
        <v>1137</v>
      </c>
      <c r="B313" t="s">
        <v>1138</v>
      </c>
      <c r="C313">
        <v>3902</v>
      </c>
      <c r="D313" t="s">
        <v>72</v>
      </c>
      <c r="E313" t="s">
        <v>201</v>
      </c>
      <c r="F313">
        <v>31468</v>
      </c>
      <c r="G313" t="s">
        <v>4999</v>
      </c>
      <c r="H313" t="s">
        <v>4993</v>
      </c>
      <c r="I313">
        <v>4.1176000000000004</v>
      </c>
      <c r="J313" t="s">
        <v>5012</v>
      </c>
      <c r="K313" t="s">
        <v>4993</v>
      </c>
      <c r="L313">
        <v>85</v>
      </c>
      <c r="M313">
        <v>35</v>
      </c>
      <c r="N313" t="s">
        <v>5015</v>
      </c>
      <c r="O313">
        <v>0</v>
      </c>
      <c r="P313">
        <v>0</v>
      </c>
    </row>
    <row r="314" spans="1:16" x14ac:dyDescent="0.25">
      <c r="A314" t="s">
        <v>2378</v>
      </c>
      <c r="B314" t="s">
        <v>2379</v>
      </c>
      <c r="C314">
        <v>3733</v>
      </c>
      <c r="D314" t="s">
        <v>124</v>
      </c>
      <c r="E314" t="s">
        <v>13</v>
      </c>
      <c r="F314">
        <v>11239</v>
      </c>
      <c r="G314" t="s">
        <v>4999</v>
      </c>
      <c r="H314" t="s">
        <v>4993</v>
      </c>
      <c r="I314">
        <v>4.5</v>
      </c>
      <c r="J314" t="s">
        <v>5012</v>
      </c>
      <c r="K314" t="s">
        <v>4993</v>
      </c>
      <c r="L314">
        <v>86</v>
      </c>
      <c r="M314">
        <v>37</v>
      </c>
      <c r="N314" t="s">
        <v>5015</v>
      </c>
      <c r="O314">
        <v>0</v>
      </c>
      <c r="P314">
        <v>0</v>
      </c>
    </row>
    <row r="315" spans="1:16" x14ac:dyDescent="0.25">
      <c r="A315" t="s">
        <v>744</v>
      </c>
      <c r="B315" t="s">
        <v>745</v>
      </c>
      <c r="C315">
        <v>5674</v>
      </c>
      <c r="D315" t="s">
        <v>141</v>
      </c>
      <c r="E315" t="s">
        <v>13</v>
      </c>
      <c r="F315">
        <v>48054</v>
      </c>
      <c r="G315" t="s">
        <v>4999</v>
      </c>
      <c r="H315" t="s">
        <v>4993</v>
      </c>
      <c r="I315">
        <v>4.2371999999999996</v>
      </c>
      <c r="J315" t="s">
        <v>5012</v>
      </c>
      <c r="K315" t="s">
        <v>4993</v>
      </c>
      <c r="L315">
        <v>527</v>
      </c>
      <c r="M315">
        <v>33</v>
      </c>
      <c r="N315" t="s">
        <v>5015</v>
      </c>
      <c r="O315">
        <v>0</v>
      </c>
      <c r="P315">
        <v>0</v>
      </c>
    </row>
    <row r="316" spans="1:16" x14ac:dyDescent="0.25">
      <c r="A316" t="s">
        <v>1847</v>
      </c>
      <c r="B316" t="s">
        <v>1848</v>
      </c>
      <c r="C316">
        <v>6073</v>
      </c>
      <c r="D316" t="s">
        <v>78</v>
      </c>
      <c r="E316" t="s">
        <v>21</v>
      </c>
      <c r="F316">
        <v>16576</v>
      </c>
      <c r="G316" t="s">
        <v>4999</v>
      </c>
      <c r="H316" t="s">
        <v>4993</v>
      </c>
      <c r="I316">
        <v>4.6660000000000004</v>
      </c>
      <c r="J316" t="s">
        <v>5012</v>
      </c>
      <c r="K316" t="s">
        <v>4993</v>
      </c>
      <c r="L316">
        <v>527</v>
      </c>
      <c r="M316">
        <v>65</v>
      </c>
      <c r="N316" t="s">
        <v>5014</v>
      </c>
      <c r="O316">
        <v>0</v>
      </c>
      <c r="P316">
        <v>0</v>
      </c>
    </row>
    <row r="317" spans="1:16" x14ac:dyDescent="0.25">
      <c r="A317" t="s">
        <v>1644</v>
      </c>
      <c r="B317" t="s">
        <v>1645</v>
      </c>
      <c r="C317">
        <v>6218</v>
      </c>
      <c r="D317" t="s">
        <v>116</v>
      </c>
      <c r="E317" t="s">
        <v>144</v>
      </c>
      <c r="F317">
        <v>19428</v>
      </c>
      <c r="G317" t="s">
        <v>4999</v>
      </c>
      <c r="H317" t="s">
        <v>4993</v>
      </c>
      <c r="I317">
        <v>4.5419999999999998</v>
      </c>
      <c r="J317" t="s">
        <v>5012</v>
      </c>
      <c r="K317" t="s">
        <v>4993</v>
      </c>
      <c r="L317">
        <v>524</v>
      </c>
      <c r="M317">
        <v>25</v>
      </c>
      <c r="N317" t="s">
        <v>5015</v>
      </c>
      <c r="O317">
        <v>0</v>
      </c>
      <c r="P317">
        <v>0</v>
      </c>
    </row>
    <row r="318" spans="1:16" x14ac:dyDescent="0.25">
      <c r="A318" t="s">
        <v>2424</v>
      </c>
      <c r="B318" t="s">
        <v>2425</v>
      </c>
      <c r="C318">
        <v>6272</v>
      </c>
      <c r="D318" t="s">
        <v>1711</v>
      </c>
      <c r="E318" t="s">
        <v>13</v>
      </c>
      <c r="F318">
        <v>10844</v>
      </c>
      <c r="G318" t="s">
        <v>4999</v>
      </c>
      <c r="H318" t="s">
        <v>4993</v>
      </c>
      <c r="I318">
        <v>4.4713000000000003</v>
      </c>
      <c r="J318" t="s">
        <v>5012</v>
      </c>
      <c r="K318" t="s">
        <v>4993</v>
      </c>
      <c r="L318">
        <v>87</v>
      </c>
      <c r="M318">
        <v>39</v>
      </c>
      <c r="N318" t="s">
        <v>5015</v>
      </c>
      <c r="O318">
        <v>0</v>
      </c>
      <c r="P318">
        <v>0</v>
      </c>
    </row>
    <row r="319" spans="1:16" x14ac:dyDescent="0.25">
      <c r="A319" t="s">
        <v>1346</v>
      </c>
      <c r="B319" t="s">
        <v>1347</v>
      </c>
      <c r="C319">
        <v>2082</v>
      </c>
      <c r="D319" t="s">
        <v>594</v>
      </c>
      <c r="E319" t="s">
        <v>13</v>
      </c>
      <c r="F319">
        <v>25054</v>
      </c>
      <c r="G319" t="s">
        <v>4999</v>
      </c>
      <c r="H319" t="s">
        <v>4993</v>
      </c>
      <c r="I319">
        <v>4.6138000000000003</v>
      </c>
      <c r="J319" t="s">
        <v>5012</v>
      </c>
      <c r="K319" t="s">
        <v>4993</v>
      </c>
      <c r="L319">
        <v>523</v>
      </c>
      <c r="M319">
        <v>39</v>
      </c>
      <c r="N319" t="s">
        <v>5015</v>
      </c>
      <c r="O319">
        <v>0</v>
      </c>
      <c r="P319">
        <v>0</v>
      </c>
    </row>
    <row r="320" spans="1:16" x14ac:dyDescent="0.25">
      <c r="A320" t="s">
        <v>1888</v>
      </c>
      <c r="B320" t="s">
        <v>1889</v>
      </c>
      <c r="C320">
        <v>6341</v>
      </c>
      <c r="D320" t="s">
        <v>66</v>
      </c>
      <c r="E320" t="s">
        <v>21</v>
      </c>
      <c r="F320">
        <v>16079</v>
      </c>
      <c r="G320" t="s">
        <v>4999</v>
      </c>
      <c r="H320" t="s">
        <v>4993</v>
      </c>
      <c r="I320">
        <v>4.5281000000000002</v>
      </c>
      <c r="J320" t="s">
        <v>5012</v>
      </c>
      <c r="K320" t="s">
        <v>4993</v>
      </c>
      <c r="L320">
        <v>89</v>
      </c>
      <c r="M320">
        <v>29</v>
      </c>
      <c r="N320" t="s">
        <v>5015</v>
      </c>
      <c r="O320">
        <v>0</v>
      </c>
      <c r="P320">
        <v>0</v>
      </c>
    </row>
    <row r="321" spans="1:16" x14ac:dyDescent="0.25">
      <c r="A321" t="s">
        <v>757</v>
      </c>
      <c r="B321" t="s">
        <v>758</v>
      </c>
      <c r="C321">
        <v>6195</v>
      </c>
      <c r="D321" t="s">
        <v>163</v>
      </c>
      <c r="E321" t="s">
        <v>8</v>
      </c>
      <c r="F321">
        <v>47526</v>
      </c>
      <c r="G321" t="s">
        <v>4999</v>
      </c>
      <c r="H321" t="s">
        <v>4993</v>
      </c>
      <c r="I321">
        <v>4.4721000000000002</v>
      </c>
      <c r="J321" t="s">
        <v>5012</v>
      </c>
      <c r="K321" t="s">
        <v>4993</v>
      </c>
      <c r="L321">
        <v>519</v>
      </c>
      <c r="M321">
        <v>68</v>
      </c>
      <c r="N321" t="s">
        <v>5014</v>
      </c>
      <c r="O321">
        <v>0</v>
      </c>
      <c r="P321">
        <v>0</v>
      </c>
    </row>
    <row r="322" spans="1:16" x14ac:dyDescent="0.25">
      <c r="A322" t="s">
        <v>1976</v>
      </c>
      <c r="B322" t="s">
        <v>1977</v>
      </c>
      <c r="C322">
        <v>6225</v>
      </c>
      <c r="D322" t="s">
        <v>640</v>
      </c>
      <c r="E322" t="s">
        <v>106</v>
      </c>
      <c r="F322">
        <v>14995</v>
      </c>
      <c r="G322" t="s">
        <v>4999</v>
      </c>
      <c r="H322" t="s">
        <v>4993</v>
      </c>
      <c r="I322">
        <v>4</v>
      </c>
      <c r="J322" t="s">
        <v>5012</v>
      </c>
      <c r="K322" t="s">
        <v>4993</v>
      </c>
      <c r="L322">
        <v>90</v>
      </c>
      <c r="M322">
        <v>48</v>
      </c>
      <c r="N322" t="s">
        <v>5015</v>
      </c>
      <c r="O322">
        <v>0</v>
      </c>
      <c r="P322">
        <v>0</v>
      </c>
    </row>
    <row r="323" spans="1:16" x14ac:dyDescent="0.25">
      <c r="A323" t="s">
        <v>2481</v>
      </c>
      <c r="B323" t="s">
        <v>2482</v>
      </c>
      <c r="C323">
        <v>3526</v>
      </c>
      <c r="D323" t="s">
        <v>1147</v>
      </c>
      <c r="E323" t="s">
        <v>21</v>
      </c>
      <c r="F323">
        <v>10378</v>
      </c>
      <c r="G323" t="s">
        <v>4999</v>
      </c>
      <c r="H323" t="s">
        <v>4993</v>
      </c>
      <c r="I323">
        <v>4.6813000000000002</v>
      </c>
      <c r="J323" t="s">
        <v>5012</v>
      </c>
      <c r="K323" t="s">
        <v>4993</v>
      </c>
      <c r="L323">
        <v>91</v>
      </c>
      <c r="M323">
        <v>23.5</v>
      </c>
      <c r="N323" t="s">
        <v>5015</v>
      </c>
      <c r="O323">
        <v>0</v>
      </c>
      <c r="P323">
        <v>0</v>
      </c>
    </row>
    <row r="324" spans="1:16" x14ac:dyDescent="0.25">
      <c r="A324" t="s">
        <v>1956</v>
      </c>
      <c r="B324" t="s">
        <v>1957</v>
      </c>
      <c r="C324">
        <v>4164</v>
      </c>
      <c r="D324" t="s">
        <v>623</v>
      </c>
      <c r="E324" t="s">
        <v>8</v>
      </c>
      <c r="F324">
        <v>15103</v>
      </c>
      <c r="G324" t="s">
        <v>4999</v>
      </c>
      <c r="H324" t="s">
        <v>4993</v>
      </c>
      <c r="I324">
        <v>4.7073999999999998</v>
      </c>
      <c r="J324" t="s">
        <v>5012</v>
      </c>
      <c r="K324" t="s">
        <v>4993</v>
      </c>
      <c r="L324">
        <v>516</v>
      </c>
      <c r="M324">
        <v>45</v>
      </c>
      <c r="N324" t="s">
        <v>5015</v>
      </c>
      <c r="O324">
        <v>0</v>
      </c>
      <c r="P324">
        <v>0</v>
      </c>
    </row>
    <row r="325" spans="1:16" x14ac:dyDescent="0.25">
      <c r="A325" t="s">
        <v>1857</v>
      </c>
      <c r="B325" t="s">
        <v>1858</v>
      </c>
      <c r="C325">
        <v>8017</v>
      </c>
      <c r="D325" t="s">
        <v>620</v>
      </c>
      <c r="E325" t="s">
        <v>21</v>
      </c>
      <c r="F325">
        <v>16337</v>
      </c>
      <c r="G325" t="s">
        <v>4999</v>
      </c>
      <c r="H325" t="s">
        <v>4993</v>
      </c>
      <c r="I325">
        <v>4.4396000000000004</v>
      </c>
      <c r="J325" t="s">
        <v>5012</v>
      </c>
      <c r="K325" t="s">
        <v>4993</v>
      </c>
      <c r="L325">
        <v>91</v>
      </c>
      <c r="M325">
        <v>7</v>
      </c>
      <c r="N325" t="s">
        <v>5013</v>
      </c>
      <c r="O325">
        <v>0</v>
      </c>
      <c r="P325">
        <v>0</v>
      </c>
    </row>
    <row r="326" spans="1:16" x14ac:dyDescent="0.25">
      <c r="A326" t="s">
        <v>1220</v>
      </c>
      <c r="B326" t="s">
        <v>1221</v>
      </c>
      <c r="C326">
        <v>5626</v>
      </c>
      <c r="D326" t="s">
        <v>1069</v>
      </c>
      <c r="E326" t="s">
        <v>106</v>
      </c>
      <c r="F326">
        <v>28627</v>
      </c>
      <c r="G326" t="s">
        <v>4999</v>
      </c>
      <c r="H326" t="s">
        <v>4993</v>
      </c>
      <c r="I326">
        <v>4.2602000000000002</v>
      </c>
      <c r="J326" t="s">
        <v>5012</v>
      </c>
      <c r="K326" t="s">
        <v>4993</v>
      </c>
      <c r="L326">
        <v>515</v>
      </c>
      <c r="M326">
        <v>34</v>
      </c>
      <c r="N326" t="s">
        <v>5015</v>
      </c>
      <c r="O326">
        <v>0</v>
      </c>
      <c r="P326">
        <v>0</v>
      </c>
    </row>
    <row r="327" spans="1:16" x14ac:dyDescent="0.25">
      <c r="A327" t="s">
        <v>1255</v>
      </c>
      <c r="B327" t="s">
        <v>1256</v>
      </c>
      <c r="C327">
        <v>6234</v>
      </c>
      <c r="D327" t="s">
        <v>7</v>
      </c>
      <c r="E327" t="s">
        <v>8</v>
      </c>
      <c r="F327">
        <v>27717</v>
      </c>
      <c r="G327" t="s">
        <v>4999</v>
      </c>
      <c r="H327" t="s">
        <v>4993</v>
      </c>
      <c r="I327">
        <v>4.3186999999999998</v>
      </c>
      <c r="J327" t="s">
        <v>5012</v>
      </c>
      <c r="K327" t="s">
        <v>4993</v>
      </c>
      <c r="L327">
        <v>91</v>
      </c>
      <c r="M327">
        <v>6.4</v>
      </c>
      <c r="N327" t="s">
        <v>5013</v>
      </c>
      <c r="O327">
        <v>0</v>
      </c>
      <c r="P327">
        <v>0</v>
      </c>
    </row>
    <row r="328" spans="1:16" x14ac:dyDescent="0.25">
      <c r="A328" t="s">
        <v>1464</v>
      </c>
      <c r="B328" t="s">
        <v>1465</v>
      </c>
      <c r="C328">
        <v>6218</v>
      </c>
      <c r="D328" t="s">
        <v>116</v>
      </c>
      <c r="E328" t="s">
        <v>21</v>
      </c>
      <c r="F328">
        <v>22873</v>
      </c>
      <c r="G328" t="s">
        <v>4999</v>
      </c>
      <c r="H328" t="s">
        <v>4993</v>
      </c>
      <c r="I328">
        <v>4.5602999999999998</v>
      </c>
      <c r="J328" t="s">
        <v>5012</v>
      </c>
      <c r="K328" t="s">
        <v>4993</v>
      </c>
      <c r="L328">
        <v>514</v>
      </c>
      <c r="M328">
        <v>60</v>
      </c>
      <c r="N328" t="s">
        <v>5014</v>
      </c>
      <c r="O328">
        <v>0</v>
      </c>
      <c r="P328">
        <v>0</v>
      </c>
    </row>
    <row r="329" spans="1:16" x14ac:dyDescent="0.25">
      <c r="A329" t="s">
        <v>2038</v>
      </c>
      <c r="B329" t="s">
        <v>2039</v>
      </c>
      <c r="C329">
        <v>6318</v>
      </c>
      <c r="D329" t="s">
        <v>2040</v>
      </c>
      <c r="E329" t="s">
        <v>4</v>
      </c>
      <c r="F329">
        <v>14302</v>
      </c>
      <c r="G329" t="s">
        <v>4999</v>
      </c>
      <c r="H329" t="s">
        <v>4993</v>
      </c>
      <c r="I329">
        <v>4.5731000000000002</v>
      </c>
      <c r="J329" t="s">
        <v>5012</v>
      </c>
      <c r="K329" t="s">
        <v>4993</v>
      </c>
      <c r="L329">
        <v>513</v>
      </c>
      <c r="M329">
        <v>50</v>
      </c>
      <c r="N329" t="s">
        <v>5015</v>
      </c>
      <c r="O329">
        <v>0</v>
      </c>
      <c r="P329">
        <v>0</v>
      </c>
    </row>
    <row r="330" spans="1:16" x14ac:dyDescent="0.25">
      <c r="A330" t="s">
        <v>1995</v>
      </c>
      <c r="B330" t="s">
        <v>1996</v>
      </c>
      <c r="C330">
        <v>6089</v>
      </c>
      <c r="D330" t="s">
        <v>605</v>
      </c>
      <c r="E330" t="s">
        <v>8</v>
      </c>
      <c r="F330">
        <v>14820</v>
      </c>
      <c r="G330" t="s">
        <v>4999</v>
      </c>
      <c r="H330" t="s">
        <v>4993</v>
      </c>
      <c r="I330">
        <v>4.2233999999999998</v>
      </c>
      <c r="J330" t="s">
        <v>5012</v>
      </c>
      <c r="K330" t="s">
        <v>4993</v>
      </c>
      <c r="L330">
        <v>94</v>
      </c>
      <c r="M330">
        <v>120</v>
      </c>
      <c r="N330" t="s">
        <v>5014</v>
      </c>
      <c r="O330">
        <v>0</v>
      </c>
      <c r="P330">
        <v>0</v>
      </c>
    </row>
    <row r="331" spans="1:16" x14ac:dyDescent="0.25">
      <c r="A331" t="s">
        <v>2220</v>
      </c>
      <c r="B331" t="s">
        <v>2221</v>
      </c>
      <c r="C331">
        <v>4164</v>
      </c>
      <c r="D331" t="s">
        <v>623</v>
      </c>
      <c r="E331" t="s">
        <v>201</v>
      </c>
      <c r="F331">
        <v>12516</v>
      </c>
      <c r="G331" t="s">
        <v>4999</v>
      </c>
      <c r="H331" t="s">
        <v>4993</v>
      </c>
      <c r="I331">
        <v>4.0723000000000003</v>
      </c>
      <c r="J331" t="s">
        <v>5012</v>
      </c>
      <c r="K331" t="s">
        <v>4993</v>
      </c>
      <c r="L331">
        <v>512</v>
      </c>
      <c r="M331">
        <v>50</v>
      </c>
      <c r="N331" t="s">
        <v>5015</v>
      </c>
      <c r="O331">
        <v>0</v>
      </c>
      <c r="P331">
        <v>1</v>
      </c>
    </row>
    <row r="332" spans="1:16" x14ac:dyDescent="0.25">
      <c r="A332" t="s">
        <v>2270</v>
      </c>
      <c r="B332" t="s">
        <v>2271</v>
      </c>
      <c r="C332">
        <v>6189</v>
      </c>
      <c r="D332" t="s">
        <v>30</v>
      </c>
      <c r="E332" t="s">
        <v>220</v>
      </c>
      <c r="F332">
        <v>12092</v>
      </c>
      <c r="G332" t="s">
        <v>4999</v>
      </c>
      <c r="H332" t="s">
        <v>4993</v>
      </c>
      <c r="I332">
        <v>4.8453999999999997</v>
      </c>
      <c r="J332" t="s">
        <v>5012</v>
      </c>
      <c r="K332" t="s">
        <v>4993</v>
      </c>
      <c r="L332">
        <v>97</v>
      </c>
      <c r="M332">
        <v>54</v>
      </c>
      <c r="N332" t="s">
        <v>5014</v>
      </c>
      <c r="O332">
        <v>1</v>
      </c>
      <c r="P332">
        <v>0</v>
      </c>
    </row>
    <row r="333" spans="1:16" x14ac:dyDescent="0.25">
      <c r="A333" t="s">
        <v>2428</v>
      </c>
      <c r="B333" t="s">
        <v>2429</v>
      </c>
      <c r="C333">
        <v>2082</v>
      </c>
      <c r="D333" t="s">
        <v>594</v>
      </c>
      <c r="E333" t="s">
        <v>21</v>
      </c>
      <c r="F333">
        <v>10782</v>
      </c>
      <c r="G333" t="s">
        <v>4999</v>
      </c>
      <c r="H333" t="s">
        <v>4993</v>
      </c>
      <c r="I333">
        <v>4.4184000000000001</v>
      </c>
      <c r="J333" t="s">
        <v>5012</v>
      </c>
      <c r="K333" t="s">
        <v>4993</v>
      </c>
      <c r="L333">
        <v>98</v>
      </c>
      <c r="M333">
        <v>65</v>
      </c>
      <c r="N333" t="s">
        <v>5014</v>
      </c>
      <c r="O333">
        <v>0</v>
      </c>
      <c r="P333">
        <v>0</v>
      </c>
    </row>
    <row r="334" spans="1:16" x14ac:dyDescent="0.25">
      <c r="A334" t="s">
        <v>1598</v>
      </c>
      <c r="B334" t="s">
        <v>1599</v>
      </c>
      <c r="C334">
        <v>8001</v>
      </c>
      <c r="D334" t="s">
        <v>27</v>
      </c>
      <c r="E334" t="s">
        <v>220</v>
      </c>
      <c r="F334">
        <v>20010</v>
      </c>
      <c r="G334" t="s">
        <v>4999</v>
      </c>
      <c r="H334" t="s">
        <v>4993</v>
      </c>
      <c r="I334">
        <v>4.7652999999999999</v>
      </c>
      <c r="J334" t="s">
        <v>5012</v>
      </c>
      <c r="K334" t="s">
        <v>4993</v>
      </c>
      <c r="L334">
        <v>98</v>
      </c>
      <c r="M334">
        <v>42</v>
      </c>
      <c r="N334" t="s">
        <v>5015</v>
      </c>
      <c r="O334">
        <v>0</v>
      </c>
      <c r="P334">
        <v>0</v>
      </c>
    </row>
    <row r="335" spans="1:16" x14ac:dyDescent="0.25">
      <c r="A335" t="s">
        <v>1216</v>
      </c>
      <c r="B335" t="s">
        <v>1217</v>
      </c>
      <c r="C335">
        <v>6195</v>
      </c>
      <c r="D335" t="s">
        <v>163</v>
      </c>
      <c r="E335" t="s">
        <v>21</v>
      </c>
      <c r="F335">
        <v>28719</v>
      </c>
      <c r="G335" t="s">
        <v>4999</v>
      </c>
      <c r="H335" t="s">
        <v>4993</v>
      </c>
      <c r="I335">
        <v>4.2550999999999997</v>
      </c>
      <c r="J335" t="s">
        <v>5012</v>
      </c>
      <c r="K335" t="s">
        <v>4993</v>
      </c>
      <c r="L335">
        <v>98</v>
      </c>
      <c r="M335">
        <v>32</v>
      </c>
      <c r="N335" t="s">
        <v>5015</v>
      </c>
      <c r="O335">
        <v>0</v>
      </c>
      <c r="P335">
        <v>0</v>
      </c>
    </row>
    <row r="336" spans="1:16" x14ac:dyDescent="0.25">
      <c r="A336" t="s">
        <v>2404</v>
      </c>
      <c r="B336" t="s">
        <v>2405</v>
      </c>
      <c r="C336">
        <v>7091</v>
      </c>
      <c r="D336" t="s">
        <v>879</v>
      </c>
      <c r="E336" t="s">
        <v>49</v>
      </c>
      <c r="F336">
        <v>11030</v>
      </c>
      <c r="G336" t="s">
        <v>4999</v>
      </c>
      <c r="H336" t="s">
        <v>4993</v>
      </c>
      <c r="I336">
        <v>4.3635999999999999</v>
      </c>
      <c r="J336" t="s">
        <v>5012</v>
      </c>
      <c r="K336" t="s">
        <v>4993</v>
      </c>
      <c r="L336">
        <v>99</v>
      </c>
      <c r="M336">
        <v>36</v>
      </c>
      <c r="N336" t="s">
        <v>5015</v>
      </c>
      <c r="O336">
        <v>0</v>
      </c>
      <c r="P336">
        <v>0</v>
      </c>
    </row>
    <row r="337" spans="1:16" x14ac:dyDescent="0.25">
      <c r="A337" t="s">
        <v>1226</v>
      </c>
      <c r="B337" t="s">
        <v>1227</v>
      </c>
      <c r="C337">
        <v>8001</v>
      </c>
      <c r="D337" t="s">
        <v>27</v>
      </c>
      <c r="E337" t="s">
        <v>21</v>
      </c>
      <c r="F337">
        <v>28597</v>
      </c>
      <c r="G337" t="s">
        <v>4999</v>
      </c>
      <c r="H337" t="s">
        <v>4993</v>
      </c>
      <c r="I337">
        <v>4.7272999999999996</v>
      </c>
      <c r="J337" t="s">
        <v>5012</v>
      </c>
      <c r="K337" t="s">
        <v>4993</v>
      </c>
      <c r="L337">
        <v>99</v>
      </c>
      <c r="M337">
        <v>74</v>
      </c>
      <c r="N337" t="s">
        <v>5014</v>
      </c>
      <c r="O337">
        <v>0</v>
      </c>
      <c r="P337">
        <v>0</v>
      </c>
    </row>
    <row r="338" spans="1:16" x14ac:dyDescent="0.25">
      <c r="A338" t="s">
        <v>1974</v>
      </c>
      <c r="B338" t="s">
        <v>1975</v>
      </c>
      <c r="C338">
        <v>6236</v>
      </c>
      <c r="D338" t="s">
        <v>272</v>
      </c>
      <c r="E338" t="s">
        <v>149</v>
      </c>
      <c r="F338">
        <v>15008</v>
      </c>
      <c r="G338" t="s">
        <v>4999</v>
      </c>
      <c r="H338" t="s">
        <v>4993</v>
      </c>
      <c r="I338">
        <v>4.3216000000000001</v>
      </c>
      <c r="J338" t="s">
        <v>5012</v>
      </c>
      <c r="K338" t="s">
        <v>4993</v>
      </c>
      <c r="L338">
        <v>510</v>
      </c>
      <c r="M338">
        <v>70</v>
      </c>
      <c r="N338" t="s">
        <v>5014</v>
      </c>
      <c r="O338">
        <v>0</v>
      </c>
      <c r="P338">
        <v>0</v>
      </c>
    </row>
    <row r="339" spans="1:16" x14ac:dyDescent="0.25">
      <c r="A339" t="s">
        <v>1544</v>
      </c>
      <c r="B339" t="s">
        <v>1545</v>
      </c>
      <c r="C339">
        <v>3902</v>
      </c>
      <c r="D339" t="s">
        <v>72</v>
      </c>
      <c r="E339" t="s">
        <v>347</v>
      </c>
      <c r="F339">
        <v>21304</v>
      </c>
      <c r="G339" t="s">
        <v>4999</v>
      </c>
      <c r="H339" t="s">
        <v>4993</v>
      </c>
      <c r="I339">
        <v>4.7300000000000004</v>
      </c>
      <c r="J339" t="s">
        <v>5012</v>
      </c>
      <c r="K339" t="s">
        <v>4993</v>
      </c>
      <c r="L339">
        <v>100</v>
      </c>
      <c r="M339">
        <v>8</v>
      </c>
      <c r="N339" t="s">
        <v>5013</v>
      </c>
      <c r="O339">
        <v>0</v>
      </c>
      <c r="P339">
        <v>0</v>
      </c>
    </row>
    <row r="340" spans="1:16" x14ac:dyDescent="0.25">
      <c r="A340" t="s">
        <v>2246</v>
      </c>
      <c r="B340" t="s">
        <v>2247</v>
      </c>
      <c r="C340">
        <v>5715</v>
      </c>
      <c r="D340" t="s">
        <v>979</v>
      </c>
      <c r="E340" t="s">
        <v>69</v>
      </c>
      <c r="F340">
        <v>12229</v>
      </c>
      <c r="G340" t="s">
        <v>4999</v>
      </c>
      <c r="H340" t="s">
        <v>4993</v>
      </c>
      <c r="I340">
        <v>4.5049000000000001</v>
      </c>
      <c r="J340" t="s">
        <v>5012</v>
      </c>
      <c r="K340" t="s">
        <v>4993</v>
      </c>
      <c r="L340">
        <v>509</v>
      </c>
      <c r="M340">
        <v>52</v>
      </c>
      <c r="N340" t="s">
        <v>5014</v>
      </c>
      <c r="O340">
        <v>0</v>
      </c>
      <c r="P340">
        <v>0</v>
      </c>
    </row>
    <row r="341" spans="1:16" x14ac:dyDescent="0.25">
      <c r="A341" t="s">
        <v>2348</v>
      </c>
      <c r="B341" t="s">
        <v>2349</v>
      </c>
      <c r="C341">
        <v>6295</v>
      </c>
      <c r="D341" t="s">
        <v>184</v>
      </c>
      <c r="E341" t="s">
        <v>21</v>
      </c>
      <c r="F341">
        <v>11430</v>
      </c>
      <c r="G341" t="s">
        <v>4999</v>
      </c>
      <c r="H341" t="s">
        <v>4993</v>
      </c>
      <c r="I341">
        <v>4.5392000000000001</v>
      </c>
      <c r="J341" t="s">
        <v>5012</v>
      </c>
      <c r="K341" t="s">
        <v>4993</v>
      </c>
      <c r="L341">
        <v>102</v>
      </c>
      <c r="M341">
        <v>24</v>
      </c>
      <c r="N341" t="s">
        <v>5015</v>
      </c>
      <c r="O341">
        <v>0</v>
      </c>
      <c r="P341">
        <v>0</v>
      </c>
    </row>
    <row r="342" spans="1:16" x14ac:dyDescent="0.25">
      <c r="A342" t="s">
        <v>2109</v>
      </c>
      <c r="B342" t="s">
        <v>2110</v>
      </c>
      <c r="C342">
        <v>3902</v>
      </c>
      <c r="D342" t="s">
        <v>72</v>
      </c>
      <c r="E342" t="s">
        <v>21</v>
      </c>
      <c r="F342">
        <v>13488</v>
      </c>
      <c r="G342" t="s">
        <v>4999</v>
      </c>
      <c r="H342" t="s">
        <v>4993</v>
      </c>
      <c r="I342">
        <v>4.5865</v>
      </c>
      <c r="J342" t="s">
        <v>5012</v>
      </c>
      <c r="K342" t="s">
        <v>4993</v>
      </c>
      <c r="L342">
        <v>104</v>
      </c>
      <c r="M342">
        <v>14</v>
      </c>
      <c r="N342" t="s">
        <v>5013</v>
      </c>
      <c r="O342">
        <v>0</v>
      </c>
      <c r="P342">
        <v>0</v>
      </c>
    </row>
    <row r="343" spans="1:16" x14ac:dyDescent="0.25">
      <c r="A343" t="s">
        <v>1273</v>
      </c>
      <c r="B343" t="s">
        <v>1274</v>
      </c>
      <c r="C343">
        <v>6018</v>
      </c>
      <c r="D343" t="s">
        <v>517</v>
      </c>
      <c r="E343" t="s">
        <v>49</v>
      </c>
      <c r="F343">
        <v>27278</v>
      </c>
      <c r="G343" t="s">
        <v>4999</v>
      </c>
      <c r="H343" t="s">
        <v>4993</v>
      </c>
      <c r="I343">
        <v>4.4134000000000002</v>
      </c>
      <c r="J343" t="s">
        <v>5012</v>
      </c>
      <c r="K343" t="s">
        <v>4993</v>
      </c>
      <c r="L343">
        <v>508</v>
      </c>
      <c r="M343">
        <v>28</v>
      </c>
      <c r="N343" t="s">
        <v>5015</v>
      </c>
      <c r="O343">
        <v>0</v>
      </c>
      <c r="P343">
        <v>0</v>
      </c>
    </row>
    <row r="344" spans="1:16" x14ac:dyDescent="0.25">
      <c r="A344" t="s">
        <v>1311</v>
      </c>
      <c r="B344" t="s">
        <v>1312</v>
      </c>
      <c r="C344">
        <v>3733</v>
      </c>
      <c r="D344" t="s">
        <v>124</v>
      </c>
      <c r="E344" t="s">
        <v>144</v>
      </c>
      <c r="F344">
        <v>26184</v>
      </c>
      <c r="G344" t="s">
        <v>4999</v>
      </c>
      <c r="H344" t="s">
        <v>4993</v>
      </c>
      <c r="I344">
        <v>4.1143000000000001</v>
      </c>
      <c r="J344" t="s">
        <v>5012</v>
      </c>
      <c r="K344" t="s">
        <v>4993</v>
      </c>
      <c r="L344">
        <v>105</v>
      </c>
      <c r="M344">
        <v>17</v>
      </c>
      <c r="N344" t="s">
        <v>5013</v>
      </c>
      <c r="O344">
        <v>0</v>
      </c>
      <c r="P344">
        <v>0</v>
      </c>
    </row>
    <row r="345" spans="1:16" x14ac:dyDescent="0.25">
      <c r="A345" t="s">
        <v>1192</v>
      </c>
      <c r="B345" t="s">
        <v>1193</v>
      </c>
      <c r="C345">
        <v>3733</v>
      </c>
      <c r="D345" t="s">
        <v>124</v>
      </c>
      <c r="E345" t="s">
        <v>144</v>
      </c>
      <c r="F345">
        <v>29477</v>
      </c>
      <c r="G345" t="s">
        <v>4999</v>
      </c>
      <c r="H345" t="s">
        <v>4993</v>
      </c>
      <c r="I345">
        <v>4.4762000000000004</v>
      </c>
      <c r="J345" t="s">
        <v>5012</v>
      </c>
      <c r="K345" t="s">
        <v>4993</v>
      </c>
      <c r="L345">
        <v>105</v>
      </c>
      <c r="M345">
        <v>17</v>
      </c>
      <c r="N345" t="s">
        <v>5013</v>
      </c>
      <c r="O345">
        <v>0</v>
      </c>
      <c r="P345">
        <v>0</v>
      </c>
    </row>
    <row r="346" spans="1:16" x14ac:dyDescent="0.25">
      <c r="A346" t="s">
        <v>2197</v>
      </c>
      <c r="B346" t="s">
        <v>2198</v>
      </c>
      <c r="C346">
        <v>6307</v>
      </c>
      <c r="D346" t="s">
        <v>1132</v>
      </c>
      <c r="E346" t="s">
        <v>69</v>
      </c>
      <c r="F346">
        <v>12664</v>
      </c>
      <c r="G346" t="s">
        <v>4999</v>
      </c>
      <c r="H346" t="s">
        <v>4993</v>
      </c>
      <c r="I346">
        <v>4.7169999999999996</v>
      </c>
      <c r="J346" t="s">
        <v>5012</v>
      </c>
      <c r="K346" t="s">
        <v>4993</v>
      </c>
      <c r="L346">
        <v>106</v>
      </c>
      <c r="M346">
        <v>54</v>
      </c>
      <c r="N346" t="s">
        <v>5014</v>
      </c>
      <c r="O346">
        <v>0</v>
      </c>
      <c r="P346">
        <v>0</v>
      </c>
    </row>
    <row r="347" spans="1:16" x14ac:dyDescent="0.25">
      <c r="A347" t="s">
        <v>1143</v>
      </c>
      <c r="B347" t="s">
        <v>1144</v>
      </c>
      <c r="C347">
        <v>5857</v>
      </c>
      <c r="D347" t="s">
        <v>433</v>
      </c>
      <c r="E347" t="s">
        <v>69</v>
      </c>
      <c r="F347">
        <v>31464</v>
      </c>
      <c r="G347" t="s">
        <v>4999</v>
      </c>
      <c r="H347" t="s">
        <v>4993</v>
      </c>
      <c r="I347">
        <v>4.5167999999999999</v>
      </c>
      <c r="J347" t="s">
        <v>5012</v>
      </c>
      <c r="K347" t="s">
        <v>4993</v>
      </c>
      <c r="L347">
        <v>505</v>
      </c>
      <c r="M347">
        <v>52</v>
      </c>
      <c r="N347" t="s">
        <v>5014</v>
      </c>
      <c r="O347">
        <v>0</v>
      </c>
      <c r="P347">
        <v>0</v>
      </c>
    </row>
    <row r="348" spans="1:16" x14ac:dyDescent="0.25">
      <c r="A348" t="s">
        <v>2344</v>
      </c>
      <c r="B348" t="s">
        <v>2345</v>
      </c>
      <c r="C348">
        <v>6018</v>
      </c>
      <c r="D348" t="s">
        <v>517</v>
      </c>
      <c r="E348" t="s">
        <v>8</v>
      </c>
      <c r="F348">
        <v>11488</v>
      </c>
      <c r="G348" t="s">
        <v>4999</v>
      </c>
      <c r="H348" t="s">
        <v>4993</v>
      </c>
      <c r="I348">
        <v>4.2130000000000001</v>
      </c>
      <c r="J348" t="s">
        <v>5012</v>
      </c>
      <c r="K348" t="s">
        <v>4993</v>
      </c>
      <c r="L348">
        <v>108</v>
      </c>
      <c r="M348">
        <v>85</v>
      </c>
      <c r="N348" t="s">
        <v>5014</v>
      </c>
      <c r="O348">
        <v>0</v>
      </c>
      <c r="P348">
        <v>0</v>
      </c>
    </row>
    <row r="349" spans="1:16" x14ac:dyDescent="0.25">
      <c r="A349" t="s">
        <v>2107</v>
      </c>
      <c r="B349" t="s">
        <v>2108</v>
      </c>
      <c r="C349">
        <v>1741</v>
      </c>
      <c r="D349" t="s">
        <v>388</v>
      </c>
      <c r="E349" t="s">
        <v>69</v>
      </c>
      <c r="F349">
        <v>13528</v>
      </c>
      <c r="G349" t="s">
        <v>4999</v>
      </c>
      <c r="H349" t="s">
        <v>4993</v>
      </c>
      <c r="I349">
        <v>4.0833000000000004</v>
      </c>
      <c r="J349" t="s">
        <v>5012</v>
      </c>
      <c r="K349" t="s">
        <v>4993</v>
      </c>
      <c r="L349">
        <v>108</v>
      </c>
      <c r="M349">
        <v>15</v>
      </c>
      <c r="N349" t="s">
        <v>5013</v>
      </c>
      <c r="O349">
        <v>0</v>
      </c>
      <c r="P349">
        <v>1</v>
      </c>
    </row>
    <row r="350" spans="1:16" x14ac:dyDescent="0.25">
      <c r="A350" t="s">
        <v>1721</v>
      </c>
      <c r="B350" t="s">
        <v>1722</v>
      </c>
      <c r="C350">
        <v>6226</v>
      </c>
      <c r="D350" t="s">
        <v>843</v>
      </c>
      <c r="E350" t="s">
        <v>201</v>
      </c>
      <c r="F350">
        <v>17924</v>
      </c>
      <c r="G350" t="s">
        <v>4999</v>
      </c>
      <c r="H350" t="s">
        <v>4993</v>
      </c>
      <c r="I350">
        <v>4.5583999999999998</v>
      </c>
      <c r="J350" t="s">
        <v>5012</v>
      </c>
      <c r="K350" t="s">
        <v>4993</v>
      </c>
      <c r="L350">
        <v>505</v>
      </c>
      <c r="M350">
        <v>49</v>
      </c>
      <c r="N350" t="s">
        <v>5015</v>
      </c>
      <c r="O350">
        <v>0</v>
      </c>
      <c r="P350">
        <v>0</v>
      </c>
    </row>
    <row r="351" spans="1:16" x14ac:dyDescent="0.25">
      <c r="A351" t="s">
        <v>2218</v>
      </c>
      <c r="B351" t="s">
        <v>2219</v>
      </c>
      <c r="C351">
        <v>5337</v>
      </c>
      <c r="D351" t="s">
        <v>209</v>
      </c>
      <c r="E351" t="s">
        <v>13</v>
      </c>
      <c r="F351">
        <v>12520</v>
      </c>
      <c r="G351" t="s">
        <v>4999</v>
      </c>
      <c r="H351" t="s">
        <v>4993</v>
      </c>
      <c r="I351">
        <v>4.2454999999999998</v>
      </c>
      <c r="J351" t="s">
        <v>5012</v>
      </c>
      <c r="K351" t="s">
        <v>4993</v>
      </c>
      <c r="L351">
        <v>110</v>
      </c>
      <c r="M351">
        <v>36</v>
      </c>
      <c r="N351" t="s">
        <v>5015</v>
      </c>
      <c r="O351">
        <v>0</v>
      </c>
      <c r="P351">
        <v>0</v>
      </c>
    </row>
    <row r="352" spans="1:16" x14ac:dyDescent="0.25">
      <c r="A352" t="s">
        <v>1578</v>
      </c>
      <c r="B352" t="s">
        <v>1579</v>
      </c>
      <c r="C352">
        <v>5674</v>
      </c>
      <c r="D352" t="s">
        <v>141</v>
      </c>
      <c r="E352" t="s">
        <v>4</v>
      </c>
      <c r="F352">
        <v>20729</v>
      </c>
      <c r="G352" t="s">
        <v>4999</v>
      </c>
      <c r="H352" t="s">
        <v>4993</v>
      </c>
      <c r="I352">
        <v>4.5727000000000002</v>
      </c>
      <c r="J352" t="s">
        <v>5012</v>
      </c>
      <c r="K352" t="s">
        <v>4993</v>
      </c>
      <c r="L352">
        <v>110</v>
      </c>
      <c r="M352">
        <v>22</v>
      </c>
      <c r="N352" t="s">
        <v>5015</v>
      </c>
      <c r="O352">
        <v>1</v>
      </c>
      <c r="P352">
        <v>0</v>
      </c>
    </row>
    <row r="353" spans="1:16" x14ac:dyDescent="0.25">
      <c r="A353" t="s">
        <v>1928</v>
      </c>
      <c r="B353" t="s">
        <v>1929</v>
      </c>
      <c r="C353">
        <v>6117</v>
      </c>
      <c r="D353" t="s">
        <v>229</v>
      </c>
      <c r="E353" t="s">
        <v>8</v>
      </c>
      <c r="F353">
        <v>15482</v>
      </c>
      <c r="G353" t="s">
        <v>4999</v>
      </c>
      <c r="H353" t="s">
        <v>4993</v>
      </c>
      <c r="I353">
        <v>4.5134999999999996</v>
      </c>
      <c r="J353" t="s">
        <v>5012</v>
      </c>
      <c r="K353" t="s">
        <v>4993</v>
      </c>
      <c r="L353">
        <v>111</v>
      </c>
      <c r="M353">
        <v>62</v>
      </c>
      <c r="N353" t="s">
        <v>5014</v>
      </c>
      <c r="O353">
        <v>0</v>
      </c>
      <c r="P353">
        <v>0</v>
      </c>
    </row>
    <row r="354" spans="1:16" x14ac:dyDescent="0.25">
      <c r="A354" t="s">
        <v>992</v>
      </c>
      <c r="B354" t="s">
        <v>993</v>
      </c>
      <c r="C354">
        <v>7083</v>
      </c>
      <c r="D354" t="s">
        <v>20</v>
      </c>
      <c r="E354" t="s">
        <v>220</v>
      </c>
      <c r="F354">
        <v>37629</v>
      </c>
      <c r="G354" t="s">
        <v>4999</v>
      </c>
      <c r="H354" t="s">
        <v>4993</v>
      </c>
      <c r="I354">
        <v>4.3874000000000004</v>
      </c>
      <c r="J354" t="s">
        <v>5012</v>
      </c>
      <c r="K354" t="s">
        <v>4993</v>
      </c>
      <c r="L354">
        <v>111</v>
      </c>
      <c r="M354">
        <v>28</v>
      </c>
      <c r="N354" t="s">
        <v>5015</v>
      </c>
      <c r="O354">
        <v>0</v>
      </c>
      <c r="P354">
        <v>1</v>
      </c>
    </row>
    <row r="355" spans="1:16" x14ac:dyDescent="0.25">
      <c r="A355" t="s">
        <v>2156</v>
      </c>
      <c r="B355" t="s">
        <v>642</v>
      </c>
      <c r="C355">
        <v>5671</v>
      </c>
      <c r="D355" t="s">
        <v>393</v>
      </c>
      <c r="E355" t="s">
        <v>4</v>
      </c>
      <c r="F355">
        <v>13002</v>
      </c>
      <c r="G355" t="s">
        <v>4999</v>
      </c>
      <c r="H355" t="s">
        <v>4993</v>
      </c>
      <c r="I355">
        <v>4.1517999999999997</v>
      </c>
      <c r="J355" t="s">
        <v>5012</v>
      </c>
      <c r="K355" t="s">
        <v>4993</v>
      </c>
      <c r="L355">
        <v>112</v>
      </c>
      <c r="M355">
        <v>8</v>
      </c>
      <c r="N355" t="s">
        <v>5013</v>
      </c>
      <c r="O355">
        <v>0</v>
      </c>
      <c r="P355">
        <v>0</v>
      </c>
    </row>
    <row r="356" spans="1:16" x14ac:dyDescent="0.25">
      <c r="A356" t="s">
        <v>2013</v>
      </c>
      <c r="B356" t="s">
        <v>2014</v>
      </c>
      <c r="C356">
        <v>6235</v>
      </c>
      <c r="D356" t="s">
        <v>1166</v>
      </c>
      <c r="E356" t="s">
        <v>201</v>
      </c>
      <c r="F356">
        <v>14595</v>
      </c>
      <c r="G356" t="s">
        <v>4999</v>
      </c>
      <c r="H356" t="s">
        <v>4993</v>
      </c>
      <c r="I356">
        <v>4.3838999999999997</v>
      </c>
      <c r="J356" t="s">
        <v>5012</v>
      </c>
      <c r="K356" t="s">
        <v>4993</v>
      </c>
      <c r="L356">
        <v>112</v>
      </c>
      <c r="M356">
        <v>12</v>
      </c>
      <c r="N356" t="s">
        <v>5013</v>
      </c>
      <c r="O356">
        <v>0</v>
      </c>
      <c r="P356">
        <v>0</v>
      </c>
    </row>
    <row r="357" spans="1:16" x14ac:dyDescent="0.25">
      <c r="A357" t="s">
        <v>1287</v>
      </c>
      <c r="B357" t="s">
        <v>1288</v>
      </c>
      <c r="C357">
        <v>6189</v>
      </c>
      <c r="D357" t="s">
        <v>30</v>
      </c>
      <c r="E357" t="s">
        <v>220</v>
      </c>
      <c r="F357">
        <v>26624</v>
      </c>
      <c r="G357" t="s">
        <v>4999</v>
      </c>
      <c r="H357" t="s">
        <v>4993</v>
      </c>
      <c r="I357">
        <v>4.875</v>
      </c>
      <c r="J357" t="s">
        <v>5012</v>
      </c>
      <c r="K357" t="s">
        <v>4993</v>
      </c>
      <c r="L357">
        <v>112</v>
      </c>
      <c r="M357">
        <v>52</v>
      </c>
      <c r="N357" t="s">
        <v>5014</v>
      </c>
      <c r="O357">
        <v>1</v>
      </c>
      <c r="P357">
        <v>0</v>
      </c>
    </row>
    <row r="358" spans="1:16" x14ac:dyDescent="0.25">
      <c r="A358" t="s">
        <v>1618</v>
      </c>
      <c r="B358" t="s">
        <v>1619</v>
      </c>
      <c r="C358">
        <v>6018</v>
      </c>
      <c r="D358" t="s">
        <v>517</v>
      </c>
      <c r="E358" t="s">
        <v>21</v>
      </c>
      <c r="F358">
        <v>19733</v>
      </c>
      <c r="G358" t="s">
        <v>4999</v>
      </c>
      <c r="H358" t="s">
        <v>4993</v>
      </c>
      <c r="I358">
        <v>4.2525000000000004</v>
      </c>
      <c r="J358" t="s">
        <v>5012</v>
      </c>
      <c r="K358" t="s">
        <v>4993</v>
      </c>
      <c r="L358">
        <v>503</v>
      </c>
      <c r="M358">
        <v>112</v>
      </c>
      <c r="N358" t="s">
        <v>5014</v>
      </c>
      <c r="O358">
        <v>0</v>
      </c>
      <c r="P358">
        <v>0</v>
      </c>
    </row>
    <row r="359" spans="1:16" x14ac:dyDescent="0.25">
      <c r="A359" t="s">
        <v>2165</v>
      </c>
      <c r="B359" t="s">
        <v>2166</v>
      </c>
      <c r="C359">
        <v>5946</v>
      </c>
      <c r="D359" t="s">
        <v>341</v>
      </c>
      <c r="E359" t="s">
        <v>21</v>
      </c>
      <c r="F359">
        <v>12883</v>
      </c>
      <c r="G359" t="s">
        <v>4999</v>
      </c>
      <c r="H359" t="s">
        <v>4993</v>
      </c>
      <c r="I359">
        <v>4.3009000000000004</v>
      </c>
      <c r="J359" t="s">
        <v>5012</v>
      </c>
      <c r="K359" t="s">
        <v>4993</v>
      </c>
      <c r="L359">
        <v>113</v>
      </c>
      <c r="M359">
        <v>56</v>
      </c>
      <c r="N359" t="s">
        <v>5014</v>
      </c>
      <c r="O359">
        <v>0</v>
      </c>
      <c r="P359">
        <v>0</v>
      </c>
    </row>
    <row r="360" spans="1:16" x14ac:dyDescent="0.25">
      <c r="A360" t="s">
        <v>1428</v>
      </c>
      <c r="B360" t="s">
        <v>1429</v>
      </c>
      <c r="C360">
        <v>6219</v>
      </c>
      <c r="D360" t="s">
        <v>277</v>
      </c>
      <c r="E360" t="s">
        <v>220</v>
      </c>
      <c r="F360">
        <v>23348</v>
      </c>
      <c r="G360" t="s">
        <v>4999</v>
      </c>
      <c r="H360" t="s">
        <v>4993</v>
      </c>
      <c r="I360">
        <v>4.5751999999999997</v>
      </c>
      <c r="J360" t="s">
        <v>5012</v>
      </c>
      <c r="K360" t="s">
        <v>4993</v>
      </c>
      <c r="L360">
        <v>113</v>
      </c>
      <c r="M360">
        <v>19</v>
      </c>
      <c r="N360" t="s">
        <v>5013</v>
      </c>
      <c r="O360">
        <v>0</v>
      </c>
      <c r="P360">
        <v>0</v>
      </c>
    </row>
    <row r="361" spans="1:16" x14ac:dyDescent="0.25">
      <c r="A361" t="s">
        <v>2299</v>
      </c>
      <c r="B361" t="s">
        <v>2300</v>
      </c>
      <c r="C361">
        <v>6358</v>
      </c>
      <c r="D361" t="s">
        <v>2301</v>
      </c>
      <c r="E361" t="s">
        <v>8</v>
      </c>
      <c r="F361">
        <v>11839</v>
      </c>
      <c r="G361" t="s">
        <v>4999</v>
      </c>
      <c r="H361" t="s">
        <v>4993</v>
      </c>
      <c r="I361">
        <v>4.6490999999999998</v>
      </c>
      <c r="J361" t="s">
        <v>5012</v>
      </c>
      <c r="K361" t="s">
        <v>4993</v>
      </c>
      <c r="L361">
        <v>114</v>
      </c>
      <c r="M361">
        <v>72</v>
      </c>
      <c r="N361" t="s">
        <v>5014</v>
      </c>
      <c r="O361">
        <v>0</v>
      </c>
      <c r="P361">
        <v>1</v>
      </c>
    </row>
    <row r="362" spans="1:16" x14ac:dyDescent="0.25">
      <c r="A362" t="s">
        <v>1185</v>
      </c>
      <c r="B362" t="s">
        <v>1186</v>
      </c>
      <c r="C362">
        <v>6285</v>
      </c>
      <c r="D362" t="s">
        <v>119</v>
      </c>
      <c r="E362" t="s">
        <v>8</v>
      </c>
      <c r="F362">
        <v>29698</v>
      </c>
      <c r="G362" t="s">
        <v>4999</v>
      </c>
      <c r="H362" t="s">
        <v>4993</v>
      </c>
      <c r="I362">
        <v>4.2173999999999996</v>
      </c>
      <c r="J362" t="s">
        <v>5012</v>
      </c>
      <c r="K362" t="s">
        <v>4993</v>
      </c>
      <c r="L362">
        <v>115</v>
      </c>
      <c r="M362">
        <v>12.99</v>
      </c>
      <c r="N362" t="s">
        <v>5013</v>
      </c>
      <c r="O362">
        <v>0</v>
      </c>
      <c r="P362">
        <v>0</v>
      </c>
    </row>
    <row r="363" spans="1:16" x14ac:dyDescent="0.25">
      <c r="A363" t="s">
        <v>2318</v>
      </c>
      <c r="B363" t="s">
        <v>2319</v>
      </c>
      <c r="C363">
        <v>3902</v>
      </c>
      <c r="D363" t="s">
        <v>72</v>
      </c>
      <c r="E363" t="s">
        <v>8</v>
      </c>
      <c r="F363">
        <v>11705</v>
      </c>
      <c r="G363" t="s">
        <v>4999</v>
      </c>
      <c r="H363" t="s">
        <v>4993</v>
      </c>
      <c r="I363">
        <v>4.6067999999999998</v>
      </c>
      <c r="J363" t="s">
        <v>5012</v>
      </c>
      <c r="K363" t="s">
        <v>4993</v>
      </c>
      <c r="L363">
        <v>117</v>
      </c>
      <c r="M363">
        <v>17</v>
      </c>
      <c r="N363" t="s">
        <v>5013</v>
      </c>
      <c r="O363">
        <v>0</v>
      </c>
      <c r="P363">
        <v>0</v>
      </c>
    </row>
    <row r="364" spans="1:16" x14ac:dyDescent="0.25">
      <c r="A364" t="s">
        <v>2034</v>
      </c>
      <c r="B364" t="s">
        <v>2035</v>
      </c>
      <c r="C364">
        <v>6018</v>
      </c>
      <c r="D364" t="s">
        <v>517</v>
      </c>
      <c r="E364" t="s">
        <v>69</v>
      </c>
      <c r="F364">
        <v>14367</v>
      </c>
      <c r="G364" t="s">
        <v>4999</v>
      </c>
      <c r="H364" t="s">
        <v>4993</v>
      </c>
      <c r="I364">
        <v>4.3728999999999996</v>
      </c>
      <c r="J364" t="s">
        <v>5012</v>
      </c>
      <c r="K364" t="s">
        <v>4993</v>
      </c>
      <c r="L364">
        <v>118</v>
      </c>
      <c r="M364">
        <v>38</v>
      </c>
      <c r="N364" t="s">
        <v>5015</v>
      </c>
      <c r="O364">
        <v>0</v>
      </c>
      <c r="P364">
        <v>0</v>
      </c>
    </row>
    <row r="365" spans="1:16" x14ac:dyDescent="0.25">
      <c r="A365" t="s">
        <v>1657</v>
      </c>
      <c r="B365" t="s">
        <v>1658</v>
      </c>
      <c r="C365">
        <v>6201</v>
      </c>
      <c r="D365" t="s">
        <v>367</v>
      </c>
      <c r="E365" t="s">
        <v>13</v>
      </c>
      <c r="F365">
        <v>19070</v>
      </c>
      <c r="G365" t="s">
        <v>4999</v>
      </c>
      <c r="H365" t="s">
        <v>4993</v>
      </c>
      <c r="I365">
        <v>4</v>
      </c>
      <c r="J365" t="s">
        <v>5012</v>
      </c>
      <c r="K365" t="s">
        <v>4993</v>
      </c>
      <c r="L365">
        <v>119</v>
      </c>
      <c r="M365">
        <v>95</v>
      </c>
      <c r="N365" t="s">
        <v>5014</v>
      </c>
      <c r="O365">
        <v>0</v>
      </c>
      <c r="P365">
        <v>0</v>
      </c>
    </row>
    <row r="366" spans="1:16" x14ac:dyDescent="0.25">
      <c r="A366" t="s">
        <v>1772</v>
      </c>
      <c r="B366" t="s">
        <v>1773</v>
      </c>
      <c r="C366">
        <v>5996</v>
      </c>
      <c r="D366" t="s">
        <v>327</v>
      </c>
      <c r="E366" t="s">
        <v>347</v>
      </c>
      <c r="F366">
        <v>17417</v>
      </c>
      <c r="G366" t="s">
        <v>4999</v>
      </c>
      <c r="H366" t="s">
        <v>4993</v>
      </c>
      <c r="I366">
        <v>4.3917000000000002</v>
      </c>
      <c r="J366" t="s">
        <v>5012</v>
      </c>
      <c r="K366" t="s">
        <v>4993</v>
      </c>
      <c r="L366">
        <v>120</v>
      </c>
      <c r="M366">
        <v>49</v>
      </c>
      <c r="N366" t="s">
        <v>5015</v>
      </c>
      <c r="O366">
        <v>0</v>
      </c>
      <c r="P366">
        <v>0</v>
      </c>
    </row>
    <row r="367" spans="1:16" x14ac:dyDescent="0.25">
      <c r="A367" t="s">
        <v>2352</v>
      </c>
      <c r="B367" t="s">
        <v>2353</v>
      </c>
      <c r="C367">
        <v>4171</v>
      </c>
      <c r="D367" t="s">
        <v>133</v>
      </c>
      <c r="E367" t="s">
        <v>21</v>
      </c>
      <c r="F367">
        <v>11425</v>
      </c>
      <c r="G367" t="s">
        <v>4999</v>
      </c>
      <c r="H367" t="s">
        <v>4993</v>
      </c>
      <c r="I367">
        <v>4.0697000000000001</v>
      </c>
      <c r="J367" t="s">
        <v>5012</v>
      </c>
      <c r="K367" t="s">
        <v>4993</v>
      </c>
      <c r="L367">
        <v>502</v>
      </c>
      <c r="M367">
        <v>45</v>
      </c>
      <c r="N367" t="s">
        <v>5015</v>
      </c>
      <c r="O367">
        <v>0</v>
      </c>
      <c r="P367">
        <v>0</v>
      </c>
    </row>
    <row r="368" spans="1:16" x14ac:dyDescent="0.25">
      <c r="A368" t="s">
        <v>1259</v>
      </c>
      <c r="B368" t="s">
        <v>1260</v>
      </c>
      <c r="C368">
        <v>6289</v>
      </c>
      <c r="D368" t="s">
        <v>111</v>
      </c>
      <c r="E368" t="s">
        <v>8</v>
      </c>
      <c r="F368">
        <v>27625</v>
      </c>
      <c r="G368" t="s">
        <v>4999</v>
      </c>
      <c r="H368" t="s">
        <v>4993</v>
      </c>
      <c r="I368">
        <v>4.3712999999999997</v>
      </c>
      <c r="J368" t="s">
        <v>5012</v>
      </c>
      <c r="K368" t="s">
        <v>4993</v>
      </c>
      <c r="L368">
        <v>501</v>
      </c>
      <c r="M368">
        <v>50</v>
      </c>
      <c r="N368" t="s">
        <v>5015</v>
      </c>
      <c r="O368">
        <v>0</v>
      </c>
      <c r="P368">
        <v>0</v>
      </c>
    </row>
    <row r="369" spans="1:16" x14ac:dyDescent="0.25">
      <c r="A369" t="s">
        <v>1263</v>
      </c>
      <c r="B369" t="s">
        <v>1264</v>
      </c>
      <c r="C369">
        <v>3733</v>
      </c>
      <c r="D369" t="s">
        <v>124</v>
      </c>
      <c r="E369" t="s">
        <v>149</v>
      </c>
      <c r="F369">
        <v>27439</v>
      </c>
      <c r="G369" t="s">
        <v>4999</v>
      </c>
      <c r="H369" t="s">
        <v>4993</v>
      </c>
      <c r="I369">
        <v>4.0518999999999998</v>
      </c>
      <c r="J369" t="s">
        <v>5012</v>
      </c>
      <c r="K369" t="s">
        <v>4993</v>
      </c>
      <c r="L369">
        <v>501</v>
      </c>
      <c r="M369">
        <v>49</v>
      </c>
      <c r="N369" t="s">
        <v>5015</v>
      </c>
      <c r="O369">
        <v>0</v>
      </c>
      <c r="P369">
        <v>0</v>
      </c>
    </row>
    <row r="370" spans="1:16" x14ac:dyDescent="0.25">
      <c r="A370" t="s">
        <v>1092</v>
      </c>
      <c r="B370" t="s">
        <v>1093</v>
      </c>
      <c r="C370">
        <v>8017</v>
      </c>
      <c r="D370" t="s">
        <v>620</v>
      </c>
      <c r="E370" t="s">
        <v>144</v>
      </c>
      <c r="F370">
        <v>32572</v>
      </c>
      <c r="G370" t="s">
        <v>4999</v>
      </c>
      <c r="H370" t="s">
        <v>4993</v>
      </c>
      <c r="I370">
        <v>4.1138000000000003</v>
      </c>
      <c r="J370" t="s">
        <v>5012</v>
      </c>
      <c r="K370" t="s">
        <v>4993</v>
      </c>
      <c r="L370">
        <v>123</v>
      </c>
      <c r="M370">
        <v>5</v>
      </c>
      <c r="N370" t="s">
        <v>5013</v>
      </c>
      <c r="O370">
        <v>0</v>
      </c>
      <c r="P370">
        <v>0</v>
      </c>
    </row>
    <row r="371" spans="1:16" x14ac:dyDescent="0.25">
      <c r="A371" t="s">
        <v>1883</v>
      </c>
      <c r="B371" t="s">
        <v>1884</v>
      </c>
      <c r="C371">
        <v>6356</v>
      </c>
      <c r="D371" t="s">
        <v>1885</v>
      </c>
      <c r="E371" t="s">
        <v>21</v>
      </c>
      <c r="F371">
        <v>16116</v>
      </c>
      <c r="G371" t="s">
        <v>4999</v>
      </c>
      <c r="H371" t="s">
        <v>4993</v>
      </c>
      <c r="I371">
        <v>4.2312000000000003</v>
      </c>
      <c r="J371" t="s">
        <v>5012</v>
      </c>
      <c r="K371" t="s">
        <v>4993</v>
      </c>
      <c r="L371">
        <v>493</v>
      </c>
      <c r="M371">
        <v>290</v>
      </c>
      <c r="N371" t="s">
        <v>5014</v>
      </c>
      <c r="O371">
        <v>0</v>
      </c>
      <c r="P371">
        <v>0</v>
      </c>
    </row>
    <row r="372" spans="1:16" x14ac:dyDescent="0.25">
      <c r="A372" t="s">
        <v>1353</v>
      </c>
      <c r="B372" t="s">
        <v>1354</v>
      </c>
      <c r="C372">
        <v>6114</v>
      </c>
      <c r="D372" t="s">
        <v>1355</v>
      </c>
      <c r="E372" t="s">
        <v>347</v>
      </c>
      <c r="F372">
        <v>24832</v>
      </c>
      <c r="G372" t="s">
        <v>4999</v>
      </c>
      <c r="H372" t="s">
        <v>4993</v>
      </c>
      <c r="I372">
        <v>4.4355000000000002</v>
      </c>
      <c r="J372" t="s">
        <v>5012</v>
      </c>
      <c r="K372" t="s">
        <v>4993</v>
      </c>
      <c r="L372">
        <v>124</v>
      </c>
      <c r="M372">
        <v>199</v>
      </c>
      <c r="N372" t="s">
        <v>5014</v>
      </c>
      <c r="O372">
        <v>0</v>
      </c>
      <c r="P372">
        <v>0</v>
      </c>
    </row>
    <row r="373" spans="1:16" x14ac:dyDescent="0.25">
      <c r="A373" t="s">
        <v>2477</v>
      </c>
      <c r="B373" t="s">
        <v>2478</v>
      </c>
      <c r="C373">
        <v>4164</v>
      </c>
      <c r="D373" t="s">
        <v>623</v>
      </c>
      <c r="E373" t="s">
        <v>8</v>
      </c>
      <c r="F373">
        <v>10417</v>
      </c>
      <c r="G373" t="s">
        <v>4999</v>
      </c>
      <c r="H373" t="s">
        <v>4993</v>
      </c>
      <c r="I373">
        <v>4.1280000000000001</v>
      </c>
      <c r="J373" t="s">
        <v>5012</v>
      </c>
      <c r="K373" t="s">
        <v>4993</v>
      </c>
      <c r="L373">
        <v>125</v>
      </c>
      <c r="M373">
        <v>89</v>
      </c>
      <c r="N373" t="s">
        <v>5014</v>
      </c>
      <c r="O373">
        <v>0</v>
      </c>
      <c r="P373">
        <v>0</v>
      </c>
    </row>
    <row r="374" spans="1:16" x14ac:dyDescent="0.25">
      <c r="A374" t="s">
        <v>2310</v>
      </c>
      <c r="B374" t="s">
        <v>2311</v>
      </c>
      <c r="C374">
        <v>6018</v>
      </c>
      <c r="D374" t="s">
        <v>517</v>
      </c>
      <c r="E374" t="s">
        <v>21</v>
      </c>
      <c r="F374">
        <v>11763</v>
      </c>
      <c r="G374" t="s">
        <v>4999</v>
      </c>
      <c r="H374" t="s">
        <v>4993</v>
      </c>
      <c r="I374">
        <v>4.4640000000000004</v>
      </c>
      <c r="J374" t="s">
        <v>5012</v>
      </c>
      <c r="K374" t="s">
        <v>4993</v>
      </c>
      <c r="L374">
        <v>125</v>
      </c>
      <c r="M374">
        <v>58</v>
      </c>
      <c r="N374" t="s">
        <v>5014</v>
      </c>
      <c r="O374">
        <v>0</v>
      </c>
      <c r="P374">
        <v>0</v>
      </c>
    </row>
    <row r="375" spans="1:16" x14ac:dyDescent="0.25">
      <c r="A375" t="s">
        <v>2388</v>
      </c>
      <c r="B375" t="s">
        <v>2389</v>
      </c>
      <c r="C375">
        <v>6373</v>
      </c>
      <c r="D375" t="s">
        <v>1652</v>
      </c>
      <c r="E375" t="s">
        <v>149</v>
      </c>
      <c r="F375">
        <v>11155</v>
      </c>
      <c r="G375" t="s">
        <v>4999</v>
      </c>
      <c r="H375" t="s">
        <v>4993</v>
      </c>
      <c r="I375">
        <v>4.5396999999999998</v>
      </c>
      <c r="J375" t="s">
        <v>5012</v>
      </c>
      <c r="K375" t="s">
        <v>4993</v>
      </c>
      <c r="L375">
        <v>126</v>
      </c>
      <c r="M375">
        <v>56</v>
      </c>
      <c r="N375" t="s">
        <v>5014</v>
      </c>
      <c r="O375">
        <v>0</v>
      </c>
      <c r="P375">
        <v>0</v>
      </c>
    </row>
    <row r="376" spans="1:16" x14ac:dyDescent="0.25">
      <c r="A376" t="s">
        <v>912</v>
      </c>
      <c r="B376" t="s">
        <v>913</v>
      </c>
      <c r="C376">
        <v>6207</v>
      </c>
      <c r="D376" t="s">
        <v>914</v>
      </c>
      <c r="E376" t="s">
        <v>69</v>
      </c>
      <c r="F376">
        <v>40323</v>
      </c>
      <c r="G376" t="s">
        <v>4999</v>
      </c>
      <c r="H376" t="s">
        <v>4993</v>
      </c>
      <c r="I376">
        <v>4.1626000000000003</v>
      </c>
      <c r="J376" t="s">
        <v>5012</v>
      </c>
      <c r="K376" t="s">
        <v>4993</v>
      </c>
      <c r="L376">
        <v>492</v>
      </c>
      <c r="M376">
        <v>52</v>
      </c>
      <c r="N376" t="s">
        <v>5014</v>
      </c>
      <c r="O376">
        <v>0</v>
      </c>
      <c r="P376">
        <v>0</v>
      </c>
    </row>
    <row r="377" spans="1:16" x14ac:dyDescent="0.25">
      <c r="A377" t="s">
        <v>2185</v>
      </c>
      <c r="B377" t="s">
        <v>2186</v>
      </c>
      <c r="C377">
        <v>6207</v>
      </c>
      <c r="D377" t="s">
        <v>914</v>
      </c>
      <c r="E377" t="s">
        <v>144</v>
      </c>
      <c r="F377">
        <v>12716</v>
      </c>
      <c r="G377" t="s">
        <v>4999</v>
      </c>
      <c r="H377" t="s">
        <v>4993</v>
      </c>
      <c r="I377">
        <v>4.1626000000000003</v>
      </c>
      <c r="J377" t="s">
        <v>5012</v>
      </c>
      <c r="K377" t="s">
        <v>4993</v>
      </c>
      <c r="L377">
        <v>492</v>
      </c>
      <c r="M377">
        <v>18</v>
      </c>
      <c r="N377" t="s">
        <v>5013</v>
      </c>
      <c r="O377">
        <v>0</v>
      </c>
      <c r="P377">
        <v>0</v>
      </c>
    </row>
    <row r="378" spans="1:16" x14ac:dyDescent="0.25">
      <c r="A378" t="s">
        <v>982</v>
      </c>
      <c r="B378" t="s">
        <v>983</v>
      </c>
      <c r="C378">
        <v>5674</v>
      </c>
      <c r="D378" t="s">
        <v>141</v>
      </c>
      <c r="E378" t="s">
        <v>8</v>
      </c>
      <c r="F378">
        <v>38002</v>
      </c>
      <c r="G378" t="s">
        <v>4999</v>
      </c>
      <c r="H378" t="s">
        <v>4993</v>
      </c>
      <c r="I378">
        <v>4.1875</v>
      </c>
      <c r="J378" t="s">
        <v>5012</v>
      </c>
      <c r="K378" t="s">
        <v>4993</v>
      </c>
      <c r="L378">
        <v>128</v>
      </c>
      <c r="M378">
        <v>56</v>
      </c>
      <c r="N378" t="s">
        <v>5014</v>
      </c>
      <c r="O378">
        <v>0</v>
      </c>
      <c r="P378">
        <v>0</v>
      </c>
    </row>
    <row r="379" spans="1:16" x14ac:dyDescent="0.25">
      <c r="A379" t="s">
        <v>750</v>
      </c>
      <c r="B379" t="s">
        <v>751</v>
      </c>
      <c r="C379">
        <v>6149</v>
      </c>
      <c r="D379" t="s">
        <v>752</v>
      </c>
      <c r="E379" t="s">
        <v>149</v>
      </c>
      <c r="F379">
        <v>47687</v>
      </c>
      <c r="G379" t="s">
        <v>4999</v>
      </c>
      <c r="H379" t="s">
        <v>4993</v>
      </c>
      <c r="I379">
        <v>4.0796000000000001</v>
      </c>
      <c r="J379" t="s">
        <v>5012</v>
      </c>
      <c r="K379" t="s">
        <v>4993</v>
      </c>
      <c r="L379">
        <v>490</v>
      </c>
      <c r="M379">
        <v>26</v>
      </c>
      <c r="N379" t="s">
        <v>5015</v>
      </c>
      <c r="O379">
        <v>0</v>
      </c>
      <c r="P379">
        <v>0</v>
      </c>
    </row>
    <row r="380" spans="1:16" x14ac:dyDescent="0.25">
      <c r="A380" t="s">
        <v>1070</v>
      </c>
      <c r="B380" t="s">
        <v>1071</v>
      </c>
      <c r="C380">
        <v>4348</v>
      </c>
      <c r="D380" t="s">
        <v>61</v>
      </c>
      <c r="E380" t="s">
        <v>69</v>
      </c>
      <c r="F380">
        <v>33687</v>
      </c>
      <c r="G380" t="s">
        <v>4999</v>
      </c>
      <c r="H380" t="s">
        <v>4993</v>
      </c>
      <c r="I380">
        <v>4.351</v>
      </c>
      <c r="J380" t="s">
        <v>5012</v>
      </c>
      <c r="K380" t="s">
        <v>4993</v>
      </c>
      <c r="L380">
        <v>490</v>
      </c>
      <c r="M380">
        <v>69</v>
      </c>
      <c r="N380" t="s">
        <v>5014</v>
      </c>
      <c r="O380">
        <v>0</v>
      </c>
      <c r="P380">
        <v>0</v>
      </c>
    </row>
    <row r="381" spans="1:16" x14ac:dyDescent="0.25">
      <c r="A381" t="s">
        <v>1360</v>
      </c>
      <c r="B381" t="s">
        <v>1361</v>
      </c>
      <c r="C381">
        <v>7083</v>
      </c>
      <c r="D381" t="s">
        <v>20</v>
      </c>
      <c r="E381" t="s">
        <v>21</v>
      </c>
      <c r="F381">
        <v>24791</v>
      </c>
      <c r="G381" t="s">
        <v>4999</v>
      </c>
      <c r="H381" t="s">
        <v>4993</v>
      </c>
      <c r="I381">
        <v>4.5500999999999996</v>
      </c>
      <c r="J381" t="s">
        <v>5012</v>
      </c>
      <c r="K381" t="s">
        <v>4993</v>
      </c>
      <c r="L381">
        <v>489</v>
      </c>
      <c r="M381">
        <v>72</v>
      </c>
      <c r="N381" t="s">
        <v>5014</v>
      </c>
      <c r="O381">
        <v>0</v>
      </c>
      <c r="P381">
        <v>0</v>
      </c>
    </row>
    <row r="382" spans="1:16" x14ac:dyDescent="0.25">
      <c r="A382" t="s">
        <v>1849</v>
      </c>
      <c r="B382" t="s">
        <v>1850</v>
      </c>
      <c r="C382">
        <v>6125</v>
      </c>
      <c r="D382" t="s">
        <v>3</v>
      </c>
      <c r="E382" t="s">
        <v>149</v>
      </c>
      <c r="F382">
        <v>16508</v>
      </c>
      <c r="G382" t="s">
        <v>4999</v>
      </c>
      <c r="H382" t="s">
        <v>4993</v>
      </c>
      <c r="I382">
        <v>4.5385</v>
      </c>
      <c r="J382" t="s">
        <v>5012</v>
      </c>
      <c r="K382" t="s">
        <v>4993</v>
      </c>
      <c r="L382">
        <v>130</v>
      </c>
      <c r="M382">
        <v>43</v>
      </c>
      <c r="N382" t="s">
        <v>5015</v>
      </c>
      <c r="O382">
        <v>0</v>
      </c>
      <c r="P382">
        <v>0</v>
      </c>
    </row>
    <row r="383" spans="1:16" x14ac:dyDescent="0.25">
      <c r="A383" t="s">
        <v>1566</v>
      </c>
      <c r="B383" t="s">
        <v>1567</v>
      </c>
      <c r="C383">
        <v>5922</v>
      </c>
      <c r="D383" t="s">
        <v>204</v>
      </c>
      <c r="E383" t="s">
        <v>49</v>
      </c>
      <c r="F383">
        <v>20882</v>
      </c>
      <c r="G383" t="s">
        <v>4999</v>
      </c>
      <c r="H383" t="s">
        <v>4993</v>
      </c>
      <c r="I383">
        <v>4.0122999999999998</v>
      </c>
      <c r="J383" t="s">
        <v>5012</v>
      </c>
      <c r="K383" t="s">
        <v>4993</v>
      </c>
      <c r="L383">
        <v>487</v>
      </c>
      <c r="M383">
        <v>38</v>
      </c>
      <c r="N383" t="s">
        <v>5015</v>
      </c>
      <c r="O383">
        <v>0</v>
      </c>
      <c r="P383">
        <v>0</v>
      </c>
    </row>
    <row r="384" spans="1:16" x14ac:dyDescent="0.25">
      <c r="A384" t="s">
        <v>1483</v>
      </c>
      <c r="B384" t="s">
        <v>1484</v>
      </c>
      <c r="C384">
        <v>6014</v>
      </c>
      <c r="D384" t="s">
        <v>102</v>
      </c>
      <c r="E384" t="s">
        <v>69</v>
      </c>
      <c r="F384">
        <v>22325</v>
      </c>
      <c r="G384" t="s">
        <v>4999</v>
      </c>
      <c r="H384" t="s">
        <v>4993</v>
      </c>
      <c r="I384">
        <v>4.0537999999999998</v>
      </c>
      <c r="J384" t="s">
        <v>5012</v>
      </c>
      <c r="K384" t="s">
        <v>4993</v>
      </c>
      <c r="L384">
        <v>130</v>
      </c>
      <c r="M384">
        <v>7</v>
      </c>
      <c r="N384" t="s">
        <v>5013</v>
      </c>
      <c r="O384">
        <v>0</v>
      </c>
      <c r="P384">
        <v>0</v>
      </c>
    </row>
    <row r="385" spans="1:16" x14ac:dyDescent="0.25">
      <c r="A385" t="s">
        <v>1468</v>
      </c>
      <c r="B385" t="s">
        <v>1469</v>
      </c>
      <c r="C385">
        <v>5987</v>
      </c>
      <c r="D385" t="s">
        <v>48</v>
      </c>
      <c r="E385" t="s">
        <v>49</v>
      </c>
      <c r="F385">
        <v>22699</v>
      </c>
      <c r="G385" t="s">
        <v>4999</v>
      </c>
      <c r="H385" t="s">
        <v>4993</v>
      </c>
      <c r="I385">
        <v>4.0152999999999999</v>
      </c>
      <c r="J385" t="s">
        <v>5012</v>
      </c>
      <c r="K385" t="s">
        <v>4993</v>
      </c>
      <c r="L385">
        <v>131</v>
      </c>
      <c r="M385">
        <v>38</v>
      </c>
      <c r="N385" t="s">
        <v>5015</v>
      </c>
      <c r="O385">
        <v>0</v>
      </c>
      <c r="P385">
        <v>0</v>
      </c>
    </row>
    <row r="386" spans="1:16" x14ac:dyDescent="0.25">
      <c r="A386" t="s">
        <v>1886</v>
      </c>
      <c r="B386" t="s">
        <v>1887</v>
      </c>
      <c r="C386">
        <v>6084</v>
      </c>
      <c r="D386" t="s">
        <v>269</v>
      </c>
      <c r="E386" t="s">
        <v>21</v>
      </c>
      <c r="F386">
        <v>16102</v>
      </c>
      <c r="G386" t="s">
        <v>4999</v>
      </c>
      <c r="H386" t="s">
        <v>4993</v>
      </c>
      <c r="I386">
        <v>4.0758000000000001</v>
      </c>
      <c r="J386" t="s">
        <v>5012</v>
      </c>
      <c r="K386" t="s">
        <v>4993</v>
      </c>
      <c r="L386">
        <v>132</v>
      </c>
      <c r="M386">
        <v>245</v>
      </c>
      <c r="N386" t="s">
        <v>5014</v>
      </c>
      <c r="O386">
        <v>0</v>
      </c>
      <c r="P386">
        <v>0</v>
      </c>
    </row>
    <row r="387" spans="1:16" x14ac:dyDescent="0.25">
      <c r="A387" t="s">
        <v>1881</v>
      </c>
      <c r="B387" t="s">
        <v>1882</v>
      </c>
      <c r="C387">
        <v>5996</v>
      </c>
      <c r="D387" t="s">
        <v>327</v>
      </c>
      <c r="E387" t="s">
        <v>347</v>
      </c>
      <c r="F387">
        <v>16148</v>
      </c>
      <c r="G387" t="s">
        <v>4999</v>
      </c>
      <c r="H387" t="s">
        <v>4993</v>
      </c>
      <c r="I387">
        <v>4.4211</v>
      </c>
      <c r="J387" t="s">
        <v>5012</v>
      </c>
      <c r="K387" t="s">
        <v>4993</v>
      </c>
      <c r="L387">
        <v>133</v>
      </c>
      <c r="M387">
        <v>65</v>
      </c>
      <c r="N387" t="s">
        <v>5014</v>
      </c>
      <c r="O387">
        <v>0</v>
      </c>
      <c r="P387">
        <v>0</v>
      </c>
    </row>
    <row r="388" spans="1:16" x14ac:dyDescent="0.25">
      <c r="A388" t="s">
        <v>1612</v>
      </c>
      <c r="B388" t="s">
        <v>1613</v>
      </c>
      <c r="C388">
        <v>6341</v>
      </c>
      <c r="D388" t="s">
        <v>66</v>
      </c>
      <c r="E388" t="s">
        <v>49</v>
      </c>
      <c r="F388">
        <v>19795</v>
      </c>
      <c r="G388" t="s">
        <v>4999</v>
      </c>
      <c r="H388" t="s">
        <v>4993</v>
      </c>
      <c r="I388">
        <v>4.2556000000000003</v>
      </c>
      <c r="J388" t="s">
        <v>5012</v>
      </c>
      <c r="K388" t="s">
        <v>4993</v>
      </c>
      <c r="L388">
        <v>133</v>
      </c>
      <c r="M388">
        <v>37</v>
      </c>
      <c r="N388" t="s">
        <v>5015</v>
      </c>
      <c r="O388">
        <v>0</v>
      </c>
      <c r="P388">
        <v>0</v>
      </c>
    </row>
    <row r="389" spans="1:16" x14ac:dyDescent="0.25">
      <c r="A389" t="s">
        <v>2410</v>
      </c>
      <c r="B389" t="s">
        <v>2411</v>
      </c>
      <c r="C389">
        <v>5648</v>
      </c>
      <c r="D389" t="s">
        <v>408</v>
      </c>
      <c r="E389" t="s">
        <v>21</v>
      </c>
      <c r="F389">
        <v>10945</v>
      </c>
      <c r="G389" t="s">
        <v>4999</v>
      </c>
      <c r="H389" t="s">
        <v>4993</v>
      </c>
      <c r="I389">
        <v>4.4104000000000001</v>
      </c>
      <c r="J389" t="s">
        <v>5012</v>
      </c>
      <c r="K389" t="s">
        <v>4993</v>
      </c>
      <c r="L389">
        <v>134</v>
      </c>
      <c r="M389">
        <v>39</v>
      </c>
      <c r="N389" t="s">
        <v>5015</v>
      </c>
      <c r="O389">
        <v>0</v>
      </c>
      <c r="P389">
        <v>0</v>
      </c>
    </row>
    <row r="390" spans="1:16" x14ac:dyDescent="0.25">
      <c r="A390" t="s">
        <v>1499</v>
      </c>
      <c r="B390" t="s">
        <v>1500</v>
      </c>
      <c r="C390">
        <v>7083</v>
      </c>
      <c r="D390" t="s">
        <v>20</v>
      </c>
      <c r="E390" t="s">
        <v>220</v>
      </c>
      <c r="F390">
        <v>22114</v>
      </c>
      <c r="G390" t="s">
        <v>4999</v>
      </c>
      <c r="H390" t="s">
        <v>4993</v>
      </c>
      <c r="I390">
        <v>4.3955000000000002</v>
      </c>
      <c r="J390" t="s">
        <v>5012</v>
      </c>
      <c r="K390" t="s">
        <v>4993</v>
      </c>
      <c r="L390">
        <v>134</v>
      </c>
      <c r="M390">
        <v>22</v>
      </c>
      <c r="N390" t="s">
        <v>5015</v>
      </c>
      <c r="O390">
        <v>0</v>
      </c>
      <c r="P390">
        <v>0</v>
      </c>
    </row>
    <row r="391" spans="1:16" x14ac:dyDescent="0.25">
      <c r="A391" t="s">
        <v>925</v>
      </c>
      <c r="B391" t="s">
        <v>926</v>
      </c>
      <c r="C391">
        <v>5668</v>
      </c>
      <c r="D391" t="s">
        <v>93</v>
      </c>
      <c r="E391" t="s">
        <v>347</v>
      </c>
      <c r="F391">
        <v>40031</v>
      </c>
      <c r="G391" t="s">
        <v>4999</v>
      </c>
      <c r="H391" t="s">
        <v>4993</v>
      </c>
      <c r="I391">
        <v>4.1493000000000002</v>
      </c>
      <c r="J391" t="s">
        <v>5012</v>
      </c>
      <c r="K391" t="s">
        <v>4993</v>
      </c>
      <c r="L391">
        <v>134</v>
      </c>
      <c r="M391">
        <v>159</v>
      </c>
      <c r="N391" t="s">
        <v>5014</v>
      </c>
      <c r="O391">
        <v>0</v>
      </c>
      <c r="P391">
        <v>1</v>
      </c>
    </row>
    <row r="392" spans="1:16" x14ac:dyDescent="0.25">
      <c r="A392" t="s">
        <v>1796</v>
      </c>
      <c r="B392" t="s">
        <v>1797</v>
      </c>
      <c r="C392">
        <v>7050</v>
      </c>
      <c r="D392" t="s">
        <v>721</v>
      </c>
      <c r="E392" t="s">
        <v>201</v>
      </c>
      <c r="F392">
        <v>17120</v>
      </c>
      <c r="G392" t="s">
        <v>4999</v>
      </c>
      <c r="H392" t="s">
        <v>4993</v>
      </c>
      <c r="I392">
        <v>4.4074</v>
      </c>
      <c r="J392" t="s">
        <v>5012</v>
      </c>
      <c r="K392" t="s">
        <v>4993</v>
      </c>
      <c r="L392">
        <v>135</v>
      </c>
      <c r="M392">
        <v>40</v>
      </c>
      <c r="N392" t="s">
        <v>5015</v>
      </c>
      <c r="O392">
        <v>0</v>
      </c>
      <c r="P392">
        <v>0</v>
      </c>
    </row>
    <row r="393" spans="1:16" x14ac:dyDescent="0.25">
      <c r="A393" t="s">
        <v>886</v>
      </c>
      <c r="B393" t="s">
        <v>887</v>
      </c>
      <c r="C393">
        <v>6247</v>
      </c>
      <c r="D393" t="s">
        <v>38</v>
      </c>
      <c r="E393" t="s">
        <v>8</v>
      </c>
      <c r="F393">
        <v>41405</v>
      </c>
      <c r="G393" t="s">
        <v>4999</v>
      </c>
      <c r="H393" t="s">
        <v>4993</v>
      </c>
      <c r="I393">
        <v>4.7361000000000004</v>
      </c>
      <c r="J393" t="s">
        <v>5012</v>
      </c>
      <c r="K393" t="s">
        <v>4993</v>
      </c>
      <c r="L393">
        <v>485</v>
      </c>
      <c r="M393">
        <v>44</v>
      </c>
      <c r="N393" t="s">
        <v>5015</v>
      </c>
      <c r="O393">
        <v>0</v>
      </c>
      <c r="P393">
        <v>0</v>
      </c>
    </row>
    <row r="394" spans="1:16" x14ac:dyDescent="0.25">
      <c r="A394" t="s">
        <v>2414</v>
      </c>
      <c r="B394" t="s">
        <v>2415</v>
      </c>
      <c r="C394">
        <v>4164</v>
      </c>
      <c r="D394" t="s">
        <v>623</v>
      </c>
      <c r="E394" t="s">
        <v>8</v>
      </c>
      <c r="F394">
        <v>10901</v>
      </c>
      <c r="G394" t="s">
        <v>4999</v>
      </c>
      <c r="H394" t="s">
        <v>4993</v>
      </c>
      <c r="I394">
        <v>4.7252000000000001</v>
      </c>
      <c r="J394" t="s">
        <v>5012</v>
      </c>
      <c r="K394" t="s">
        <v>4993</v>
      </c>
      <c r="L394">
        <v>484</v>
      </c>
      <c r="M394">
        <v>79</v>
      </c>
      <c r="N394" t="s">
        <v>5014</v>
      </c>
      <c r="O394">
        <v>0</v>
      </c>
      <c r="P394">
        <v>1</v>
      </c>
    </row>
    <row r="395" spans="1:16" x14ac:dyDescent="0.25">
      <c r="A395" t="s">
        <v>894</v>
      </c>
      <c r="B395" t="s">
        <v>895</v>
      </c>
      <c r="C395">
        <v>8001</v>
      </c>
      <c r="D395" t="s">
        <v>27</v>
      </c>
      <c r="E395" t="s">
        <v>13</v>
      </c>
      <c r="F395">
        <v>40927</v>
      </c>
      <c r="G395" t="s">
        <v>4999</v>
      </c>
      <c r="H395" t="s">
        <v>4993</v>
      </c>
      <c r="I395">
        <v>4.5747</v>
      </c>
      <c r="J395" t="s">
        <v>5012</v>
      </c>
      <c r="K395" t="s">
        <v>4993</v>
      </c>
      <c r="L395">
        <v>482</v>
      </c>
      <c r="M395">
        <v>28</v>
      </c>
      <c r="N395" t="s">
        <v>5015</v>
      </c>
      <c r="O395">
        <v>0</v>
      </c>
      <c r="P395">
        <v>0</v>
      </c>
    </row>
    <row r="396" spans="1:16" x14ac:dyDescent="0.25">
      <c r="A396" t="s">
        <v>2483</v>
      </c>
      <c r="B396" t="s">
        <v>2484</v>
      </c>
      <c r="C396">
        <v>3728</v>
      </c>
      <c r="D396" t="s">
        <v>458</v>
      </c>
      <c r="E396" t="s">
        <v>13</v>
      </c>
      <c r="F396">
        <v>10371</v>
      </c>
      <c r="G396" t="s">
        <v>4999</v>
      </c>
      <c r="H396" t="s">
        <v>4993</v>
      </c>
      <c r="I396">
        <v>4.2263000000000002</v>
      </c>
      <c r="J396" t="s">
        <v>5012</v>
      </c>
      <c r="K396" t="s">
        <v>4993</v>
      </c>
      <c r="L396">
        <v>137</v>
      </c>
      <c r="M396">
        <v>39</v>
      </c>
      <c r="N396" t="s">
        <v>5015</v>
      </c>
      <c r="O396">
        <v>0</v>
      </c>
      <c r="P396">
        <v>0</v>
      </c>
    </row>
    <row r="397" spans="1:16" x14ac:dyDescent="0.25">
      <c r="A397" t="s">
        <v>2093</v>
      </c>
      <c r="B397" t="s">
        <v>2094</v>
      </c>
      <c r="C397">
        <v>5668</v>
      </c>
      <c r="D397" t="s">
        <v>93</v>
      </c>
      <c r="E397" t="s">
        <v>8</v>
      </c>
      <c r="F397">
        <v>13677</v>
      </c>
      <c r="G397" t="s">
        <v>4999</v>
      </c>
      <c r="H397" t="s">
        <v>4993</v>
      </c>
      <c r="I397">
        <v>4.2554999999999996</v>
      </c>
      <c r="J397" t="s">
        <v>5012</v>
      </c>
      <c r="K397" t="s">
        <v>4993</v>
      </c>
      <c r="L397">
        <v>137</v>
      </c>
      <c r="M397">
        <v>72</v>
      </c>
      <c r="N397" t="s">
        <v>5014</v>
      </c>
      <c r="O397">
        <v>0</v>
      </c>
      <c r="P397">
        <v>0</v>
      </c>
    </row>
    <row r="398" spans="1:16" x14ac:dyDescent="0.25">
      <c r="A398" t="s">
        <v>1179</v>
      </c>
      <c r="B398" t="s">
        <v>1180</v>
      </c>
      <c r="C398">
        <v>6014</v>
      </c>
      <c r="D398" t="s">
        <v>102</v>
      </c>
      <c r="E398" t="s">
        <v>49</v>
      </c>
      <c r="F398">
        <v>29897</v>
      </c>
      <c r="G398" t="s">
        <v>4999</v>
      </c>
      <c r="H398" t="s">
        <v>4993</v>
      </c>
      <c r="I398">
        <v>4.4336000000000002</v>
      </c>
      <c r="J398" t="s">
        <v>5012</v>
      </c>
      <c r="K398" t="s">
        <v>4993</v>
      </c>
      <c r="L398">
        <v>482</v>
      </c>
      <c r="M398">
        <v>40</v>
      </c>
      <c r="N398" t="s">
        <v>5015</v>
      </c>
      <c r="O398">
        <v>0</v>
      </c>
      <c r="P398">
        <v>0</v>
      </c>
    </row>
    <row r="399" spans="1:16" x14ac:dyDescent="0.25">
      <c r="A399" t="s">
        <v>1082</v>
      </c>
      <c r="B399" t="s">
        <v>1083</v>
      </c>
      <c r="C399">
        <v>6341</v>
      </c>
      <c r="D399" t="s">
        <v>66</v>
      </c>
      <c r="E399" t="s">
        <v>8</v>
      </c>
      <c r="F399">
        <v>33137</v>
      </c>
      <c r="G399" t="s">
        <v>4999</v>
      </c>
      <c r="H399" t="s">
        <v>4993</v>
      </c>
      <c r="I399">
        <v>4.5035999999999996</v>
      </c>
      <c r="J399" t="s">
        <v>5012</v>
      </c>
      <c r="K399" t="s">
        <v>4993</v>
      </c>
      <c r="L399">
        <v>137</v>
      </c>
      <c r="M399">
        <v>42</v>
      </c>
      <c r="N399" t="s">
        <v>5015</v>
      </c>
      <c r="O399">
        <v>0</v>
      </c>
      <c r="P399">
        <v>0</v>
      </c>
    </row>
    <row r="400" spans="1:16" x14ac:dyDescent="0.25">
      <c r="A400" t="s">
        <v>802</v>
      </c>
      <c r="B400" t="s">
        <v>803</v>
      </c>
      <c r="C400">
        <v>6338</v>
      </c>
      <c r="D400" t="s">
        <v>804</v>
      </c>
      <c r="E400" t="s">
        <v>8</v>
      </c>
      <c r="F400">
        <v>45008</v>
      </c>
      <c r="G400" t="s">
        <v>4999</v>
      </c>
      <c r="H400" t="s">
        <v>4993</v>
      </c>
      <c r="I400">
        <v>4.6486000000000001</v>
      </c>
      <c r="J400" t="s">
        <v>5012</v>
      </c>
      <c r="K400" t="s">
        <v>4993</v>
      </c>
      <c r="L400">
        <v>481</v>
      </c>
      <c r="M400">
        <v>38</v>
      </c>
      <c r="N400" t="s">
        <v>5015</v>
      </c>
      <c r="O400">
        <v>0</v>
      </c>
      <c r="P400">
        <v>0</v>
      </c>
    </row>
    <row r="401" spans="1:16" x14ac:dyDescent="0.25">
      <c r="A401" t="s">
        <v>1675</v>
      </c>
      <c r="B401" t="s">
        <v>1676</v>
      </c>
      <c r="C401">
        <v>6341</v>
      </c>
      <c r="D401" t="s">
        <v>66</v>
      </c>
      <c r="E401" t="s">
        <v>8</v>
      </c>
      <c r="F401">
        <v>18644</v>
      </c>
      <c r="G401" t="s">
        <v>4999</v>
      </c>
      <c r="H401" t="s">
        <v>4993</v>
      </c>
      <c r="I401">
        <v>4.6521999999999997</v>
      </c>
      <c r="J401" t="s">
        <v>5012</v>
      </c>
      <c r="K401" t="s">
        <v>4993</v>
      </c>
      <c r="L401">
        <v>138</v>
      </c>
      <c r="M401">
        <v>52</v>
      </c>
      <c r="N401" t="s">
        <v>5014</v>
      </c>
      <c r="O401">
        <v>0</v>
      </c>
      <c r="P401">
        <v>0</v>
      </c>
    </row>
    <row r="402" spans="1:16" x14ac:dyDescent="0.25">
      <c r="A402" t="s">
        <v>1283</v>
      </c>
      <c r="B402" t="s">
        <v>1284</v>
      </c>
      <c r="C402">
        <v>6218</v>
      </c>
      <c r="D402" t="s">
        <v>116</v>
      </c>
      <c r="E402" t="s">
        <v>8</v>
      </c>
      <c r="F402">
        <v>26859</v>
      </c>
      <c r="G402" t="s">
        <v>4999</v>
      </c>
      <c r="H402" t="s">
        <v>4993</v>
      </c>
      <c r="I402">
        <v>4.3986000000000001</v>
      </c>
      <c r="J402" t="s">
        <v>5012</v>
      </c>
      <c r="K402" t="s">
        <v>4993</v>
      </c>
      <c r="L402">
        <v>138</v>
      </c>
      <c r="M402">
        <v>59</v>
      </c>
      <c r="N402" t="s">
        <v>5014</v>
      </c>
      <c r="O402">
        <v>0</v>
      </c>
      <c r="P402">
        <v>0</v>
      </c>
    </row>
    <row r="403" spans="1:16" x14ac:dyDescent="0.25">
      <c r="A403" t="s">
        <v>2009</v>
      </c>
      <c r="B403" t="s">
        <v>2010</v>
      </c>
      <c r="C403">
        <v>6134</v>
      </c>
      <c r="D403" t="s">
        <v>286</v>
      </c>
      <c r="E403" t="s">
        <v>13</v>
      </c>
      <c r="F403">
        <v>14632</v>
      </c>
      <c r="G403" t="s">
        <v>4999</v>
      </c>
      <c r="H403" t="s">
        <v>4993</v>
      </c>
      <c r="I403">
        <v>4.6475</v>
      </c>
      <c r="J403" t="s">
        <v>5012</v>
      </c>
      <c r="K403" t="s">
        <v>4993</v>
      </c>
      <c r="L403">
        <v>139</v>
      </c>
      <c r="M403">
        <v>32</v>
      </c>
      <c r="N403" t="s">
        <v>5015</v>
      </c>
      <c r="O403">
        <v>0</v>
      </c>
      <c r="P403">
        <v>0</v>
      </c>
    </row>
    <row r="404" spans="1:16" x14ac:dyDescent="0.25">
      <c r="A404" t="s">
        <v>1899</v>
      </c>
      <c r="B404" t="s">
        <v>1900</v>
      </c>
      <c r="C404">
        <v>4171</v>
      </c>
      <c r="D404" t="s">
        <v>133</v>
      </c>
      <c r="E404" t="s">
        <v>21</v>
      </c>
      <c r="F404">
        <v>15759</v>
      </c>
      <c r="G404" t="s">
        <v>4999</v>
      </c>
      <c r="H404" t="s">
        <v>4993</v>
      </c>
      <c r="I404">
        <v>4.3884999999999996</v>
      </c>
      <c r="J404" t="s">
        <v>5012</v>
      </c>
      <c r="K404" t="s">
        <v>4993</v>
      </c>
      <c r="L404">
        <v>139</v>
      </c>
      <c r="M404">
        <v>38</v>
      </c>
      <c r="N404" t="s">
        <v>5015</v>
      </c>
      <c r="O404">
        <v>0</v>
      </c>
      <c r="P404">
        <v>0</v>
      </c>
    </row>
    <row r="405" spans="1:16" x14ac:dyDescent="0.25">
      <c r="A405" t="s">
        <v>1489</v>
      </c>
      <c r="B405" t="s">
        <v>1490</v>
      </c>
      <c r="C405">
        <v>6279</v>
      </c>
      <c r="D405" t="s">
        <v>1472</v>
      </c>
      <c r="E405" t="s">
        <v>21</v>
      </c>
      <c r="F405">
        <v>22286</v>
      </c>
      <c r="G405" t="s">
        <v>4999</v>
      </c>
      <c r="H405" t="s">
        <v>4993</v>
      </c>
      <c r="I405">
        <v>4.3741000000000003</v>
      </c>
      <c r="J405" t="s">
        <v>5012</v>
      </c>
      <c r="K405" t="s">
        <v>4993</v>
      </c>
      <c r="L405">
        <v>139</v>
      </c>
      <c r="M405">
        <v>48</v>
      </c>
      <c r="N405" t="s">
        <v>5015</v>
      </c>
      <c r="O405">
        <v>0</v>
      </c>
      <c r="P405">
        <v>0</v>
      </c>
    </row>
    <row r="406" spans="1:16" x14ac:dyDescent="0.25">
      <c r="A406" t="s">
        <v>1024</v>
      </c>
      <c r="B406" t="s">
        <v>1025</v>
      </c>
      <c r="C406">
        <v>6234</v>
      </c>
      <c r="D406" t="s">
        <v>7</v>
      </c>
      <c r="E406" t="s">
        <v>8</v>
      </c>
      <c r="F406">
        <v>35874</v>
      </c>
      <c r="G406" t="s">
        <v>4999</v>
      </c>
      <c r="H406" t="s">
        <v>4993</v>
      </c>
      <c r="I406">
        <v>4.3499999999999996</v>
      </c>
      <c r="J406" t="s">
        <v>5012</v>
      </c>
      <c r="K406" t="s">
        <v>4993</v>
      </c>
      <c r="L406">
        <v>140</v>
      </c>
      <c r="M406">
        <v>11.1</v>
      </c>
      <c r="N406" t="s">
        <v>5013</v>
      </c>
      <c r="O406">
        <v>0</v>
      </c>
      <c r="P406">
        <v>1</v>
      </c>
    </row>
    <row r="407" spans="1:16" x14ac:dyDescent="0.25">
      <c r="A407" t="s">
        <v>1778</v>
      </c>
      <c r="B407" t="s">
        <v>1779</v>
      </c>
      <c r="C407">
        <v>5668</v>
      </c>
      <c r="D407" t="s">
        <v>93</v>
      </c>
      <c r="E407" t="s">
        <v>21</v>
      </c>
      <c r="F407">
        <v>17314</v>
      </c>
      <c r="G407" t="s">
        <v>4999</v>
      </c>
      <c r="H407" t="s">
        <v>4993</v>
      </c>
      <c r="I407">
        <v>4.6950000000000003</v>
      </c>
      <c r="J407" t="s">
        <v>5012</v>
      </c>
      <c r="K407" t="s">
        <v>4993</v>
      </c>
      <c r="L407">
        <v>141</v>
      </c>
      <c r="M407">
        <v>77</v>
      </c>
      <c r="N407" t="s">
        <v>5014</v>
      </c>
      <c r="O407">
        <v>0</v>
      </c>
      <c r="P407">
        <v>0</v>
      </c>
    </row>
    <row r="408" spans="1:16" x14ac:dyDescent="0.25">
      <c r="A408" t="s">
        <v>858</v>
      </c>
      <c r="B408" t="s">
        <v>859</v>
      </c>
      <c r="C408">
        <v>6117</v>
      </c>
      <c r="D408" t="s">
        <v>229</v>
      </c>
      <c r="E408" t="s">
        <v>21</v>
      </c>
      <c r="F408">
        <v>42381</v>
      </c>
      <c r="G408" t="s">
        <v>4999</v>
      </c>
      <c r="H408" t="s">
        <v>4993</v>
      </c>
      <c r="I408">
        <v>4.3291000000000004</v>
      </c>
      <c r="J408" t="s">
        <v>5012</v>
      </c>
      <c r="K408" t="s">
        <v>4993</v>
      </c>
      <c r="L408">
        <v>477</v>
      </c>
      <c r="M408">
        <v>50</v>
      </c>
      <c r="N408" t="s">
        <v>5015</v>
      </c>
      <c r="O408">
        <v>0</v>
      </c>
      <c r="P408">
        <v>0</v>
      </c>
    </row>
    <row r="409" spans="1:16" x14ac:dyDescent="0.25">
      <c r="A409" t="s">
        <v>1572</v>
      </c>
      <c r="B409" t="s">
        <v>1573</v>
      </c>
      <c r="C409">
        <v>5857</v>
      </c>
      <c r="D409" t="s">
        <v>433</v>
      </c>
      <c r="E409" t="s">
        <v>21</v>
      </c>
      <c r="F409">
        <v>20807</v>
      </c>
      <c r="G409" t="s">
        <v>4999</v>
      </c>
      <c r="H409" t="s">
        <v>4993</v>
      </c>
      <c r="I409">
        <v>4.1407999999999996</v>
      </c>
      <c r="J409" t="s">
        <v>5012</v>
      </c>
      <c r="K409" t="s">
        <v>4993</v>
      </c>
      <c r="L409">
        <v>476</v>
      </c>
      <c r="M409">
        <v>55</v>
      </c>
      <c r="N409" t="s">
        <v>5014</v>
      </c>
      <c r="O409">
        <v>0</v>
      </c>
      <c r="P409">
        <v>0</v>
      </c>
    </row>
    <row r="410" spans="1:16" x14ac:dyDescent="0.25">
      <c r="A410" t="s">
        <v>2189</v>
      </c>
      <c r="B410" t="s">
        <v>2190</v>
      </c>
      <c r="C410">
        <v>6295</v>
      </c>
      <c r="D410" t="s">
        <v>184</v>
      </c>
      <c r="E410" t="s">
        <v>13</v>
      </c>
      <c r="F410">
        <v>12712</v>
      </c>
      <c r="G410" t="s">
        <v>4999</v>
      </c>
      <c r="H410" t="s">
        <v>4993</v>
      </c>
      <c r="I410">
        <v>4.5663999999999998</v>
      </c>
      <c r="J410" t="s">
        <v>5012</v>
      </c>
      <c r="K410" t="s">
        <v>4993</v>
      </c>
      <c r="L410">
        <v>143</v>
      </c>
      <c r="M410">
        <v>22</v>
      </c>
      <c r="N410" t="s">
        <v>5015</v>
      </c>
      <c r="O410">
        <v>0</v>
      </c>
      <c r="P410">
        <v>0</v>
      </c>
    </row>
    <row r="411" spans="1:16" x14ac:dyDescent="0.25">
      <c r="A411" t="s">
        <v>2115</v>
      </c>
      <c r="B411" t="s">
        <v>2116</v>
      </c>
      <c r="C411">
        <v>6368</v>
      </c>
      <c r="D411" t="s">
        <v>2117</v>
      </c>
      <c r="E411" t="s">
        <v>8</v>
      </c>
      <c r="F411">
        <v>13429</v>
      </c>
      <c r="G411" t="s">
        <v>4999</v>
      </c>
      <c r="H411" t="s">
        <v>4993</v>
      </c>
      <c r="I411">
        <v>4.5663999999999998</v>
      </c>
      <c r="J411" t="s">
        <v>5012</v>
      </c>
      <c r="K411" t="s">
        <v>4993</v>
      </c>
      <c r="L411">
        <v>143</v>
      </c>
      <c r="M411">
        <v>58</v>
      </c>
      <c r="N411" t="s">
        <v>5014</v>
      </c>
      <c r="O411">
        <v>0</v>
      </c>
      <c r="P411">
        <v>0</v>
      </c>
    </row>
    <row r="412" spans="1:16" x14ac:dyDescent="0.25">
      <c r="A412" t="s">
        <v>1665</v>
      </c>
      <c r="B412" t="s">
        <v>1666</v>
      </c>
      <c r="C412">
        <v>4171</v>
      </c>
      <c r="D412" t="s">
        <v>133</v>
      </c>
      <c r="E412" t="s">
        <v>69</v>
      </c>
      <c r="F412">
        <v>18954</v>
      </c>
      <c r="G412" t="s">
        <v>4999</v>
      </c>
      <c r="H412" t="s">
        <v>4993</v>
      </c>
      <c r="I412">
        <v>4.6318999999999999</v>
      </c>
      <c r="J412" t="s">
        <v>5012</v>
      </c>
      <c r="K412" t="s">
        <v>4993</v>
      </c>
      <c r="L412">
        <v>144</v>
      </c>
      <c r="M412">
        <v>42</v>
      </c>
      <c r="N412" t="s">
        <v>5015</v>
      </c>
      <c r="O412">
        <v>0</v>
      </c>
      <c r="P412">
        <v>0</v>
      </c>
    </row>
    <row r="413" spans="1:16" x14ac:dyDescent="0.25">
      <c r="A413" t="s">
        <v>1540</v>
      </c>
      <c r="B413" t="s">
        <v>1541</v>
      </c>
      <c r="C413">
        <v>5337</v>
      </c>
      <c r="D413" t="s">
        <v>209</v>
      </c>
      <c r="E413" t="s">
        <v>13</v>
      </c>
      <c r="F413">
        <v>21389</v>
      </c>
      <c r="G413" t="s">
        <v>4999</v>
      </c>
      <c r="H413" t="s">
        <v>4993</v>
      </c>
      <c r="I413">
        <v>4.4513999999999996</v>
      </c>
      <c r="J413" t="s">
        <v>5012</v>
      </c>
      <c r="K413" t="s">
        <v>4993</v>
      </c>
      <c r="L413">
        <v>144</v>
      </c>
      <c r="M413">
        <v>35</v>
      </c>
      <c r="N413" t="s">
        <v>5015</v>
      </c>
      <c r="O413">
        <v>0</v>
      </c>
      <c r="P413">
        <v>0</v>
      </c>
    </row>
    <row r="414" spans="1:16" x14ac:dyDescent="0.25">
      <c r="A414" t="s">
        <v>2374</v>
      </c>
      <c r="B414" t="s">
        <v>2375</v>
      </c>
      <c r="C414">
        <v>6341</v>
      </c>
      <c r="D414" t="s">
        <v>66</v>
      </c>
      <c r="E414" t="s">
        <v>8</v>
      </c>
      <c r="F414">
        <v>11291</v>
      </c>
      <c r="G414" t="s">
        <v>4999</v>
      </c>
      <c r="H414" t="s">
        <v>4993</v>
      </c>
      <c r="I414">
        <v>4.7054999999999998</v>
      </c>
      <c r="J414" t="s">
        <v>5012</v>
      </c>
      <c r="K414" t="s">
        <v>4993</v>
      </c>
      <c r="L414">
        <v>146</v>
      </c>
      <c r="M414">
        <v>46</v>
      </c>
      <c r="N414" t="s">
        <v>5015</v>
      </c>
      <c r="O414">
        <v>0</v>
      </c>
      <c r="P414">
        <v>0</v>
      </c>
    </row>
    <row r="415" spans="1:16" x14ac:dyDescent="0.25">
      <c r="A415" t="s">
        <v>2089</v>
      </c>
      <c r="B415" t="s">
        <v>2090</v>
      </c>
      <c r="C415">
        <v>5668</v>
      </c>
      <c r="D415" t="s">
        <v>93</v>
      </c>
      <c r="E415" t="s">
        <v>21</v>
      </c>
      <c r="F415">
        <v>13709</v>
      </c>
      <c r="G415" t="s">
        <v>4999</v>
      </c>
      <c r="H415" t="s">
        <v>4993</v>
      </c>
      <c r="I415">
        <v>4.0342000000000002</v>
      </c>
      <c r="J415" t="s">
        <v>5012</v>
      </c>
      <c r="K415" t="s">
        <v>4993</v>
      </c>
      <c r="L415">
        <v>146</v>
      </c>
      <c r="M415">
        <v>65</v>
      </c>
      <c r="N415" t="s">
        <v>5014</v>
      </c>
      <c r="O415">
        <v>0</v>
      </c>
      <c r="P415">
        <v>0</v>
      </c>
    </row>
    <row r="416" spans="1:16" x14ac:dyDescent="0.25">
      <c r="A416" t="s">
        <v>2332</v>
      </c>
      <c r="B416" t="s">
        <v>2333</v>
      </c>
      <c r="C416">
        <v>5668</v>
      </c>
      <c r="D416" t="s">
        <v>93</v>
      </c>
      <c r="E416" t="s">
        <v>8</v>
      </c>
      <c r="F416">
        <v>11560</v>
      </c>
      <c r="G416" t="s">
        <v>4999</v>
      </c>
      <c r="H416" t="s">
        <v>4993</v>
      </c>
      <c r="I416">
        <v>4.7415000000000003</v>
      </c>
      <c r="J416" t="s">
        <v>5012</v>
      </c>
      <c r="K416" t="s">
        <v>4993</v>
      </c>
      <c r="L416">
        <v>147</v>
      </c>
      <c r="M416">
        <v>82</v>
      </c>
      <c r="N416" t="s">
        <v>5014</v>
      </c>
      <c r="O416">
        <v>0</v>
      </c>
      <c r="P416">
        <v>0</v>
      </c>
    </row>
    <row r="417" spans="1:16" x14ac:dyDescent="0.25">
      <c r="A417" t="s">
        <v>2240</v>
      </c>
      <c r="B417" t="s">
        <v>2241</v>
      </c>
      <c r="C417">
        <v>6219</v>
      </c>
      <c r="D417" t="s">
        <v>277</v>
      </c>
      <c r="E417" t="s">
        <v>21</v>
      </c>
      <c r="F417">
        <v>12290</v>
      </c>
      <c r="G417" t="s">
        <v>4999</v>
      </c>
      <c r="H417" t="s">
        <v>4993</v>
      </c>
      <c r="I417">
        <v>4.6055000000000001</v>
      </c>
      <c r="J417" t="s">
        <v>5012</v>
      </c>
      <c r="K417" t="s">
        <v>4993</v>
      </c>
      <c r="L417">
        <v>474</v>
      </c>
      <c r="M417">
        <v>74</v>
      </c>
      <c r="N417" t="s">
        <v>5014</v>
      </c>
      <c r="O417">
        <v>0</v>
      </c>
      <c r="P417">
        <v>0</v>
      </c>
    </row>
    <row r="418" spans="1:16" x14ac:dyDescent="0.25">
      <c r="A418" t="s">
        <v>1723</v>
      </c>
      <c r="B418" t="s">
        <v>1724</v>
      </c>
      <c r="C418">
        <v>6014</v>
      </c>
      <c r="D418" t="s">
        <v>102</v>
      </c>
      <c r="E418" t="s">
        <v>220</v>
      </c>
      <c r="F418">
        <v>17922</v>
      </c>
      <c r="G418" t="s">
        <v>4999</v>
      </c>
      <c r="H418" t="s">
        <v>4993</v>
      </c>
      <c r="I418">
        <v>4.2857000000000003</v>
      </c>
      <c r="J418" t="s">
        <v>5012</v>
      </c>
      <c r="K418" t="s">
        <v>4993</v>
      </c>
      <c r="L418">
        <v>147</v>
      </c>
      <c r="M418">
        <v>39</v>
      </c>
      <c r="N418" t="s">
        <v>5015</v>
      </c>
      <c r="O418">
        <v>0</v>
      </c>
      <c r="P418">
        <v>0</v>
      </c>
    </row>
    <row r="419" spans="1:16" x14ac:dyDescent="0.25">
      <c r="A419" t="s">
        <v>1424</v>
      </c>
      <c r="B419" t="s">
        <v>1425</v>
      </c>
      <c r="C419">
        <v>6285</v>
      </c>
      <c r="D419" t="s">
        <v>119</v>
      </c>
      <c r="E419" t="s">
        <v>21</v>
      </c>
      <c r="F419">
        <v>23440</v>
      </c>
      <c r="G419" t="s">
        <v>4999</v>
      </c>
      <c r="H419" t="s">
        <v>4993</v>
      </c>
      <c r="I419">
        <v>4.4421999999999997</v>
      </c>
      <c r="J419" t="s">
        <v>5012</v>
      </c>
      <c r="K419" t="s">
        <v>4993</v>
      </c>
      <c r="L419">
        <v>147</v>
      </c>
      <c r="M419">
        <v>12.99</v>
      </c>
      <c r="N419" t="s">
        <v>5013</v>
      </c>
      <c r="O419">
        <v>0</v>
      </c>
      <c r="P419">
        <v>0</v>
      </c>
    </row>
    <row r="420" spans="1:16" x14ac:dyDescent="0.25">
      <c r="A420" t="s">
        <v>2214</v>
      </c>
      <c r="B420" t="s">
        <v>2215</v>
      </c>
      <c r="C420">
        <v>6312</v>
      </c>
      <c r="D420" t="s">
        <v>1242</v>
      </c>
      <c r="E420" t="s">
        <v>4</v>
      </c>
      <c r="F420">
        <v>12568</v>
      </c>
      <c r="G420" t="s">
        <v>4999</v>
      </c>
      <c r="H420" t="s">
        <v>4993</v>
      </c>
      <c r="I420">
        <v>4.5404999999999998</v>
      </c>
      <c r="J420" t="s">
        <v>5012</v>
      </c>
      <c r="K420" t="s">
        <v>4993</v>
      </c>
      <c r="L420">
        <v>148</v>
      </c>
      <c r="M420">
        <v>28</v>
      </c>
      <c r="N420" t="s">
        <v>5015</v>
      </c>
      <c r="O420">
        <v>0</v>
      </c>
      <c r="P420">
        <v>0</v>
      </c>
    </row>
    <row r="421" spans="1:16" x14ac:dyDescent="0.25">
      <c r="A421" t="s">
        <v>1456</v>
      </c>
      <c r="B421" t="s">
        <v>1457</v>
      </c>
      <c r="C421">
        <v>6117</v>
      </c>
      <c r="D421" t="s">
        <v>229</v>
      </c>
      <c r="E421" t="s">
        <v>149</v>
      </c>
      <c r="F421">
        <v>22997</v>
      </c>
      <c r="G421" t="s">
        <v>4999</v>
      </c>
      <c r="H421" t="s">
        <v>4993</v>
      </c>
      <c r="I421">
        <v>4.2297000000000002</v>
      </c>
      <c r="J421" t="s">
        <v>5012</v>
      </c>
      <c r="K421" t="s">
        <v>4993</v>
      </c>
      <c r="L421">
        <v>148</v>
      </c>
      <c r="M421">
        <v>48</v>
      </c>
      <c r="N421" t="s">
        <v>5015</v>
      </c>
      <c r="O421">
        <v>0</v>
      </c>
      <c r="P421">
        <v>0</v>
      </c>
    </row>
    <row r="422" spans="1:16" x14ac:dyDescent="0.25">
      <c r="A422" t="s">
        <v>2287</v>
      </c>
      <c r="B422" t="s">
        <v>2288</v>
      </c>
      <c r="C422">
        <v>3902</v>
      </c>
      <c r="D422" t="s">
        <v>72</v>
      </c>
      <c r="E422" t="s">
        <v>201</v>
      </c>
      <c r="F422">
        <v>11904</v>
      </c>
      <c r="G422" t="s">
        <v>4999</v>
      </c>
      <c r="H422" t="s">
        <v>4993</v>
      </c>
      <c r="I422">
        <v>4.8993000000000002</v>
      </c>
      <c r="J422" t="s">
        <v>5012</v>
      </c>
      <c r="K422" t="s">
        <v>4993</v>
      </c>
      <c r="L422">
        <v>149</v>
      </c>
      <c r="M422">
        <v>20</v>
      </c>
      <c r="N422" t="s">
        <v>5015</v>
      </c>
      <c r="O422">
        <v>0</v>
      </c>
      <c r="P422">
        <v>0</v>
      </c>
    </row>
    <row r="423" spans="1:16" x14ac:dyDescent="0.25">
      <c r="A423" t="s">
        <v>1033</v>
      </c>
      <c r="B423" t="s">
        <v>1034</v>
      </c>
      <c r="C423">
        <v>5996</v>
      </c>
      <c r="D423" t="s">
        <v>327</v>
      </c>
      <c r="E423" t="s">
        <v>347</v>
      </c>
      <c r="F423">
        <v>35507</v>
      </c>
      <c r="G423" t="s">
        <v>4999</v>
      </c>
      <c r="H423" t="s">
        <v>4993</v>
      </c>
      <c r="I423">
        <v>4.1409000000000002</v>
      </c>
      <c r="J423" t="s">
        <v>5012</v>
      </c>
      <c r="K423" t="s">
        <v>4993</v>
      </c>
      <c r="L423">
        <v>149</v>
      </c>
      <c r="M423">
        <v>24</v>
      </c>
      <c r="N423" t="s">
        <v>5015</v>
      </c>
      <c r="O423">
        <v>0</v>
      </c>
      <c r="P423">
        <v>0</v>
      </c>
    </row>
    <row r="424" spans="1:16" x14ac:dyDescent="0.25">
      <c r="A424" t="s">
        <v>2489</v>
      </c>
      <c r="B424" t="s">
        <v>2490</v>
      </c>
      <c r="C424">
        <v>6219</v>
      </c>
      <c r="D424" t="s">
        <v>277</v>
      </c>
      <c r="E424" t="s">
        <v>21</v>
      </c>
      <c r="F424">
        <v>10341</v>
      </c>
      <c r="G424" t="s">
        <v>4999</v>
      </c>
      <c r="H424" t="s">
        <v>4993</v>
      </c>
      <c r="I424">
        <v>4.4667000000000003</v>
      </c>
      <c r="J424" t="s">
        <v>5012</v>
      </c>
      <c r="K424" t="s">
        <v>4993</v>
      </c>
      <c r="L424">
        <v>150</v>
      </c>
      <c r="M424">
        <v>47</v>
      </c>
      <c r="N424" t="s">
        <v>5015</v>
      </c>
      <c r="O424">
        <v>0</v>
      </c>
      <c r="P424">
        <v>0</v>
      </c>
    </row>
    <row r="425" spans="1:16" x14ac:dyDescent="0.25">
      <c r="A425" t="s">
        <v>2338</v>
      </c>
      <c r="B425" t="s">
        <v>2339</v>
      </c>
      <c r="C425">
        <v>6377</v>
      </c>
      <c r="D425" t="s">
        <v>1903</v>
      </c>
      <c r="E425" t="s">
        <v>21</v>
      </c>
      <c r="F425">
        <v>11518</v>
      </c>
      <c r="G425" t="s">
        <v>4999</v>
      </c>
      <c r="H425" t="s">
        <v>4993</v>
      </c>
      <c r="I425">
        <v>4.7466999999999997</v>
      </c>
      <c r="J425" t="s">
        <v>5012</v>
      </c>
      <c r="K425" t="s">
        <v>4993</v>
      </c>
      <c r="L425">
        <v>150</v>
      </c>
      <c r="M425">
        <v>58</v>
      </c>
      <c r="N425" t="s">
        <v>5014</v>
      </c>
      <c r="O425">
        <v>0</v>
      </c>
      <c r="P425">
        <v>0</v>
      </c>
    </row>
    <row r="426" spans="1:16" x14ac:dyDescent="0.25">
      <c r="A426" t="s">
        <v>1616</v>
      </c>
      <c r="B426" t="s">
        <v>1617</v>
      </c>
      <c r="C426">
        <v>6125</v>
      </c>
      <c r="D426" t="s">
        <v>3</v>
      </c>
      <c r="E426" t="s">
        <v>49</v>
      </c>
      <c r="F426">
        <v>19738</v>
      </c>
      <c r="G426" t="s">
        <v>4999</v>
      </c>
      <c r="H426" t="s">
        <v>4993</v>
      </c>
      <c r="I426">
        <v>4.2583000000000002</v>
      </c>
      <c r="J426" t="s">
        <v>5012</v>
      </c>
      <c r="K426" t="s">
        <v>4993</v>
      </c>
      <c r="L426">
        <v>151</v>
      </c>
      <c r="M426">
        <v>30</v>
      </c>
      <c r="N426" t="s">
        <v>5015</v>
      </c>
      <c r="O426">
        <v>0</v>
      </c>
      <c r="P426">
        <v>0</v>
      </c>
    </row>
    <row r="427" spans="1:16" x14ac:dyDescent="0.25">
      <c r="A427" t="s">
        <v>1350</v>
      </c>
      <c r="B427" t="s">
        <v>451</v>
      </c>
      <c r="C427">
        <v>3902</v>
      </c>
      <c r="D427" t="s">
        <v>72</v>
      </c>
      <c r="E427" t="s">
        <v>4</v>
      </c>
      <c r="F427">
        <v>24932</v>
      </c>
      <c r="G427" t="s">
        <v>4999</v>
      </c>
      <c r="H427" t="s">
        <v>4993</v>
      </c>
      <c r="I427">
        <v>4.5128000000000004</v>
      </c>
      <c r="J427" t="s">
        <v>5012</v>
      </c>
      <c r="K427" t="s">
        <v>4993</v>
      </c>
      <c r="L427">
        <v>470</v>
      </c>
      <c r="M427">
        <v>7</v>
      </c>
      <c r="N427" t="s">
        <v>5013</v>
      </c>
      <c r="O427">
        <v>0</v>
      </c>
      <c r="P427">
        <v>0</v>
      </c>
    </row>
    <row r="428" spans="1:16" x14ac:dyDescent="0.25">
      <c r="A428" t="s">
        <v>765</v>
      </c>
      <c r="B428" t="s">
        <v>766</v>
      </c>
      <c r="C428">
        <v>1073</v>
      </c>
      <c r="D428" t="s">
        <v>767</v>
      </c>
      <c r="E428" t="s">
        <v>8</v>
      </c>
      <c r="F428">
        <v>47079</v>
      </c>
      <c r="G428" t="s">
        <v>4999</v>
      </c>
      <c r="H428" t="s">
        <v>4993</v>
      </c>
      <c r="I428">
        <v>4.2434000000000003</v>
      </c>
      <c r="J428" t="s">
        <v>5012</v>
      </c>
      <c r="K428" t="s">
        <v>4993</v>
      </c>
      <c r="L428">
        <v>152</v>
      </c>
      <c r="M428">
        <v>110</v>
      </c>
      <c r="N428" t="s">
        <v>5014</v>
      </c>
      <c r="O428">
        <v>0</v>
      </c>
      <c r="P428">
        <v>0</v>
      </c>
    </row>
    <row r="429" spans="1:16" x14ac:dyDescent="0.25">
      <c r="A429" t="s">
        <v>2540</v>
      </c>
      <c r="B429" t="s">
        <v>2541</v>
      </c>
      <c r="C429">
        <v>6358</v>
      </c>
      <c r="D429" t="s">
        <v>2301</v>
      </c>
      <c r="E429" t="s">
        <v>21</v>
      </c>
      <c r="F429">
        <v>10042</v>
      </c>
      <c r="G429" t="s">
        <v>4999</v>
      </c>
      <c r="H429" t="s">
        <v>4993</v>
      </c>
      <c r="I429">
        <v>4.0392000000000001</v>
      </c>
      <c r="J429" t="s">
        <v>5012</v>
      </c>
      <c r="K429" t="s">
        <v>4993</v>
      </c>
      <c r="L429">
        <v>153</v>
      </c>
      <c r="M429">
        <v>95</v>
      </c>
      <c r="N429" t="s">
        <v>5014</v>
      </c>
      <c r="O429">
        <v>0</v>
      </c>
      <c r="P429">
        <v>0</v>
      </c>
    </row>
    <row r="430" spans="1:16" x14ac:dyDescent="0.25">
      <c r="A430" t="s">
        <v>1896</v>
      </c>
      <c r="B430" t="s">
        <v>1555</v>
      </c>
      <c r="C430">
        <v>3902</v>
      </c>
      <c r="D430" t="s">
        <v>72</v>
      </c>
      <c r="E430" t="s">
        <v>13</v>
      </c>
      <c r="F430">
        <v>15903</v>
      </c>
      <c r="G430" t="s">
        <v>4999</v>
      </c>
      <c r="H430" t="s">
        <v>4993</v>
      </c>
      <c r="I430">
        <v>4.0130999999999997</v>
      </c>
      <c r="J430" t="s">
        <v>5012</v>
      </c>
      <c r="K430" t="s">
        <v>4993</v>
      </c>
      <c r="L430">
        <v>153</v>
      </c>
      <c r="M430">
        <v>12</v>
      </c>
      <c r="N430" t="s">
        <v>5013</v>
      </c>
      <c r="O430">
        <v>0</v>
      </c>
      <c r="P430">
        <v>0</v>
      </c>
    </row>
    <row r="431" spans="1:16" x14ac:dyDescent="0.25">
      <c r="A431" t="s">
        <v>2330</v>
      </c>
      <c r="B431" t="s">
        <v>2331</v>
      </c>
      <c r="C431">
        <v>4171</v>
      </c>
      <c r="D431" t="s">
        <v>133</v>
      </c>
      <c r="E431" t="s">
        <v>13</v>
      </c>
      <c r="F431">
        <v>11568</v>
      </c>
      <c r="G431" t="s">
        <v>4999</v>
      </c>
      <c r="H431" t="s">
        <v>4993</v>
      </c>
      <c r="I431">
        <v>4.1753</v>
      </c>
      <c r="J431" t="s">
        <v>5012</v>
      </c>
      <c r="K431" t="s">
        <v>4993</v>
      </c>
      <c r="L431">
        <v>154</v>
      </c>
      <c r="M431">
        <v>30</v>
      </c>
      <c r="N431" t="s">
        <v>5015</v>
      </c>
      <c r="O431">
        <v>0</v>
      </c>
      <c r="P431">
        <v>0</v>
      </c>
    </row>
    <row r="432" spans="1:16" x14ac:dyDescent="0.25">
      <c r="A432" t="s">
        <v>2302</v>
      </c>
      <c r="B432" t="s">
        <v>2303</v>
      </c>
      <c r="C432">
        <v>3728</v>
      </c>
      <c r="D432" t="s">
        <v>458</v>
      </c>
      <c r="E432" t="s">
        <v>13</v>
      </c>
      <c r="F432">
        <v>11835</v>
      </c>
      <c r="G432" t="s">
        <v>4999</v>
      </c>
      <c r="H432" t="s">
        <v>4993</v>
      </c>
      <c r="I432">
        <v>4.4935999999999998</v>
      </c>
      <c r="J432" t="s">
        <v>5012</v>
      </c>
      <c r="K432" t="s">
        <v>4993</v>
      </c>
      <c r="L432">
        <v>466</v>
      </c>
      <c r="M432">
        <v>68</v>
      </c>
      <c r="N432" t="s">
        <v>5014</v>
      </c>
      <c r="O432">
        <v>0</v>
      </c>
      <c r="P432">
        <v>0</v>
      </c>
    </row>
    <row r="433" spans="1:16" x14ac:dyDescent="0.25">
      <c r="A433" t="s">
        <v>1770</v>
      </c>
      <c r="B433" t="s">
        <v>1771</v>
      </c>
      <c r="C433">
        <v>6312</v>
      </c>
      <c r="D433" t="s">
        <v>1242</v>
      </c>
      <c r="E433" t="s">
        <v>21</v>
      </c>
      <c r="F433">
        <v>17458</v>
      </c>
      <c r="G433" t="s">
        <v>4999</v>
      </c>
      <c r="H433" t="s">
        <v>4993</v>
      </c>
      <c r="I433">
        <v>4.5140000000000002</v>
      </c>
      <c r="J433" t="s">
        <v>5012</v>
      </c>
      <c r="K433" t="s">
        <v>4993</v>
      </c>
      <c r="L433">
        <v>465</v>
      </c>
      <c r="M433">
        <v>60</v>
      </c>
      <c r="N433" t="s">
        <v>5014</v>
      </c>
      <c r="O433">
        <v>0</v>
      </c>
      <c r="P433">
        <v>0</v>
      </c>
    </row>
    <row r="434" spans="1:16" x14ac:dyDescent="0.25">
      <c r="A434" t="s">
        <v>1055</v>
      </c>
      <c r="B434" t="s">
        <v>1056</v>
      </c>
      <c r="C434">
        <v>3902</v>
      </c>
      <c r="D434" t="s">
        <v>72</v>
      </c>
      <c r="E434" t="s">
        <v>69</v>
      </c>
      <c r="F434">
        <v>34386</v>
      </c>
      <c r="G434" t="s">
        <v>4999</v>
      </c>
      <c r="H434" t="s">
        <v>4993</v>
      </c>
      <c r="I434">
        <v>4.2691999999999997</v>
      </c>
      <c r="J434" t="s">
        <v>5012</v>
      </c>
      <c r="K434" t="s">
        <v>4993</v>
      </c>
      <c r="L434">
        <v>156</v>
      </c>
      <c r="M434">
        <v>5</v>
      </c>
      <c r="N434" t="s">
        <v>5013</v>
      </c>
      <c r="O434">
        <v>0</v>
      </c>
      <c r="P434">
        <v>0</v>
      </c>
    </row>
    <row r="435" spans="1:16" x14ac:dyDescent="0.25">
      <c r="A435" t="s">
        <v>1084</v>
      </c>
      <c r="B435" t="s">
        <v>1085</v>
      </c>
      <c r="C435">
        <v>1254</v>
      </c>
      <c r="D435" t="s">
        <v>136</v>
      </c>
      <c r="E435" t="s">
        <v>69</v>
      </c>
      <c r="F435">
        <v>33104</v>
      </c>
      <c r="G435" t="s">
        <v>4999</v>
      </c>
      <c r="H435" t="s">
        <v>4993</v>
      </c>
      <c r="I435">
        <v>4.4771999999999998</v>
      </c>
      <c r="J435" t="s">
        <v>5012</v>
      </c>
      <c r="K435" t="s">
        <v>4993</v>
      </c>
      <c r="L435">
        <v>461</v>
      </c>
      <c r="M435">
        <v>40</v>
      </c>
      <c r="N435" t="s">
        <v>5015</v>
      </c>
      <c r="O435">
        <v>0</v>
      </c>
      <c r="P435">
        <v>0</v>
      </c>
    </row>
    <row r="436" spans="1:16" x14ac:dyDescent="0.25">
      <c r="A436" t="s">
        <v>1812</v>
      </c>
      <c r="B436" t="s">
        <v>1813</v>
      </c>
      <c r="C436">
        <v>6289</v>
      </c>
      <c r="D436" t="s">
        <v>111</v>
      </c>
      <c r="E436" t="s">
        <v>21</v>
      </c>
      <c r="F436">
        <v>16974</v>
      </c>
      <c r="G436" t="s">
        <v>4999</v>
      </c>
      <c r="H436" t="s">
        <v>4993</v>
      </c>
      <c r="I436">
        <v>4.2108999999999996</v>
      </c>
      <c r="J436" t="s">
        <v>5012</v>
      </c>
      <c r="K436" t="s">
        <v>4993</v>
      </c>
      <c r="L436">
        <v>460</v>
      </c>
      <c r="M436">
        <v>29</v>
      </c>
      <c r="N436" t="s">
        <v>5015</v>
      </c>
      <c r="O436">
        <v>0</v>
      </c>
      <c r="P436">
        <v>0</v>
      </c>
    </row>
    <row r="437" spans="1:16" x14ac:dyDescent="0.25">
      <c r="A437" t="s">
        <v>1507</v>
      </c>
      <c r="B437" t="s">
        <v>1508</v>
      </c>
      <c r="C437">
        <v>4171</v>
      </c>
      <c r="D437" t="s">
        <v>133</v>
      </c>
      <c r="E437" t="s">
        <v>13</v>
      </c>
      <c r="F437">
        <v>21937</v>
      </c>
      <c r="G437" t="s">
        <v>4999</v>
      </c>
      <c r="H437" t="s">
        <v>4993</v>
      </c>
      <c r="I437">
        <v>4.0414000000000003</v>
      </c>
      <c r="J437" t="s">
        <v>5012</v>
      </c>
      <c r="K437" t="s">
        <v>4993</v>
      </c>
      <c r="L437">
        <v>459</v>
      </c>
      <c r="M437">
        <v>30</v>
      </c>
      <c r="N437" t="s">
        <v>5015</v>
      </c>
      <c r="O437">
        <v>0</v>
      </c>
      <c r="P437">
        <v>0</v>
      </c>
    </row>
    <row r="438" spans="1:16" x14ac:dyDescent="0.25">
      <c r="A438" t="s">
        <v>1729</v>
      </c>
      <c r="B438" t="s">
        <v>1730</v>
      </c>
      <c r="C438">
        <v>1254</v>
      </c>
      <c r="D438" t="s">
        <v>136</v>
      </c>
      <c r="E438" t="s">
        <v>13</v>
      </c>
      <c r="F438">
        <v>17889</v>
      </c>
      <c r="G438" t="s">
        <v>4999</v>
      </c>
      <c r="H438" t="s">
        <v>4993</v>
      </c>
      <c r="I438">
        <v>4.3638000000000003</v>
      </c>
      <c r="J438" t="s">
        <v>5012</v>
      </c>
      <c r="K438" t="s">
        <v>4993</v>
      </c>
      <c r="L438">
        <v>459</v>
      </c>
      <c r="M438">
        <v>19.5</v>
      </c>
      <c r="N438" t="s">
        <v>5013</v>
      </c>
      <c r="O438">
        <v>0</v>
      </c>
      <c r="P438">
        <v>0</v>
      </c>
    </row>
    <row r="439" spans="1:16" x14ac:dyDescent="0.25">
      <c r="A439" t="s">
        <v>1297</v>
      </c>
      <c r="B439" t="s">
        <v>1298</v>
      </c>
      <c r="C439">
        <v>2082</v>
      </c>
      <c r="D439" t="s">
        <v>594</v>
      </c>
      <c r="E439" t="s">
        <v>69</v>
      </c>
      <c r="F439">
        <v>26393</v>
      </c>
      <c r="G439" t="s">
        <v>4999</v>
      </c>
      <c r="H439" t="s">
        <v>4993</v>
      </c>
      <c r="I439">
        <v>4.7546999999999997</v>
      </c>
      <c r="J439" t="s">
        <v>5012</v>
      </c>
      <c r="K439" t="s">
        <v>4993</v>
      </c>
      <c r="L439">
        <v>159</v>
      </c>
      <c r="M439">
        <v>67</v>
      </c>
      <c r="N439" t="s">
        <v>5014</v>
      </c>
      <c r="O439">
        <v>0</v>
      </c>
      <c r="P439">
        <v>0</v>
      </c>
    </row>
    <row r="440" spans="1:16" x14ac:dyDescent="0.25">
      <c r="A440" t="s">
        <v>1806</v>
      </c>
      <c r="B440" t="s">
        <v>1807</v>
      </c>
      <c r="C440">
        <v>4171</v>
      </c>
      <c r="D440" t="s">
        <v>133</v>
      </c>
      <c r="E440" t="s">
        <v>69</v>
      </c>
      <c r="F440">
        <v>17013</v>
      </c>
      <c r="G440" t="s">
        <v>4999</v>
      </c>
      <c r="H440" t="s">
        <v>4993</v>
      </c>
      <c r="I440">
        <v>4.7640000000000002</v>
      </c>
      <c r="J440" t="s">
        <v>5012</v>
      </c>
      <c r="K440" t="s">
        <v>4993</v>
      </c>
      <c r="L440">
        <v>161</v>
      </c>
      <c r="M440">
        <v>42</v>
      </c>
      <c r="N440" t="s">
        <v>5015</v>
      </c>
      <c r="O440">
        <v>0</v>
      </c>
      <c r="P440">
        <v>0</v>
      </c>
    </row>
    <row r="441" spans="1:16" x14ac:dyDescent="0.25">
      <c r="A441" t="s">
        <v>1030</v>
      </c>
      <c r="B441" t="s">
        <v>1031</v>
      </c>
      <c r="C441">
        <v>6156</v>
      </c>
      <c r="D441" t="s">
        <v>1032</v>
      </c>
      <c r="E441" t="s">
        <v>149</v>
      </c>
      <c r="F441">
        <v>35799</v>
      </c>
      <c r="G441" t="s">
        <v>4999</v>
      </c>
      <c r="H441" t="s">
        <v>4993</v>
      </c>
      <c r="I441">
        <v>4.4004000000000003</v>
      </c>
      <c r="J441" t="s">
        <v>5012</v>
      </c>
      <c r="K441" t="s">
        <v>4993</v>
      </c>
      <c r="L441">
        <v>457</v>
      </c>
      <c r="M441">
        <v>46</v>
      </c>
      <c r="N441" t="s">
        <v>5015</v>
      </c>
      <c r="O441">
        <v>0</v>
      </c>
      <c r="P441">
        <v>0</v>
      </c>
    </row>
    <row r="442" spans="1:16" x14ac:dyDescent="0.25">
      <c r="A442" t="s">
        <v>819</v>
      </c>
      <c r="B442" t="s">
        <v>820</v>
      </c>
      <c r="C442">
        <v>6234</v>
      </c>
      <c r="D442" t="s">
        <v>7</v>
      </c>
      <c r="E442" t="s">
        <v>8</v>
      </c>
      <c r="F442">
        <v>43799</v>
      </c>
      <c r="G442" t="s">
        <v>4999</v>
      </c>
      <c r="H442" t="s">
        <v>4993</v>
      </c>
      <c r="I442">
        <v>4.0926</v>
      </c>
      <c r="J442" t="s">
        <v>5012</v>
      </c>
      <c r="K442" t="s">
        <v>4993</v>
      </c>
      <c r="L442">
        <v>162</v>
      </c>
      <c r="M442">
        <v>14.3</v>
      </c>
      <c r="N442" t="s">
        <v>5013</v>
      </c>
      <c r="O442">
        <v>0</v>
      </c>
      <c r="P442">
        <v>0</v>
      </c>
    </row>
    <row r="443" spans="1:16" x14ac:dyDescent="0.25">
      <c r="A443" t="s">
        <v>2532</v>
      </c>
      <c r="B443" t="s">
        <v>2533</v>
      </c>
      <c r="C443">
        <v>3902</v>
      </c>
      <c r="D443" t="s">
        <v>72</v>
      </c>
      <c r="E443" t="s">
        <v>13</v>
      </c>
      <c r="F443">
        <v>10098</v>
      </c>
      <c r="G443" t="s">
        <v>4999</v>
      </c>
      <c r="H443" t="s">
        <v>4993</v>
      </c>
      <c r="I443">
        <v>4.6379999999999999</v>
      </c>
      <c r="J443" t="s">
        <v>5012</v>
      </c>
      <c r="K443" t="s">
        <v>4993</v>
      </c>
      <c r="L443">
        <v>163</v>
      </c>
      <c r="M443">
        <v>12</v>
      </c>
      <c r="N443" t="s">
        <v>5013</v>
      </c>
      <c r="O443">
        <v>0</v>
      </c>
      <c r="P443">
        <v>0</v>
      </c>
    </row>
    <row r="444" spans="1:16" x14ac:dyDescent="0.25">
      <c r="A444" t="s">
        <v>1528</v>
      </c>
      <c r="B444" t="s">
        <v>1529</v>
      </c>
      <c r="C444">
        <v>2000</v>
      </c>
      <c r="D444" t="s">
        <v>362</v>
      </c>
      <c r="E444" t="s">
        <v>8</v>
      </c>
      <c r="F444">
        <v>21555</v>
      </c>
      <c r="G444" t="s">
        <v>4999</v>
      </c>
      <c r="H444" t="s">
        <v>4993</v>
      </c>
      <c r="I444">
        <v>4.1901999999999999</v>
      </c>
      <c r="J444" t="s">
        <v>5012</v>
      </c>
      <c r="K444" t="s">
        <v>4993</v>
      </c>
      <c r="L444">
        <v>163</v>
      </c>
      <c r="M444">
        <v>34</v>
      </c>
      <c r="N444" t="s">
        <v>5015</v>
      </c>
      <c r="O444">
        <v>0</v>
      </c>
      <c r="P444">
        <v>0</v>
      </c>
    </row>
    <row r="445" spans="1:16" x14ac:dyDescent="0.25">
      <c r="A445" t="s">
        <v>1755</v>
      </c>
      <c r="B445" t="s">
        <v>1756</v>
      </c>
      <c r="C445">
        <v>6134</v>
      </c>
      <c r="D445" t="s">
        <v>286</v>
      </c>
      <c r="E445" t="s">
        <v>13</v>
      </c>
      <c r="F445">
        <v>17719</v>
      </c>
      <c r="G445" t="s">
        <v>4999</v>
      </c>
      <c r="H445" t="s">
        <v>4993</v>
      </c>
      <c r="I445">
        <v>4.6829000000000001</v>
      </c>
      <c r="J445" t="s">
        <v>5012</v>
      </c>
      <c r="K445" t="s">
        <v>4993</v>
      </c>
      <c r="L445">
        <v>164</v>
      </c>
      <c r="M445">
        <v>36</v>
      </c>
      <c r="N445" t="s">
        <v>5015</v>
      </c>
      <c r="O445">
        <v>0</v>
      </c>
      <c r="P445">
        <v>0</v>
      </c>
    </row>
    <row r="446" spans="1:16" x14ac:dyDescent="0.25">
      <c r="A446" t="s">
        <v>1576</v>
      </c>
      <c r="B446" t="s">
        <v>1577</v>
      </c>
      <c r="C446">
        <v>6289</v>
      </c>
      <c r="D446" t="s">
        <v>111</v>
      </c>
      <c r="E446" t="s">
        <v>8</v>
      </c>
      <c r="F446">
        <v>20730</v>
      </c>
      <c r="G446" t="s">
        <v>4999</v>
      </c>
      <c r="H446" t="s">
        <v>4993</v>
      </c>
      <c r="I446">
        <v>4.8242000000000003</v>
      </c>
      <c r="J446" t="s">
        <v>5012</v>
      </c>
      <c r="K446" t="s">
        <v>4993</v>
      </c>
      <c r="L446">
        <v>455</v>
      </c>
      <c r="M446">
        <v>69</v>
      </c>
      <c r="N446" t="s">
        <v>5014</v>
      </c>
      <c r="O446">
        <v>0</v>
      </c>
      <c r="P446">
        <v>0</v>
      </c>
    </row>
    <row r="447" spans="1:16" x14ac:dyDescent="0.25">
      <c r="A447" t="s">
        <v>2043</v>
      </c>
      <c r="B447" t="s">
        <v>2044</v>
      </c>
      <c r="C447">
        <v>6341</v>
      </c>
      <c r="D447" t="s">
        <v>66</v>
      </c>
      <c r="E447" t="s">
        <v>13</v>
      </c>
      <c r="F447">
        <v>14266</v>
      </c>
      <c r="G447" t="s">
        <v>4999</v>
      </c>
      <c r="H447" t="s">
        <v>4993</v>
      </c>
      <c r="I447">
        <v>4.6666999999999996</v>
      </c>
      <c r="J447" t="s">
        <v>5012</v>
      </c>
      <c r="K447" t="s">
        <v>4993</v>
      </c>
      <c r="L447">
        <v>165</v>
      </c>
      <c r="M447">
        <v>29</v>
      </c>
      <c r="N447" t="s">
        <v>5015</v>
      </c>
      <c r="O447">
        <v>0</v>
      </c>
      <c r="P447">
        <v>0</v>
      </c>
    </row>
    <row r="448" spans="1:16" x14ac:dyDescent="0.25">
      <c r="A448" t="s">
        <v>1028</v>
      </c>
      <c r="B448" t="s">
        <v>1029</v>
      </c>
      <c r="C448">
        <v>6352</v>
      </c>
      <c r="D448" t="s">
        <v>251</v>
      </c>
      <c r="E448" t="s">
        <v>21</v>
      </c>
      <c r="F448">
        <v>35804</v>
      </c>
      <c r="G448" t="s">
        <v>4999</v>
      </c>
      <c r="H448" t="s">
        <v>4993</v>
      </c>
      <c r="I448">
        <v>4.1988000000000003</v>
      </c>
      <c r="J448" t="s">
        <v>5012</v>
      </c>
      <c r="K448" t="s">
        <v>4993</v>
      </c>
      <c r="L448">
        <v>166</v>
      </c>
      <c r="M448">
        <v>45</v>
      </c>
      <c r="N448" t="s">
        <v>5015</v>
      </c>
      <c r="O448">
        <v>0</v>
      </c>
      <c r="P448">
        <v>0</v>
      </c>
    </row>
    <row r="449" spans="1:16" x14ac:dyDescent="0.25">
      <c r="A449" t="s">
        <v>2493</v>
      </c>
      <c r="B449" t="s">
        <v>2494</v>
      </c>
      <c r="C449">
        <v>6312</v>
      </c>
      <c r="D449" t="s">
        <v>1242</v>
      </c>
      <c r="E449" t="s">
        <v>8</v>
      </c>
      <c r="F449">
        <v>10316</v>
      </c>
      <c r="G449" t="s">
        <v>4999</v>
      </c>
      <c r="H449" t="s">
        <v>4993</v>
      </c>
      <c r="I449">
        <v>4.5030000000000001</v>
      </c>
      <c r="J449" t="s">
        <v>5012</v>
      </c>
      <c r="K449" t="s">
        <v>4993</v>
      </c>
      <c r="L449">
        <v>167</v>
      </c>
      <c r="M449">
        <v>59</v>
      </c>
      <c r="N449" t="s">
        <v>5014</v>
      </c>
      <c r="O449">
        <v>0</v>
      </c>
      <c r="P449">
        <v>0</v>
      </c>
    </row>
    <row r="450" spans="1:16" x14ac:dyDescent="0.25">
      <c r="A450" t="s">
        <v>2133</v>
      </c>
      <c r="B450" t="s">
        <v>2134</v>
      </c>
      <c r="C450">
        <v>6312</v>
      </c>
      <c r="D450" t="s">
        <v>1242</v>
      </c>
      <c r="E450" t="s">
        <v>13</v>
      </c>
      <c r="F450">
        <v>13297</v>
      </c>
      <c r="G450" t="s">
        <v>4999</v>
      </c>
      <c r="H450" t="s">
        <v>4993</v>
      </c>
      <c r="I450">
        <v>4.3832000000000004</v>
      </c>
      <c r="J450" t="s">
        <v>5012</v>
      </c>
      <c r="K450" t="s">
        <v>4993</v>
      </c>
      <c r="L450">
        <v>167</v>
      </c>
      <c r="M450">
        <v>36</v>
      </c>
      <c r="N450" t="s">
        <v>5015</v>
      </c>
      <c r="O450">
        <v>0</v>
      </c>
      <c r="P450">
        <v>0</v>
      </c>
    </row>
    <row r="451" spans="1:16" x14ac:dyDescent="0.25">
      <c r="A451" t="s">
        <v>1088</v>
      </c>
      <c r="B451" t="s">
        <v>1089</v>
      </c>
      <c r="C451">
        <v>8017</v>
      </c>
      <c r="D451" t="s">
        <v>620</v>
      </c>
      <c r="E451" t="s">
        <v>4</v>
      </c>
      <c r="F451">
        <v>32609</v>
      </c>
      <c r="G451" t="s">
        <v>4999</v>
      </c>
      <c r="H451" t="s">
        <v>4993</v>
      </c>
      <c r="I451">
        <v>4.2515000000000001</v>
      </c>
      <c r="J451" t="s">
        <v>5012</v>
      </c>
      <c r="K451" t="s">
        <v>4993</v>
      </c>
      <c r="L451">
        <v>167</v>
      </c>
      <c r="M451">
        <v>8</v>
      </c>
      <c r="N451" t="s">
        <v>5013</v>
      </c>
      <c r="O451">
        <v>0</v>
      </c>
      <c r="P451">
        <v>0</v>
      </c>
    </row>
    <row r="452" spans="1:16" x14ac:dyDescent="0.25">
      <c r="A452" t="s">
        <v>1914</v>
      </c>
      <c r="B452" t="s">
        <v>1915</v>
      </c>
      <c r="C452">
        <v>6125</v>
      </c>
      <c r="D452" t="s">
        <v>3</v>
      </c>
      <c r="E452" t="s">
        <v>21</v>
      </c>
      <c r="F452">
        <v>15636</v>
      </c>
      <c r="G452" t="s">
        <v>4999</v>
      </c>
      <c r="H452" t="s">
        <v>4993</v>
      </c>
      <c r="I452">
        <v>4.0472999999999999</v>
      </c>
      <c r="J452" t="s">
        <v>5012</v>
      </c>
      <c r="K452" t="s">
        <v>4993</v>
      </c>
      <c r="L452">
        <v>169</v>
      </c>
      <c r="M452">
        <v>40</v>
      </c>
      <c r="N452" t="s">
        <v>5015</v>
      </c>
      <c r="O452">
        <v>0</v>
      </c>
      <c r="P452">
        <v>0</v>
      </c>
    </row>
    <row r="453" spans="1:16" x14ac:dyDescent="0.25">
      <c r="A453" t="s">
        <v>2063</v>
      </c>
      <c r="B453" t="s">
        <v>2064</v>
      </c>
      <c r="C453">
        <v>6341</v>
      </c>
      <c r="D453" t="s">
        <v>66</v>
      </c>
      <c r="E453" t="s">
        <v>8</v>
      </c>
      <c r="F453">
        <v>13939</v>
      </c>
      <c r="G453" t="s">
        <v>4999</v>
      </c>
      <c r="H453" t="s">
        <v>4993</v>
      </c>
      <c r="I453">
        <v>4.8235000000000001</v>
      </c>
      <c r="J453" t="s">
        <v>5012</v>
      </c>
      <c r="K453" t="s">
        <v>4993</v>
      </c>
      <c r="L453">
        <v>170</v>
      </c>
      <c r="M453">
        <v>62</v>
      </c>
      <c r="N453" t="s">
        <v>5014</v>
      </c>
      <c r="O453">
        <v>0</v>
      </c>
      <c r="P453">
        <v>0</v>
      </c>
    </row>
    <row r="454" spans="1:16" x14ac:dyDescent="0.25">
      <c r="A454" t="s">
        <v>1999</v>
      </c>
      <c r="B454" t="s">
        <v>2000</v>
      </c>
      <c r="C454">
        <v>7020</v>
      </c>
      <c r="D454" t="s">
        <v>657</v>
      </c>
      <c r="E454" t="s">
        <v>13</v>
      </c>
      <c r="F454">
        <v>14771</v>
      </c>
      <c r="G454" t="s">
        <v>4999</v>
      </c>
      <c r="H454" t="s">
        <v>4993</v>
      </c>
      <c r="I454">
        <v>4.2058999999999997</v>
      </c>
      <c r="J454" t="s">
        <v>5012</v>
      </c>
      <c r="K454" t="s">
        <v>4993</v>
      </c>
      <c r="L454">
        <v>170</v>
      </c>
      <c r="M454">
        <v>88</v>
      </c>
      <c r="N454" t="s">
        <v>5014</v>
      </c>
      <c r="O454">
        <v>0</v>
      </c>
      <c r="P454">
        <v>0</v>
      </c>
    </row>
    <row r="455" spans="1:16" x14ac:dyDescent="0.25">
      <c r="A455" t="s">
        <v>1366</v>
      </c>
      <c r="B455" t="s">
        <v>1367</v>
      </c>
      <c r="C455">
        <v>8001</v>
      </c>
      <c r="D455" t="s">
        <v>27</v>
      </c>
      <c r="E455" t="s">
        <v>8</v>
      </c>
      <c r="F455">
        <v>24674</v>
      </c>
      <c r="G455" t="s">
        <v>4999</v>
      </c>
      <c r="H455" t="s">
        <v>4993</v>
      </c>
      <c r="I455">
        <v>4.766</v>
      </c>
      <c r="J455" t="s">
        <v>5012</v>
      </c>
      <c r="K455" t="s">
        <v>4993</v>
      </c>
      <c r="L455">
        <v>453</v>
      </c>
      <c r="M455">
        <v>60</v>
      </c>
      <c r="N455" t="s">
        <v>5014</v>
      </c>
      <c r="O455">
        <v>0</v>
      </c>
      <c r="P455">
        <v>0</v>
      </c>
    </row>
    <row r="456" spans="1:16" x14ac:dyDescent="0.25">
      <c r="A456" t="s">
        <v>1406</v>
      </c>
      <c r="B456" t="s">
        <v>1407</v>
      </c>
      <c r="C456">
        <v>6225</v>
      </c>
      <c r="D456" t="s">
        <v>640</v>
      </c>
      <c r="E456" t="s">
        <v>106</v>
      </c>
      <c r="F456">
        <v>23906</v>
      </c>
      <c r="G456" t="s">
        <v>4999</v>
      </c>
      <c r="H456" t="s">
        <v>4993</v>
      </c>
      <c r="I456">
        <v>4.1111000000000004</v>
      </c>
      <c r="J456" t="s">
        <v>5012</v>
      </c>
      <c r="K456" t="s">
        <v>4993</v>
      </c>
      <c r="L456">
        <v>171</v>
      </c>
      <c r="M456">
        <v>34</v>
      </c>
      <c r="N456" t="s">
        <v>5015</v>
      </c>
      <c r="O456">
        <v>0</v>
      </c>
      <c r="P456">
        <v>0</v>
      </c>
    </row>
    <row r="457" spans="1:16" x14ac:dyDescent="0.25">
      <c r="A457" t="s">
        <v>2289</v>
      </c>
      <c r="B457" t="s">
        <v>2290</v>
      </c>
      <c r="C457">
        <v>6323</v>
      </c>
      <c r="D457" t="s">
        <v>1527</v>
      </c>
      <c r="E457" t="s">
        <v>49</v>
      </c>
      <c r="F457">
        <v>11896</v>
      </c>
      <c r="G457" t="s">
        <v>4999</v>
      </c>
      <c r="H457" t="s">
        <v>4993</v>
      </c>
      <c r="I457">
        <v>4.5321999999999996</v>
      </c>
      <c r="J457" t="s">
        <v>5012</v>
      </c>
      <c r="K457" t="s">
        <v>4993</v>
      </c>
      <c r="L457">
        <v>451</v>
      </c>
      <c r="M457">
        <v>25</v>
      </c>
      <c r="N457" t="s">
        <v>5015</v>
      </c>
      <c r="O457">
        <v>0</v>
      </c>
      <c r="P457">
        <v>0</v>
      </c>
    </row>
    <row r="458" spans="1:16" x14ac:dyDescent="0.25">
      <c r="A458" t="s">
        <v>1586</v>
      </c>
      <c r="B458" t="s">
        <v>1587</v>
      </c>
      <c r="C458">
        <v>7083</v>
      </c>
      <c r="D458" t="s">
        <v>20</v>
      </c>
      <c r="E458" t="s">
        <v>13</v>
      </c>
      <c r="F458">
        <v>20586</v>
      </c>
      <c r="G458" t="s">
        <v>4999</v>
      </c>
      <c r="H458" t="s">
        <v>4993</v>
      </c>
      <c r="I458">
        <v>4.4633000000000003</v>
      </c>
      <c r="J458" t="s">
        <v>5012</v>
      </c>
      <c r="K458" t="s">
        <v>4993</v>
      </c>
      <c r="L458">
        <v>449</v>
      </c>
      <c r="M458">
        <v>28</v>
      </c>
      <c r="N458" t="s">
        <v>5015</v>
      </c>
      <c r="O458">
        <v>0</v>
      </c>
      <c r="P458">
        <v>0</v>
      </c>
    </row>
    <row r="459" spans="1:16" x14ac:dyDescent="0.25">
      <c r="A459" t="s">
        <v>2101</v>
      </c>
      <c r="B459" t="s">
        <v>2102</v>
      </c>
      <c r="C459">
        <v>4171</v>
      </c>
      <c r="D459" t="s">
        <v>133</v>
      </c>
      <c r="E459" t="s">
        <v>21</v>
      </c>
      <c r="F459">
        <v>13614</v>
      </c>
      <c r="G459" t="s">
        <v>4999</v>
      </c>
      <c r="H459" t="s">
        <v>4993</v>
      </c>
      <c r="I459">
        <v>4.407</v>
      </c>
      <c r="J459" t="s">
        <v>5012</v>
      </c>
      <c r="K459" t="s">
        <v>4993</v>
      </c>
      <c r="L459">
        <v>172</v>
      </c>
      <c r="M459">
        <v>72</v>
      </c>
      <c r="N459" t="s">
        <v>5014</v>
      </c>
      <c r="O459">
        <v>0</v>
      </c>
      <c r="P459">
        <v>0</v>
      </c>
    </row>
    <row r="460" spans="1:16" x14ac:dyDescent="0.25">
      <c r="A460" t="s">
        <v>1802</v>
      </c>
      <c r="B460" t="s">
        <v>1803</v>
      </c>
      <c r="C460">
        <v>3728</v>
      </c>
      <c r="D460" t="s">
        <v>458</v>
      </c>
      <c r="E460" t="s">
        <v>49</v>
      </c>
      <c r="F460">
        <v>17046</v>
      </c>
      <c r="G460" t="s">
        <v>4999</v>
      </c>
      <c r="H460" t="s">
        <v>4993</v>
      </c>
      <c r="I460">
        <v>4.2035</v>
      </c>
      <c r="J460" t="s">
        <v>5012</v>
      </c>
      <c r="K460" t="s">
        <v>4993</v>
      </c>
      <c r="L460">
        <v>172</v>
      </c>
      <c r="M460">
        <v>38</v>
      </c>
      <c r="N460" t="s">
        <v>5015</v>
      </c>
      <c r="O460">
        <v>0</v>
      </c>
      <c r="P460">
        <v>0</v>
      </c>
    </row>
    <row r="461" spans="1:16" x14ac:dyDescent="0.25">
      <c r="A461" t="s">
        <v>2208</v>
      </c>
      <c r="B461" t="s">
        <v>2209</v>
      </c>
      <c r="C461">
        <v>4171</v>
      </c>
      <c r="D461" t="s">
        <v>133</v>
      </c>
      <c r="E461" t="s">
        <v>21</v>
      </c>
      <c r="F461">
        <v>12606</v>
      </c>
      <c r="G461" t="s">
        <v>4999</v>
      </c>
      <c r="H461" t="s">
        <v>4993</v>
      </c>
      <c r="I461">
        <v>4.5664999999999996</v>
      </c>
      <c r="J461" t="s">
        <v>5012</v>
      </c>
      <c r="K461" t="s">
        <v>4993</v>
      </c>
      <c r="L461">
        <v>173</v>
      </c>
      <c r="M461">
        <v>129</v>
      </c>
      <c r="N461" t="s">
        <v>5014</v>
      </c>
      <c r="O461">
        <v>1</v>
      </c>
      <c r="P461">
        <v>0</v>
      </c>
    </row>
    <row r="462" spans="1:16" x14ac:dyDescent="0.25">
      <c r="A462" t="s">
        <v>2045</v>
      </c>
      <c r="B462" t="s">
        <v>2046</v>
      </c>
      <c r="C462">
        <v>6117</v>
      </c>
      <c r="D462" t="s">
        <v>229</v>
      </c>
      <c r="E462" t="s">
        <v>149</v>
      </c>
      <c r="F462">
        <v>14229</v>
      </c>
      <c r="G462" t="s">
        <v>4999</v>
      </c>
      <c r="H462" t="s">
        <v>4993</v>
      </c>
      <c r="I462">
        <v>4.6207000000000003</v>
      </c>
      <c r="J462" t="s">
        <v>5012</v>
      </c>
      <c r="K462" t="s">
        <v>4993</v>
      </c>
      <c r="L462">
        <v>174</v>
      </c>
      <c r="M462">
        <v>48</v>
      </c>
      <c r="N462" t="s">
        <v>5015</v>
      </c>
      <c r="O462">
        <v>1</v>
      </c>
      <c r="P462">
        <v>0</v>
      </c>
    </row>
    <row r="463" spans="1:16" x14ac:dyDescent="0.25">
      <c r="A463" t="s">
        <v>1824</v>
      </c>
      <c r="B463" t="s">
        <v>1825</v>
      </c>
      <c r="C463">
        <v>5946</v>
      </c>
      <c r="D463" t="s">
        <v>341</v>
      </c>
      <c r="E463" t="s">
        <v>13</v>
      </c>
      <c r="F463">
        <v>16803</v>
      </c>
      <c r="G463" t="s">
        <v>4999</v>
      </c>
      <c r="H463" t="s">
        <v>4993</v>
      </c>
      <c r="I463">
        <v>4.5575000000000001</v>
      </c>
      <c r="J463" t="s">
        <v>5012</v>
      </c>
      <c r="K463" t="s">
        <v>4993</v>
      </c>
      <c r="L463">
        <v>174</v>
      </c>
      <c r="M463">
        <v>44</v>
      </c>
      <c r="N463" t="s">
        <v>5015</v>
      </c>
      <c r="O463">
        <v>0</v>
      </c>
      <c r="P463">
        <v>0</v>
      </c>
    </row>
    <row r="464" spans="1:16" x14ac:dyDescent="0.25">
      <c r="A464" t="s">
        <v>1594</v>
      </c>
      <c r="B464" t="s">
        <v>1595</v>
      </c>
      <c r="C464">
        <v>4171</v>
      </c>
      <c r="D464" t="s">
        <v>133</v>
      </c>
      <c r="E464" t="s">
        <v>149</v>
      </c>
      <c r="F464">
        <v>20074</v>
      </c>
      <c r="G464" t="s">
        <v>4999</v>
      </c>
      <c r="H464" t="s">
        <v>4993</v>
      </c>
      <c r="I464">
        <v>4.3333000000000004</v>
      </c>
      <c r="J464" t="s">
        <v>5012</v>
      </c>
      <c r="K464" t="s">
        <v>4993</v>
      </c>
      <c r="L464">
        <v>174</v>
      </c>
      <c r="M464">
        <v>62</v>
      </c>
      <c r="N464" t="s">
        <v>5014</v>
      </c>
      <c r="O464">
        <v>0</v>
      </c>
      <c r="P464">
        <v>0</v>
      </c>
    </row>
    <row r="465" spans="1:16" x14ac:dyDescent="0.25">
      <c r="A465" t="s">
        <v>2340</v>
      </c>
      <c r="B465" t="s">
        <v>2341</v>
      </c>
      <c r="C465">
        <v>6001</v>
      </c>
      <c r="D465" t="s">
        <v>1836</v>
      </c>
      <c r="E465" t="s">
        <v>347</v>
      </c>
      <c r="F465">
        <v>11514</v>
      </c>
      <c r="G465" t="s">
        <v>4999</v>
      </c>
      <c r="H465" t="s">
        <v>4993</v>
      </c>
      <c r="I465">
        <v>4.5313999999999997</v>
      </c>
      <c r="J465" t="s">
        <v>5012</v>
      </c>
      <c r="K465" t="s">
        <v>4993</v>
      </c>
      <c r="L465">
        <v>175</v>
      </c>
      <c r="M465">
        <v>245</v>
      </c>
      <c r="N465" t="s">
        <v>5014</v>
      </c>
      <c r="O465">
        <v>1</v>
      </c>
      <c r="P465">
        <v>0</v>
      </c>
    </row>
    <row r="466" spans="1:16" x14ac:dyDescent="0.25">
      <c r="A466" t="s">
        <v>1041</v>
      </c>
      <c r="B466" t="s">
        <v>1042</v>
      </c>
      <c r="C466">
        <v>6285</v>
      </c>
      <c r="D466" t="s">
        <v>119</v>
      </c>
      <c r="E466" t="s">
        <v>21</v>
      </c>
      <c r="F466">
        <v>34950</v>
      </c>
      <c r="G466" t="s">
        <v>4999</v>
      </c>
      <c r="H466" t="s">
        <v>4993</v>
      </c>
      <c r="I466">
        <v>4.1029</v>
      </c>
      <c r="J466" t="s">
        <v>5012</v>
      </c>
      <c r="K466" t="s">
        <v>4993</v>
      </c>
      <c r="L466">
        <v>175</v>
      </c>
      <c r="M466">
        <v>11.99</v>
      </c>
      <c r="N466" t="s">
        <v>5013</v>
      </c>
      <c r="O466">
        <v>0</v>
      </c>
      <c r="P466">
        <v>0</v>
      </c>
    </row>
    <row r="467" spans="1:16" x14ac:dyDescent="0.25">
      <c r="A467" t="s">
        <v>1980</v>
      </c>
      <c r="B467" t="s">
        <v>1981</v>
      </c>
      <c r="C467">
        <v>4171</v>
      </c>
      <c r="D467" t="s">
        <v>133</v>
      </c>
      <c r="E467" t="s">
        <v>13</v>
      </c>
      <c r="F467">
        <v>14957</v>
      </c>
      <c r="G467" t="s">
        <v>4999</v>
      </c>
      <c r="H467" t="s">
        <v>4993</v>
      </c>
      <c r="I467">
        <v>4.3352000000000004</v>
      </c>
      <c r="J467" t="s">
        <v>5012</v>
      </c>
      <c r="K467" t="s">
        <v>4993</v>
      </c>
      <c r="L467">
        <v>176</v>
      </c>
      <c r="M467">
        <v>30</v>
      </c>
      <c r="N467" t="s">
        <v>5015</v>
      </c>
      <c r="O467">
        <v>0</v>
      </c>
      <c r="P467">
        <v>0</v>
      </c>
    </row>
    <row r="468" spans="1:16" x14ac:dyDescent="0.25">
      <c r="A468" t="s">
        <v>2400</v>
      </c>
      <c r="B468" t="s">
        <v>2401</v>
      </c>
      <c r="C468">
        <v>5946</v>
      </c>
      <c r="D468" t="s">
        <v>341</v>
      </c>
      <c r="E468" t="s">
        <v>21</v>
      </c>
      <c r="F468">
        <v>11055</v>
      </c>
      <c r="G468" t="s">
        <v>4999</v>
      </c>
      <c r="H468" t="s">
        <v>4993</v>
      </c>
      <c r="I468">
        <v>4.2938000000000001</v>
      </c>
      <c r="J468" t="s">
        <v>5012</v>
      </c>
      <c r="K468" t="s">
        <v>4993</v>
      </c>
      <c r="L468">
        <v>177</v>
      </c>
      <c r="M468">
        <v>110</v>
      </c>
      <c r="N468" t="s">
        <v>5014</v>
      </c>
      <c r="O468">
        <v>0</v>
      </c>
      <c r="P468">
        <v>0</v>
      </c>
    </row>
    <row r="469" spans="1:16" x14ac:dyDescent="0.25">
      <c r="A469" t="s">
        <v>2151</v>
      </c>
      <c r="B469" t="s">
        <v>2152</v>
      </c>
      <c r="C469">
        <v>6274</v>
      </c>
      <c r="D469" t="s">
        <v>2153</v>
      </c>
      <c r="E469" t="s">
        <v>8</v>
      </c>
      <c r="F469">
        <v>13007</v>
      </c>
      <c r="G469" t="s">
        <v>4999</v>
      </c>
      <c r="H469" t="s">
        <v>4993</v>
      </c>
      <c r="I469">
        <v>4.6158000000000001</v>
      </c>
      <c r="J469" t="s">
        <v>5012</v>
      </c>
      <c r="K469" t="s">
        <v>4993</v>
      </c>
      <c r="L469">
        <v>177</v>
      </c>
      <c r="M469">
        <v>77</v>
      </c>
      <c r="N469" t="s">
        <v>5014</v>
      </c>
      <c r="O469">
        <v>0</v>
      </c>
      <c r="P469">
        <v>0</v>
      </c>
    </row>
    <row r="470" spans="1:16" x14ac:dyDescent="0.25">
      <c r="A470" t="s">
        <v>1236</v>
      </c>
      <c r="B470" t="s">
        <v>1237</v>
      </c>
      <c r="C470">
        <v>6209</v>
      </c>
      <c r="D470" t="s">
        <v>45</v>
      </c>
      <c r="E470" t="s">
        <v>149</v>
      </c>
      <c r="F470">
        <v>28152</v>
      </c>
      <c r="G470" t="s">
        <v>4999</v>
      </c>
      <c r="H470" t="s">
        <v>4993</v>
      </c>
      <c r="I470">
        <v>4.2599</v>
      </c>
      <c r="J470" t="s">
        <v>5012</v>
      </c>
      <c r="K470" t="s">
        <v>4993</v>
      </c>
      <c r="L470">
        <v>177</v>
      </c>
      <c r="M470">
        <v>25</v>
      </c>
      <c r="N470" t="s">
        <v>5015</v>
      </c>
      <c r="O470">
        <v>0</v>
      </c>
      <c r="P470">
        <v>0</v>
      </c>
    </row>
    <row r="471" spans="1:16" x14ac:dyDescent="0.25">
      <c r="A471" t="s">
        <v>2036</v>
      </c>
      <c r="B471" t="s">
        <v>2037</v>
      </c>
      <c r="C471">
        <v>6175</v>
      </c>
      <c r="D471" t="s">
        <v>338</v>
      </c>
      <c r="E471" t="s">
        <v>21</v>
      </c>
      <c r="F471">
        <v>14365</v>
      </c>
      <c r="G471" t="s">
        <v>4999</v>
      </c>
      <c r="H471" t="s">
        <v>4993</v>
      </c>
      <c r="I471">
        <v>4.5826000000000002</v>
      </c>
      <c r="J471" t="s">
        <v>5012</v>
      </c>
      <c r="K471" t="s">
        <v>4993</v>
      </c>
      <c r="L471">
        <v>448</v>
      </c>
      <c r="M471">
        <v>45</v>
      </c>
      <c r="N471" t="s">
        <v>5015</v>
      </c>
      <c r="O471">
        <v>0</v>
      </c>
      <c r="P471">
        <v>0</v>
      </c>
    </row>
    <row r="472" spans="1:16" x14ac:dyDescent="0.25">
      <c r="A472" t="s">
        <v>1990</v>
      </c>
      <c r="B472" t="s">
        <v>1991</v>
      </c>
      <c r="C472">
        <v>6337</v>
      </c>
      <c r="D472" t="s">
        <v>1992</v>
      </c>
      <c r="E472" t="s">
        <v>49</v>
      </c>
      <c r="F472">
        <v>14842</v>
      </c>
      <c r="G472" t="s">
        <v>4999</v>
      </c>
      <c r="H472" t="s">
        <v>4993</v>
      </c>
      <c r="I472">
        <v>4.0938999999999997</v>
      </c>
      <c r="J472" t="s">
        <v>5012</v>
      </c>
      <c r="K472" t="s">
        <v>4993</v>
      </c>
      <c r="L472">
        <v>181</v>
      </c>
      <c r="M472">
        <v>38</v>
      </c>
      <c r="N472" t="s">
        <v>5015</v>
      </c>
      <c r="O472">
        <v>0</v>
      </c>
      <c r="P472">
        <v>0</v>
      </c>
    </row>
    <row r="473" spans="1:16" x14ac:dyDescent="0.25">
      <c r="A473" t="s">
        <v>1776</v>
      </c>
      <c r="B473" t="s">
        <v>1777</v>
      </c>
      <c r="C473">
        <v>6225</v>
      </c>
      <c r="D473" t="s">
        <v>640</v>
      </c>
      <c r="E473" t="s">
        <v>106</v>
      </c>
      <c r="F473">
        <v>17319</v>
      </c>
      <c r="G473" t="s">
        <v>4999</v>
      </c>
      <c r="H473" t="s">
        <v>4993</v>
      </c>
      <c r="I473">
        <v>4.3425000000000002</v>
      </c>
      <c r="J473" t="s">
        <v>5012</v>
      </c>
      <c r="K473" t="s">
        <v>4993</v>
      </c>
      <c r="L473">
        <v>181</v>
      </c>
      <c r="M473">
        <v>38</v>
      </c>
      <c r="N473" t="s">
        <v>5015</v>
      </c>
      <c r="O473">
        <v>0</v>
      </c>
      <c r="P473">
        <v>0</v>
      </c>
    </row>
    <row r="474" spans="1:16" x14ac:dyDescent="0.25">
      <c r="A474" t="s">
        <v>748</v>
      </c>
      <c r="B474" t="s">
        <v>749</v>
      </c>
      <c r="C474">
        <v>6041</v>
      </c>
      <c r="D474" t="s">
        <v>33</v>
      </c>
      <c r="E474" t="s">
        <v>21</v>
      </c>
      <c r="F474">
        <v>47809</v>
      </c>
      <c r="G474" t="s">
        <v>4999</v>
      </c>
      <c r="H474" t="s">
        <v>4993</v>
      </c>
      <c r="I474">
        <v>4.4751000000000003</v>
      </c>
      <c r="J474" t="s">
        <v>5012</v>
      </c>
      <c r="K474" t="s">
        <v>4993</v>
      </c>
      <c r="L474">
        <v>181</v>
      </c>
      <c r="M474">
        <v>98</v>
      </c>
      <c r="N474" t="s">
        <v>5014</v>
      </c>
      <c r="O474">
        <v>0</v>
      </c>
      <c r="P474">
        <v>0</v>
      </c>
    </row>
    <row r="475" spans="1:16" x14ac:dyDescent="0.25">
      <c r="A475" t="s">
        <v>1932</v>
      </c>
      <c r="B475" t="s">
        <v>1933</v>
      </c>
      <c r="C475">
        <v>6357</v>
      </c>
      <c r="D475" t="s">
        <v>876</v>
      </c>
      <c r="E475" t="s">
        <v>149</v>
      </c>
      <c r="F475">
        <v>15443</v>
      </c>
      <c r="G475" t="s">
        <v>4999</v>
      </c>
      <c r="H475" t="s">
        <v>4993</v>
      </c>
      <c r="I475">
        <v>4.4176000000000002</v>
      </c>
      <c r="J475" t="s">
        <v>5012</v>
      </c>
      <c r="K475" t="s">
        <v>4993</v>
      </c>
      <c r="L475">
        <v>182</v>
      </c>
      <c r="M475">
        <v>34</v>
      </c>
      <c r="N475" t="s">
        <v>5015</v>
      </c>
      <c r="O475">
        <v>1</v>
      </c>
      <c r="P475">
        <v>1</v>
      </c>
    </row>
    <row r="476" spans="1:16" x14ac:dyDescent="0.25">
      <c r="A476" t="s">
        <v>1757</v>
      </c>
      <c r="B476" t="s">
        <v>1758</v>
      </c>
      <c r="C476">
        <v>4164</v>
      </c>
      <c r="D476" t="s">
        <v>623</v>
      </c>
      <c r="E476" t="s">
        <v>21</v>
      </c>
      <c r="F476">
        <v>17680</v>
      </c>
      <c r="G476" t="s">
        <v>4999</v>
      </c>
      <c r="H476" t="s">
        <v>4993</v>
      </c>
      <c r="I476">
        <v>4.3564999999999996</v>
      </c>
      <c r="J476" t="s">
        <v>5012</v>
      </c>
      <c r="K476" t="s">
        <v>4993</v>
      </c>
      <c r="L476">
        <v>446</v>
      </c>
      <c r="M476">
        <v>83</v>
      </c>
      <c r="N476" t="s">
        <v>5014</v>
      </c>
      <c r="O476">
        <v>0</v>
      </c>
      <c r="P476">
        <v>0</v>
      </c>
    </row>
    <row r="477" spans="1:16" x14ac:dyDescent="0.25">
      <c r="A477" t="s">
        <v>1257</v>
      </c>
      <c r="B477" t="s">
        <v>1258</v>
      </c>
      <c r="C477">
        <v>6218</v>
      </c>
      <c r="D477" t="s">
        <v>116</v>
      </c>
      <c r="E477" t="s">
        <v>13</v>
      </c>
      <c r="F477">
        <v>27710</v>
      </c>
      <c r="G477" t="s">
        <v>4999</v>
      </c>
      <c r="H477" t="s">
        <v>4993</v>
      </c>
      <c r="I477">
        <v>4.2637</v>
      </c>
      <c r="J477" t="s">
        <v>5012</v>
      </c>
      <c r="K477" t="s">
        <v>4993</v>
      </c>
      <c r="L477">
        <v>182</v>
      </c>
      <c r="M477">
        <v>24</v>
      </c>
      <c r="N477" t="s">
        <v>5015</v>
      </c>
      <c r="O477">
        <v>1</v>
      </c>
      <c r="P477">
        <v>0</v>
      </c>
    </row>
    <row r="478" spans="1:16" x14ac:dyDescent="0.25">
      <c r="A478" t="s">
        <v>1177</v>
      </c>
      <c r="B478" t="s">
        <v>1178</v>
      </c>
      <c r="C478">
        <v>1254</v>
      </c>
      <c r="D478" t="s">
        <v>136</v>
      </c>
      <c r="E478" t="s">
        <v>220</v>
      </c>
      <c r="F478">
        <v>29926</v>
      </c>
      <c r="G478" t="s">
        <v>4999</v>
      </c>
      <c r="H478" t="s">
        <v>4993</v>
      </c>
      <c r="I478">
        <v>4.2142999999999997</v>
      </c>
      <c r="J478" t="s">
        <v>5012</v>
      </c>
      <c r="K478" t="s">
        <v>4993</v>
      </c>
      <c r="L478">
        <v>182</v>
      </c>
      <c r="M478">
        <v>32.5</v>
      </c>
      <c r="N478" t="s">
        <v>5015</v>
      </c>
      <c r="O478">
        <v>0</v>
      </c>
      <c r="P478">
        <v>0</v>
      </c>
    </row>
    <row r="479" spans="1:16" x14ac:dyDescent="0.25">
      <c r="A479" t="s">
        <v>833</v>
      </c>
      <c r="B479" t="s">
        <v>834</v>
      </c>
      <c r="C479">
        <v>6285</v>
      </c>
      <c r="D479" t="s">
        <v>119</v>
      </c>
      <c r="E479" t="s">
        <v>13</v>
      </c>
      <c r="F479">
        <v>43383</v>
      </c>
      <c r="G479" t="s">
        <v>4999</v>
      </c>
      <c r="H479" t="s">
        <v>4993</v>
      </c>
      <c r="I479">
        <v>4.2618999999999998</v>
      </c>
      <c r="J479" t="s">
        <v>5012</v>
      </c>
      <c r="K479" t="s">
        <v>4993</v>
      </c>
      <c r="L479">
        <v>443</v>
      </c>
      <c r="M479">
        <v>12.99</v>
      </c>
      <c r="N479" t="s">
        <v>5013</v>
      </c>
      <c r="O479">
        <v>0</v>
      </c>
      <c r="P479">
        <v>0</v>
      </c>
    </row>
    <row r="480" spans="1:16" x14ac:dyDescent="0.25">
      <c r="A480" t="s">
        <v>1743</v>
      </c>
      <c r="B480" t="s">
        <v>1744</v>
      </c>
      <c r="C480">
        <v>6352</v>
      </c>
      <c r="D480" t="s">
        <v>251</v>
      </c>
      <c r="E480" t="s">
        <v>8</v>
      </c>
      <c r="F480">
        <v>17786</v>
      </c>
      <c r="G480" t="s">
        <v>4999</v>
      </c>
      <c r="H480" t="s">
        <v>4993</v>
      </c>
      <c r="I480">
        <v>4.4348000000000001</v>
      </c>
      <c r="J480" t="s">
        <v>5012</v>
      </c>
      <c r="K480" t="s">
        <v>4993</v>
      </c>
      <c r="L480">
        <v>184</v>
      </c>
      <c r="M480">
        <v>42</v>
      </c>
      <c r="N480" t="s">
        <v>5015</v>
      </c>
      <c r="O480">
        <v>0</v>
      </c>
      <c r="P480">
        <v>0</v>
      </c>
    </row>
    <row r="481" spans="1:16" x14ac:dyDescent="0.25">
      <c r="A481" t="s">
        <v>2258</v>
      </c>
      <c r="B481" t="s">
        <v>2259</v>
      </c>
      <c r="C481">
        <v>5668</v>
      </c>
      <c r="D481" t="s">
        <v>93</v>
      </c>
      <c r="E481" t="s">
        <v>149</v>
      </c>
      <c r="F481">
        <v>12157</v>
      </c>
      <c r="G481" t="s">
        <v>4999</v>
      </c>
      <c r="H481" t="s">
        <v>4993</v>
      </c>
      <c r="I481">
        <v>4.7458999999999998</v>
      </c>
      <c r="J481" t="s">
        <v>5012</v>
      </c>
      <c r="K481" t="s">
        <v>4993</v>
      </c>
      <c r="L481">
        <v>185</v>
      </c>
      <c r="M481">
        <v>68</v>
      </c>
      <c r="N481" t="s">
        <v>5014</v>
      </c>
      <c r="O481">
        <v>0</v>
      </c>
      <c r="P481">
        <v>0</v>
      </c>
    </row>
    <row r="482" spans="1:16" x14ac:dyDescent="0.25">
      <c r="A482" t="s">
        <v>1822</v>
      </c>
      <c r="B482" t="s">
        <v>1823</v>
      </c>
      <c r="C482">
        <v>3728</v>
      </c>
      <c r="D482" t="s">
        <v>458</v>
      </c>
      <c r="E482" t="s">
        <v>8</v>
      </c>
      <c r="F482">
        <v>16862</v>
      </c>
      <c r="G482" t="s">
        <v>4999</v>
      </c>
      <c r="H482" t="s">
        <v>4993</v>
      </c>
      <c r="I482">
        <v>4.5778999999999996</v>
      </c>
      <c r="J482" t="s">
        <v>5012</v>
      </c>
      <c r="K482" t="s">
        <v>4993</v>
      </c>
      <c r="L482">
        <v>443</v>
      </c>
      <c r="M482">
        <v>88</v>
      </c>
      <c r="N482" t="s">
        <v>5014</v>
      </c>
      <c r="O482">
        <v>0</v>
      </c>
      <c r="P482">
        <v>0</v>
      </c>
    </row>
    <row r="483" spans="1:16" x14ac:dyDescent="0.25">
      <c r="A483" t="s">
        <v>1697</v>
      </c>
      <c r="B483" t="s">
        <v>1698</v>
      </c>
      <c r="C483">
        <v>7050</v>
      </c>
      <c r="D483" t="s">
        <v>721</v>
      </c>
      <c r="E483" t="s">
        <v>201</v>
      </c>
      <c r="F483">
        <v>18297</v>
      </c>
      <c r="G483" t="s">
        <v>4999</v>
      </c>
      <c r="H483" t="s">
        <v>4993</v>
      </c>
      <c r="I483">
        <v>4.1070000000000002</v>
      </c>
      <c r="J483" t="s">
        <v>5012</v>
      </c>
      <c r="K483" t="s">
        <v>4993</v>
      </c>
      <c r="L483">
        <v>187</v>
      </c>
      <c r="M483">
        <v>26</v>
      </c>
      <c r="N483" t="s">
        <v>5015</v>
      </c>
      <c r="O483">
        <v>0</v>
      </c>
      <c r="P483">
        <v>0</v>
      </c>
    </row>
    <row r="484" spans="1:16" x14ac:dyDescent="0.25">
      <c r="A484" t="s">
        <v>1344</v>
      </c>
      <c r="B484" t="s">
        <v>1345</v>
      </c>
      <c r="C484">
        <v>6175</v>
      </c>
      <c r="D484" t="s">
        <v>338</v>
      </c>
      <c r="E484" t="s">
        <v>13</v>
      </c>
      <c r="F484">
        <v>25082</v>
      </c>
      <c r="G484" t="s">
        <v>4999</v>
      </c>
      <c r="H484" t="s">
        <v>4993</v>
      </c>
      <c r="I484">
        <v>4.0480999999999998</v>
      </c>
      <c r="J484" t="s">
        <v>5012</v>
      </c>
      <c r="K484" t="s">
        <v>4993</v>
      </c>
      <c r="L484">
        <v>187</v>
      </c>
      <c r="M484">
        <v>34</v>
      </c>
      <c r="N484" t="s">
        <v>5015</v>
      </c>
      <c r="O484">
        <v>0</v>
      </c>
      <c r="P484">
        <v>0</v>
      </c>
    </row>
    <row r="485" spans="1:16" x14ac:dyDescent="0.25">
      <c r="A485" t="s">
        <v>1466</v>
      </c>
      <c r="B485" t="s">
        <v>1467</v>
      </c>
      <c r="C485">
        <v>6218</v>
      </c>
      <c r="D485" t="s">
        <v>116</v>
      </c>
      <c r="E485" t="s">
        <v>13</v>
      </c>
      <c r="F485">
        <v>22813</v>
      </c>
      <c r="G485" t="s">
        <v>4999</v>
      </c>
      <c r="H485" t="s">
        <v>4993</v>
      </c>
      <c r="I485">
        <v>4.2872000000000003</v>
      </c>
      <c r="J485" t="s">
        <v>5012</v>
      </c>
      <c r="K485" t="s">
        <v>4993</v>
      </c>
      <c r="L485">
        <v>188</v>
      </c>
      <c r="M485">
        <v>28</v>
      </c>
      <c r="N485" t="s">
        <v>5015</v>
      </c>
      <c r="O485">
        <v>0</v>
      </c>
      <c r="P485">
        <v>0</v>
      </c>
    </row>
    <row r="486" spans="1:16" x14ac:dyDescent="0.25">
      <c r="A486" t="s">
        <v>1204</v>
      </c>
      <c r="B486" t="s">
        <v>1205</v>
      </c>
      <c r="C486">
        <v>4171</v>
      </c>
      <c r="D486" t="s">
        <v>133</v>
      </c>
      <c r="E486" t="s">
        <v>8</v>
      </c>
      <c r="F486">
        <v>29046</v>
      </c>
      <c r="G486" t="s">
        <v>4999</v>
      </c>
      <c r="H486" t="s">
        <v>4993</v>
      </c>
      <c r="I486">
        <v>4.6614000000000004</v>
      </c>
      <c r="J486" t="s">
        <v>5012</v>
      </c>
      <c r="K486" t="s">
        <v>4993</v>
      </c>
      <c r="L486">
        <v>189</v>
      </c>
      <c r="M486">
        <v>52</v>
      </c>
      <c r="N486" t="s">
        <v>5014</v>
      </c>
      <c r="O486">
        <v>0</v>
      </c>
      <c r="P486">
        <v>0</v>
      </c>
    </row>
    <row r="487" spans="1:16" x14ac:dyDescent="0.25">
      <c r="A487" t="s">
        <v>1277</v>
      </c>
      <c r="B487" t="s">
        <v>1278</v>
      </c>
      <c r="C487">
        <v>5626</v>
      </c>
      <c r="D487" t="s">
        <v>1069</v>
      </c>
      <c r="E487" t="s">
        <v>106</v>
      </c>
      <c r="F487">
        <v>27207</v>
      </c>
      <c r="G487" t="s">
        <v>4999</v>
      </c>
      <c r="H487" t="s">
        <v>4993</v>
      </c>
      <c r="I487">
        <v>4.1109</v>
      </c>
      <c r="J487" t="s">
        <v>5012</v>
      </c>
      <c r="K487" t="s">
        <v>4993</v>
      </c>
      <c r="L487">
        <v>442</v>
      </c>
      <c r="M487">
        <v>46</v>
      </c>
      <c r="N487" t="s">
        <v>5015</v>
      </c>
      <c r="O487">
        <v>0</v>
      </c>
      <c r="P487">
        <v>0</v>
      </c>
    </row>
    <row r="488" spans="1:16" x14ac:dyDescent="0.25">
      <c r="A488" t="s">
        <v>900</v>
      </c>
      <c r="B488" t="s">
        <v>901</v>
      </c>
      <c r="C488">
        <v>6218</v>
      </c>
      <c r="D488" t="s">
        <v>116</v>
      </c>
      <c r="E488" t="s">
        <v>4</v>
      </c>
      <c r="F488">
        <v>40755</v>
      </c>
      <c r="G488" t="s">
        <v>4999</v>
      </c>
      <c r="H488" t="s">
        <v>4993</v>
      </c>
      <c r="I488">
        <v>4.0419</v>
      </c>
      <c r="J488" t="s">
        <v>5012</v>
      </c>
      <c r="K488" t="s">
        <v>4993</v>
      </c>
      <c r="L488">
        <v>191</v>
      </c>
      <c r="M488">
        <v>28</v>
      </c>
      <c r="N488" t="s">
        <v>5015</v>
      </c>
      <c r="O488">
        <v>0</v>
      </c>
      <c r="P488">
        <v>0</v>
      </c>
    </row>
    <row r="489" spans="1:16" x14ac:dyDescent="0.25">
      <c r="A489" t="s">
        <v>1600</v>
      </c>
      <c r="B489" t="s">
        <v>1601</v>
      </c>
      <c r="C489">
        <v>4171</v>
      </c>
      <c r="D489" t="s">
        <v>133</v>
      </c>
      <c r="E489" t="s">
        <v>69</v>
      </c>
      <c r="F489">
        <v>19999</v>
      </c>
      <c r="G489" t="s">
        <v>4999</v>
      </c>
      <c r="H489" t="s">
        <v>4993</v>
      </c>
      <c r="I489">
        <v>4.5365000000000002</v>
      </c>
      <c r="J489" t="s">
        <v>5012</v>
      </c>
      <c r="K489" t="s">
        <v>4993</v>
      </c>
      <c r="L489">
        <v>192</v>
      </c>
      <c r="M489">
        <v>42</v>
      </c>
      <c r="N489" t="s">
        <v>5015</v>
      </c>
      <c r="O489">
        <v>0</v>
      </c>
      <c r="P489">
        <v>0</v>
      </c>
    </row>
    <row r="490" spans="1:16" x14ac:dyDescent="0.25">
      <c r="A490" t="s">
        <v>1938</v>
      </c>
      <c r="B490" t="s">
        <v>1939</v>
      </c>
      <c r="C490">
        <v>6742</v>
      </c>
      <c r="D490" t="s">
        <v>1445</v>
      </c>
      <c r="E490" t="s">
        <v>49</v>
      </c>
      <c r="F490">
        <v>15371</v>
      </c>
      <c r="G490" t="s">
        <v>4999</v>
      </c>
      <c r="H490" t="s">
        <v>4993</v>
      </c>
      <c r="I490">
        <v>4.2896000000000001</v>
      </c>
      <c r="J490" t="s">
        <v>5012</v>
      </c>
      <c r="K490" t="s">
        <v>4993</v>
      </c>
      <c r="L490">
        <v>442</v>
      </c>
      <c r="M490">
        <v>34</v>
      </c>
      <c r="N490" t="s">
        <v>5015</v>
      </c>
      <c r="O490">
        <v>1</v>
      </c>
      <c r="P490">
        <v>0</v>
      </c>
    </row>
    <row r="491" spans="1:16" x14ac:dyDescent="0.25">
      <c r="A491" t="s">
        <v>1683</v>
      </c>
      <c r="B491" t="s">
        <v>1684</v>
      </c>
      <c r="C491">
        <v>6357</v>
      </c>
      <c r="D491" t="s">
        <v>876</v>
      </c>
      <c r="E491" t="s">
        <v>21</v>
      </c>
      <c r="F491">
        <v>18465</v>
      </c>
      <c r="G491" t="s">
        <v>4999</v>
      </c>
      <c r="H491" t="s">
        <v>4993</v>
      </c>
      <c r="I491">
        <v>4.6237000000000004</v>
      </c>
      <c r="J491" t="s">
        <v>5012</v>
      </c>
      <c r="K491" t="s">
        <v>4993</v>
      </c>
      <c r="L491">
        <v>194</v>
      </c>
      <c r="M491">
        <v>25</v>
      </c>
      <c r="N491" t="s">
        <v>5015</v>
      </c>
      <c r="O491">
        <v>0</v>
      </c>
      <c r="P491">
        <v>0</v>
      </c>
    </row>
    <row r="492" spans="1:16" x14ac:dyDescent="0.25">
      <c r="A492" t="s">
        <v>1470</v>
      </c>
      <c r="B492" t="s">
        <v>1471</v>
      </c>
      <c r="C492">
        <v>6279</v>
      </c>
      <c r="D492" t="s">
        <v>1472</v>
      </c>
      <c r="E492" t="s">
        <v>4</v>
      </c>
      <c r="F492">
        <v>22688</v>
      </c>
      <c r="G492" t="s">
        <v>4999</v>
      </c>
      <c r="H492" t="s">
        <v>4993</v>
      </c>
      <c r="I492">
        <v>4.2938000000000001</v>
      </c>
      <c r="J492" t="s">
        <v>5012</v>
      </c>
      <c r="K492" t="s">
        <v>4993</v>
      </c>
      <c r="L492">
        <v>194</v>
      </c>
      <c r="M492">
        <v>25</v>
      </c>
      <c r="N492" t="s">
        <v>5015</v>
      </c>
      <c r="O492">
        <v>0</v>
      </c>
      <c r="P492">
        <v>0</v>
      </c>
    </row>
    <row r="493" spans="1:16" x14ac:dyDescent="0.25">
      <c r="A493" t="s">
        <v>1458</v>
      </c>
      <c r="B493" t="s">
        <v>1459</v>
      </c>
      <c r="C493">
        <v>6225</v>
      </c>
      <c r="D493" t="s">
        <v>640</v>
      </c>
      <c r="E493" t="s">
        <v>106</v>
      </c>
      <c r="F493">
        <v>22970</v>
      </c>
      <c r="G493" t="s">
        <v>4999</v>
      </c>
      <c r="H493" t="s">
        <v>4993</v>
      </c>
      <c r="I493">
        <v>4.1959</v>
      </c>
      <c r="J493" t="s">
        <v>5012</v>
      </c>
      <c r="K493" t="s">
        <v>4993</v>
      </c>
      <c r="L493">
        <v>194</v>
      </c>
      <c r="M493">
        <v>60</v>
      </c>
      <c r="N493" t="s">
        <v>5014</v>
      </c>
      <c r="O493">
        <v>0</v>
      </c>
      <c r="P493">
        <v>0</v>
      </c>
    </row>
    <row r="494" spans="1:16" x14ac:dyDescent="0.25">
      <c r="A494" t="s">
        <v>998</v>
      </c>
      <c r="B494" t="s">
        <v>999</v>
      </c>
      <c r="C494">
        <v>6218</v>
      </c>
      <c r="D494" t="s">
        <v>116</v>
      </c>
      <c r="E494" t="s">
        <v>13</v>
      </c>
      <c r="F494">
        <v>37317</v>
      </c>
      <c r="G494" t="s">
        <v>4999</v>
      </c>
      <c r="H494" t="s">
        <v>4993</v>
      </c>
      <c r="I494">
        <v>4.2215999999999996</v>
      </c>
      <c r="J494" t="s">
        <v>5012</v>
      </c>
      <c r="K494" t="s">
        <v>4993</v>
      </c>
      <c r="L494">
        <v>194</v>
      </c>
      <c r="M494">
        <v>47</v>
      </c>
      <c r="N494" t="s">
        <v>5015</v>
      </c>
      <c r="O494">
        <v>0</v>
      </c>
      <c r="P494">
        <v>0</v>
      </c>
    </row>
    <row r="495" spans="1:16" x14ac:dyDescent="0.25">
      <c r="A495" t="s">
        <v>1986</v>
      </c>
      <c r="B495" t="s">
        <v>1987</v>
      </c>
      <c r="C495">
        <v>6201</v>
      </c>
      <c r="D495" t="s">
        <v>367</v>
      </c>
      <c r="E495" t="s">
        <v>21</v>
      </c>
      <c r="F495">
        <v>14920</v>
      </c>
      <c r="G495" t="s">
        <v>4999</v>
      </c>
      <c r="H495" t="s">
        <v>4993</v>
      </c>
      <c r="I495">
        <v>4.4256000000000002</v>
      </c>
      <c r="J495" t="s">
        <v>5012</v>
      </c>
      <c r="K495" t="s">
        <v>4993</v>
      </c>
      <c r="L495">
        <v>195</v>
      </c>
      <c r="M495">
        <v>270</v>
      </c>
      <c r="N495" t="s">
        <v>5014</v>
      </c>
      <c r="O495">
        <v>0</v>
      </c>
      <c r="P495">
        <v>0</v>
      </c>
    </row>
    <row r="496" spans="1:16" x14ac:dyDescent="0.25">
      <c r="A496" t="s">
        <v>1446</v>
      </c>
      <c r="B496" t="s">
        <v>1447</v>
      </c>
      <c r="C496">
        <v>6285</v>
      </c>
      <c r="D496" t="s">
        <v>119</v>
      </c>
      <c r="E496" t="s">
        <v>8</v>
      </c>
      <c r="F496">
        <v>23101</v>
      </c>
      <c r="G496" t="s">
        <v>4999</v>
      </c>
      <c r="H496" t="s">
        <v>4993</v>
      </c>
      <c r="I496">
        <v>4.4615</v>
      </c>
      <c r="J496" t="s">
        <v>5012</v>
      </c>
      <c r="K496" t="s">
        <v>4993</v>
      </c>
      <c r="L496">
        <v>195</v>
      </c>
      <c r="M496">
        <v>11.99</v>
      </c>
      <c r="N496" t="s">
        <v>5013</v>
      </c>
      <c r="O496">
        <v>0</v>
      </c>
      <c r="P496">
        <v>0</v>
      </c>
    </row>
    <row r="497" spans="1:16" x14ac:dyDescent="0.25">
      <c r="A497" t="s">
        <v>1222</v>
      </c>
      <c r="B497" t="s">
        <v>1223</v>
      </c>
      <c r="C497">
        <v>5972</v>
      </c>
      <c r="D497" t="s">
        <v>54</v>
      </c>
      <c r="E497" t="s">
        <v>21</v>
      </c>
      <c r="F497">
        <v>28615</v>
      </c>
      <c r="G497" t="s">
        <v>4999</v>
      </c>
      <c r="H497" t="s">
        <v>4993</v>
      </c>
      <c r="I497">
        <v>4.3544999999999998</v>
      </c>
      <c r="J497" t="s">
        <v>5012</v>
      </c>
      <c r="K497" t="s">
        <v>4993</v>
      </c>
      <c r="L497">
        <v>440</v>
      </c>
      <c r="M497">
        <v>36</v>
      </c>
      <c r="N497" t="s">
        <v>5015</v>
      </c>
      <c r="O497">
        <v>0</v>
      </c>
      <c r="P497">
        <v>0</v>
      </c>
    </row>
    <row r="498" spans="1:16" x14ac:dyDescent="0.25">
      <c r="A498" t="s">
        <v>1912</v>
      </c>
      <c r="B498" t="s">
        <v>1913</v>
      </c>
      <c r="C498">
        <v>4171</v>
      </c>
      <c r="D498" t="s">
        <v>133</v>
      </c>
      <c r="E498" t="s">
        <v>13</v>
      </c>
      <c r="F498">
        <v>15643</v>
      </c>
      <c r="G498" t="s">
        <v>4999</v>
      </c>
      <c r="H498" t="s">
        <v>4993</v>
      </c>
      <c r="I498">
        <v>4.3098000000000001</v>
      </c>
      <c r="J498" t="s">
        <v>5012</v>
      </c>
      <c r="K498" t="s">
        <v>4993</v>
      </c>
      <c r="L498">
        <v>439</v>
      </c>
      <c r="M498">
        <v>30</v>
      </c>
      <c r="N498" t="s">
        <v>5015</v>
      </c>
      <c r="O498">
        <v>0</v>
      </c>
      <c r="P498">
        <v>0</v>
      </c>
    </row>
    <row r="499" spans="1:16" x14ac:dyDescent="0.25">
      <c r="A499" t="s">
        <v>2304</v>
      </c>
      <c r="B499" t="s">
        <v>2305</v>
      </c>
      <c r="C499">
        <v>6219</v>
      </c>
      <c r="D499" t="s">
        <v>277</v>
      </c>
      <c r="E499" t="s">
        <v>13</v>
      </c>
      <c r="F499">
        <v>11814</v>
      </c>
      <c r="G499" t="s">
        <v>4999</v>
      </c>
      <c r="H499" t="s">
        <v>4993</v>
      </c>
      <c r="I499">
        <v>4.4523000000000001</v>
      </c>
      <c r="J499" t="s">
        <v>5012</v>
      </c>
      <c r="K499" t="s">
        <v>4993</v>
      </c>
      <c r="L499">
        <v>199</v>
      </c>
      <c r="M499">
        <v>42</v>
      </c>
      <c r="N499" t="s">
        <v>5015</v>
      </c>
      <c r="O499">
        <v>0</v>
      </c>
      <c r="P499">
        <v>0</v>
      </c>
    </row>
    <row r="500" spans="1:16" x14ac:dyDescent="0.25">
      <c r="A500" t="s">
        <v>1338</v>
      </c>
      <c r="B500" t="s">
        <v>1339</v>
      </c>
      <c r="C500">
        <v>6352</v>
      </c>
      <c r="D500" t="s">
        <v>251</v>
      </c>
      <c r="E500" t="s">
        <v>8</v>
      </c>
      <c r="F500">
        <v>25289</v>
      </c>
      <c r="G500" t="s">
        <v>4999</v>
      </c>
      <c r="H500" t="s">
        <v>4993</v>
      </c>
      <c r="I500">
        <v>4.5829000000000004</v>
      </c>
      <c r="J500" t="s">
        <v>5012</v>
      </c>
      <c r="K500" t="s">
        <v>4993</v>
      </c>
      <c r="L500">
        <v>199</v>
      </c>
      <c r="M500">
        <v>42</v>
      </c>
      <c r="N500" t="s">
        <v>5015</v>
      </c>
      <c r="O500">
        <v>0</v>
      </c>
      <c r="P500">
        <v>0</v>
      </c>
    </row>
    <row r="501" spans="1:16" x14ac:dyDescent="0.25">
      <c r="A501" t="s">
        <v>1269</v>
      </c>
      <c r="B501" t="s">
        <v>1270</v>
      </c>
      <c r="C501">
        <v>6341</v>
      </c>
      <c r="D501" t="s">
        <v>66</v>
      </c>
      <c r="E501" t="s">
        <v>13</v>
      </c>
      <c r="F501">
        <v>27344</v>
      </c>
      <c r="G501" t="s">
        <v>4999</v>
      </c>
      <c r="H501" t="s">
        <v>4993</v>
      </c>
      <c r="I501">
        <v>4.7300000000000004</v>
      </c>
      <c r="J501" t="s">
        <v>5012</v>
      </c>
      <c r="K501" t="s">
        <v>4993</v>
      </c>
      <c r="L501">
        <v>200</v>
      </c>
      <c r="M501">
        <v>22</v>
      </c>
      <c r="N501" t="s">
        <v>5015</v>
      </c>
      <c r="O501">
        <v>0</v>
      </c>
      <c r="P501">
        <v>0</v>
      </c>
    </row>
    <row r="502" spans="1:16" x14ac:dyDescent="0.25">
      <c r="A502" t="s">
        <v>2322</v>
      </c>
      <c r="B502" t="s">
        <v>2323</v>
      </c>
      <c r="C502">
        <v>6218</v>
      </c>
      <c r="D502" t="s">
        <v>116</v>
      </c>
      <c r="E502" t="s">
        <v>21</v>
      </c>
      <c r="F502">
        <v>11677</v>
      </c>
      <c r="G502" t="s">
        <v>4999</v>
      </c>
      <c r="H502" t="s">
        <v>4993</v>
      </c>
      <c r="I502">
        <v>4.4875999999999996</v>
      </c>
      <c r="J502" t="s">
        <v>5012</v>
      </c>
      <c r="K502" t="s">
        <v>4993</v>
      </c>
      <c r="L502">
        <v>201</v>
      </c>
      <c r="M502">
        <v>38</v>
      </c>
      <c r="N502" t="s">
        <v>5015</v>
      </c>
      <c r="O502">
        <v>0</v>
      </c>
      <c r="P502">
        <v>0</v>
      </c>
    </row>
    <row r="503" spans="1:16" x14ac:dyDescent="0.25">
      <c r="A503" t="s">
        <v>1279</v>
      </c>
      <c r="B503" t="s">
        <v>1280</v>
      </c>
      <c r="C503">
        <v>3902</v>
      </c>
      <c r="D503" t="s">
        <v>72</v>
      </c>
      <c r="E503" t="s">
        <v>69</v>
      </c>
      <c r="F503">
        <v>27165</v>
      </c>
      <c r="G503" t="s">
        <v>4999</v>
      </c>
      <c r="H503" t="s">
        <v>4993</v>
      </c>
      <c r="I503">
        <v>4.4825999999999997</v>
      </c>
      <c r="J503" t="s">
        <v>5012</v>
      </c>
      <c r="K503" t="s">
        <v>4993</v>
      </c>
      <c r="L503">
        <v>201</v>
      </c>
      <c r="M503">
        <v>10</v>
      </c>
      <c r="N503" t="s">
        <v>5013</v>
      </c>
      <c r="O503">
        <v>0</v>
      </c>
      <c r="P503">
        <v>1</v>
      </c>
    </row>
    <row r="504" spans="1:16" x14ac:dyDescent="0.25">
      <c r="A504" t="s">
        <v>1865</v>
      </c>
      <c r="B504" t="s">
        <v>1866</v>
      </c>
      <c r="C504">
        <v>6272</v>
      </c>
      <c r="D504" t="s">
        <v>1711</v>
      </c>
      <c r="E504" t="s">
        <v>149</v>
      </c>
      <c r="F504">
        <v>16264</v>
      </c>
      <c r="G504" t="s">
        <v>4999</v>
      </c>
      <c r="H504" t="s">
        <v>4993</v>
      </c>
      <c r="I504">
        <v>4.0594000000000001</v>
      </c>
      <c r="J504" t="s">
        <v>5012</v>
      </c>
      <c r="K504" t="s">
        <v>4993</v>
      </c>
      <c r="L504">
        <v>202</v>
      </c>
      <c r="M504">
        <v>40</v>
      </c>
      <c r="N504" t="s">
        <v>5015</v>
      </c>
      <c r="O504">
        <v>0</v>
      </c>
      <c r="P504">
        <v>0</v>
      </c>
    </row>
    <row r="505" spans="1:16" x14ac:dyDescent="0.25">
      <c r="A505" t="s">
        <v>2464</v>
      </c>
      <c r="B505" t="s">
        <v>2465</v>
      </c>
      <c r="C505">
        <v>6125</v>
      </c>
      <c r="D505" t="s">
        <v>3</v>
      </c>
      <c r="E505" t="s">
        <v>21</v>
      </c>
      <c r="F505">
        <v>10478</v>
      </c>
      <c r="G505" t="s">
        <v>4999</v>
      </c>
      <c r="H505" t="s">
        <v>4993</v>
      </c>
      <c r="I505">
        <v>4.6994999999999996</v>
      </c>
      <c r="J505" t="s">
        <v>5012</v>
      </c>
      <c r="K505" t="s">
        <v>4993</v>
      </c>
      <c r="L505">
        <v>203</v>
      </c>
      <c r="M505">
        <v>39</v>
      </c>
      <c r="N505" t="s">
        <v>5015</v>
      </c>
      <c r="O505">
        <v>0</v>
      </c>
      <c r="P505">
        <v>0</v>
      </c>
    </row>
    <row r="506" spans="1:16" x14ac:dyDescent="0.25">
      <c r="A506" t="s">
        <v>2007</v>
      </c>
      <c r="B506" t="s">
        <v>2008</v>
      </c>
      <c r="C506">
        <v>5674</v>
      </c>
      <c r="D506" t="s">
        <v>141</v>
      </c>
      <c r="E506" t="s">
        <v>21</v>
      </c>
      <c r="F506">
        <v>14652</v>
      </c>
      <c r="G506" t="s">
        <v>4999</v>
      </c>
      <c r="H506" t="s">
        <v>4993</v>
      </c>
      <c r="I506">
        <v>4.8186</v>
      </c>
      <c r="J506" t="s">
        <v>5012</v>
      </c>
      <c r="K506" t="s">
        <v>4993</v>
      </c>
      <c r="L506">
        <v>204</v>
      </c>
      <c r="M506">
        <v>58</v>
      </c>
      <c r="N506" t="s">
        <v>5014</v>
      </c>
      <c r="O506">
        <v>1</v>
      </c>
      <c r="P506">
        <v>0</v>
      </c>
    </row>
    <row r="507" spans="1:16" x14ac:dyDescent="0.25">
      <c r="A507" t="s">
        <v>2442</v>
      </c>
      <c r="B507" t="s">
        <v>2443</v>
      </c>
      <c r="C507">
        <v>3902</v>
      </c>
      <c r="D507" t="s">
        <v>72</v>
      </c>
      <c r="E507" t="s">
        <v>8</v>
      </c>
      <c r="F507">
        <v>10653</v>
      </c>
      <c r="G507" t="s">
        <v>4999</v>
      </c>
      <c r="H507" t="s">
        <v>4993</v>
      </c>
      <c r="I507">
        <v>4.5999999999999996</v>
      </c>
      <c r="J507" t="s">
        <v>5012</v>
      </c>
      <c r="K507" t="s">
        <v>4993</v>
      </c>
      <c r="L507">
        <v>205</v>
      </c>
      <c r="M507">
        <v>20</v>
      </c>
      <c r="N507" t="s">
        <v>5015</v>
      </c>
      <c r="O507">
        <v>0</v>
      </c>
      <c r="P507">
        <v>0</v>
      </c>
    </row>
    <row r="508" spans="1:16" x14ac:dyDescent="0.25">
      <c r="A508" t="s">
        <v>2420</v>
      </c>
      <c r="B508" t="s">
        <v>2421</v>
      </c>
      <c r="C508">
        <v>6018</v>
      </c>
      <c r="D508" t="s">
        <v>517</v>
      </c>
      <c r="E508" t="s">
        <v>8</v>
      </c>
      <c r="F508">
        <v>10859</v>
      </c>
      <c r="G508" t="s">
        <v>4999</v>
      </c>
      <c r="H508" t="s">
        <v>4993</v>
      </c>
      <c r="I508">
        <v>4.3853999999999997</v>
      </c>
      <c r="J508" t="s">
        <v>5012</v>
      </c>
      <c r="K508" t="s">
        <v>4993</v>
      </c>
      <c r="L508">
        <v>205</v>
      </c>
      <c r="M508">
        <v>95</v>
      </c>
      <c r="N508" t="s">
        <v>5014</v>
      </c>
      <c r="O508">
        <v>0</v>
      </c>
      <c r="P508">
        <v>0</v>
      </c>
    </row>
    <row r="509" spans="1:16" x14ac:dyDescent="0.25">
      <c r="A509" t="s">
        <v>1434</v>
      </c>
      <c r="B509" t="s">
        <v>1435</v>
      </c>
      <c r="C509">
        <v>5648</v>
      </c>
      <c r="D509" t="s">
        <v>408</v>
      </c>
      <c r="E509" t="s">
        <v>4</v>
      </c>
      <c r="F509">
        <v>23307</v>
      </c>
      <c r="G509" t="s">
        <v>4999</v>
      </c>
      <c r="H509" t="s">
        <v>4993</v>
      </c>
      <c r="I509">
        <v>4.1024000000000003</v>
      </c>
      <c r="J509" t="s">
        <v>5012</v>
      </c>
      <c r="K509" t="s">
        <v>4993</v>
      </c>
      <c r="L509">
        <v>205</v>
      </c>
      <c r="M509">
        <v>16</v>
      </c>
      <c r="N509" t="s">
        <v>5013</v>
      </c>
      <c r="O509">
        <v>0</v>
      </c>
      <c r="P509">
        <v>1</v>
      </c>
    </row>
    <row r="510" spans="1:16" x14ac:dyDescent="0.25">
      <c r="A510" t="s">
        <v>874</v>
      </c>
      <c r="B510" t="s">
        <v>875</v>
      </c>
      <c r="C510">
        <v>6357</v>
      </c>
      <c r="D510" t="s">
        <v>876</v>
      </c>
      <c r="E510" t="s">
        <v>4</v>
      </c>
      <c r="F510">
        <v>41560</v>
      </c>
      <c r="G510" t="s">
        <v>4999</v>
      </c>
      <c r="H510" t="s">
        <v>4993</v>
      </c>
      <c r="I510">
        <v>4.4292999999999996</v>
      </c>
      <c r="J510" t="s">
        <v>5012</v>
      </c>
      <c r="K510" t="s">
        <v>4993</v>
      </c>
      <c r="L510">
        <v>205</v>
      </c>
      <c r="M510">
        <v>17</v>
      </c>
      <c r="N510" t="s">
        <v>5013</v>
      </c>
      <c r="O510">
        <v>0</v>
      </c>
      <c r="P510">
        <v>0</v>
      </c>
    </row>
    <row r="511" spans="1:16" x14ac:dyDescent="0.25">
      <c r="A511" t="s">
        <v>1687</v>
      </c>
      <c r="B511" t="s">
        <v>1688</v>
      </c>
      <c r="C511">
        <v>5337</v>
      </c>
      <c r="D511" t="s">
        <v>209</v>
      </c>
      <c r="E511" t="s">
        <v>21</v>
      </c>
      <c r="F511">
        <v>18392</v>
      </c>
      <c r="G511" t="s">
        <v>4999</v>
      </c>
      <c r="H511" t="s">
        <v>4993</v>
      </c>
      <c r="I511">
        <v>4.5121000000000002</v>
      </c>
      <c r="J511" t="s">
        <v>5012</v>
      </c>
      <c r="K511" t="s">
        <v>4993</v>
      </c>
      <c r="L511">
        <v>207</v>
      </c>
      <c r="M511">
        <v>75</v>
      </c>
      <c r="N511" t="s">
        <v>5014</v>
      </c>
      <c r="O511">
        <v>0</v>
      </c>
      <c r="P511">
        <v>0</v>
      </c>
    </row>
    <row r="512" spans="1:16" x14ac:dyDescent="0.25">
      <c r="A512" t="s">
        <v>1663</v>
      </c>
      <c r="B512" t="s">
        <v>1664</v>
      </c>
      <c r="C512">
        <v>3733</v>
      </c>
      <c r="D512" t="s">
        <v>124</v>
      </c>
      <c r="E512" t="s">
        <v>21</v>
      </c>
      <c r="F512">
        <v>18986</v>
      </c>
      <c r="G512" t="s">
        <v>4999</v>
      </c>
      <c r="H512" t="s">
        <v>4993</v>
      </c>
      <c r="I512">
        <v>4.0965999999999996</v>
      </c>
      <c r="J512" t="s">
        <v>5012</v>
      </c>
      <c r="K512" t="s">
        <v>4993</v>
      </c>
      <c r="L512">
        <v>207</v>
      </c>
      <c r="M512">
        <v>63</v>
      </c>
      <c r="N512" t="s">
        <v>5014</v>
      </c>
      <c r="O512">
        <v>0</v>
      </c>
      <c r="P512">
        <v>0</v>
      </c>
    </row>
    <row r="513" spans="1:16" x14ac:dyDescent="0.25">
      <c r="A513" t="s">
        <v>2460</v>
      </c>
      <c r="B513" t="s">
        <v>2461</v>
      </c>
      <c r="C513">
        <v>6347</v>
      </c>
      <c r="D513" t="s">
        <v>1767</v>
      </c>
      <c r="E513" t="s">
        <v>13</v>
      </c>
      <c r="F513">
        <v>10510</v>
      </c>
      <c r="G513" t="s">
        <v>4999</v>
      </c>
      <c r="H513" t="s">
        <v>4993</v>
      </c>
      <c r="I513">
        <v>4.5311000000000003</v>
      </c>
      <c r="J513" t="s">
        <v>5012</v>
      </c>
      <c r="K513" t="s">
        <v>4993</v>
      </c>
      <c r="L513">
        <v>209</v>
      </c>
      <c r="M513">
        <v>32</v>
      </c>
      <c r="N513" t="s">
        <v>5015</v>
      </c>
      <c r="O513">
        <v>0</v>
      </c>
      <c r="P513">
        <v>0</v>
      </c>
    </row>
    <row r="514" spans="1:16" x14ac:dyDescent="0.25">
      <c r="A514" t="s">
        <v>2161</v>
      </c>
      <c r="B514" t="s">
        <v>2162</v>
      </c>
      <c r="C514">
        <v>7020</v>
      </c>
      <c r="D514" t="s">
        <v>657</v>
      </c>
      <c r="E514" t="s">
        <v>149</v>
      </c>
      <c r="F514">
        <v>12946</v>
      </c>
      <c r="G514" t="s">
        <v>4999</v>
      </c>
      <c r="H514" t="s">
        <v>4993</v>
      </c>
      <c r="I514">
        <v>4.1100000000000003</v>
      </c>
      <c r="J514" t="s">
        <v>5012</v>
      </c>
      <c r="K514" t="s">
        <v>4993</v>
      </c>
      <c r="L514">
        <v>209</v>
      </c>
      <c r="M514">
        <v>130</v>
      </c>
      <c r="N514" t="s">
        <v>5014</v>
      </c>
      <c r="O514">
        <v>0</v>
      </c>
      <c r="P514">
        <v>0</v>
      </c>
    </row>
    <row r="515" spans="1:16" x14ac:dyDescent="0.25">
      <c r="A515" t="s">
        <v>1638</v>
      </c>
      <c r="B515" t="s">
        <v>1639</v>
      </c>
      <c r="C515">
        <v>6117</v>
      </c>
      <c r="D515" t="s">
        <v>229</v>
      </c>
      <c r="E515" t="s">
        <v>8</v>
      </c>
      <c r="F515">
        <v>19480</v>
      </c>
      <c r="G515" t="s">
        <v>4999</v>
      </c>
      <c r="H515" t="s">
        <v>4993</v>
      </c>
      <c r="I515">
        <v>4.3875999999999999</v>
      </c>
      <c r="J515" t="s">
        <v>5012</v>
      </c>
      <c r="K515" t="s">
        <v>4993</v>
      </c>
      <c r="L515">
        <v>209</v>
      </c>
      <c r="M515">
        <v>50</v>
      </c>
      <c r="N515" t="s">
        <v>5015</v>
      </c>
      <c r="O515">
        <v>0</v>
      </c>
      <c r="P515">
        <v>0</v>
      </c>
    </row>
    <row r="516" spans="1:16" x14ac:dyDescent="0.25">
      <c r="A516" t="s">
        <v>778</v>
      </c>
      <c r="B516" t="s">
        <v>779</v>
      </c>
      <c r="C516">
        <v>6041</v>
      </c>
      <c r="D516" t="s">
        <v>33</v>
      </c>
      <c r="E516" t="s">
        <v>69</v>
      </c>
      <c r="F516">
        <v>46732</v>
      </c>
      <c r="G516" t="s">
        <v>4999</v>
      </c>
      <c r="H516" t="s">
        <v>4993</v>
      </c>
      <c r="I516">
        <v>4.6315999999999997</v>
      </c>
      <c r="J516" t="s">
        <v>5012</v>
      </c>
      <c r="K516" t="s">
        <v>4993</v>
      </c>
      <c r="L516">
        <v>209</v>
      </c>
      <c r="M516">
        <v>70</v>
      </c>
      <c r="N516" t="s">
        <v>5014</v>
      </c>
      <c r="O516">
        <v>0</v>
      </c>
      <c r="P516">
        <v>0</v>
      </c>
    </row>
    <row r="517" spans="1:16" x14ac:dyDescent="0.25">
      <c r="A517" t="s">
        <v>2491</v>
      </c>
      <c r="B517" t="s">
        <v>2492</v>
      </c>
      <c r="C517">
        <v>5668</v>
      </c>
      <c r="D517" t="s">
        <v>93</v>
      </c>
      <c r="E517" t="s">
        <v>13</v>
      </c>
      <c r="F517">
        <v>10330</v>
      </c>
      <c r="G517" t="s">
        <v>4999</v>
      </c>
      <c r="H517" t="s">
        <v>4993</v>
      </c>
      <c r="I517">
        <v>4.3166000000000002</v>
      </c>
      <c r="J517" t="s">
        <v>5012</v>
      </c>
      <c r="K517" t="s">
        <v>4993</v>
      </c>
      <c r="L517">
        <v>439</v>
      </c>
      <c r="M517">
        <v>39</v>
      </c>
      <c r="N517" t="s">
        <v>5015</v>
      </c>
      <c r="O517">
        <v>0</v>
      </c>
      <c r="P517">
        <v>0</v>
      </c>
    </row>
    <row r="518" spans="1:16" x14ac:dyDescent="0.25">
      <c r="A518" t="s">
        <v>2226</v>
      </c>
      <c r="B518" t="s">
        <v>2227</v>
      </c>
      <c r="C518">
        <v>4171</v>
      </c>
      <c r="D518" t="s">
        <v>133</v>
      </c>
      <c r="E518" t="s">
        <v>8</v>
      </c>
      <c r="F518">
        <v>12449</v>
      </c>
      <c r="G518" t="s">
        <v>4999</v>
      </c>
      <c r="H518" t="s">
        <v>4993</v>
      </c>
      <c r="I518">
        <v>4.75</v>
      </c>
      <c r="J518" t="s">
        <v>5012</v>
      </c>
      <c r="K518" t="s">
        <v>4993</v>
      </c>
      <c r="L518">
        <v>212</v>
      </c>
      <c r="M518">
        <v>139</v>
      </c>
      <c r="N518" t="s">
        <v>5014</v>
      </c>
      <c r="O518">
        <v>0</v>
      </c>
      <c r="P518">
        <v>0</v>
      </c>
    </row>
    <row r="519" spans="1:16" x14ac:dyDescent="0.25">
      <c r="A519" t="s">
        <v>2277</v>
      </c>
      <c r="B519" t="s">
        <v>2278</v>
      </c>
      <c r="C519">
        <v>6195</v>
      </c>
      <c r="D519" t="s">
        <v>163</v>
      </c>
      <c r="E519" t="s">
        <v>8</v>
      </c>
      <c r="F519">
        <v>12007</v>
      </c>
      <c r="G519" t="s">
        <v>4999</v>
      </c>
      <c r="H519" t="s">
        <v>4993</v>
      </c>
      <c r="I519">
        <v>4.4741999999999997</v>
      </c>
      <c r="J519" t="s">
        <v>5012</v>
      </c>
      <c r="K519" t="s">
        <v>4993</v>
      </c>
      <c r="L519">
        <v>213</v>
      </c>
      <c r="M519">
        <v>72</v>
      </c>
      <c r="N519" t="s">
        <v>5014</v>
      </c>
      <c r="O519">
        <v>0</v>
      </c>
      <c r="P519">
        <v>0</v>
      </c>
    </row>
    <row r="520" spans="1:16" x14ac:dyDescent="0.25">
      <c r="A520" t="s">
        <v>772</v>
      </c>
      <c r="B520" t="s">
        <v>773</v>
      </c>
      <c r="C520">
        <v>6247</v>
      </c>
      <c r="D520" t="s">
        <v>38</v>
      </c>
      <c r="E520" t="s">
        <v>21</v>
      </c>
      <c r="F520">
        <v>46744</v>
      </c>
      <c r="G520" t="s">
        <v>4999</v>
      </c>
      <c r="H520" t="s">
        <v>4993</v>
      </c>
      <c r="I520">
        <v>4.4507000000000003</v>
      </c>
      <c r="J520" t="s">
        <v>5012</v>
      </c>
      <c r="K520" t="s">
        <v>4993</v>
      </c>
      <c r="L520">
        <v>213</v>
      </c>
      <c r="M520">
        <v>55</v>
      </c>
      <c r="N520" t="s">
        <v>5014</v>
      </c>
      <c r="O520">
        <v>0</v>
      </c>
      <c r="P520">
        <v>0</v>
      </c>
    </row>
    <row r="521" spans="1:16" x14ac:dyDescent="0.25">
      <c r="A521" t="s">
        <v>2054</v>
      </c>
      <c r="B521" t="s">
        <v>2055</v>
      </c>
      <c r="C521">
        <v>7050</v>
      </c>
      <c r="D521" t="s">
        <v>721</v>
      </c>
      <c r="E521" t="s">
        <v>201</v>
      </c>
      <c r="F521">
        <v>14123</v>
      </c>
      <c r="G521" t="s">
        <v>4999</v>
      </c>
      <c r="H521" t="s">
        <v>4993</v>
      </c>
      <c r="I521">
        <v>4.1542000000000003</v>
      </c>
      <c r="J521" t="s">
        <v>5012</v>
      </c>
      <c r="K521" t="s">
        <v>4993</v>
      </c>
      <c r="L521">
        <v>214</v>
      </c>
      <c r="M521">
        <v>10</v>
      </c>
      <c r="N521" t="s">
        <v>5013</v>
      </c>
      <c r="O521">
        <v>0</v>
      </c>
      <c r="P521">
        <v>0</v>
      </c>
    </row>
    <row r="522" spans="1:16" x14ac:dyDescent="0.25">
      <c r="A522" t="s">
        <v>2201</v>
      </c>
      <c r="B522" t="s">
        <v>2202</v>
      </c>
      <c r="C522">
        <v>6226</v>
      </c>
      <c r="D522" t="s">
        <v>843</v>
      </c>
      <c r="E522" t="s">
        <v>8</v>
      </c>
      <c r="F522">
        <v>12648</v>
      </c>
      <c r="G522" t="s">
        <v>4999</v>
      </c>
      <c r="H522" t="s">
        <v>4993</v>
      </c>
      <c r="I522">
        <v>4.2605000000000004</v>
      </c>
      <c r="J522" t="s">
        <v>5012</v>
      </c>
      <c r="K522" t="s">
        <v>4993</v>
      </c>
      <c r="L522">
        <v>215</v>
      </c>
      <c r="M522">
        <v>58</v>
      </c>
      <c r="N522" t="s">
        <v>5014</v>
      </c>
      <c r="O522">
        <v>0</v>
      </c>
      <c r="P522">
        <v>0</v>
      </c>
    </row>
    <row r="523" spans="1:16" x14ac:dyDescent="0.25">
      <c r="A523" t="s">
        <v>1901</v>
      </c>
      <c r="B523" t="s">
        <v>1902</v>
      </c>
      <c r="C523">
        <v>6377</v>
      </c>
      <c r="D523" t="s">
        <v>1903</v>
      </c>
      <c r="E523" t="s">
        <v>8</v>
      </c>
      <c r="F523">
        <v>15740</v>
      </c>
      <c r="G523" t="s">
        <v>4999</v>
      </c>
      <c r="H523" t="s">
        <v>4993</v>
      </c>
      <c r="I523">
        <v>4.4790999999999999</v>
      </c>
      <c r="J523" t="s">
        <v>5012</v>
      </c>
      <c r="K523" t="s">
        <v>4993</v>
      </c>
      <c r="L523">
        <v>215</v>
      </c>
      <c r="M523">
        <v>68</v>
      </c>
      <c r="N523" t="s">
        <v>5014</v>
      </c>
      <c r="O523">
        <v>0</v>
      </c>
      <c r="P523">
        <v>0</v>
      </c>
    </row>
    <row r="524" spans="1:16" x14ac:dyDescent="0.25">
      <c r="A524" t="s">
        <v>864</v>
      </c>
      <c r="B524" t="s">
        <v>865</v>
      </c>
      <c r="C524">
        <v>6341</v>
      </c>
      <c r="D524" t="s">
        <v>66</v>
      </c>
      <c r="E524" t="s">
        <v>8</v>
      </c>
      <c r="F524">
        <v>42037</v>
      </c>
      <c r="G524" t="s">
        <v>4999</v>
      </c>
      <c r="H524" t="s">
        <v>4993</v>
      </c>
      <c r="I524">
        <v>4.7534999999999998</v>
      </c>
      <c r="J524" t="s">
        <v>5012</v>
      </c>
      <c r="K524" t="s">
        <v>4993</v>
      </c>
      <c r="L524">
        <v>215</v>
      </c>
      <c r="M524">
        <v>39</v>
      </c>
      <c r="N524" t="s">
        <v>5015</v>
      </c>
      <c r="O524">
        <v>0</v>
      </c>
      <c r="P524">
        <v>0</v>
      </c>
    </row>
    <row r="525" spans="1:16" x14ac:dyDescent="0.25">
      <c r="A525" t="s">
        <v>1863</v>
      </c>
      <c r="B525" t="s">
        <v>1864</v>
      </c>
      <c r="C525">
        <v>6117</v>
      </c>
      <c r="D525" t="s">
        <v>229</v>
      </c>
      <c r="E525" t="s">
        <v>21</v>
      </c>
      <c r="F525">
        <v>16279</v>
      </c>
      <c r="G525" t="s">
        <v>4999</v>
      </c>
      <c r="H525" t="s">
        <v>4993</v>
      </c>
      <c r="I525">
        <v>4.2869999999999999</v>
      </c>
      <c r="J525" t="s">
        <v>5012</v>
      </c>
      <c r="K525" t="s">
        <v>4993</v>
      </c>
      <c r="L525">
        <v>216</v>
      </c>
      <c r="M525">
        <v>46</v>
      </c>
      <c r="N525" t="s">
        <v>5015</v>
      </c>
      <c r="O525">
        <v>0</v>
      </c>
      <c r="P525">
        <v>0</v>
      </c>
    </row>
    <row r="526" spans="1:16" x14ac:dyDescent="0.25">
      <c r="A526" t="s">
        <v>1845</v>
      </c>
      <c r="B526" t="s">
        <v>1846</v>
      </c>
      <c r="C526">
        <v>3728</v>
      </c>
      <c r="D526" t="s">
        <v>458</v>
      </c>
      <c r="E526" t="s">
        <v>149</v>
      </c>
      <c r="F526">
        <v>16592</v>
      </c>
      <c r="G526" t="s">
        <v>4999</v>
      </c>
      <c r="H526" t="s">
        <v>4993</v>
      </c>
      <c r="I526">
        <v>4.6912000000000003</v>
      </c>
      <c r="J526" t="s">
        <v>5012</v>
      </c>
      <c r="K526" t="s">
        <v>4993</v>
      </c>
      <c r="L526">
        <v>217</v>
      </c>
      <c r="M526">
        <v>65</v>
      </c>
      <c r="N526" t="s">
        <v>5014</v>
      </c>
      <c r="O526">
        <v>0</v>
      </c>
      <c r="P526">
        <v>0</v>
      </c>
    </row>
    <row r="527" spans="1:16" x14ac:dyDescent="0.25">
      <c r="A527" t="s">
        <v>1667</v>
      </c>
      <c r="B527" t="s">
        <v>1668</v>
      </c>
      <c r="C527">
        <v>6285</v>
      </c>
      <c r="D527" t="s">
        <v>119</v>
      </c>
      <c r="E527" t="s">
        <v>13</v>
      </c>
      <c r="F527">
        <v>18857</v>
      </c>
      <c r="G527" t="s">
        <v>4999</v>
      </c>
      <c r="H527" t="s">
        <v>4993</v>
      </c>
      <c r="I527">
        <v>4.1734999999999998</v>
      </c>
      <c r="J527" t="s">
        <v>5012</v>
      </c>
      <c r="K527" t="s">
        <v>4993</v>
      </c>
      <c r="L527">
        <v>219</v>
      </c>
      <c r="M527">
        <v>10.99</v>
      </c>
      <c r="N527" t="s">
        <v>5013</v>
      </c>
      <c r="O527">
        <v>0</v>
      </c>
      <c r="P527">
        <v>0</v>
      </c>
    </row>
    <row r="528" spans="1:16" x14ac:dyDescent="0.25">
      <c r="A528" t="s">
        <v>1171</v>
      </c>
      <c r="B528" t="s">
        <v>1172</v>
      </c>
      <c r="C528">
        <v>6041</v>
      </c>
      <c r="D528" t="s">
        <v>33</v>
      </c>
      <c r="E528" t="s">
        <v>8</v>
      </c>
      <c r="F528">
        <v>30103</v>
      </c>
      <c r="G528" t="s">
        <v>4999</v>
      </c>
      <c r="H528" t="s">
        <v>4993</v>
      </c>
      <c r="I528">
        <v>4.6483999999999996</v>
      </c>
      <c r="J528" t="s">
        <v>5012</v>
      </c>
      <c r="K528" t="s">
        <v>4993</v>
      </c>
      <c r="L528">
        <v>219</v>
      </c>
      <c r="M528">
        <v>62</v>
      </c>
      <c r="N528" t="s">
        <v>5014</v>
      </c>
      <c r="O528">
        <v>0</v>
      </c>
      <c r="P528">
        <v>0</v>
      </c>
    </row>
    <row r="529" spans="1:16" x14ac:dyDescent="0.25">
      <c r="A529" t="s">
        <v>1018</v>
      </c>
      <c r="B529" t="s">
        <v>1019</v>
      </c>
      <c r="C529">
        <v>6341</v>
      </c>
      <c r="D529" t="s">
        <v>66</v>
      </c>
      <c r="E529" t="s">
        <v>8</v>
      </c>
      <c r="F529">
        <v>36209</v>
      </c>
      <c r="G529" t="s">
        <v>4999</v>
      </c>
      <c r="H529" t="s">
        <v>4993</v>
      </c>
      <c r="I529">
        <v>4.5317999999999996</v>
      </c>
      <c r="J529" t="s">
        <v>5012</v>
      </c>
      <c r="K529" t="s">
        <v>4993</v>
      </c>
      <c r="L529">
        <v>220</v>
      </c>
      <c r="M529">
        <v>52</v>
      </c>
      <c r="N529" t="s">
        <v>5014</v>
      </c>
      <c r="O529">
        <v>0</v>
      </c>
      <c r="P529">
        <v>0</v>
      </c>
    </row>
    <row r="530" spans="1:16" x14ac:dyDescent="0.25">
      <c r="A530" t="s">
        <v>1443</v>
      </c>
      <c r="B530" t="s">
        <v>1444</v>
      </c>
      <c r="C530">
        <v>6742</v>
      </c>
      <c r="D530" t="s">
        <v>1445</v>
      </c>
      <c r="E530" t="s">
        <v>4</v>
      </c>
      <c r="F530">
        <v>23148</v>
      </c>
      <c r="G530" t="s">
        <v>4999</v>
      </c>
      <c r="H530" t="s">
        <v>4993</v>
      </c>
      <c r="I530">
        <v>4.0814000000000004</v>
      </c>
      <c r="J530" t="s">
        <v>5012</v>
      </c>
      <c r="K530" t="s">
        <v>4993</v>
      </c>
      <c r="L530">
        <v>221</v>
      </c>
      <c r="M530">
        <v>14</v>
      </c>
      <c r="N530" t="s">
        <v>5013</v>
      </c>
      <c r="O530">
        <v>0</v>
      </c>
      <c r="P530">
        <v>0</v>
      </c>
    </row>
    <row r="531" spans="1:16" x14ac:dyDescent="0.25">
      <c r="A531" t="s">
        <v>1765</v>
      </c>
      <c r="B531" t="s">
        <v>1766</v>
      </c>
      <c r="C531">
        <v>6347</v>
      </c>
      <c r="D531" t="s">
        <v>1767</v>
      </c>
      <c r="E531" t="s">
        <v>21</v>
      </c>
      <c r="F531">
        <v>17528</v>
      </c>
      <c r="G531" t="s">
        <v>4999</v>
      </c>
      <c r="H531" t="s">
        <v>4993</v>
      </c>
      <c r="I531">
        <v>4.3784000000000001</v>
      </c>
      <c r="J531" t="s">
        <v>5012</v>
      </c>
      <c r="K531" t="s">
        <v>4993</v>
      </c>
      <c r="L531">
        <v>222</v>
      </c>
      <c r="M531">
        <v>34</v>
      </c>
      <c r="N531" t="s">
        <v>5015</v>
      </c>
      <c r="O531">
        <v>0</v>
      </c>
      <c r="P531">
        <v>0</v>
      </c>
    </row>
    <row r="532" spans="1:16" x14ac:dyDescent="0.25">
      <c r="A532" t="s">
        <v>1753</v>
      </c>
      <c r="B532" t="s">
        <v>1754</v>
      </c>
      <c r="C532">
        <v>6218</v>
      </c>
      <c r="D532" t="s">
        <v>116</v>
      </c>
      <c r="E532" t="s">
        <v>21</v>
      </c>
      <c r="F532">
        <v>17721</v>
      </c>
      <c r="G532" t="s">
        <v>4999</v>
      </c>
      <c r="H532" t="s">
        <v>4993</v>
      </c>
      <c r="I532">
        <v>4.1395999999999997</v>
      </c>
      <c r="J532" t="s">
        <v>5012</v>
      </c>
      <c r="K532" t="s">
        <v>4993</v>
      </c>
      <c r="L532">
        <v>222</v>
      </c>
      <c r="M532">
        <v>55</v>
      </c>
      <c r="N532" t="s">
        <v>5014</v>
      </c>
      <c r="O532">
        <v>0</v>
      </c>
      <c r="P532">
        <v>0</v>
      </c>
    </row>
    <row r="533" spans="1:16" x14ac:dyDescent="0.25">
      <c r="A533" t="s">
        <v>2122</v>
      </c>
      <c r="B533" t="s">
        <v>2123</v>
      </c>
      <c r="C533">
        <v>6357</v>
      </c>
      <c r="D533" t="s">
        <v>876</v>
      </c>
      <c r="E533" t="s">
        <v>8</v>
      </c>
      <c r="F533">
        <v>13387</v>
      </c>
      <c r="G533" t="s">
        <v>4999</v>
      </c>
      <c r="H533" t="s">
        <v>4993</v>
      </c>
      <c r="I533">
        <v>4.7545000000000002</v>
      </c>
      <c r="J533" t="s">
        <v>5012</v>
      </c>
      <c r="K533" t="s">
        <v>4993</v>
      </c>
      <c r="L533">
        <v>224</v>
      </c>
      <c r="M533">
        <v>48</v>
      </c>
      <c r="N533" t="s">
        <v>5015</v>
      </c>
      <c r="O533">
        <v>0</v>
      </c>
      <c r="P533">
        <v>0</v>
      </c>
    </row>
    <row r="534" spans="1:16" x14ac:dyDescent="0.25">
      <c r="A534" t="s">
        <v>2032</v>
      </c>
      <c r="B534" t="s">
        <v>2033</v>
      </c>
      <c r="C534">
        <v>5644</v>
      </c>
      <c r="D534" t="s">
        <v>158</v>
      </c>
      <c r="E534" t="s">
        <v>21</v>
      </c>
      <c r="F534">
        <v>14373</v>
      </c>
      <c r="G534" t="s">
        <v>4999</v>
      </c>
      <c r="H534" t="s">
        <v>4993</v>
      </c>
      <c r="I534">
        <v>4.2187999999999999</v>
      </c>
      <c r="J534" t="s">
        <v>5012</v>
      </c>
      <c r="K534" t="s">
        <v>4993</v>
      </c>
      <c r="L534">
        <v>224</v>
      </c>
      <c r="M534">
        <v>66</v>
      </c>
      <c r="N534" t="s">
        <v>5014</v>
      </c>
      <c r="O534">
        <v>0</v>
      </c>
      <c r="P534">
        <v>0</v>
      </c>
    </row>
    <row r="535" spans="1:16" x14ac:dyDescent="0.25">
      <c r="A535" t="s">
        <v>1358</v>
      </c>
      <c r="B535" t="s">
        <v>1359</v>
      </c>
      <c r="C535">
        <v>6218</v>
      </c>
      <c r="D535" t="s">
        <v>116</v>
      </c>
      <c r="E535" t="s">
        <v>13</v>
      </c>
      <c r="F535">
        <v>24814</v>
      </c>
      <c r="G535" t="s">
        <v>4999</v>
      </c>
      <c r="H535" t="s">
        <v>4993</v>
      </c>
      <c r="I535">
        <v>4.2843999999999998</v>
      </c>
      <c r="J535" t="s">
        <v>5012</v>
      </c>
      <c r="K535" t="s">
        <v>4993</v>
      </c>
      <c r="L535">
        <v>225</v>
      </c>
      <c r="M535">
        <v>35</v>
      </c>
      <c r="N535" t="s">
        <v>5015</v>
      </c>
      <c r="O535">
        <v>0</v>
      </c>
      <c r="P535">
        <v>0</v>
      </c>
    </row>
    <row r="536" spans="1:16" x14ac:dyDescent="0.25">
      <c r="A536" t="s">
        <v>1196</v>
      </c>
      <c r="B536" t="s">
        <v>1197</v>
      </c>
      <c r="C536">
        <v>6218</v>
      </c>
      <c r="D536" t="s">
        <v>116</v>
      </c>
      <c r="E536" t="s">
        <v>69</v>
      </c>
      <c r="F536">
        <v>29217</v>
      </c>
      <c r="G536" t="s">
        <v>4999</v>
      </c>
      <c r="H536" t="s">
        <v>4993</v>
      </c>
      <c r="I536">
        <v>4.5461</v>
      </c>
      <c r="J536" t="s">
        <v>5012</v>
      </c>
      <c r="K536" t="s">
        <v>4993</v>
      </c>
      <c r="L536">
        <v>434</v>
      </c>
      <c r="M536">
        <v>45</v>
      </c>
      <c r="N536" t="s">
        <v>5015</v>
      </c>
      <c r="O536">
        <v>0</v>
      </c>
      <c r="P536">
        <v>0</v>
      </c>
    </row>
    <row r="537" spans="1:16" x14ac:dyDescent="0.25">
      <c r="A537" t="s">
        <v>1525</v>
      </c>
      <c r="B537" t="s">
        <v>1526</v>
      </c>
      <c r="C537">
        <v>6323</v>
      </c>
      <c r="D537" t="s">
        <v>1527</v>
      </c>
      <c r="E537" t="s">
        <v>21</v>
      </c>
      <c r="F537">
        <v>21558</v>
      </c>
      <c r="G537" t="s">
        <v>4999</v>
      </c>
      <c r="H537" t="s">
        <v>4993</v>
      </c>
      <c r="I537">
        <v>4.6902999999999997</v>
      </c>
      <c r="J537" t="s">
        <v>5012</v>
      </c>
      <c r="K537" t="s">
        <v>4993</v>
      </c>
      <c r="L537">
        <v>226</v>
      </c>
      <c r="M537">
        <v>60</v>
      </c>
      <c r="N537" t="s">
        <v>5014</v>
      </c>
      <c r="O537">
        <v>0</v>
      </c>
      <c r="P537">
        <v>0</v>
      </c>
    </row>
    <row r="538" spans="1:16" x14ac:dyDescent="0.25">
      <c r="A538" t="s">
        <v>1162</v>
      </c>
      <c r="B538" t="s">
        <v>1163</v>
      </c>
      <c r="C538">
        <v>6285</v>
      </c>
      <c r="D538" t="s">
        <v>119</v>
      </c>
      <c r="E538" t="s">
        <v>69</v>
      </c>
      <c r="F538">
        <v>30744</v>
      </c>
      <c r="G538" t="s">
        <v>4999</v>
      </c>
      <c r="H538" t="s">
        <v>4993</v>
      </c>
      <c r="I538">
        <v>4.3083999999999998</v>
      </c>
      <c r="J538" t="s">
        <v>5012</v>
      </c>
      <c r="K538" t="s">
        <v>4993</v>
      </c>
      <c r="L538">
        <v>227</v>
      </c>
      <c r="M538">
        <v>7.49</v>
      </c>
      <c r="N538" t="s">
        <v>5013</v>
      </c>
      <c r="O538">
        <v>0</v>
      </c>
      <c r="P538">
        <v>0</v>
      </c>
    </row>
    <row r="539" spans="1:16" x14ac:dyDescent="0.25">
      <c r="A539" t="s">
        <v>2001</v>
      </c>
      <c r="B539" t="s">
        <v>2002</v>
      </c>
      <c r="C539">
        <v>6247</v>
      </c>
      <c r="D539" t="s">
        <v>38</v>
      </c>
      <c r="E539" t="s">
        <v>8</v>
      </c>
      <c r="F539">
        <v>14766</v>
      </c>
      <c r="G539" t="s">
        <v>4999</v>
      </c>
      <c r="H539" t="s">
        <v>4993</v>
      </c>
      <c r="I539">
        <v>4.7587999999999999</v>
      </c>
      <c r="J539" t="s">
        <v>5012</v>
      </c>
      <c r="K539" t="s">
        <v>4993</v>
      </c>
      <c r="L539">
        <v>228</v>
      </c>
      <c r="M539">
        <v>69</v>
      </c>
      <c r="N539" t="s">
        <v>5014</v>
      </c>
      <c r="O539">
        <v>1</v>
      </c>
      <c r="P539">
        <v>0</v>
      </c>
    </row>
    <row r="540" spans="1:16" x14ac:dyDescent="0.25">
      <c r="A540" t="s">
        <v>1624</v>
      </c>
      <c r="B540" t="s">
        <v>1625</v>
      </c>
      <c r="C540">
        <v>6316</v>
      </c>
      <c r="D540" t="s">
        <v>563</v>
      </c>
      <c r="E540" t="s">
        <v>8</v>
      </c>
      <c r="F540">
        <v>19684</v>
      </c>
      <c r="G540" t="s">
        <v>4999</v>
      </c>
      <c r="H540" t="s">
        <v>4993</v>
      </c>
      <c r="I540">
        <v>4.6105999999999998</v>
      </c>
      <c r="J540" t="s">
        <v>5012</v>
      </c>
      <c r="K540" t="s">
        <v>4993</v>
      </c>
      <c r="L540">
        <v>434</v>
      </c>
      <c r="M540">
        <v>47</v>
      </c>
      <c r="N540" t="s">
        <v>5015</v>
      </c>
      <c r="O540">
        <v>0</v>
      </c>
      <c r="P540">
        <v>0</v>
      </c>
    </row>
    <row r="541" spans="1:16" x14ac:dyDescent="0.25">
      <c r="A541" t="s">
        <v>1564</v>
      </c>
      <c r="B541" t="s">
        <v>1565</v>
      </c>
      <c r="C541">
        <v>6014</v>
      </c>
      <c r="D541" t="s">
        <v>102</v>
      </c>
      <c r="E541" t="s">
        <v>149</v>
      </c>
      <c r="F541">
        <v>20885</v>
      </c>
      <c r="G541" t="s">
        <v>4999</v>
      </c>
      <c r="H541" t="s">
        <v>4993</v>
      </c>
      <c r="I541">
        <v>4.5472999999999999</v>
      </c>
      <c r="J541" t="s">
        <v>5012</v>
      </c>
      <c r="K541" t="s">
        <v>4993</v>
      </c>
      <c r="L541">
        <v>433</v>
      </c>
      <c r="M541">
        <v>40</v>
      </c>
      <c r="N541" t="s">
        <v>5015</v>
      </c>
      <c r="O541">
        <v>0</v>
      </c>
      <c r="P541">
        <v>0</v>
      </c>
    </row>
    <row r="542" spans="1:16" x14ac:dyDescent="0.25">
      <c r="A542" t="s">
        <v>2312</v>
      </c>
      <c r="B542" t="s">
        <v>2313</v>
      </c>
      <c r="C542">
        <v>7037</v>
      </c>
      <c r="D542" t="s">
        <v>1718</v>
      </c>
      <c r="E542" t="s">
        <v>347</v>
      </c>
      <c r="F542">
        <v>11753</v>
      </c>
      <c r="G542" t="s">
        <v>4999</v>
      </c>
      <c r="H542" t="s">
        <v>4993</v>
      </c>
      <c r="I542">
        <v>4.4236000000000004</v>
      </c>
      <c r="J542" t="s">
        <v>5012</v>
      </c>
      <c r="K542" t="s">
        <v>4993</v>
      </c>
      <c r="L542">
        <v>229</v>
      </c>
      <c r="M542">
        <v>329</v>
      </c>
      <c r="N542" t="s">
        <v>5014</v>
      </c>
      <c r="O542">
        <v>0</v>
      </c>
      <c r="P542">
        <v>0</v>
      </c>
    </row>
    <row r="543" spans="1:16" x14ac:dyDescent="0.25">
      <c r="A543" t="s">
        <v>1394</v>
      </c>
      <c r="B543" t="s">
        <v>1395</v>
      </c>
      <c r="C543">
        <v>5668</v>
      </c>
      <c r="D543" t="s">
        <v>93</v>
      </c>
      <c r="E543" t="s">
        <v>8</v>
      </c>
      <c r="F543">
        <v>24244</v>
      </c>
      <c r="G543" t="s">
        <v>4999</v>
      </c>
      <c r="H543" t="s">
        <v>4993</v>
      </c>
      <c r="I543">
        <v>4.556</v>
      </c>
      <c r="J543" t="s">
        <v>5012</v>
      </c>
      <c r="K543" t="s">
        <v>4993</v>
      </c>
      <c r="L543">
        <v>232</v>
      </c>
      <c r="M543">
        <v>85</v>
      </c>
      <c r="N543" t="s">
        <v>5014</v>
      </c>
      <c r="O543">
        <v>0</v>
      </c>
      <c r="P543">
        <v>0</v>
      </c>
    </row>
    <row r="544" spans="1:16" x14ac:dyDescent="0.25">
      <c r="A544" t="s">
        <v>1016</v>
      </c>
      <c r="B544" t="s">
        <v>1017</v>
      </c>
      <c r="C544">
        <v>6289</v>
      </c>
      <c r="D544" t="s">
        <v>111</v>
      </c>
      <c r="E544" t="s">
        <v>13</v>
      </c>
      <c r="F544">
        <v>36209</v>
      </c>
      <c r="G544" t="s">
        <v>4999</v>
      </c>
      <c r="H544" t="s">
        <v>4993</v>
      </c>
      <c r="I544">
        <v>4.5648</v>
      </c>
      <c r="J544" t="s">
        <v>5012</v>
      </c>
      <c r="K544" t="s">
        <v>4993</v>
      </c>
      <c r="L544">
        <v>432</v>
      </c>
      <c r="M544">
        <v>35</v>
      </c>
      <c r="N544" t="s">
        <v>5015</v>
      </c>
      <c r="O544">
        <v>0</v>
      </c>
      <c r="P544">
        <v>0</v>
      </c>
    </row>
    <row r="545" spans="1:16" x14ac:dyDescent="0.25">
      <c r="A545" t="s">
        <v>1000</v>
      </c>
      <c r="B545" t="s">
        <v>1001</v>
      </c>
      <c r="C545">
        <v>6341</v>
      </c>
      <c r="D545" t="s">
        <v>66</v>
      </c>
      <c r="E545" t="s">
        <v>13</v>
      </c>
      <c r="F545">
        <v>37158</v>
      </c>
      <c r="G545" t="s">
        <v>4999</v>
      </c>
      <c r="H545" t="s">
        <v>4993</v>
      </c>
      <c r="I545">
        <v>4.7300000000000004</v>
      </c>
      <c r="J545" t="s">
        <v>5012</v>
      </c>
      <c r="K545" t="s">
        <v>4993</v>
      </c>
      <c r="L545">
        <v>237</v>
      </c>
      <c r="M545">
        <v>26</v>
      </c>
      <c r="N545" t="s">
        <v>5015</v>
      </c>
      <c r="O545">
        <v>0</v>
      </c>
      <c r="P545">
        <v>0</v>
      </c>
    </row>
    <row r="546" spans="1:16" x14ac:dyDescent="0.25">
      <c r="A546" t="s">
        <v>967</v>
      </c>
      <c r="B546" t="s">
        <v>968</v>
      </c>
      <c r="C546">
        <v>3902</v>
      </c>
      <c r="D546" t="s">
        <v>72</v>
      </c>
      <c r="E546" t="s">
        <v>347</v>
      </c>
      <c r="F546">
        <v>38239</v>
      </c>
      <c r="G546" t="s">
        <v>4999</v>
      </c>
      <c r="H546" t="s">
        <v>4993</v>
      </c>
      <c r="I546">
        <v>4.4725999999999999</v>
      </c>
      <c r="J546" t="s">
        <v>5012</v>
      </c>
      <c r="K546" t="s">
        <v>4993</v>
      </c>
      <c r="L546">
        <v>237</v>
      </c>
      <c r="M546">
        <v>18</v>
      </c>
      <c r="N546" t="s">
        <v>5013</v>
      </c>
      <c r="O546">
        <v>0</v>
      </c>
      <c r="P546">
        <v>0</v>
      </c>
    </row>
    <row r="547" spans="1:16" x14ac:dyDescent="0.25">
      <c r="A547" t="s">
        <v>1719</v>
      </c>
      <c r="B547" t="s">
        <v>1720</v>
      </c>
      <c r="C547">
        <v>6014</v>
      </c>
      <c r="D547" t="s">
        <v>102</v>
      </c>
      <c r="E547" t="s">
        <v>8</v>
      </c>
      <c r="F547">
        <v>17936</v>
      </c>
      <c r="G547" t="s">
        <v>4999</v>
      </c>
      <c r="H547" t="s">
        <v>4993</v>
      </c>
      <c r="I547">
        <v>4.1694000000000004</v>
      </c>
      <c r="J547" t="s">
        <v>5012</v>
      </c>
      <c r="K547" t="s">
        <v>4993</v>
      </c>
      <c r="L547">
        <v>431</v>
      </c>
      <c r="M547">
        <v>45</v>
      </c>
      <c r="N547" t="s">
        <v>5015</v>
      </c>
      <c r="O547">
        <v>0</v>
      </c>
      <c r="P547">
        <v>0</v>
      </c>
    </row>
    <row r="548" spans="1:16" x14ac:dyDescent="0.25">
      <c r="A548" t="s">
        <v>2350</v>
      </c>
      <c r="B548" t="s">
        <v>2351</v>
      </c>
      <c r="C548">
        <v>6356</v>
      </c>
      <c r="D548" t="s">
        <v>1885</v>
      </c>
      <c r="E548" t="s">
        <v>21</v>
      </c>
      <c r="F548">
        <v>11428</v>
      </c>
      <c r="G548" t="s">
        <v>4999</v>
      </c>
      <c r="H548" t="s">
        <v>4993</v>
      </c>
      <c r="I548">
        <v>4.3605</v>
      </c>
      <c r="J548" t="s">
        <v>5012</v>
      </c>
      <c r="K548" t="s">
        <v>4993</v>
      </c>
      <c r="L548">
        <v>430</v>
      </c>
      <c r="M548">
        <v>180</v>
      </c>
      <c r="N548" t="s">
        <v>5014</v>
      </c>
      <c r="O548">
        <v>0</v>
      </c>
      <c r="P548">
        <v>0</v>
      </c>
    </row>
    <row r="549" spans="1:16" x14ac:dyDescent="0.25">
      <c r="A549" t="s">
        <v>2448</v>
      </c>
      <c r="B549" t="s">
        <v>2449</v>
      </c>
      <c r="C549">
        <v>6018</v>
      </c>
      <c r="D549" t="s">
        <v>517</v>
      </c>
      <c r="E549" t="s">
        <v>21</v>
      </c>
      <c r="F549">
        <v>10578</v>
      </c>
      <c r="G549" t="s">
        <v>4999</v>
      </c>
      <c r="H549" t="s">
        <v>4993</v>
      </c>
      <c r="I549">
        <v>4.3807999999999998</v>
      </c>
      <c r="J549" t="s">
        <v>5012</v>
      </c>
      <c r="K549" t="s">
        <v>4993</v>
      </c>
      <c r="L549">
        <v>239</v>
      </c>
      <c r="M549">
        <v>94</v>
      </c>
      <c r="N549" t="s">
        <v>5014</v>
      </c>
      <c r="O549">
        <v>0</v>
      </c>
      <c r="P549">
        <v>0</v>
      </c>
    </row>
    <row r="550" spans="1:16" x14ac:dyDescent="0.25">
      <c r="A550" t="s">
        <v>1626</v>
      </c>
      <c r="B550" t="s">
        <v>1627</v>
      </c>
      <c r="C550">
        <v>7083</v>
      </c>
      <c r="D550" t="s">
        <v>20</v>
      </c>
      <c r="E550" t="s">
        <v>149</v>
      </c>
      <c r="F550">
        <v>19664</v>
      </c>
      <c r="G550" t="s">
        <v>4999</v>
      </c>
      <c r="H550" t="s">
        <v>4993</v>
      </c>
      <c r="I550">
        <v>4.3971999999999998</v>
      </c>
      <c r="J550" t="s">
        <v>5012</v>
      </c>
      <c r="K550" t="s">
        <v>4993</v>
      </c>
      <c r="L550">
        <v>428</v>
      </c>
      <c r="M550">
        <v>60</v>
      </c>
      <c r="N550" t="s">
        <v>5014</v>
      </c>
      <c r="O550">
        <v>0</v>
      </c>
      <c r="P550">
        <v>1</v>
      </c>
    </row>
    <row r="551" spans="1:16" x14ac:dyDescent="0.25">
      <c r="A551" t="s">
        <v>1412</v>
      </c>
      <c r="B551" t="s">
        <v>1413</v>
      </c>
      <c r="C551">
        <v>5668</v>
      </c>
      <c r="D551" t="s">
        <v>93</v>
      </c>
      <c r="E551" t="s">
        <v>8</v>
      </c>
      <c r="F551">
        <v>23751</v>
      </c>
      <c r="G551" t="s">
        <v>4999</v>
      </c>
      <c r="H551" t="s">
        <v>4993</v>
      </c>
      <c r="I551">
        <v>4.3388999999999998</v>
      </c>
      <c r="J551" t="s">
        <v>5012</v>
      </c>
      <c r="K551" t="s">
        <v>4993</v>
      </c>
      <c r="L551">
        <v>239</v>
      </c>
      <c r="M551">
        <v>20</v>
      </c>
      <c r="N551" t="s">
        <v>5015</v>
      </c>
      <c r="O551">
        <v>0</v>
      </c>
      <c r="P551">
        <v>0</v>
      </c>
    </row>
    <row r="552" spans="1:16" x14ac:dyDescent="0.25">
      <c r="A552" t="s">
        <v>2059</v>
      </c>
      <c r="B552" t="s">
        <v>2060</v>
      </c>
      <c r="C552">
        <v>4171</v>
      </c>
      <c r="D552" t="s">
        <v>133</v>
      </c>
      <c r="E552" t="s">
        <v>21</v>
      </c>
      <c r="F552">
        <v>14020</v>
      </c>
      <c r="G552" t="s">
        <v>4999</v>
      </c>
      <c r="H552" t="s">
        <v>4993</v>
      </c>
      <c r="I552">
        <v>4.4667000000000003</v>
      </c>
      <c r="J552" t="s">
        <v>5012</v>
      </c>
      <c r="K552" t="s">
        <v>4993</v>
      </c>
      <c r="L552">
        <v>240</v>
      </c>
      <c r="M552">
        <v>69</v>
      </c>
      <c r="N552" t="s">
        <v>5014</v>
      </c>
      <c r="O552">
        <v>0</v>
      </c>
      <c r="P552">
        <v>0</v>
      </c>
    </row>
    <row r="553" spans="1:16" x14ac:dyDescent="0.25">
      <c r="A553" t="s">
        <v>1604</v>
      </c>
      <c r="B553" t="s">
        <v>1605</v>
      </c>
      <c r="C553">
        <v>6289</v>
      </c>
      <c r="D553" t="s">
        <v>111</v>
      </c>
      <c r="E553" t="s">
        <v>69</v>
      </c>
      <c r="F553">
        <v>19905</v>
      </c>
      <c r="G553" t="s">
        <v>4999</v>
      </c>
      <c r="H553" t="s">
        <v>4993</v>
      </c>
      <c r="I553">
        <v>4.1577000000000002</v>
      </c>
      <c r="J553" t="s">
        <v>5012</v>
      </c>
      <c r="K553" t="s">
        <v>4993</v>
      </c>
      <c r="L553">
        <v>241</v>
      </c>
      <c r="M553">
        <v>52</v>
      </c>
      <c r="N553" t="s">
        <v>5014</v>
      </c>
      <c r="O553">
        <v>0</v>
      </c>
      <c r="P553">
        <v>0</v>
      </c>
    </row>
    <row r="554" spans="1:16" x14ac:dyDescent="0.25">
      <c r="A554" t="s">
        <v>1602</v>
      </c>
      <c r="B554" t="s">
        <v>1603</v>
      </c>
      <c r="C554">
        <v>3902</v>
      </c>
      <c r="D554" t="s">
        <v>72</v>
      </c>
      <c r="E554" t="s">
        <v>347</v>
      </c>
      <c r="F554">
        <v>19958</v>
      </c>
      <c r="G554" t="s">
        <v>4999</v>
      </c>
      <c r="H554" t="s">
        <v>4993</v>
      </c>
      <c r="I554">
        <v>4.3651</v>
      </c>
      <c r="J554" t="s">
        <v>5012</v>
      </c>
      <c r="K554" t="s">
        <v>4993</v>
      </c>
      <c r="L554">
        <v>241</v>
      </c>
      <c r="M554">
        <v>14</v>
      </c>
      <c r="N554" t="s">
        <v>5013</v>
      </c>
      <c r="O554">
        <v>0</v>
      </c>
      <c r="P554">
        <v>0</v>
      </c>
    </row>
    <row r="555" spans="1:16" x14ac:dyDescent="0.25">
      <c r="A555" t="s">
        <v>1590</v>
      </c>
      <c r="B555" t="s">
        <v>1591</v>
      </c>
      <c r="C555">
        <v>3902</v>
      </c>
      <c r="D555" t="s">
        <v>72</v>
      </c>
      <c r="E555" t="s">
        <v>8</v>
      </c>
      <c r="F555">
        <v>20307</v>
      </c>
      <c r="G555" t="s">
        <v>4999</v>
      </c>
      <c r="H555" t="s">
        <v>4993</v>
      </c>
      <c r="I555">
        <v>4.8299000000000003</v>
      </c>
      <c r="J555" t="s">
        <v>5012</v>
      </c>
      <c r="K555" t="s">
        <v>4993</v>
      </c>
      <c r="L555">
        <v>241</v>
      </c>
      <c r="M555">
        <v>18</v>
      </c>
      <c r="N555" t="s">
        <v>5013</v>
      </c>
      <c r="O555">
        <v>0</v>
      </c>
      <c r="P555">
        <v>0</v>
      </c>
    </row>
    <row r="556" spans="1:16" x14ac:dyDescent="0.25">
      <c r="A556" t="s">
        <v>1380</v>
      </c>
      <c r="B556" t="s">
        <v>1381</v>
      </c>
      <c r="C556">
        <v>5644</v>
      </c>
      <c r="D556" t="s">
        <v>158</v>
      </c>
      <c r="E556" t="s">
        <v>149</v>
      </c>
      <c r="F556">
        <v>24532</v>
      </c>
      <c r="G556" t="s">
        <v>4999</v>
      </c>
      <c r="H556" t="s">
        <v>4993</v>
      </c>
      <c r="I556">
        <v>4.6390000000000002</v>
      </c>
      <c r="J556" t="s">
        <v>5012</v>
      </c>
      <c r="K556" t="s">
        <v>4993</v>
      </c>
      <c r="L556">
        <v>241</v>
      </c>
      <c r="M556">
        <v>58</v>
      </c>
      <c r="N556" t="s">
        <v>5014</v>
      </c>
      <c r="O556">
        <v>0</v>
      </c>
      <c r="P556">
        <v>0</v>
      </c>
    </row>
    <row r="557" spans="1:16" x14ac:dyDescent="0.25">
      <c r="A557" t="s">
        <v>1301</v>
      </c>
      <c r="B557" t="s">
        <v>1302</v>
      </c>
      <c r="C557">
        <v>6117</v>
      </c>
      <c r="D557" t="s">
        <v>229</v>
      </c>
      <c r="E557" t="s">
        <v>21</v>
      </c>
      <c r="F557">
        <v>26322</v>
      </c>
      <c r="G557" t="s">
        <v>4999</v>
      </c>
      <c r="H557" t="s">
        <v>4993</v>
      </c>
      <c r="I557">
        <v>4.3526999999999996</v>
      </c>
      <c r="J557" t="s">
        <v>5012</v>
      </c>
      <c r="K557" t="s">
        <v>4993</v>
      </c>
      <c r="L557">
        <v>241</v>
      </c>
      <c r="M557">
        <v>74</v>
      </c>
      <c r="N557" t="s">
        <v>5014</v>
      </c>
      <c r="O557">
        <v>0</v>
      </c>
      <c r="P557">
        <v>0</v>
      </c>
    </row>
    <row r="558" spans="1:16" x14ac:dyDescent="0.25">
      <c r="A558" t="s">
        <v>1877</v>
      </c>
      <c r="B558" t="s">
        <v>1878</v>
      </c>
      <c r="C558">
        <v>6209</v>
      </c>
      <c r="D558" t="s">
        <v>45</v>
      </c>
      <c r="E558" t="s">
        <v>13</v>
      </c>
      <c r="F558">
        <v>16182</v>
      </c>
      <c r="G558" t="s">
        <v>4999</v>
      </c>
      <c r="H558" t="s">
        <v>4993</v>
      </c>
      <c r="I558">
        <v>4.5597000000000003</v>
      </c>
      <c r="J558" t="s">
        <v>5012</v>
      </c>
      <c r="K558" t="s">
        <v>4993</v>
      </c>
      <c r="L558">
        <v>243</v>
      </c>
      <c r="M558">
        <v>22</v>
      </c>
      <c r="N558" t="s">
        <v>5015</v>
      </c>
      <c r="O558">
        <v>0</v>
      </c>
      <c r="P558">
        <v>0</v>
      </c>
    </row>
    <row r="559" spans="1:16" x14ac:dyDescent="0.25">
      <c r="A559" t="s">
        <v>1558</v>
      </c>
      <c r="B559" t="s">
        <v>1559</v>
      </c>
      <c r="C559">
        <v>4171</v>
      </c>
      <c r="D559" t="s">
        <v>133</v>
      </c>
      <c r="E559" t="s">
        <v>21</v>
      </c>
      <c r="F559">
        <v>20963</v>
      </c>
      <c r="G559" t="s">
        <v>4999</v>
      </c>
      <c r="H559" t="s">
        <v>4993</v>
      </c>
      <c r="I559">
        <v>4.6379000000000001</v>
      </c>
      <c r="J559" t="s">
        <v>5012</v>
      </c>
      <c r="K559" t="s">
        <v>4993</v>
      </c>
      <c r="L559">
        <v>243</v>
      </c>
      <c r="M559">
        <v>129</v>
      </c>
      <c r="N559" t="s">
        <v>5014</v>
      </c>
      <c r="O559">
        <v>0</v>
      </c>
      <c r="P559">
        <v>0</v>
      </c>
    </row>
    <row r="560" spans="1:16" x14ac:dyDescent="0.25">
      <c r="A560" t="s">
        <v>1640</v>
      </c>
      <c r="B560" t="s">
        <v>1641</v>
      </c>
      <c r="C560">
        <v>1254</v>
      </c>
      <c r="D560" t="s">
        <v>136</v>
      </c>
      <c r="E560" t="s">
        <v>21</v>
      </c>
      <c r="F560">
        <v>19480</v>
      </c>
      <c r="G560" t="s">
        <v>4999</v>
      </c>
      <c r="H560" t="s">
        <v>4993</v>
      </c>
      <c r="I560">
        <v>4.0246000000000004</v>
      </c>
      <c r="J560" t="s">
        <v>5012</v>
      </c>
      <c r="K560" t="s">
        <v>4993</v>
      </c>
      <c r="L560">
        <v>244</v>
      </c>
      <c r="M560">
        <v>44</v>
      </c>
      <c r="N560" t="s">
        <v>5015</v>
      </c>
      <c r="O560">
        <v>0</v>
      </c>
      <c r="P560">
        <v>0</v>
      </c>
    </row>
    <row r="561" spans="1:16" x14ac:dyDescent="0.25">
      <c r="A561" t="s">
        <v>831</v>
      </c>
      <c r="B561" t="s">
        <v>832</v>
      </c>
      <c r="C561">
        <v>6234</v>
      </c>
      <c r="D561" t="s">
        <v>7</v>
      </c>
      <c r="E561" t="s">
        <v>8</v>
      </c>
      <c r="F561">
        <v>43421</v>
      </c>
      <c r="G561" t="s">
        <v>4999</v>
      </c>
      <c r="H561" t="s">
        <v>4993</v>
      </c>
      <c r="I561">
        <v>4.2089999999999996</v>
      </c>
      <c r="J561" t="s">
        <v>5012</v>
      </c>
      <c r="K561" t="s">
        <v>4993</v>
      </c>
      <c r="L561">
        <v>244</v>
      </c>
      <c r="M561">
        <v>8.9</v>
      </c>
      <c r="N561" t="s">
        <v>5013</v>
      </c>
      <c r="O561">
        <v>0</v>
      </c>
      <c r="P561">
        <v>0</v>
      </c>
    </row>
    <row r="562" spans="1:16" x14ac:dyDescent="0.25">
      <c r="A562" t="s">
        <v>2438</v>
      </c>
      <c r="B562" t="s">
        <v>2439</v>
      </c>
      <c r="C562">
        <v>6018</v>
      </c>
      <c r="D562" t="s">
        <v>517</v>
      </c>
      <c r="E562" t="s">
        <v>21</v>
      </c>
      <c r="F562">
        <v>10676</v>
      </c>
      <c r="G562" t="s">
        <v>4999</v>
      </c>
      <c r="H562" t="s">
        <v>4993</v>
      </c>
      <c r="I562">
        <v>4.4531000000000001</v>
      </c>
      <c r="J562" t="s">
        <v>5012</v>
      </c>
      <c r="K562" t="s">
        <v>4993</v>
      </c>
      <c r="L562">
        <v>245</v>
      </c>
      <c r="M562">
        <v>82</v>
      </c>
      <c r="N562" t="s">
        <v>5014</v>
      </c>
      <c r="O562">
        <v>0</v>
      </c>
      <c r="P562">
        <v>0</v>
      </c>
    </row>
    <row r="563" spans="1:16" x14ac:dyDescent="0.25">
      <c r="A563" t="s">
        <v>722</v>
      </c>
      <c r="B563" t="s">
        <v>723</v>
      </c>
      <c r="C563">
        <v>6234</v>
      </c>
      <c r="D563" t="s">
        <v>7</v>
      </c>
      <c r="E563" t="s">
        <v>21</v>
      </c>
      <c r="F563">
        <v>49358</v>
      </c>
      <c r="G563" t="s">
        <v>4999</v>
      </c>
      <c r="H563" t="s">
        <v>4993</v>
      </c>
      <c r="I563">
        <v>4.2286000000000001</v>
      </c>
      <c r="J563" t="s">
        <v>5012</v>
      </c>
      <c r="K563" t="s">
        <v>4993</v>
      </c>
      <c r="L563">
        <v>245</v>
      </c>
      <c r="M563">
        <v>11.1</v>
      </c>
      <c r="N563" t="s">
        <v>5013</v>
      </c>
      <c r="O563">
        <v>0</v>
      </c>
      <c r="P563">
        <v>1</v>
      </c>
    </row>
    <row r="564" spans="1:16" x14ac:dyDescent="0.25">
      <c r="A564" t="s">
        <v>2291</v>
      </c>
      <c r="B564" t="s">
        <v>2292</v>
      </c>
      <c r="C564">
        <v>7050</v>
      </c>
      <c r="D564" t="s">
        <v>721</v>
      </c>
      <c r="E564" t="s">
        <v>201</v>
      </c>
      <c r="F564">
        <v>11891</v>
      </c>
      <c r="G564" t="s">
        <v>4999</v>
      </c>
      <c r="H564" t="s">
        <v>4993</v>
      </c>
      <c r="I564">
        <v>4.1902999999999997</v>
      </c>
      <c r="J564" t="s">
        <v>5012</v>
      </c>
      <c r="K564" t="s">
        <v>4993</v>
      </c>
      <c r="L564">
        <v>247</v>
      </c>
      <c r="M564">
        <v>39</v>
      </c>
      <c r="N564" t="s">
        <v>5015</v>
      </c>
      <c r="O564">
        <v>0</v>
      </c>
      <c r="P564">
        <v>0</v>
      </c>
    </row>
    <row r="565" spans="1:16" x14ac:dyDescent="0.25">
      <c r="A565" t="s">
        <v>1962</v>
      </c>
      <c r="B565" t="s">
        <v>1963</v>
      </c>
      <c r="C565">
        <v>5668</v>
      </c>
      <c r="D565" t="s">
        <v>93</v>
      </c>
      <c r="E565" t="s">
        <v>8</v>
      </c>
      <c r="F565">
        <v>15061</v>
      </c>
      <c r="G565" t="s">
        <v>4999</v>
      </c>
      <c r="H565" t="s">
        <v>4993</v>
      </c>
      <c r="I565">
        <v>4.7286999999999999</v>
      </c>
      <c r="J565" t="s">
        <v>5012</v>
      </c>
      <c r="K565" t="s">
        <v>4993</v>
      </c>
      <c r="L565">
        <v>247</v>
      </c>
      <c r="M565">
        <v>87</v>
      </c>
      <c r="N565" t="s">
        <v>5014</v>
      </c>
      <c r="O565">
        <v>0</v>
      </c>
      <c r="P565">
        <v>0</v>
      </c>
    </row>
    <row r="566" spans="1:16" x14ac:dyDescent="0.25">
      <c r="A566" t="s">
        <v>2017</v>
      </c>
      <c r="B566" t="s">
        <v>2018</v>
      </c>
      <c r="C566">
        <v>6219</v>
      </c>
      <c r="D566" t="s">
        <v>277</v>
      </c>
      <c r="E566" t="s">
        <v>21</v>
      </c>
      <c r="F566">
        <v>14546</v>
      </c>
      <c r="G566" t="s">
        <v>4999</v>
      </c>
      <c r="H566" t="s">
        <v>4993</v>
      </c>
      <c r="I566">
        <v>4.6028000000000002</v>
      </c>
      <c r="J566" t="s">
        <v>5012</v>
      </c>
      <c r="K566" t="s">
        <v>4993</v>
      </c>
      <c r="L566">
        <v>428</v>
      </c>
      <c r="M566">
        <v>74</v>
      </c>
      <c r="N566" t="s">
        <v>5014</v>
      </c>
      <c r="O566">
        <v>0</v>
      </c>
      <c r="P566">
        <v>0</v>
      </c>
    </row>
    <row r="567" spans="1:16" x14ac:dyDescent="0.25">
      <c r="A567" t="s">
        <v>2530</v>
      </c>
      <c r="B567" t="s">
        <v>2531</v>
      </c>
      <c r="C567">
        <v>5668</v>
      </c>
      <c r="D567" t="s">
        <v>93</v>
      </c>
      <c r="E567" t="s">
        <v>21</v>
      </c>
      <c r="F567">
        <v>10107</v>
      </c>
      <c r="G567" t="s">
        <v>4999</v>
      </c>
      <c r="H567" t="s">
        <v>4993</v>
      </c>
      <c r="I567">
        <v>4.8007999999999997</v>
      </c>
      <c r="J567" t="s">
        <v>5012</v>
      </c>
      <c r="K567" t="s">
        <v>4993</v>
      </c>
      <c r="L567">
        <v>251</v>
      </c>
      <c r="M567">
        <v>75</v>
      </c>
      <c r="N567" t="s">
        <v>5014</v>
      </c>
      <c r="O567">
        <v>0</v>
      </c>
      <c r="P567">
        <v>0</v>
      </c>
    </row>
    <row r="568" spans="1:16" x14ac:dyDescent="0.25">
      <c r="A568" t="s">
        <v>2205</v>
      </c>
      <c r="B568" t="s">
        <v>2206</v>
      </c>
      <c r="C568">
        <v>6246</v>
      </c>
      <c r="D568" t="s">
        <v>2207</v>
      </c>
      <c r="E568" t="s">
        <v>8</v>
      </c>
      <c r="F568">
        <v>12625</v>
      </c>
      <c r="G568" t="s">
        <v>4999</v>
      </c>
      <c r="H568" t="s">
        <v>4993</v>
      </c>
      <c r="I568">
        <v>4.5975999999999999</v>
      </c>
      <c r="J568" t="s">
        <v>5012</v>
      </c>
      <c r="K568" t="s">
        <v>4993</v>
      </c>
      <c r="L568">
        <v>251</v>
      </c>
      <c r="M568">
        <v>32</v>
      </c>
      <c r="N568" t="s">
        <v>5015</v>
      </c>
      <c r="O568">
        <v>0</v>
      </c>
      <c r="P568">
        <v>0</v>
      </c>
    </row>
    <row r="569" spans="1:16" x14ac:dyDescent="0.25">
      <c r="A569" t="s">
        <v>1410</v>
      </c>
      <c r="B569" t="s">
        <v>1411</v>
      </c>
      <c r="C569">
        <v>6357</v>
      </c>
      <c r="D569" t="s">
        <v>876</v>
      </c>
      <c r="E569" t="s">
        <v>8</v>
      </c>
      <c r="F569">
        <v>23827</v>
      </c>
      <c r="G569" t="s">
        <v>4999</v>
      </c>
      <c r="H569" t="s">
        <v>4993</v>
      </c>
      <c r="I569">
        <v>4.1673</v>
      </c>
      <c r="J569" t="s">
        <v>5012</v>
      </c>
      <c r="K569" t="s">
        <v>4993</v>
      </c>
      <c r="L569">
        <v>251</v>
      </c>
      <c r="M569">
        <v>17</v>
      </c>
      <c r="N569" t="s">
        <v>5013</v>
      </c>
      <c r="O569">
        <v>0</v>
      </c>
      <c r="P569">
        <v>0</v>
      </c>
    </row>
    <row r="570" spans="1:16" x14ac:dyDescent="0.25">
      <c r="A570" t="s">
        <v>1691</v>
      </c>
      <c r="B570" t="s">
        <v>1692</v>
      </c>
      <c r="C570">
        <v>6326</v>
      </c>
      <c r="D570" t="s">
        <v>1693</v>
      </c>
      <c r="E570" t="s">
        <v>13</v>
      </c>
      <c r="F570">
        <v>18322</v>
      </c>
      <c r="G570" t="s">
        <v>4999</v>
      </c>
      <c r="H570" t="s">
        <v>4993</v>
      </c>
      <c r="I570">
        <v>4.1745999999999999</v>
      </c>
      <c r="J570" t="s">
        <v>5012</v>
      </c>
      <c r="K570" t="s">
        <v>4993</v>
      </c>
      <c r="L570">
        <v>252</v>
      </c>
      <c r="M570">
        <v>24</v>
      </c>
      <c r="N570" t="s">
        <v>5015</v>
      </c>
      <c r="O570">
        <v>0</v>
      </c>
      <c r="P570">
        <v>0</v>
      </c>
    </row>
    <row r="571" spans="1:16" x14ac:dyDescent="0.25">
      <c r="A571" t="s">
        <v>1372</v>
      </c>
      <c r="B571" t="s">
        <v>1373</v>
      </c>
      <c r="C571">
        <v>6117</v>
      </c>
      <c r="D571" t="s">
        <v>229</v>
      </c>
      <c r="E571" t="s">
        <v>8</v>
      </c>
      <c r="F571">
        <v>24635</v>
      </c>
      <c r="G571" t="s">
        <v>4999</v>
      </c>
      <c r="H571" t="s">
        <v>4993</v>
      </c>
      <c r="I571">
        <v>4.5039999999999996</v>
      </c>
      <c r="J571" t="s">
        <v>5012</v>
      </c>
      <c r="K571" t="s">
        <v>4993</v>
      </c>
      <c r="L571">
        <v>252</v>
      </c>
      <c r="M571">
        <v>65</v>
      </c>
      <c r="N571" t="s">
        <v>5014</v>
      </c>
      <c r="O571">
        <v>0</v>
      </c>
      <c r="P571">
        <v>0</v>
      </c>
    </row>
    <row r="572" spans="1:16" x14ac:dyDescent="0.25">
      <c r="A572" t="s">
        <v>2141</v>
      </c>
      <c r="B572" t="s">
        <v>2142</v>
      </c>
      <c r="C572">
        <v>4164</v>
      </c>
      <c r="D572" t="s">
        <v>623</v>
      </c>
      <c r="E572" t="s">
        <v>149</v>
      </c>
      <c r="F572">
        <v>13212</v>
      </c>
      <c r="G572" t="s">
        <v>4999</v>
      </c>
      <c r="H572" t="s">
        <v>4993</v>
      </c>
      <c r="I572">
        <v>4.0316000000000001</v>
      </c>
      <c r="J572" t="s">
        <v>5012</v>
      </c>
      <c r="K572" t="s">
        <v>4993</v>
      </c>
      <c r="L572">
        <v>253</v>
      </c>
      <c r="M572">
        <v>89</v>
      </c>
      <c r="N572" t="s">
        <v>5014</v>
      </c>
      <c r="O572">
        <v>0</v>
      </c>
      <c r="P572">
        <v>0</v>
      </c>
    </row>
    <row r="573" spans="1:16" x14ac:dyDescent="0.25">
      <c r="A573" t="s">
        <v>2248</v>
      </c>
      <c r="B573" t="s">
        <v>2249</v>
      </c>
      <c r="C573">
        <v>6314</v>
      </c>
      <c r="D573" t="s">
        <v>558</v>
      </c>
      <c r="E573" t="s">
        <v>149</v>
      </c>
      <c r="F573">
        <v>12224</v>
      </c>
      <c r="G573" t="s">
        <v>4999</v>
      </c>
      <c r="H573" t="s">
        <v>4993</v>
      </c>
      <c r="I573">
        <v>4.2087000000000003</v>
      </c>
      <c r="J573" t="s">
        <v>5012</v>
      </c>
      <c r="K573" t="s">
        <v>4993</v>
      </c>
      <c r="L573">
        <v>254</v>
      </c>
      <c r="M573">
        <v>68</v>
      </c>
      <c r="N573" t="s">
        <v>5014</v>
      </c>
      <c r="O573">
        <v>0</v>
      </c>
      <c r="P573">
        <v>0</v>
      </c>
    </row>
    <row r="574" spans="1:16" x14ac:dyDescent="0.25">
      <c r="A574" t="s">
        <v>2366</v>
      </c>
      <c r="B574" t="s">
        <v>2367</v>
      </c>
      <c r="C574">
        <v>6209</v>
      </c>
      <c r="D574" t="s">
        <v>45</v>
      </c>
      <c r="E574" t="s">
        <v>8</v>
      </c>
      <c r="F574">
        <v>11314</v>
      </c>
      <c r="G574" t="s">
        <v>4999</v>
      </c>
      <c r="H574" t="s">
        <v>4993</v>
      </c>
      <c r="I574">
        <v>4.5842999999999998</v>
      </c>
      <c r="J574" t="s">
        <v>5012</v>
      </c>
      <c r="K574" t="s">
        <v>4993</v>
      </c>
      <c r="L574">
        <v>255</v>
      </c>
      <c r="M574">
        <v>28</v>
      </c>
      <c r="N574" t="s">
        <v>5015</v>
      </c>
      <c r="O574">
        <v>0</v>
      </c>
      <c r="P574">
        <v>0</v>
      </c>
    </row>
    <row r="575" spans="1:16" x14ac:dyDescent="0.25">
      <c r="A575" t="s">
        <v>1340</v>
      </c>
      <c r="B575" t="s">
        <v>1341</v>
      </c>
      <c r="C575">
        <v>3733</v>
      </c>
      <c r="D575" t="s">
        <v>124</v>
      </c>
      <c r="E575" t="s">
        <v>8</v>
      </c>
      <c r="F575">
        <v>25211</v>
      </c>
      <c r="G575" t="s">
        <v>4999</v>
      </c>
      <c r="H575" t="s">
        <v>4993</v>
      </c>
      <c r="I575">
        <v>4.5327999999999999</v>
      </c>
      <c r="J575" t="s">
        <v>5012</v>
      </c>
      <c r="K575" t="s">
        <v>4993</v>
      </c>
      <c r="L575">
        <v>259</v>
      </c>
      <c r="M575">
        <v>46</v>
      </c>
      <c r="N575" t="s">
        <v>5015</v>
      </c>
      <c r="O575">
        <v>0</v>
      </c>
      <c r="P575">
        <v>0</v>
      </c>
    </row>
    <row r="576" spans="1:16" x14ac:dyDescent="0.25">
      <c r="A576" t="s">
        <v>2544</v>
      </c>
      <c r="B576" t="s">
        <v>2545</v>
      </c>
      <c r="C576">
        <v>4164</v>
      </c>
      <c r="D576" t="s">
        <v>623</v>
      </c>
      <c r="E576" t="s">
        <v>8</v>
      </c>
      <c r="F576">
        <v>10030</v>
      </c>
      <c r="G576" t="s">
        <v>4999</v>
      </c>
      <c r="H576" t="s">
        <v>4993</v>
      </c>
      <c r="I576">
        <v>4.1923000000000004</v>
      </c>
      <c r="J576" t="s">
        <v>5012</v>
      </c>
      <c r="K576" t="s">
        <v>4993</v>
      </c>
      <c r="L576">
        <v>260</v>
      </c>
      <c r="M576">
        <v>49</v>
      </c>
      <c r="N576" t="s">
        <v>5015</v>
      </c>
      <c r="O576">
        <v>0</v>
      </c>
      <c r="P576">
        <v>0</v>
      </c>
    </row>
    <row r="577" spans="1:16" x14ac:dyDescent="0.25">
      <c r="A577" t="s">
        <v>805</v>
      </c>
      <c r="B577" t="s">
        <v>806</v>
      </c>
      <c r="C577">
        <v>6041</v>
      </c>
      <c r="D577" t="s">
        <v>33</v>
      </c>
      <c r="E577" t="s">
        <v>21</v>
      </c>
      <c r="F577">
        <v>44847</v>
      </c>
      <c r="G577" t="s">
        <v>4999</v>
      </c>
      <c r="H577" t="s">
        <v>4993</v>
      </c>
      <c r="I577">
        <v>4.1885000000000003</v>
      </c>
      <c r="J577" t="s">
        <v>5012</v>
      </c>
      <c r="K577" t="s">
        <v>4993</v>
      </c>
      <c r="L577">
        <v>260</v>
      </c>
      <c r="M577">
        <v>125</v>
      </c>
      <c r="N577" t="s">
        <v>5014</v>
      </c>
      <c r="O577">
        <v>0</v>
      </c>
      <c r="P577">
        <v>0</v>
      </c>
    </row>
    <row r="578" spans="1:16" x14ac:dyDescent="0.25">
      <c r="A578" t="s">
        <v>2177</v>
      </c>
      <c r="B578" t="s">
        <v>2178</v>
      </c>
      <c r="C578">
        <v>6312</v>
      </c>
      <c r="D578" t="s">
        <v>1242</v>
      </c>
      <c r="E578" t="s">
        <v>149</v>
      </c>
      <c r="F578">
        <v>12740</v>
      </c>
      <c r="G578" t="s">
        <v>4999</v>
      </c>
      <c r="H578" t="s">
        <v>4993</v>
      </c>
      <c r="I578">
        <v>4.3205999999999998</v>
      </c>
      <c r="J578" t="s">
        <v>5012</v>
      </c>
      <c r="K578" t="s">
        <v>4993</v>
      </c>
      <c r="L578">
        <v>262</v>
      </c>
      <c r="M578">
        <v>62</v>
      </c>
      <c r="N578" t="s">
        <v>5014</v>
      </c>
      <c r="O578">
        <v>0</v>
      </c>
      <c r="P578">
        <v>0</v>
      </c>
    </row>
    <row r="579" spans="1:16" x14ac:dyDescent="0.25">
      <c r="A579" t="s">
        <v>1532</v>
      </c>
      <c r="B579" t="s">
        <v>1533</v>
      </c>
      <c r="C579">
        <v>5987</v>
      </c>
      <c r="D579" t="s">
        <v>48</v>
      </c>
      <c r="E579" t="s">
        <v>49</v>
      </c>
      <c r="F579">
        <v>21531</v>
      </c>
      <c r="G579" t="s">
        <v>4999</v>
      </c>
      <c r="H579" t="s">
        <v>4993</v>
      </c>
      <c r="I579">
        <v>4.4389000000000003</v>
      </c>
      <c r="J579" t="s">
        <v>5012</v>
      </c>
      <c r="K579" t="s">
        <v>4993</v>
      </c>
      <c r="L579">
        <v>262</v>
      </c>
      <c r="M579">
        <v>42</v>
      </c>
      <c r="N579" t="s">
        <v>5015</v>
      </c>
      <c r="O579">
        <v>0</v>
      </c>
      <c r="P579">
        <v>0</v>
      </c>
    </row>
    <row r="580" spans="1:16" x14ac:dyDescent="0.25">
      <c r="A580" t="s">
        <v>1514</v>
      </c>
      <c r="B580" t="s">
        <v>1515</v>
      </c>
      <c r="C580">
        <v>6341</v>
      </c>
      <c r="D580" t="s">
        <v>66</v>
      </c>
      <c r="E580" t="s">
        <v>8</v>
      </c>
      <c r="F580">
        <v>21691</v>
      </c>
      <c r="G580" t="s">
        <v>4999</v>
      </c>
      <c r="H580" t="s">
        <v>4993</v>
      </c>
      <c r="I580">
        <v>4.7385999999999999</v>
      </c>
      <c r="J580" t="s">
        <v>5012</v>
      </c>
      <c r="K580" t="s">
        <v>4993</v>
      </c>
      <c r="L580">
        <v>264</v>
      </c>
      <c r="M580">
        <v>58</v>
      </c>
      <c r="N580" t="s">
        <v>5014</v>
      </c>
      <c r="O580">
        <v>1</v>
      </c>
      <c r="P580">
        <v>0</v>
      </c>
    </row>
    <row r="581" spans="1:16" x14ac:dyDescent="0.25">
      <c r="A581" t="s">
        <v>738</v>
      </c>
      <c r="B581" t="s">
        <v>739</v>
      </c>
      <c r="C581">
        <v>7083</v>
      </c>
      <c r="D581" t="s">
        <v>20</v>
      </c>
      <c r="E581" t="s">
        <v>21</v>
      </c>
      <c r="F581">
        <v>48487</v>
      </c>
      <c r="G581" t="s">
        <v>4999</v>
      </c>
      <c r="H581" t="s">
        <v>4993</v>
      </c>
      <c r="I581">
        <v>4.2367999999999997</v>
      </c>
      <c r="J581" t="s">
        <v>5012</v>
      </c>
      <c r="K581" t="s">
        <v>4993</v>
      </c>
      <c r="L581">
        <v>266</v>
      </c>
      <c r="M581">
        <v>38</v>
      </c>
      <c r="N581" t="s">
        <v>5015</v>
      </c>
      <c r="O581">
        <v>0</v>
      </c>
      <c r="P581">
        <v>0</v>
      </c>
    </row>
    <row r="582" spans="1:16" x14ac:dyDescent="0.25">
      <c r="A582" t="s">
        <v>848</v>
      </c>
      <c r="B582" t="s">
        <v>849</v>
      </c>
      <c r="C582">
        <v>6352</v>
      </c>
      <c r="D582" t="s">
        <v>251</v>
      </c>
      <c r="E582" t="s">
        <v>13</v>
      </c>
      <c r="F582">
        <v>42777</v>
      </c>
      <c r="G582" t="s">
        <v>4999</v>
      </c>
      <c r="H582" t="s">
        <v>4993</v>
      </c>
      <c r="I582">
        <v>4.1029999999999998</v>
      </c>
      <c r="J582" t="s">
        <v>5012</v>
      </c>
      <c r="K582" t="s">
        <v>4993</v>
      </c>
      <c r="L582">
        <v>427</v>
      </c>
      <c r="M582">
        <v>28</v>
      </c>
      <c r="N582" t="s">
        <v>5015</v>
      </c>
      <c r="O582">
        <v>0</v>
      </c>
      <c r="P582">
        <v>0</v>
      </c>
    </row>
    <row r="583" spans="1:16" x14ac:dyDescent="0.25">
      <c r="A583" t="s">
        <v>1432</v>
      </c>
      <c r="B583" t="s">
        <v>1433</v>
      </c>
      <c r="C583">
        <v>5987</v>
      </c>
      <c r="D583" t="s">
        <v>48</v>
      </c>
      <c r="E583" t="s">
        <v>21</v>
      </c>
      <c r="F583">
        <v>23310</v>
      </c>
      <c r="G583" t="s">
        <v>4999</v>
      </c>
      <c r="H583" t="s">
        <v>4993</v>
      </c>
      <c r="I583">
        <v>4.3783000000000003</v>
      </c>
      <c r="J583" t="s">
        <v>5012</v>
      </c>
      <c r="K583" t="s">
        <v>4993</v>
      </c>
      <c r="L583">
        <v>267</v>
      </c>
      <c r="M583">
        <v>46</v>
      </c>
      <c r="N583" t="s">
        <v>5015</v>
      </c>
      <c r="O583">
        <v>0</v>
      </c>
      <c r="P583">
        <v>0</v>
      </c>
    </row>
    <row r="584" spans="1:16" x14ac:dyDescent="0.25">
      <c r="A584" t="s">
        <v>904</v>
      </c>
      <c r="B584" t="s">
        <v>905</v>
      </c>
      <c r="C584">
        <v>6295</v>
      </c>
      <c r="D584" t="s">
        <v>184</v>
      </c>
      <c r="E584" t="s">
        <v>21</v>
      </c>
      <c r="F584">
        <v>40516</v>
      </c>
      <c r="G584" t="s">
        <v>4999</v>
      </c>
      <c r="H584" t="s">
        <v>4993</v>
      </c>
      <c r="I584">
        <v>4.3745000000000003</v>
      </c>
      <c r="J584" t="s">
        <v>5012</v>
      </c>
      <c r="K584" t="s">
        <v>4993</v>
      </c>
      <c r="L584">
        <v>267</v>
      </c>
      <c r="M584">
        <v>26</v>
      </c>
      <c r="N584" t="s">
        <v>5015</v>
      </c>
      <c r="O584">
        <v>0</v>
      </c>
      <c r="P584">
        <v>0</v>
      </c>
    </row>
    <row r="585" spans="1:16" x14ac:dyDescent="0.25">
      <c r="A585" t="s">
        <v>929</v>
      </c>
      <c r="B585" t="s">
        <v>930</v>
      </c>
      <c r="C585">
        <v>1254</v>
      </c>
      <c r="D585" t="s">
        <v>136</v>
      </c>
      <c r="E585" t="s">
        <v>220</v>
      </c>
      <c r="F585">
        <v>39928</v>
      </c>
      <c r="G585" t="s">
        <v>4999</v>
      </c>
      <c r="H585" t="s">
        <v>4993</v>
      </c>
      <c r="I585">
        <v>4.3320999999999996</v>
      </c>
      <c r="J585" t="s">
        <v>5012</v>
      </c>
      <c r="K585" t="s">
        <v>4993</v>
      </c>
      <c r="L585">
        <v>268</v>
      </c>
      <c r="M585">
        <v>32.5</v>
      </c>
      <c r="N585" t="s">
        <v>5015</v>
      </c>
      <c r="O585">
        <v>0</v>
      </c>
      <c r="P585">
        <v>0</v>
      </c>
    </row>
    <row r="586" spans="1:16" x14ac:dyDescent="0.25">
      <c r="A586" t="s">
        <v>2262</v>
      </c>
      <c r="B586" t="s">
        <v>2263</v>
      </c>
      <c r="C586">
        <v>6175</v>
      </c>
      <c r="D586" t="s">
        <v>338</v>
      </c>
      <c r="E586" t="s">
        <v>8</v>
      </c>
      <c r="F586">
        <v>12144</v>
      </c>
      <c r="G586" t="s">
        <v>4999</v>
      </c>
      <c r="H586" t="s">
        <v>4993</v>
      </c>
      <c r="I586">
        <v>4.3532000000000002</v>
      </c>
      <c r="J586" t="s">
        <v>5012</v>
      </c>
      <c r="K586" t="s">
        <v>4993</v>
      </c>
      <c r="L586">
        <v>269</v>
      </c>
      <c r="M586">
        <v>29</v>
      </c>
      <c r="N586" t="s">
        <v>5015</v>
      </c>
      <c r="O586">
        <v>0</v>
      </c>
      <c r="P586">
        <v>0</v>
      </c>
    </row>
    <row r="587" spans="1:16" x14ac:dyDescent="0.25">
      <c r="A587" t="s">
        <v>1950</v>
      </c>
      <c r="B587" t="s">
        <v>1951</v>
      </c>
      <c r="C587">
        <v>1254</v>
      </c>
      <c r="D587" t="s">
        <v>136</v>
      </c>
      <c r="E587" t="s">
        <v>4</v>
      </c>
      <c r="F587">
        <v>15182</v>
      </c>
      <c r="G587" t="s">
        <v>4999</v>
      </c>
      <c r="H587" t="s">
        <v>4993</v>
      </c>
      <c r="I587">
        <v>4.2962999999999996</v>
      </c>
      <c r="J587" t="s">
        <v>5012</v>
      </c>
      <c r="K587" t="s">
        <v>4993</v>
      </c>
      <c r="L587">
        <v>270</v>
      </c>
      <c r="M587">
        <v>31.5</v>
      </c>
      <c r="N587" t="s">
        <v>5015</v>
      </c>
      <c r="O587">
        <v>0</v>
      </c>
      <c r="P587">
        <v>0</v>
      </c>
    </row>
    <row r="588" spans="1:16" x14ac:dyDescent="0.25">
      <c r="A588" t="s">
        <v>1230</v>
      </c>
      <c r="B588" t="s">
        <v>1231</v>
      </c>
      <c r="C588">
        <v>6209</v>
      </c>
      <c r="D588" t="s">
        <v>45</v>
      </c>
      <c r="E588" t="s">
        <v>8</v>
      </c>
      <c r="F588">
        <v>28434</v>
      </c>
      <c r="G588" t="s">
        <v>4999</v>
      </c>
      <c r="H588" t="s">
        <v>4993</v>
      </c>
      <c r="I588">
        <v>4.5148000000000001</v>
      </c>
      <c r="J588" t="s">
        <v>5012</v>
      </c>
      <c r="K588" t="s">
        <v>4993</v>
      </c>
      <c r="L588">
        <v>270</v>
      </c>
      <c r="M588">
        <v>34</v>
      </c>
      <c r="N588" t="s">
        <v>5015</v>
      </c>
      <c r="O588">
        <v>0</v>
      </c>
      <c r="P588">
        <v>0</v>
      </c>
    </row>
    <row r="589" spans="1:16" x14ac:dyDescent="0.25">
      <c r="A589" t="s">
        <v>1934</v>
      </c>
      <c r="B589" t="s">
        <v>1935</v>
      </c>
      <c r="C589">
        <v>6175</v>
      </c>
      <c r="D589" t="s">
        <v>338</v>
      </c>
      <c r="E589" t="s">
        <v>8</v>
      </c>
      <c r="F589">
        <v>15408</v>
      </c>
      <c r="G589" t="s">
        <v>4999</v>
      </c>
      <c r="H589" t="s">
        <v>4993</v>
      </c>
      <c r="I589">
        <v>4.3284000000000002</v>
      </c>
      <c r="J589" t="s">
        <v>5012</v>
      </c>
      <c r="K589" t="s">
        <v>4993</v>
      </c>
      <c r="L589">
        <v>271</v>
      </c>
      <c r="M589">
        <v>29</v>
      </c>
      <c r="N589" t="s">
        <v>5015</v>
      </c>
      <c r="O589">
        <v>0</v>
      </c>
      <c r="P589">
        <v>0</v>
      </c>
    </row>
    <row r="590" spans="1:16" x14ac:dyDescent="0.25">
      <c r="A590" t="s">
        <v>1954</v>
      </c>
      <c r="B590" t="s">
        <v>1955</v>
      </c>
      <c r="C590">
        <v>4164</v>
      </c>
      <c r="D590" t="s">
        <v>623</v>
      </c>
      <c r="E590" t="s">
        <v>13</v>
      </c>
      <c r="F590">
        <v>15154</v>
      </c>
      <c r="G590" t="s">
        <v>4999</v>
      </c>
      <c r="H590" t="s">
        <v>4993</v>
      </c>
      <c r="I590">
        <v>4.3087999999999997</v>
      </c>
      <c r="J590" t="s">
        <v>5012</v>
      </c>
      <c r="K590" t="s">
        <v>4993</v>
      </c>
      <c r="L590">
        <v>272</v>
      </c>
      <c r="M590">
        <v>42</v>
      </c>
      <c r="N590" t="s">
        <v>5015</v>
      </c>
      <c r="O590">
        <v>0</v>
      </c>
      <c r="P590">
        <v>0</v>
      </c>
    </row>
    <row r="591" spans="1:16" x14ac:dyDescent="0.25">
      <c r="A591" t="s">
        <v>2505</v>
      </c>
      <c r="B591" t="s">
        <v>2506</v>
      </c>
      <c r="C591">
        <v>6373</v>
      </c>
      <c r="D591" t="s">
        <v>1652</v>
      </c>
      <c r="E591" t="s">
        <v>8</v>
      </c>
      <c r="F591">
        <v>10279</v>
      </c>
      <c r="G591" t="s">
        <v>4999</v>
      </c>
      <c r="H591" t="s">
        <v>4993</v>
      </c>
      <c r="I591">
        <v>4.2572000000000001</v>
      </c>
      <c r="J591" t="s">
        <v>5012</v>
      </c>
      <c r="K591" t="s">
        <v>4993</v>
      </c>
      <c r="L591">
        <v>276</v>
      </c>
      <c r="M591">
        <v>56</v>
      </c>
      <c r="N591" t="s">
        <v>5014</v>
      </c>
      <c r="O591">
        <v>0</v>
      </c>
      <c r="P591">
        <v>0</v>
      </c>
    </row>
    <row r="592" spans="1:16" x14ac:dyDescent="0.25">
      <c r="A592" t="s">
        <v>1906</v>
      </c>
      <c r="B592" t="s">
        <v>1907</v>
      </c>
      <c r="C592">
        <v>6073</v>
      </c>
      <c r="D592" t="s">
        <v>78</v>
      </c>
      <c r="E592" t="s">
        <v>13</v>
      </c>
      <c r="F592">
        <v>15699</v>
      </c>
      <c r="G592" t="s">
        <v>4999</v>
      </c>
      <c r="H592" t="s">
        <v>4993</v>
      </c>
      <c r="I592">
        <v>4.2717000000000001</v>
      </c>
      <c r="J592" t="s">
        <v>5012</v>
      </c>
      <c r="K592" t="s">
        <v>4993</v>
      </c>
      <c r="L592">
        <v>276</v>
      </c>
      <c r="M592">
        <v>50</v>
      </c>
      <c r="N592" t="s">
        <v>5015</v>
      </c>
      <c r="O592">
        <v>0</v>
      </c>
      <c r="P592">
        <v>0</v>
      </c>
    </row>
    <row r="593" spans="1:16" x14ac:dyDescent="0.25">
      <c r="A593" t="s">
        <v>923</v>
      </c>
      <c r="B593" t="s">
        <v>924</v>
      </c>
      <c r="C593">
        <v>6014</v>
      </c>
      <c r="D593" t="s">
        <v>102</v>
      </c>
      <c r="E593" t="s">
        <v>69</v>
      </c>
      <c r="F593">
        <v>40090</v>
      </c>
      <c r="G593" t="s">
        <v>4999</v>
      </c>
      <c r="H593" t="s">
        <v>4993</v>
      </c>
      <c r="I593">
        <v>4.5507</v>
      </c>
      <c r="J593" t="s">
        <v>5012</v>
      </c>
      <c r="K593" t="s">
        <v>4993</v>
      </c>
      <c r="L593">
        <v>276</v>
      </c>
      <c r="M593">
        <v>7</v>
      </c>
      <c r="N593" t="s">
        <v>5013</v>
      </c>
      <c r="O593">
        <v>0</v>
      </c>
      <c r="P593">
        <v>0</v>
      </c>
    </row>
    <row r="594" spans="1:16" x14ac:dyDescent="0.25">
      <c r="A594" t="s">
        <v>2113</v>
      </c>
      <c r="B594" t="s">
        <v>2114</v>
      </c>
      <c r="C594">
        <v>5715</v>
      </c>
      <c r="D594" t="s">
        <v>979</v>
      </c>
      <c r="E594" t="s">
        <v>21</v>
      </c>
      <c r="F594">
        <v>13454</v>
      </c>
      <c r="G594" t="s">
        <v>4999</v>
      </c>
      <c r="H594" t="s">
        <v>4993</v>
      </c>
      <c r="I594">
        <v>4.5877999999999997</v>
      </c>
      <c r="J594" t="s">
        <v>5012</v>
      </c>
      <c r="K594" t="s">
        <v>4993</v>
      </c>
      <c r="L594">
        <v>427</v>
      </c>
      <c r="M594">
        <v>50</v>
      </c>
      <c r="N594" t="s">
        <v>5015</v>
      </c>
      <c r="O594">
        <v>0</v>
      </c>
      <c r="P594">
        <v>0</v>
      </c>
    </row>
    <row r="595" spans="1:16" x14ac:dyDescent="0.25">
      <c r="A595" t="s">
        <v>2157</v>
      </c>
      <c r="B595" t="s">
        <v>2158</v>
      </c>
      <c r="C595">
        <v>6307</v>
      </c>
      <c r="D595" t="s">
        <v>1132</v>
      </c>
      <c r="E595" t="s">
        <v>144</v>
      </c>
      <c r="F595">
        <v>12981</v>
      </c>
      <c r="G595" t="s">
        <v>4999</v>
      </c>
      <c r="H595" t="s">
        <v>4993</v>
      </c>
      <c r="I595">
        <v>4.5595999999999997</v>
      </c>
      <c r="J595" t="s">
        <v>5012</v>
      </c>
      <c r="K595" t="s">
        <v>4993</v>
      </c>
      <c r="L595">
        <v>277</v>
      </c>
      <c r="M595">
        <v>12</v>
      </c>
      <c r="N595" t="s">
        <v>5013</v>
      </c>
      <c r="O595">
        <v>0</v>
      </c>
      <c r="P595">
        <v>0</v>
      </c>
    </row>
    <row r="596" spans="1:16" x14ac:dyDescent="0.25">
      <c r="A596" t="s">
        <v>1501</v>
      </c>
      <c r="B596" t="s">
        <v>1502</v>
      </c>
      <c r="C596">
        <v>6307</v>
      </c>
      <c r="D596" t="s">
        <v>1132</v>
      </c>
      <c r="E596" t="s">
        <v>13</v>
      </c>
      <c r="F596">
        <v>22064</v>
      </c>
      <c r="G596" t="s">
        <v>4999</v>
      </c>
      <c r="H596" t="s">
        <v>4993</v>
      </c>
      <c r="I596">
        <v>4.5595999999999997</v>
      </c>
      <c r="J596" t="s">
        <v>5012</v>
      </c>
      <c r="K596" t="s">
        <v>4993</v>
      </c>
      <c r="L596">
        <v>277</v>
      </c>
      <c r="M596">
        <v>38</v>
      </c>
      <c r="N596" t="s">
        <v>5015</v>
      </c>
      <c r="O596">
        <v>0</v>
      </c>
      <c r="P596">
        <v>0</v>
      </c>
    </row>
    <row r="597" spans="1:16" x14ac:dyDescent="0.25">
      <c r="A597" t="s">
        <v>1275</v>
      </c>
      <c r="B597" t="s">
        <v>1276</v>
      </c>
      <c r="C597">
        <v>7083</v>
      </c>
      <c r="D597" t="s">
        <v>20</v>
      </c>
      <c r="E597" t="s">
        <v>8</v>
      </c>
      <c r="F597">
        <v>27212</v>
      </c>
      <c r="G597" t="s">
        <v>4999</v>
      </c>
      <c r="H597" t="s">
        <v>4993</v>
      </c>
      <c r="I597">
        <v>4.4859</v>
      </c>
      <c r="J597" t="s">
        <v>5012</v>
      </c>
      <c r="K597" t="s">
        <v>4993</v>
      </c>
      <c r="L597">
        <v>426</v>
      </c>
      <c r="M597">
        <v>68</v>
      </c>
      <c r="N597" t="s">
        <v>5014</v>
      </c>
      <c r="O597">
        <v>0</v>
      </c>
      <c r="P597">
        <v>0</v>
      </c>
    </row>
    <row r="598" spans="1:16" x14ac:dyDescent="0.25">
      <c r="A598" t="s">
        <v>1982</v>
      </c>
      <c r="B598" t="s">
        <v>1983</v>
      </c>
      <c r="C598">
        <v>7050</v>
      </c>
      <c r="D598" t="s">
        <v>721</v>
      </c>
      <c r="E598" t="s">
        <v>201</v>
      </c>
      <c r="F598">
        <v>14955</v>
      </c>
      <c r="G598" t="s">
        <v>4999</v>
      </c>
      <c r="H598" t="s">
        <v>4993</v>
      </c>
      <c r="I598">
        <v>4.6726999999999999</v>
      </c>
      <c r="J598" t="s">
        <v>5012</v>
      </c>
      <c r="K598" t="s">
        <v>4993</v>
      </c>
      <c r="L598">
        <v>278</v>
      </c>
      <c r="M598">
        <v>26</v>
      </c>
      <c r="N598" t="s">
        <v>5015</v>
      </c>
      <c r="O598">
        <v>0</v>
      </c>
      <c r="P598">
        <v>0</v>
      </c>
    </row>
    <row r="599" spans="1:16" x14ac:dyDescent="0.25">
      <c r="A599" t="s">
        <v>949</v>
      </c>
      <c r="B599" t="s">
        <v>950</v>
      </c>
      <c r="C599">
        <v>6352</v>
      </c>
      <c r="D599" t="s">
        <v>251</v>
      </c>
      <c r="E599" t="s">
        <v>220</v>
      </c>
      <c r="F599">
        <v>38902</v>
      </c>
      <c r="G599" t="s">
        <v>4999</v>
      </c>
      <c r="H599" t="s">
        <v>4993</v>
      </c>
      <c r="I599">
        <v>4.0647000000000002</v>
      </c>
      <c r="J599" t="s">
        <v>5012</v>
      </c>
      <c r="K599" t="s">
        <v>4993</v>
      </c>
      <c r="L599">
        <v>278</v>
      </c>
      <c r="M599">
        <v>45</v>
      </c>
      <c r="N599" t="s">
        <v>5015</v>
      </c>
      <c r="O599">
        <v>0</v>
      </c>
      <c r="P599">
        <v>1</v>
      </c>
    </row>
    <row r="600" spans="1:16" x14ac:dyDescent="0.25">
      <c r="A600" t="s">
        <v>1309</v>
      </c>
      <c r="B600" t="s">
        <v>1310</v>
      </c>
      <c r="C600">
        <v>6289</v>
      </c>
      <c r="D600" t="s">
        <v>111</v>
      </c>
      <c r="E600" t="s">
        <v>8</v>
      </c>
      <c r="F600">
        <v>26189</v>
      </c>
      <c r="G600" t="s">
        <v>4999</v>
      </c>
      <c r="H600" t="s">
        <v>4993</v>
      </c>
      <c r="I600">
        <v>4.6306000000000003</v>
      </c>
      <c r="J600" t="s">
        <v>5012</v>
      </c>
      <c r="K600" t="s">
        <v>4993</v>
      </c>
      <c r="L600">
        <v>425</v>
      </c>
      <c r="M600">
        <v>30</v>
      </c>
      <c r="N600" t="s">
        <v>5015</v>
      </c>
      <c r="O600">
        <v>0</v>
      </c>
      <c r="P600">
        <v>0</v>
      </c>
    </row>
    <row r="601" spans="1:16" x14ac:dyDescent="0.25">
      <c r="A601" t="s">
        <v>1681</v>
      </c>
      <c r="B601" t="s">
        <v>1682</v>
      </c>
      <c r="C601">
        <v>1254</v>
      </c>
      <c r="D601" t="s">
        <v>136</v>
      </c>
      <c r="E601" t="s">
        <v>69</v>
      </c>
      <c r="F601">
        <v>18472</v>
      </c>
      <c r="G601" t="s">
        <v>4999</v>
      </c>
      <c r="H601" t="s">
        <v>4993</v>
      </c>
      <c r="I601">
        <v>4.4768999999999997</v>
      </c>
      <c r="J601" t="s">
        <v>5012</v>
      </c>
      <c r="K601" t="s">
        <v>4993</v>
      </c>
      <c r="L601">
        <v>281</v>
      </c>
      <c r="M601">
        <v>29</v>
      </c>
      <c r="N601" t="s">
        <v>5015</v>
      </c>
      <c r="O601">
        <v>0</v>
      </c>
      <c r="P601">
        <v>0</v>
      </c>
    </row>
    <row r="602" spans="1:16" x14ac:dyDescent="0.25">
      <c r="A602" t="s">
        <v>2412</v>
      </c>
      <c r="B602" t="s">
        <v>2413</v>
      </c>
      <c r="C602">
        <v>6294</v>
      </c>
      <c r="D602" t="s">
        <v>1520</v>
      </c>
      <c r="E602" t="s">
        <v>49</v>
      </c>
      <c r="F602">
        <v>10922</v>
      </c>
      <c r="G602" t="s">
        <v>4999</v>
      </c>
      <c r="H602" t="s">
        <v>4993</v>
      </c>
      <c r="I602">
        <v>4.8262</v>
      </c>
      <c r="J602" t="s">
        <v>5012</v>
      </c>
      <c r="K602" t="s">
        <v>4993</v>
      </c>
      <c r="L602">
        <v>282</v>
      </c>
      <c r="M602">
        <v>38</v>
      </c>
      <c r="N602" t="s">
        <v>5015</v>
      </c>
      <c r="O602">
        <v>0</v>
      </c>
      <c r="P602">
        <v>0</v>
      </c>
    </row>
    <row r="603" spans="1:16" x14ac:dyDescent="0.25">
      <c r="A603" t="s">
        <v>2285</v>
      </c>
      <c r="B603" t="s">
        <v>2286</v>
      </c>
      <c r="C603">
        <v>1254</v>
      </c>
      <c r="D603" t="s">
        <v>136</v>
      </c>
      <c r="E603" t="s">
        <v>149</v>
      </c>
      <c r="F603">
        <v>11912</v>
      </c>
      <c r="G603" t="s">
        <v>4999</v>
      </c>
      <c r="H603" t="s">
        <v>4993</v>
      </c>
      <c r="I603">
        <v>4.1702000000000004</v>
      </c>
      <c r="J603" t="s">
        <v>5012</v>
      </c>
      <c r="K603" t="s">
        <v>4993</v>
      </c>
      <c r="L603">
        <v>282</v>
      </c>
      <c r="M603">
        <v>54</v>
      </c>
      <c r="N603" t="s">
        <v>5014</v>
      </c>
      <c r="O603">
        <v>0</v>
      </c>
      <c r="P603">
        <v>0</v>
      </c>
    </row>
    <row r="604" spans="1:16" x14ac:dyDescent="0.25">
      <c r="A604" t="s">
        <v>1584</v>
      </c>
      <c r="B604" t="s">
        <v>1585</v>
      </c>
      <c r="C604">
        <v>5946</v>
      </c>
      <c r="D604" t="s">
        <v>341</v>
      </c>
      <c r="E604" t="s">
        <v>8</v>
      </c>
      <c r="F604">
        <v>20613</v>
      </c>
      <c r="G604" t="s">
        <v>4999</v>
      </c>
      <c r="H604" t="s">
        <v>4993</v>
      </c>
      <c r="I604">
        <v>4.3723000000000001</v>
      </c>
      <c r="J604" t="s">
        <v>5012</v>
      </c>
      <c r="K604" t="s">
        <v>4993</v>
      </c>
      <c r="L604">
        <v>282</v>
      </c>
      <c r="M604">
        <v>72</v>
      </c>
      <c r="N604" t="s">
        <v>5014</v>
      </c>
      <c r="O604">
        <v>0</v>
      </c>
      <c r="P604">
        <v>0</v>
      </c>
    </row>
    <row r="605" spans="1:16" x14ac:dyDescent="0.25">
      <c r="A605" t="s">
        <v>1440</v>
      </c>
      <c r="B605" t="s">
        <v>1441</v>
      </c>
      <c r="C605">
        <v>6029</v>
      </c>
      <c r="D605" t="s">
        <v>1442</v>
      </c>
      <c r="E605" t="s">
        <v>13</v>
      </c>
      <c r="F605">
        <v>23197</v>
      </c>
      <c r="G605" t="s">
        <v>4999</v>
      </c>
      <c r="H605" t="s">
        <v>4993</v>
      </c>
      <c r="I605">
        <v>4.4789000000000003</v>
      </c>
      <c r="J605" t="s">
        <v>5012</v>
      </c>
      <c r="K605" t="s">
        <v>4993</v>
      </c>
      <c r="L605">
        <v>284</v>
      </c>
      <c r="M605">
        <v>23</v>
      </c>
      <c r="N605" t="s">
        <v>5015</v>
      </c>
      <c r="O605">
        <v>0</v>
      </c>
      <c r="P605">
        <v>0</v>
      </c>
    </row>
    <row r="606" spans="1:16" x14ac:dyDescent="0.25">
      <c r="A606" t="s">
        <v>1491</v>
      </c>
      <c r="B606" t="s">
        <v>1492</v>
      </c>
      <c r="C606">
        <v>5668</v>
      </c>
      <c r="D606" t="s">
        <v>93</v>
      </c>
      <c r="E606" t="s">
        <v>8</v>
      </c>
      <c r="F606">
        <v>22246</v>
      </c>
      <c r="G606" t="s">
        <v>4999</v>
      </c>
      <c r="H606" t="s">
        <v>4993</v>
      </c>
      <c r="I606">
        <v>4.4667000000000003</v>
      </c>
      <c r="J606" t="s">
        <v>5012</v>
      </c>
      <c r="K606" t="s">
        <v>4993</v>
      </c>
      <c r="L606">
        <v>285</v>
      </c>
      <c r="M606">
        <v>76</v>
      </c>
      <c r="N606" t="s">
        <v>5014</v>
      </c>
      <c r="O606">
        <v>0</v>
      </c>
      <c r="P606">
        <v>0</v>
      </c>
    </row>
    <row r="607" spans="1:16" x14ac:dyDescent="0.25">
      <c r="A607" t="s">
        <v>2252</v>
      </c>
      <c r="B607" t="s">
        <v>2253</v>
      </c>
      <c r="C607">
        <v>6312</v>
      </c>
      <c r="D607" t="s">
        <v>1242</v>
      </c>
      <c r="E607" t="s">
        <v>8</v>
      </c>
      <c r="F607">
        <v>12209</v>
      </c>
      <c r="G607" t="s">
        <v>4999</v>
      </c>
      <c r="H607" t="s">
        <v>4993</v>
      </c>
      <c r="I607">
        <v>4.7630999999999997</v>
      </c>
      <c r="J607" t="s">
        <v>5012</v>
      </c>
      <c r="K607" t="s">
        <v>4993</v>
      </c>
      <c r="L607">
        <v>287</v>
      </c>
      <c r="M607">
        <v>58</v>
      </c>
      <c r="N607" t="s">
        <v>5014</v>
      </c>
      <c r="O607">
        <v>0</v>
      </c>
      <c r="P607">
        <v>0</v>
      </c>
    </row>
    <row r="608" spans="1:16" x14ac:dyDescent="0.25">
      <c r="A608" t="s">
        <v>1400</v>
      </c>
      <c r="B608" t="s">
        <v>1401</v>
      </c>
      <c r="C608">
        <v>5972</v>
      </c>
      <c r="D608" t="s">
        <v>54</v>
      </c>
      <c r="E608" t="s">
        <v>21</v>
      </c>
      <c r="F608">
        <v>24055</v>
      </c>
      <c r="G608" t="s">
        <v>4999</v>
      </c>
      <c r="H608" t="s">
        <v>4993</v>
      </c>
      <c r="I608">
        <v>4.2388000000000003</v>
      </c>
      <c r="J608" t="s">
        <v>5012</v>
      </c>
      <c r="K608" t="s">
        <v>4993</v>
      </c>
      <c r="L608">
        <v>289</v>
      </c>
      <c r="M608">
        <v>36</v>
      </c>
      <c r="N608" t="s">
        <v>5015</v>
      </c>
      <c r="O608">
        <v>0</v>
      </c>
      <c r="P608">
        <v>0</v>
      </c>
    </row>
    <row r="609" spans="1:16" x14ac:dyDescent="0.25">
      <c r="A609" t="s">
        <v>1448</v>
      </c>
      <c r="B609" t="s">
        <v>1449</v>
      </c>
      <c r="C609">
        <v>4164</v>
      </c>
      <c r="D609" t="s">
        <v>623</v>
      </c>
      <c r="E609" t="s">
        <v>149</v>
      </c>
      <c r="F609">
        <v>23093</v>
      </c>
      <c r="G609" t="s">
        <v>4999</v>
      </c>
      <c r="H609" t="s">
        <v>4993</v>
      </c>
      <c r="I609">
        <v>4.0686999999999998</v>
      </c>
      <c r="J609" t="s">
        <v>5012</v>
      </c>
      <c r="K609" t="s">
        <v>4993</v>
      </c>
      <c r="L609">
        <v>291</v>
      </c>
      <c r="M609">
        <v>67</v>
      </c>
      <c r="N609" t="s">
        <v>5014</v>
      </c>
      <c r="O609">
        <v>0</v>
      </c>
      <c r="P609">
        <v>0</v>
      </c>
    </row>
    <row r="610" spans="1:16" x14ac:dyDescent="0.25">
      <c r="A610" t="s">
        <v>839</v>
      </c>
      <c r="B610" t="s">
        <v>840</v>
      </c>
      <c r="C610">
        <v>6125</v>
      </c>
      <c r="D610" t="s">
        <v>3</v>
      </c>
      <c r="E610" t="s">
        <v>21</v>
      </c>
      <c r="F610">
        <v>43168</v>
      </c>
      <c r="G610" t="s">
        <v>4999</v>
      </c>
      <c r="H610" t="s">
        <v>4993</v>
      </c>
      <c r="I610">
        <v>4.5739000000000001</v>
      </c>
      <c r="J610" t="s">
        <v>5012</v>
      </c>
      <c r="K610" t="s">
        <v>4993</v>
      </c>
      <c r="L610">
        <v>291</v>
      </c>
      <c r="M610">
        <v>27</v>
      </c>
      <c r="N610" t="s">
        <v>5015</v>
      </c>
      <c r="O610">
        <v>0</v>
      </c>
      <c r="P610">
        <v>0</v>
      </c>
    </row>
    <row r="611" spans="1:16" x14ac:dyDescent="0.25">
      <c r="A611" t="s">
        <v>796</v>
      </c>
      <c r="B611" t="s">
        <v>797</v>
      </c>
      <c r="C611">
        <v>6285</v>
      </c>
      <c r="D611" t="s">
        <v>119</v>
      </c>
      <c r="E611" t="s">
        <v>13</v>
      </c>
      <c r="F611">
        <v>45406</v>
      </c>
      <c r="G611" t="s">
        <v>4999</v>
      </c>
      <c r="H611" t="s">
        <v>4993</v>
      </c>
      <c r="I611">
        <v>4.3917999999999999</v>
      </c>
      <c r="J611" t="s">
        <v>5012</v>
      </c>
      <c r="K611" t="s">
        <v>4993</v>
      </c>
      <c r="L611">
        <v>291</v>
      </c>
      <c r="M611">
        <v>12.99</v>
      </c>
      <c r="N611" t="s">
        <v>5013</v>
      </c>
      <c r="O611">
        <v>0</v>
      </c>
      <c r="P611">
        <v>0</v>
      </c>
    </row>
    <row r="612" spans="1:16" x14ac:dyDescent="0.25">
      <c r="A612" t="s">
        <v>2135</v>
      </c>
      <c r="B612" t="s">
        <v>2136</v>
      </c>
      <c r="C612">
        <v>6341</v>
      </c>
      <c r="D612" t="s">
        <v>66</v>
      </c>
      <c r="E612" t="s">
        <v>21</v>
      </c>
      <c r="F612">
        <v>13256</v>
      </c>
      <c r="G612" t="s">
        <v>4999</v>
      </c>
      <c r="H612" t="s">
        <v>4993</v>
      </c>
      <c r="I612">
        <v>4.6985999999999999</v>
      </c>
      <c r="J612" t="s">
        <v>5012</v>
      </c>
      <c r="K612" t="s">
        <v>4993</v>
      </c>
      <c r="L612">
        <v>292</v>
      </c>
      <c r="M612">
        <v>45</v>
      </c>
      <c r="N612" t="s">
        <v>5015</v>
      </c>
      <c r="O612">
        <v>0</v>
      </c>
      <c r="P612">
        <v>0</v>
      </c>
    </row>
    <row r="613" spans="1:16" x14ac:dyDescent="0.25">
      <c r="A613" t="s">
        <v>2390</v>
      </c>
      <c r="B613" t="s">
        <v>2391</v>
      </c>
      <c r="C613">
        <v>7075</v>
      </c>
      <c r="D613" t="s">
        <v>75</v>
      </c>
      <c r="E613" t="s">
        <v>49</v>
      </c>
      <c r="F613">
        <v>11146</v>
      </c>
      <c r="G613" t="s">
        <v>4999</v>
      </c>
      <c r="H613" t="s">
        <v>4993</v>
      </c>
      <c r="I613">
        <v>4.5247999999999999</v>
      </c>
      <c r="J613" t="s">
        <v>5012</v>
      </c>
      <c r="K613" t="s">
        <v>4993</v>
      </c>
      <c r="L613">
        <v>423</v>
      </c>
      <c r="M613">
        <v>38</v>
      </c>
      <c r="N613" t="s">
        <v>5015</v>
      </c>
      <c r="O613">
        <v>0</v>
      </c>
      <c r="P613">
        <v>0</v>
      </c>
    </row>
    <row r="614" spans="1:16" x14ac:dyDescent="0.25">
      <c r="A614" t="s">
        <v>2069</v>
      </c>
      <c r="B614" t="s">
        <v>2070</v>
      </c>
      <c r="C614">
        <v>6357</v>
      </c>
      <c r="D614" t="s">
        <v>876</v>
      </c>
      <c r="E614" t="s">
        <v>21</v>
      </c>
      <c r="F614">
        <v>13877</v>
      </c>
      <c r="G614" t="s">
        <v>4999</v>
      </c>
      <c r="H614" t="s">
        <v>4993</v>
      </c>
      <c r="I614">
        <v>4.5646000000000004</v>
      </c>
      <c r="J614" t="s">
        <v>5012</v>
      </c>
      <c r="K614" t="s">
        <v>4993</v>
      </c>
      <c r="L614">
        <v>294</v>
      </c>
      <c r="M614">
        <v>35</v>
      </c>
      <c r="N614" t="s">
        <v>5015</v>
      </c>
      <c r="O614">
        <v>0</v>
      </c>
      <c r="P614">
        <v>0</v>
      </c>
    </row>
    <row r="615" spans="1:16" x14ac:dyDescent="0.25">
      <c r="A615" t="s">
        <v>821</v>
      </c>
      <c r="B615" t="s">
        <v>822</v>
      </c>
      <c r="C615">
        <v>3902</v>
      </c>
      <c r="D615" t="s">
        <v>72</v>
      </c>
      <c r="E615" t="s">
        <v>13</v>
      </c>
      <c r="F615">
        <v>43752</v>
      </c>
      <c r="G615" t="s">
        <v>4999</v>
      </c>
      <c r="H615" t="s">
        <v>4993</v>
      </c>
      <c r="I615">
        <v>4.6285999999999996</v>
      </c>
      <c r="J615" t="s">
        <v>5012</v>
      </c>
      <c r="K615" t="s">
        <v>4993</v>
      </c>
      <c r="L615">
        <v>420</v>
      </c>
      <c r="M615">
        <v>12</v>
      </c>
      <c r="N615" t="s">
        <v>5013</v>
      </c>
      <c r="O615">
        <v>0</v>
      </c>
      <c r="P615">
        <v>0</v>
      </c>
    </row>
    <row r="616" spans="1:16" x14ac:dyDescent="0.25">
      <c r="A616" t="s">
        <v>742</v>
      </c>
      <c r="B616" t="s">
        <v>743</v>
      </c>
      <c r="C616">
        <v>6234</v>
      </c>
      <c r="D616" t="s">
        <v>7</v>
      </c>
      <c r="E616" t="s">
        <v>8</v>
      </c>
      <c r="F616">
        <v>48131</v>
      </c>
      <c r="G616" t="s">
        <v>4999</v>
      </c>
      <c r="H616" t="s">
        <v>4993</v>
      </c>
      <c r="I616">
        <v>4.3979999999999997</v>
      </c>
      <c r="J616" t="s">
        <v>5012</v>
      </c>
      <c r="K616" t="s">
        <v>4993</v>
      </c>
      <c r="L616">
        <v>294</v>
      </c>
      <c r="M616">
        <v>5</v>
      </c>
      <c r="N616" t="s">
        <v>5013</v>
      </c>
      <c r="O616">
        <v>0</v>
      </c>
      <c r="P616">
        <v>0</v>
      </c>
    </row>
    <row r="617" spans="1:16" x14ac:dyDescent="0.25">
      <c r="A617" t="s">
        <v>1378</v>
      </c>
      <c r="B617" t="s">
        <v>1379</v>
      </c>
      <c r="C617">
        <v>6352</v>
      </c>
      <c r="D617" t="s">
        <v>251</v>
      </c>
      <c r="E617" t="s">
        <v>21</v>
      </c>
      <c r="F617">
        <v>24560</v>
      </c>
      <c r="G617" t="s">
        <v>4999</v>
      </c>
      <c r="H617" t="s">
        <v>4993</v>
      </c>
      <c r="I617">
        <v>4.6554000000000002</v>
      </c>
      <c r="J617" t="s">
        <v>5012</v>
      </c>
      <c r="K617" t="s">
        <v>4993</v>
      </c>
      <c r="L617">
        <v>296</v>
      </c>
      <c r="M617">
        <v>34</v>
      </c>
      <c r="N617" t="s">
        <v>5015</v>
      </c>
      <c r="O617">
        <v>0</v>
      </c>
      <c r="P617">
        <v>0</v>
      </c>
    </row>
    <row r="618" spans="1:16" x14ac:dyDescent="0.25">
      <c r="A618" t="s">
        <v>1739</v>
      </c>
      <c r="B618" t="s">
        <v>1740</v>
      </c>
      <c r="C618">
        <v>5674</v>
      </c>
      <c r="D618" t="s">
        <v>141</v>
      </c>
      <c r="E618" t="s">
        <v>149</v>
      </c>
      <c r="F618">
        <v>17823</v>
      </c>
      <c r="G618" t="s">
        <v>4999</v>
      </c>
      <c r="H618" t="s">
        <v>4993</v>
      </c>
      <c r="I618">
        <v>4.6040000000000001</v>
      </c>
      <c r="J618" t="s">
        <v>5012</v>
      </c>
      <c r="K618" t="s">
        <v>4993</v>
      </c>
      <c r="L618">
        <v>298</v>
      </c>
      <c r="M618">
        <v>34</v>
      </c>
      <c r="N618" t="s">
        <v>5015</v>
      </c>
      <c r="O618">
        <v>1</v>
      </c>
      <c r="P618">
        <v>0</v>
      </c>
    </row>
    <row r="619" spans="1:16" x14ac:dyDescent="0.25">
      <c r="A619" t="s">
        <v>2175</v>
      </c>
      <c r="B619" t="s">
        <v>2176</v>
      </c>
      <c r="C619">
        <v>6352</v>
      </c>
      <c r="D619" t="s">
        <v>251</v>
      </c>
      <c r="E619" t="s">
        <v>13</v>
      </c>
      <c r="F619">
        <v>12779</v>
      </c>
      <c r="G619" t="s">
        <v>4999</v>
      </c>
      <c r="H619" t="s">
        <v>4993</v>
      </c>
      <c r="I619">
        <v>4.1738999999999997</v>
      </c>
      <c r="J619" t="s">
        <v>5012</v>
      </c>
      <c r="K619" t="s">
        <v>4993</v>
      </c>
      <c r="L619">
        <v>299</v>
      </c>
      <c r="M619">
        <v>14</v>
      </c>
      <c r="N619" t="s">
        <v>5013</v>
      </c>
      <c r="O619">
        <v>0</v>
      </c>
      <c r="P619">
        <v>0</v>
      </c>
    </row>
    <row r="620" spans="1:16" x14ac:dyDescent="0.25">
      <c r="A620" t="s">
        <v>1376</v>
      </c>
      <c r="B620" t="s">
        <v>1377</v>
      </c>
      <c r="C620">
        <v>6289</v>
      </c>
      <c r="D620" t="s">
        <v>111</v>
      </c>
      <c r="E620" t="s">
        <v>8</v>
      </c>
      <c r="F620">
        <v>24567</v>
      </c>
      <c r="G620" t="s">
        <v>4999</v>
      </c>
      <c r="H620" t="s">
        <v>4993</v>
      </c>
      <c r="I620">
        <v>4.6380999999999997</v>
      </c>
      <c r="J620" t="s">
        <v>5012</v>
      </c>
      <c r="K620" t="s">
        <v>4993</v>
      </c>
      <c r="L620">
        <v>420</v>
      </c>
      <c r="M620">
        <v>50</v>
      </c>
      <c r="N620" t="s">
        <v>5015</v>
      </c>
      <c r="O620">
        <v>0</v>
      </c>
      <c r="P620">
        <v>0</v>
      </c>
    </row>
    <row r="621" spans="1:16" x14ac:dyDescent="0.25">
      <c r="A621" t="s">
        <v>2320</v>
      </c>
      <c r="B621" t="s">
        <v>2321</v>
      </c>
      <c r="C621">
        <v>6218</v>
      </c>
      <c r="D621" t="s">
        <v>116</v>
      </c>
      <c r="E621" t="s">
        <v>21</v>
      </c>
      <c r="F621">
        <v>11696</v>
      </c>
      <c r="G621" t="s">
        <v>4999</v>
      </c>
      <c r="H621" t="s">
        <v>4993</v>
      </c>
      <c r="I621">
        <v>4.5232999999999999</v>
      </c>
      <c r="J621" t="s">
        <v>5012</v>
      </c>
      <c r="K621" t="s">
        <v>4993</v>
      </c>
      <c r="L621">
        <v>300</v>
      </c>
      <c r="M621">
        <v>60</v>
      </c>
      <c r="N621" t="s">
        <v>5014</v>
      </c>
      <c r="O621">
        <v>0</v>
      </c>
      <c r="P621">
        <v>0</v>
      </c>
    </row>
    <row r="622" spans="1:16" x14ac:dyDescent="0.25">
      <c r="A622" t="s">
        <v>1008</v>
      </c>
      <c r="B622" t="s">
        <v>1009</v>
      </c>
      <c r="C622">
        <v>4348</v>
      </c>
      <c r="D622" t="s">
        <v>61</v>
      </c>
      <c r="E622" t="s">
        <v>21</v>
      </c>
      <c r="F622">
        <v>36763</v>
      </c>
      <c r="G622" t="s">
        <v>4999</v>
      </c>
      <c r="H622" t="s">
        <v>4993</v>
      </c>
      <c r="I622">
        <v>4.2411000000000003</v>
      </c>
      <c r="J622" t="s">
        <v>5012</v>
      </c>
      <c r="K622" t="s">
        <v>4993</v>
      </c>
      <c r="L622">
        <v>419</v>
      </c>
      <c r="M622">
        <v>48</v>
      </c>
      <c r="N622" t="s">
        <v>5015</v>
      </c>
      <c r="O622">
        <v>0</v>
      </c>
      <c r="P622">
        <v>0</v>
      </c>
    </row>
    <row r="623" spans="1:16" x14ac:dyDescent="0.25">
      <c r="A623" t="s">
        <v>1859</v>
      </c>
      <c r="B623" t="s">
        <v>1860</v>
      </c>
      <c r="C623">
        <v>6014</v>
      </c>
      <c r="D623" t="s">
        <v>102</v>
      </c>
      <c r="E623" t="s">
        <v>21</v>
      </c>
      <c r="F623">
        <v>16300</v>
      </c>
      <c r="G623" t="s">
        <v>4999</v>
      </c>
      <c r="H623" t="s">
        <v>4993</v>
      </c>
      <c r="I623">
        <v>4.6090999999999998</v>
      </c>
      <c r="J623" t="s">
        <v>5012</v>
      </c>
      <c r="K623" t="s">
        <v>4993</v>
      </c>
      <c r="L623">
        <v>417</v>
      </c>
      <c r="M623">
        <v>48</v>
      </c>
      <c r="N623" t="s">
        <v>5015</v>
      </c>
      <c r="O623">
        <v>1</v>
      </c>
      <c r="P623">
        <v>0</v>
      </c>
    </row>
    <row r="624" spans="1:16" x14ac:dyDescent="0.25">
      <c r="A624" t="s">
        <v>1560</v>
      </c>
      <c r="B624" t="s">
        <v>1561</v>
      </c>
      <c r="C624">
        <v>5648</v>
      </c>
      <c r="D624" t="s">
        <v>408</v>
      </c>
      <c r="E624" t="s">
        <v>8</v>
      </c>
      <c r="F624">
        <v>20912</v>
      </c>
      <c r="G624" t="s">
        <v>4999</v>
      </c>
      <c r="H624" t="s">
        <v>4993</v>
      </c>
      <c r="I624">
        <v>4.1093000000000002</v>
      </c>
      <c r="J624" t="s">
        <v>5012</v>
      </c>
      <c r="K624" t="s">
        <v>4993</v>
      </c>
      <c r="L624">
        <v>302</v>
      </c>
      <c r="M624">
        <v>15</v>
      </c>
      <c r="N624" t="s">
        <v>5013</v>
      </c>
      <c r="O624">
        <v>0</v>
      </c>
      <c r="P624">
        <v>1</v>
      </c>
    </row>
    <row r="625" spans="1:16" x14ac:dyDescent="0.25">
      <c r="A625" t="s">
        <v>1303</v>
      </c>
      <c r="B625" t="s">
        <v>1304</v>
      </c>
      <c r="C625">
        <v>6307</v>
      </c>
      <c r="D625" t="s">
        <v>1132</v>
      </c>
      <c r="E625" t="s">
        <v>220</v>
      </c>
      <c r="F625">
        <v>26274</v>
      </c>
      <c r="G625" t="s">
        <v>4999</v>
      </c>
      <c r="H625" t="s">
        <v>4993</v>
      </c>
      <c r="I625">
        <v>4.702</v>
      </c>
      <c r="J625" t="s">
        <v>5012</v>
      </c>
      <c r="K625" t="s">
        <v>4993</v>
      </c>
      <c r="L625">
        <v>302</v>
      </c>
      <c r="M625">
        <v>58</v>
      </c>
      <c r="N625" t="s">
        <v>5014</v>
      </c>
      <c r="O625">
        <v>0</v>
      </c>
      <c r="P625">
        <v>0</v>
      </c>
    </row>
    <row r="626" spans="1:16" x14ac:dyDescent="0.25">
      <c r="A626" t="s">
        <v>798</v>
      </c>
      <c r="B626" t="s">
        <v>799</v>
      </c>
      <c r="C626">
        <v>6117</v>
      </c>
      <c r="D626" t="s">
        <v>229</v>
      </c>
      <c r="E626" t="s">
        <v>8</v>
      </c>
      <c r="F626">
        <v>45368</v>
      </c>
      <c r="G626" t="s">
        <v>4999</v>
      </c>
      <c r="H626" t="s">
        <v>4993</v>
      </c>
      <c r="I626">
        <v>4.2615999999999996</v>
      </c>
      <c r="J626" t="s">
        <v>5012</v>
      </c>
      <c r="K626" t="s">
        <v>4993</v>
      </c>
      <c r="L626">
        <v>302</v>
      </c>
      <c r="M626">
        <v>58</v>
      </c>
      <c r="N626" t="s">
        <v>5014</v>
      </c>
      <c r="O626">
        <v>0</v>
      </c>
      <c r="P626">
        <v>0</v>
      </c>
    </row>
    <row r="627" spans="1:16" x14ac:dyDescent="0.25">
      <c r="A627" t="s">
        <v>1265</v>
      </c>
      <c r="B627" t="s">
        <v>1266</v>
      </c>
      <c r="C627">
        <v>6125</v>
      </c>
      <c r="D627" t="s">
        <v>3</v>
      </c>
      <c r="E627" t="s">
        <v>13</v>
      </c>
      <c r="F627">
        <v>27415</v>
      </c>
      <c r="G627" t="s">
        <v>4999</v>
      </c>
      <c r="H627" t="s">
        <v>4993</v>
      </c>
      <c r="I627">
        <v>4.3728999999999996</v>
      </c>
      <c r="J627" t="s">
        <v>5012</v>
      </c>
      <c r="K627" t="s">
        <v>4993</v>
      </c>
      <c r="L627">
        <v>303</v>
      </c>
      <c r="M627">
        <v>34</v>
      </c>
      <c r="N627" t="s">
        <v>5015</v>
      </c>
      <c r="O627">
        <v>0</v>
      </c>
      <c r="P627">
        <v>0</v>
      </c>
    </row>
    <row r="628" spans="1:16" x14ac:dyDescent="0.25">
      <c r="A628" t="s">
        <v>1198</v>
      </c>
      <c r="B628" t="s">
        <v>1199</v>
      </c>
      <c r="C628">
        <v>5668</v>
      </c>
      <c r="D628" t="s">
        <v>93</v>
      </c>
      <c r="E628" t="s">
        <v>149</v>
      </c>
      <c r="F628">
        <v>29199</v>
      </c>
      <c r="G628" t="s">
        <v>4999</v>
      </c>
      <c r="H628" t="s">
        <v>4993</v>
      </c>
      <c r="I628">
        <v>4.4966999999999997</v>
      </c>
      <c r="J628" t="s">
        <v>5012</v>
      </c>
      <c r="K628" t="s">
        <v>4993</v>
      </c>
      <c r="L628">
        <v>304</v>
      </c>
      <c r="M628">
        <v>71</v>
      </c>
      <c r="N628" t="s">
        <v>5014</v>
      </c>
      <c r="O628">
        <v>0</v>
      </c>
      <c r="P628">
        <v>0</v>
      </c>
    </row>
    <row r="629" spans="1:16" x14ac:dyDescent="0.25">
      <c r="A629" t="s">
        <v>1997</v>
      </c>
      <c r="B629" t="s">
        <v>1998</v>
      </c>
      <c r="C629">
        <v>6218</v>
      </c>
      <c r="D629" t="s">
        <v>116</v>
      </c>
      <c r="E629" t="s">
        <v>13</v>
      </c>
      <c r="F629">
        <v>14773</v>
      </c>
      <c r="G629" t="s">
        <v>4999</v>
      </c>
      <c r="H629" t="s">
        <v>4993</v>
      </c>
      <c r="I629">
        <v>4.6820000000000004</v>
      </c>
      <c r="J629" t="s">
        <v>5012</v>
      </c>
      <c r="K629" t="s">
        <v>4993</v>
      </c>
      <c r="L629">
        <v>305</v>
      </c>
      <c r="M629">
        <v>60</v>
      </c>
      <c r="N629" t="s">
        <v>5014</v>
      </c>
      <c r="O629">
        <v>0</v>
      </c>
      <c r="P629">
        <v>0</v>
      </c>
    </row>
    <row r="630" spans="1:16" x14ac:dyDescent="0.25">
      <c r="A630" t="s">
        <v>1546</v>
      </c>
      <c r="B630" t="s">
        <v>1547</v>
      </c>
      <c r="C630">
        <v>6219</v>
      </c>
      <c r="D630" t="s">
        <v>277</v>
      </c>
      <c r="E630" t="s">
        <v>220</v>
      </c>
      <c r="F630">
        <v>21230</v>
      </c>
      <c r="G630" t="s">
        <v>4999</v>
      </c>
      <c r="H630" t="s">
        <v>4993</v>
      </c>
      <c r="I630">
        <v>4.6265000000000001</v>
      </c>
      <c r="J630" t="s">
        <v>5012</v>
      </c>
      <c r="K630" t="s">
        <v>4993</v>
      </c>
      <c r="L630">
        <v>415</v>
      </c>
      <c r="M630">
        <v>39.5</v>
      </c>
      <c r="N630" t="s">
        <v>5015</v>
      </c>
      <c r="O630">
        <v>0</v>
      </c>
      <c r="P630">
        <v>0</v>
      </c>
    </row>
    <row r="631" spans="1:16" x14ac:dyDescent="0.25">
      <c r="A631" t="s">
        <v>931</v>
      </c>
      <c r="B631" t="s">
        <v>932</v>
      </c>
      <c r="C631">
        <v>6218</v>
      </c>
      <c r="D631" t="s">
        <v>116</v>
      </c>
      <c r="E631" t="s">
        <v>13</v>
      </c>
      <c r="F631">
        <v>39855</v>
      </c>
      <c r="G631" t="s">
        <v>4999</v>
      </c>
      <c r="H631" t="s">
        <v>4993</v>
      </c>
      <c r="I631">
        <v>4.5033000000000003</v>
      </c>
      <c r="J631" t="s">
        <v>5012</v>
      </c>
      <c r="K631" t="s">
        <v>4993</v>
      </c>
      <c r="L631">
        <v>306</v>
      </c>
      <c r="M631">
        <v>38</v>
      </c>
      <c r="N631" t="s">
        <v>5015</v>
      </c>
      <c r="O631">
        <v>0</v>
      </c>
      <c r="P631">
        <v>0</v>
      </c>
    </row>
    <row r="632" spans="1:16" x14ac:dyDescent="0.25">
      <c r="A632" t="s">
        <v>2293</v>
      </c>
      <c r="B632" t="s">
        <v>2294</v>
      </c>
      <c r="C632">
        <v>6335</v>
      </c>
      <c r="D632" t="s">
        <v>2128</v>
      </c>
      <c r="E632" t="s">
        <v>69</v>
      </c>
      <c r="F632">
        <v>11890</v>
      </c>
      <c r="G632" t="s">
        <v>4999</v>
      </c>
      <c r="H632" t="s">
        <v>4993</v>
      </c>
      <c r="I632">
        <v>4.0129999999999999</v>
      </c>
      <c r="J632" t="s">
        <v>5012</v>
      </c>
      <c r="K632" t="s">
        <v>4993</v>
      </c>
      <c r="L632">
        <v>307</v>
      </c>
      <c r="M632">
        <v>49</v>
      </c>
      <c r="N632" t="s">
        <v>5015</v>
      </c>
      <c r="O632">
        <v>0</v>
      </c>
      <c r="P632">
        <v>0</v>
      </c>
    </row>
    <row r="633" spans="1:16" x14ac:dyDescent="0.25">
      <c r="A633" t="s">
        <v>1014</v>
      </c>
      <c r="B633" t="s">
        <v>1015</v>
      </c>
      <c r="C633">
        <v>6285</v>
      </c>
      <c r="D633" t="s">
        <v>119</v>
      </c>
      <c r="E633" t="s">
        <v>8</v>
      </c>
      <c r="F633">
        <v>36241</v>
      </c>
      <c r="G633" t="s">
        <v>4999</v>
      </c>
      <c r="H633" t="s">
        <v>4993</v>
      </c>
      <c r="I633">
        <v>4.2899000000000003</v>
      </c>
      <c r="J633" t="s">
        <v>5012</v>
      </c>
      <c r="K633" t="s">
        <v>4993</v>
      </c>
      <c r="L633">
        <v>307</v>
      </c>
      <c r="M633">
        <v>15.99</v>
      </c>
      <c r="N633" t="s">
        <v>5013</v>
      </c>
      <c r="O633">
        <v>0</v>
      </c>
      <c r="P633">
        <v>0</v>
      </c>
    </row>
    <row r="634" spans="1:16" x14ac:dyDescent="0.25">
      <c r="A634" t="s">
        <v>2440</v>
      </c>
      <c r="B634" t="s">
        <v>2441</v>
      </c>
      <c r="C634">
        <v>6219</v>
      </c>
      <c r="D634" t="s">
        <v>277</v>
      </c>
      <c r="E634" t="s">
        <v>13</v>
      </c>
      <c r="F634">
        <v>10658</v>
      </c>
      <c r="G634" t="s">
        <v>4999</v>
      </c>
      <c r="H634" t="s">
        <v>4993</v>
      </c>
      <c r="I634">
        <v>4.5631000000000004</v>
      </c>
      <c r="J634" t="s">
        <v>5012</v>
      </c>
      <c r="K634" t="s">
        <v>4993</v>
      </c>
      <c r="L634">
        <v>309</v>
      </c>
      <c r="M634">
        <v>65</v>
      </c>
      <c r="N634" t="s">
        <v>5014</v>
      </c>
      <c r="O634">
        <v>0</v>
      </c>
      <c r="P634">
        <v>0</v>
      </c>
    </row>
    <row r="635" spans="1:16" x14ac:dyDescent="0.25">
      <c r="A635" t="s">
        <v>1362</v>
      </c>
      <c r="B635" t="s">
        <v>1363</v>
      </c>
      <c r="C635">
        <v>6125</v>
      </c>
      <c r="D635" t="s">
        <v>3</v>
      </c>
      <c r="E635" t="s">
        <v>8</v>
      </c>
      <c r="F635">
        <v>24759</v>
      </c>
      <c r="G635" t="s">
        <v>4999</v>
      </c>
      <c r="H635" t="s">
        <v>4993</v>
      </c>
      <c r="I635">
        <v>4.7355</v>
      </c>
      <c r="J635" t="s">
        <v>5012</v>
      </c>
      <c r="K635" t="s">
        <v>4993</v>
      </c>
      <c r="L635">
        <v>310</v>
      </c>
      <c r="M635">
        <v>45</v>
      </c>
      <c r="N635" t="s">
        <v>5015</v>
      </c>
      <c r="O635">
        <v>0</v>
      </c>
      <c r="P635">
        <v>0</v>
      </c>
    </row>
    <row r="636" spans="1:16" x14ac:dyDescent="0.25">
      <c r="A636" t="s">
        <v>763</v>
      </c>
      <c r="B636" t="s">
        <v>764</v>
      </c>
      <c r="C636">
        <v>8001</v>
      </c>
      <c r="D636" t="s">
        <v>27</v>
      </c>
      <c r="E636" t="s">
        <v>21</v>
      </c>
      <c r="F636">
        <v>47186</v>
      </c>
      <c r="G636" t="s">
        <v>4999</v>
      </c>
      <c r="H636" t="s">
        <v>4993</v>
      </c>
      <c r="I636">
        <v>4.2355</v>
      </c>
      <c r="J636" t="s">
        <v>5012</v>
      </c>
      <c r="K636" t="s">
        <v>4993</v>
      </c>
      <c r="L636">
        <v>310</v>
      </c>
      <c r="M636">
        <v>48</v>
      </c>
      <c r="N636" t="s">
        <v>5015</v>
      </c>
      <c r="O636">
        <v>0</v>
      </c>
      <c r="P636">
        <v>0</v>
      </c>
    </row>
    <row r="637" spans="1:16" x14ac:dyDescent="0.25">
      <c r="A637" t="s">
        <v>1156</v>
      </c>
      <c r="B637" t="s">
        <v>1157</v>
      </c>
      <c r="C637">
        <v>6247</v>
      </c>
      <c r="D637" t="s">
        <v>38</v>
      </c>
      <c r="E637" t="s">
        <v>13</v>
      </c>
      <c r="F637">
        <v>30871</v>
      </c>
      <c r="G637" t="s">
        <v>4999</v>
      </c>
      <c r="H637" t="s">
        <v>4993</v>
      </c>
      <c r="I637">
        <v>4.0833000000000004</v>
      </c>
      <c r="J637" t="s">
        <v>5012</v>
      </c>
      <c r="K637" t="s">
        <v>4993</v>
      </c>
      <c r="L637">
        <v>312</v>
      </c>
      <c r="M637">
        <v>35</v>
      </c>
      <c r="N637" t="s">
        <v>5015</v>
      </c>
      <c r="O637">
        <v>0</v>
      </c>
      <c r="P637">
        <v>0</v>
      </c>
    </row>
    <row r="638" spans="1:16" x14ac:dyDescent="0.25">
      <c r="A638" t="s">
        <v>945</v>
      </c>
      <c r="B638" t="s">
        <v>946</v>
      </c>
      <c r="C638">
        <v>6117</v>
      </c>
      <c r="D638" t="s">
        <v>229</v>
      </c>
      <c r="E638" t="s">
        <v>13</v>
      </c>
      <c r="F638">
        <v>39251</v>
      </c>
      <c r="G638" t="s">
        <v>4999</v>
      </c>
      <c r="H638" t="s">
        <v>4993</v>
      </c>
      <c r="I638">
        <v>4.0833000000000004</v>
      </c>
      <c r="J638" t="s">
        <v>5012</v>
      </c>
      <c r="K638" t="s">
        <v>4993</v>
      </c>
      <c r="L638">
        <v>312</v>
      </c>
      <c r="M638">
        <v>39</v>
      </c>
      <c r="N638" t="s">
        <v>5015</v>
      </c>
      <c r="O638">
        <v>0</v>
      </c>
      <c r="P638">
        <v>0</v>
      </c>
    </row>
    <row r="639" spans="1:16" x14ac:dyDescent="0.25">
      <c r="A639" t="s">
        <v>884</v>
      </c>
      <c r="B639" t="s">
        <v>885</v>
      </c>
      <c r="C639">
        <v>6169</v>
      </c>
      <c r="D639" t="s">
        <v>24</v>
      </c>
      <c r="E639" t="s">
        <v>8</v>
      </c>
      <c r="F639">
        <v>41445</v>
      </c>
      <c r="G639" t="s">
        <v>4999</v>
      </c>
      <c r="H639" t="s">
        <v>4993</v>
      </c>
      <c r="I639">
        <v>4.5841000000000003</v>
      </c>
      <c r="J639" t="s">
        <v>5012</v>
      </c>
      <c r="K639" t="s">
        <v>4993</v>
      </c>
      <c r="L639">
        <v>315</v>
      </c>
      <c r="M639">
        <v>69</v>
      </c>
      <c r="N639" t="s">
        <v>5014</v>
      </c>
      <c r="O639">
        <v>0</v>
      </c>
      <c r="P639">
        <v>0</v>
      </c>
    </row>
    <row r="640" spans="1:16" x14ac:dyDescent="0.25">
      <c r="A640" t="s">
        <v>2050</v>
      </c>
      <c r="B640" t="s">
        <v>2051</v>
      </c>
      <c r="C640">
        <v>6219</v>
      </c>
      <c r="D640" t="s">
        <v>277</v>
      </c>
      <c r="E640" t="s">
        <v>144</v>
      </c>
      <c r="F640">
        <v>14201</v>
      </c>
      <c r="G640" t="s">
        <v>4999</v>
      </c>
      <c r="H640" t="s">
        <v>4993</v>
      </c>
      <c r="I640">
        <v>4.3986999999999998</v>
      </c>
      <c r="J640" t="s">
        <v>5012</v>
      </c>
      <c r="K640" t="s">
        <v>4993</v>
      </c>
      <c r="L640">
        <v>316</v>
      </c>
      <c r="M640">
        <v>13</v>
      </c>
      <c r="N640" t="s">
        <v>5013</v>
      </c>
      <c r="O640">
        <v>0</v>
      </c>
      <c r="P640">
        <v>0</v>
      </c>
    </row>
    <row r="641" spans="1:16" x14ac:dyDescent="0.25">
      <c r="A641" t="s">
        <v>1855</v>
      </c>
      <c r="B641" t="s">
        <v>1856</v>
      </c>
      <c r="C641">
        <v>6219</v>
      </c>
      <c r="D641" t="s">
        <v>277</v>
      </c>
      <c r="E641" t="s">
        <v>13</v>
      </c>
      <c r="F641">
        <v>16363</v>
      </c>
      <c r="G641" t="s">
        <v>4999</v>
      </c>
      <c r="H641" t="s">
        <v>4993</v>
      </c>
      <c r="I641">
        <v>4.3986999999999998</v>
      </c>
      <c r="J641" t="s">
        <v>5012</v>
      </c>
      <c r="K641" t="s">
        <v>4993</v>
      </c>
      <c r="L641">
        <v>316</v>
      </c>
      <c r="M641">
        <v>43</v>
      </c>
      <c r="N641" t="s">
        <v>5015</v>
      </c>
      <c r="O641">
        <v>0</v>
      </c>
      <c r="P641">
        <v>0</v>
      </c>
    </row>
    <row r="642" spans="1:16" x14ac:dyDescent="0.25">
      <c r="A642" t="s">
        <v>1200</v>
      </c>
      <c r="B642" t="s">
        <v>1201</v>
      </c>
      <c r="C642">
        <v>5946</v>
      </c>
      <c r="D642" t="s">
        <v>341</v>
      </c>
      <c r="E642" t="s">
        <v>8</v>
      </c>
      <c r="F642">
        <v>29199</v>
      </c>
      <c r="G642" t="s">
        <v>4999</v>
      </c>
      <c r="H642" t="s">
        <v>4993</v>
      </c>
      <c r="I642">
        <v>4.0530999999999997</v>
      </c>
      <c r="J642" t="s">
        <v>5012</v>
      </c>
      <c r="K642" t="s">
        <v>4993</v>
      </c>
      <c r="L642">
        <v>414</v>
      </c>
      <c r="M642">
        <v>56</v>
      </c>
      <c r="N642" t="s">
        <v>5014</v>
      </c>
      <c r="O642">
        <v>0</v>
      </c>
      <c r="P642">
        <v>0</v>
      </c>
    </row>
    <row r="643" spans="1:16" x14ac:dyDescent="0.25">
      <c r="A643" t="s">
        <v>1574</v>
      </c>
      <c r="B643" t="s">
        <v>1575</v>
      </c>
      <c r="C643">
        <v>4372</v>
      </c>
      <c r="D643" t="s">
        <v>1513</v>
      </c>
      <c r="E643" t="s">
        <v>13</v>
      </c>
      <c r="F643">
        <v>20771</v>
      </c>
      <c r="G643" t="s">
        <v>4999</v>
      </c>
      <c r="H643" t="s">
        <v>4993</v>
      </c>
      <c r="I643">
        <v>4.2436999999999996</v>
      </c>
      <c r="J643" t="s">
        <v>5012</v>
      </c>
      <c r="K643" t="s">
        <v>4993</v>
      </c>
      <c r="L643">
        <v>316</v>
      </c>
      <c r="M643">
        <v>59</v>
      </c>
      <c r="N643" t="s">
        <v>5014</v>
      </c>
      <c r="O643">
        <v>0</v>
      </c>
      <c r="P643">
        <v>0</v>
      </c>
    </row>
    <row r="644" spans="1:16" x14ac:dyDescent="0.25">
      <c r="A644" t="s">
        <v>1370</v>
      </c>
      <c r="B644" t="s">
        <v>1371</v>
      </c>
      <c r="C644">
        <v>6175</v>
      </c>
      <c r="D644" t="s">
        <v>338</v>
      </c>
      <c r="E644" t="s">
        <v>13</v>
      </c>
      <c r="F644">
        <v>24647</v>
      </c>
      <c r="G644" t="s">
        <v>4999</v>
      </c>
      <c r="H644" t="s">
        <v>4993</v>
      </c>
      <c r="I644">
        <v>4.4757999999999996</v>
      </c>
      <c r="J644" t="s">
        <v>5012</v>
      </c>
      <c r="K644" t="s">
        <v>4993</v>
      </c>
      <c r="L644">
        <v>414</v>
      </c>
      <c r="M644">
        <v>29</v>
      </c>
      <c r="N644" t="s">
        <v>5015</v>
      </c>
      <c r="O644">
        <v>0</v>
      </c>
      <c r="P644">
        <v>0</v>
      </c>
    </row>
    <row r="645" spans="1:16" x14ac:dyDescent="0.25">
      <c r="A645" t="s">
        <v>1918</v>
      </c>
      <c r="B645" t="s">
        <v>1919</v>
      </c>
      <c r="C645">
        <v>6175</v>
      </c>
      <c r="D645" t="s">
        <v>338</v>
      </c>
      <c r="E645" t="s">
        <v>21</v>
      </c>
      <c r="F645">
        <v>15582</v>
      </c>
      <c r="G645" t="s">
        <v>4999</v>
      </c>
      <c r="H645" t="s">
        <v>4993</v>
      </c>
      <c r="I645">
        <v>4.4599000000000002</v>
      </c>
      <c r="J645" t="s">
        <v>5012</v>
      </c>
      <c r="K645" t="s">
        <v>4993</v>
      </c>
      <c r="L645">
        <v>411</v>
      </c>
      <c r="M645">
        <v>58</v>
      </c>
      <c r="N645" t="s">
        <v>5014</v>
      </c>
      <c r="O645">
        <v>0</v>
      </c>
      <c r="P645">
        <v>0</v>
      </c>
    </row>
    <row r="646" spans="1:16" x14ac:dyDescent="0.25">
      <c r="A646" t="s">
        <v>1940</v>
      </c>
      <c r="B646" t="s">
        <v>1941</v>
      </c>
      <c r="C646">
        <v>4164</v>
      </c>
      <c r="D646" t="s">
        <v>623</v>
      </c>
      <c r="E646" t="s">
        <v>13</v>
      </c>
      <c r="F646">
        <v>15366</v>
      </c>
      <c r="G646" t="s">
        <v>4999</v>
      </c>
      <c r="H646" t="s">
        <v>4993</v>
      </c>
      <c r="I646">
        <v>4.2934000000000001</v>
      </c>
      <c r="J646" t="s">
        <v>5012</v>
      </c>
      <c r="K646" t="s">
        <v>4993</v>
      </c>
      <c r="L646">
        <v>317</v>
      </c>
      <c r="M646">
        <v>42</v>
      </c>
      <c r="N646" t="s">
        <v>5015</v>
      </c>
      <c r="O646">
        <v>0</v>
      </c>
      <c r="P646">
        <v>0</v>
      </c>
    </row>
    <row r="647" spans="1:16" x14ac:dyDescent="0.25">
      <c r="A647" t="s">
        <v>2254</v>
      </c>
      <c r="B647" t="s">
        <v>2255</v>
      </c>
      <c r="C647">
        <v>3902</v>
      </c>
      <c r="D647" t="s">
        <v>72</v>
      </c>
      <c r="E647" t="s">
        <v>8</v>
      </c>
      <c r="F647">
        <v>12192</v>
      </c>
      <c r="G647" t="s">
        <v>4999</v>
      </c>
      <c r="H647" t="s">
        <v>4993</v>
      </c>
      <c r="I647">
        <v>4.6447000000000003</v>
      </c>
      <c r="J647" t="s">
        <v>5012</v>
      </c>
      <c r="K647" t="s">
        <v>4993</v>
      </c>
      <c r="L647">
        <v>318</v>
      </c>
      <c r="M647">
        <v>20</v>
      </c>
      <c r="N647" t="s">
        <v>5015</v>
      </c>
      <c r="O647">
        <v>0</v>
      </c>
      <c r="P647">
        <v>0</v>
      </c>
    </row>
    <row r="648" spans="1:16" x14ac:dyDescent="0.25">
      <c r="A648" t="s">
        <v>1871</v>
      </c>
      <c r="B648" t="s">
        <v>1872</v>
      </c>
      <c r="C648">
        <v>6201</v>
      </c>
      <c r="D648" t="s">
        <v>367</v>
      </c>
      <c r="E648" t="s">
        <v>149</v>
      </c>
      <c r="F648">
        <v>16236</v>
      </c>
      <c r="G648" t="s">
        <v>4999</v>
      </c>
      <c r="H648" t="s">
        <v>4993</v>
      </c>
      <c r="I648">
        <v>4.0534999999999997</v>
      </c>
      <c r="J648" t="s">
        <v>5012</v>
      </c>
      <c r="K648" t="s">
        <v>4993</v>
      </c>
      <c r="L648">
        <v>318</v>
      </c>
      <c r="M648">
        <v>260</v>
      </c>
      <c r="N648" t="s">
        <v>5014</v>
      </c>
      <c r="O648">
        <v>0</v>
      </c>
      <c r="P648">
        <v>0</v>
      </c>
    </row>
    <row r="649" spans="1:16" x14ac:dyDescent="0.25">
      <c r="A649" t="s">
        <v>1784</v>
      </c>
      <c r="B649" t="s">
        <v>1785</v>
      </c>
      <c r="C649">
        <v>8008</v>
      </c>
      <c r="D649" t="s">
        <v>105</v>
      </c>
      <c r="E649" t="s">
        <v>106</v>
      </c>
      <c r="F649">
        <v>17225</v>
      </c>
      <c r="G649" t="s">
        <v>4999</v>
      </c>
      <c r="H649" t="s">
        <v>4993</v>
      </c>
      <c r="I649">
        <v>4.3936999999999999</v>
      </c>
      <c r="J649" t="s">
        <v>5012</v>
      </c>
      <c r="K649" t="s">
        <v>4993</v>
      </c>
      <c r="L649">
        <v>320</v>
      </c>
      <c r="M649">
        <v>32</v>
      </c>
      <c r="N649" t="s">
        <v>5015</v>
      </c>
      <c r="O649">
        <v>0</v>
      </c>
      <c r="P649">
        <v>0</v>
      </c>
    </row>
    <row r="650" spans="1:16" x14ac:dyDescent="0.25">
      <c r="A650" t="s">
        <v>1703</v>
      </c>
      <c r="B650" t="s">
        <v>1704</v>
      </c>
      <c r="C650">
        <v>7020</v>
      </c>
      <c r="D650" t="s">
        <v>657</v>
      </c>
      <c r="E650" t="s">
        <v>8</v>
      </c>
      <c r="F650">
        <v>18261</v>
      </c>
      <c r="G650" t="s">
        <v>4999</v>
      </c>
      <c r="H650" t="s">
        <v>4993</v>
      </c>
      <c r="I650">
        <v>4.2561999999999998</v>
      </c>
      <c r="J650" t="s">
        <v>5012</v>
      </c>
      <c r="K650" t="s">
        <v>4993</v>
      </c>
      <c r="L650">
        <v>320</v>
      </c>
      <c r="M650">
        <v>92</v>
      </c>
      <c r="N650" t="s">
        <v>5014</v>
      </c>
      <c r="O650">
        <v>0</v>
      </c>
      <c r="P650">
        <v>0</v>
      </c>
    </row>
    <row r="651" spans="1:16" x14ac:dyDescent="0.25">
      <c r="A651" t="s">
        <v>1699</v>
      </c>
      <c r="B651" t="s">
        <v>1700</v>
      </c>
      <c r="C651">
        <v>6014</v>
      </c>
      <c r="D651" t="s">
        <v>102</v>
      </c>
      <c r="E651" t="s">
        <v>69</v>
      </c>
      <c r="F651">
        <v>18287</v>
      </c>
      <c r="G651" t="s">
        <v>4999</v>
      </c>
      <c r="H651" t="s">
        <v>4993</v>
      </c>
      <c r="I651">
        <v>4.1780999999999997</v>
      </c>
      <c r="J651" t="s">
        <v>5012</v>
      </c>
      <c r="K651" t="s">
        <v>4993</v>
      </c>
      <c r="L651">
        <v>320</v>
      </c>
      <c r="M651">
        <v>9</v>
      </c>
      <c r="N651" t="s">
        <v>5013</v>
      </c>
      <c r="O651">
        <v>0</v>
      </c>
      <c r="P651">
        <v>0</v>
      </c>
    </row>
    <row r="652" spans="1:16" x14ac:dyDescent="0.25">
      <c r="A652" t="s">
        <v>2099</v>
      </c>
      <c r="B652" t="s">
        <v>2100</v>
      </c>
      <c r="C652">
        <v>6295</v>
      </c>
      <c r="D652" t="s">
        <v>184</v>
      </c>
      <c r="E652" t="s">
        <v>21</v>
      </c>
      <c r="F652">
        <v>13619</v>
      </c>
      <c r="G652" t="s">
        <v>4999</v>
      </c>
      <c r="H652" t="s">
        <v>4993</v>
      </c>
      <c r="I652">
        <v>4.7298999999999998</v>
      </c>
      <c r="J652" t="s">
        <v>5012</v>
      </c>
      <c r="K652" t="s">
        <v>4993</v>
      </c>
      <c r="L652">
        <v>411</v>
      </c>
      <c r="M652">
        <v>29</v>
      </c>
      <c r="N652" t="s">
        <v>5015</v>
      </c>
      <c r="O652">
        <v>0</v>
      </c>
      <c r="P652">
        <v>0</v>
      </c>
    </row>
    <row r="653" spans="1:16" x14ac:dyDescent="0.25">
      <c r="A653" t="s">
        <v>1020</v>
      </c>
      <c r="B653" t="s">
        <v>1021</v>
      </c>
      <c r="C653">
        <v>6014</v>
      </c>
      <c r="D653" t="s">
        <v>102</v>
      </c>
      <c r="E653" t="s">
        <v>69</v>
      </c>
      <c r="F653">
        <v>35931</v>
      </c>
      <c r="G653" t="s">
        <v>4999</v>
      </c>
      <c r="H653" t="s">
        <v>4993</v>
      </c>
      <c r="I653">
        <v>4.4471999999999996</v>
      </c>
      <c r="J653" t="s">
        <v>5012</v>
      </c>
      <c r="K653" t="s">
        <v>4993</v>
      </c>
      <c r="L653">
        <v>322</v>
      </c>
      <c r="M653">
        <v>9</v>
      </c>
      <c r="N653" t="s">
        <v>5013</v>
      </c>
      <c r="O653">
        <v>0</v>
      </c>
      <c r="P653">
        <v>0</v>
      </c>
    </row>
    <row r="654" spans="1:16" x14ac:dyDescent="0.25">
      <c r="A654" t="s">
        <v>1948</v>
      </c>
      <c r="B654" t="s">
        <v>1949</v>
      </c>
      <c r="C654">
        <v>6014</v>
      </c>
      <c r="D654" t="s">
        <v>102</v>
      </c>
      <c r="E654" t="s">
        <v>49</v>
      </c>
      <c r="F654">
        <v>15285</v>
      </c>
      <c r="G654" t="s">
        <v>4999</v>
      </c>
      <c r="H654" t="s">
        <v>4993</v>
      </c>
      <c r="I654">
        <v>4.4215</v>
      </c>
      <c r="J654" t="s">
        <v>5012</v>
      </c>
      <c r="K654" t="s">
        <v>4993</v>
      </c>
      <c r="L654">
        <v>325</v>
      </c>
      <c r="M654">
        <v>42</v>
      </c>
      <c r="N654" t="s">
        <v>5015</v>
      </c>
      <c r="O654">
        <v>0</v>
      </c>
      <c r="P654">
        <v>0</v>
      </c>
    </row>
    <row r="655" spans="1:16" x14ac:dyDescent="0.25">
      <c r="A655" t="s">
        <v>1875</v>
      </c>
      <c r="B655" t="s">
        <v>1876</v>
      </c>
      <c r="C655">
        <v>6207</v>
      </c>
      <c r="D655" t="s">
        <v>914</v>
      </c>
      <c r="E655" t="s">
        <v>149</v>
      </c>
      <c r="F655">
        <v>16219</v>
      </c>
      <c r="G655" t="s">
        <v>4999</v>
      </c>
      <c r="H655" t="s">
        <v>4993</v>
      </c>
      <c r="I655">
        <v>4.6224999999999996</v>
      </c>
      <c r="J655" t="s">
        <v>5012</v>
      </c>
      <c r="K655" t="s">
        <v>4993</v>
      </c>
      <c r="L655">
        <v>408</v>
      </c>
      <c r="M655">
        <v>58</v>
      </c>
      <c r="N655" t="s">
        <v>5014</v>
      </c>
      <c r="O655">
        <v>0</v>
      </c>
      <c r="P655">
        <v>0</v>
      </c>
    </row>
    <row r="656" spans="1:16" x14ac:dyDescent="0.25">
      <c r="A656" t="s">
        <v>1904</v>
      </c>
      <c r="B656" t="s">
        <v>1905</v>
      </c>
      <c r="C656">
        <v>6316</v>
      </c>
      <c r="D656" t="s">
        <v>563</v>
      </c>
      <c r="E656" t="s">
        <v>21</v>
      </c>
      <c r="F656">
        <v>15716</v>
      </c>
      <c r="G656" t="s">
        <v>4999</v>
      </c>
      <c r="H656" t="s">
        <v>4993</v>
      </c>
      <c r="I656">
        <v>4.5697000000000001</v>
      </c>
      <c r="J656" t="s">
        <v>5012</v>
      </c>
      <c r="K656" t="s">
        <v>4993</v>
      </c>
      <c r="L656">
        <v>330</v>
      </c>
      <c r="M656">
        <v>43</v>
      </c>
      <c r="N656" t="s">
        <v>5015</v>
      </c>
      <c r="O656">
        <v>0</v>
      </c>
      <c r="P656">
        <v>0</v>
      </c>
    </row>
    <row r="657" spans="1:16" x14ac:dyDescent="0.25">
      <c r="A657" t="s">
        <v>1130</v>
      </c>
      <c r="B657" t="s">
        <v>1131</v>
      </c>
      <c r="C657">
        <v>6307</v>
      </c>
      <c r="D657" t="s">
        <v>1132</v>
      </c>
      <c r="E657" t="s">
        <v>13</v>
      </c>
      <c r="F657">
        <v>31523</v>
      </c>
      <c r="G657" t="s">
        <v>4999</v>
      </c>
      <c r="H657" t="s">
        <v>4993</v>
      </c>
      <c r="I657">
        <v>4.4531999999999998</v>
      </c>
      <c r="J657" t="s">
        <v>5012</v>
      </c>
      <c r="K657" t="s">
        <v>4993</v>
      </c>
      <c r="L657">
        <v>406</v>
      </c>
      <c r="M657">
        <v>40</v>
      </c>
      <c r="N657" t="s">
        <v>5015</v>
      </c>
      <c r="O657">
        <v>0</v>
      </c>
      <c r="P657">
        <v>0</v>
      </c>
    </row>
    <row r="658" spans="1:16" x14ac:dyDescent="0.25">
      <c r="A658" t="s">
        <v>1420</v>
      </c>
      <c r="B658" t="s">
        <v>1421</v>
      </c>
      <c r="C658">
        <v>6307</v>
      </c>
      <c r="D658" t="s">
        <v>1132</v>
      </c>
      <c r="E658" t="s">
        <v>144</v>
      </c>
      <c r="F658">
        <v>23559</v>
      </c>
      <c r="G658" t="s">
        <v>4999</v>
      </c>
      <c r="H658" t="s">
        <v>4993</v>
      </c>
      <c r="I658">
        <v>4.4531999999999998</v>
      </c>
      <c r="J658" t="s">
        <v>5012</v>
      </c>
      <c r="K658" t="s">
        <v>4993</v>
      </c>
      <c r="L658">
        <v>406</v>
      </c>
      <c r="M658">
        <v>13</v>
      </c>
      <c r="N658" t="s">
        <v>5013</v>
      </c>
      <c r="O658">
        <v>0</v>
      </c>
      <c r="P658">
        <v>0</v>
      </c>
    </row>
    <row r="659" spans="1:16" x14ac:dyDescent="0.25">
      <c r="A659" t="s">
        <v>2342</v>
      </c>
      <c r="B659" t="s">
        <v>2343</v>
      </c>
      <c r="C659">
        <v>6195</v>
      </c>
      <c r="D659" t="s">
        <v>163</v>
      </c>
      <c r="E659" t="s">
        <v>21</v>
      </c>
      <c r="F659">
        <v>11500</v>
      </c>
      <c r="G659" t="s">
        <v>4999</v>
      </c>
      <c r="H659" t="s">
        <v>4993</v>
      </c>
      <c r="I659">
        <v>4.4234</v>
      </c>
      <c r="J659" t="s">
        <v>5012</v>
      </c>
      <c r="K659" t="s">
        <v>4993</v>
      </c>
      <c r="L659">
        <v>333</v>
      </c>
      <c r="M659">
        <v>56</v>
      </c>
      <c r="N659" t="s">
        <v>5014</v>
      </c>
      <c r="O659">
        <v>0</v>
      </c>
      <c r="P659">
        <v>0</v>
      </c>
    </row>
    <row r="660" spans="1:16" x14ac:dyDescent="0.25">
      <c r="A660" t="s">
        <v>1534</v>
      </c>
      <c r="B660" t="s">
        <v>1535</v>
      </c>
      <c r="C660">
        <v>4164</v>
      </c>
      <c r="D660" t="s">
        <v>623</v>
      </c>
      <c r="E660" t="s">
        <v>21</v>
      </c>
      <c r="F660">
        <v>21491</v>
      </c>
      <c r="G660" t="s">
        <v>4999</v>
      </c>
      <c r="H660" t="s">
        <v>4993</v>
      </c>
      <c r="I660">
        <v>4.6078000000000001</v>
      </c>
      <c r="J660" t="s">
        <v>5012</v>
      </c>
      <c r="K660" t="s">
        <v>4993</v>
      </c>
      <c r="L660">
        <v>334</v>
      </c>
      <c r="M660">
        <v>88</v>
      </c>
      <c r="N660" t="s">
        <v>5014</v>
      </c>
      <c r="O660">
        <v>0</v>
      </c>
      <c r="P660">
        <v>0</v>
      </c>
    </row>
    <row r="661" spans="1:16" x14ac:dyDescent="0.25">
      <c r="A661" t="s">
        <v>2029</v>
      </c>
      <c r="B661" t="s">
        <v>2030</v>
      </c>
      <c r="C661">
        <v>6349</v>
      </c>
      <c r="D661" t="s">
        <v>2031</v>
      </c>
      <c r="E661" t="s">
        <v>21</v>
      </c>
      <c r="F661">
        <v>14376</v>
      </c>
      <c r="G661" t="s">
        <v>4999</v>
      </c>
      <c r="H661" t="s">
        <v>4993</v>
      </c>
      <c r="I661">
        <v>4.6687000000000003</v>
      </c>
      <c r="J661" t="s">
        <v>5012</v>
      </c>
      <c r="K661" t="s">
        <v>4993</v>
      </c>
      <c r="L661">
        <v>335</v>
      </c>
      <c r="M661">
        <v>48</v>
      </c>
      <c r="N661" t="s">
        <v>5015</v>
      </c>
      <c r="O661">
        <v>0</v>
      </c>
      <c r="P661">
        <v>0</v>
      </c>
    </row>
    <row r="662" spans="1:16" x14ac:dyDescent="0.25">
      <c r="A662" t="s">
        <v>1388</v>
      </c>
      <c r="B662" t="s">
        <v>1389</v>
      </c>
      <c r="C662">
        <v>4171</v>
      </c>
      <c r="D662" t="s">
        <v>133</v>
      </c>
      <c r="E662" t="s">
        <v>21</v>
      </c>
      <c r="F662">
        <v>24347</v>
      </c>
      <c r="G662" t="s">
        <v>4999</v>
      </c>
      <c r="H662" t="s">
        <v>4993</v>
      </c>
      <c r="I662">
        <v>4.6566999999999998</v>
      </c>
      <c r="J662" t="s">
        <v>5012</v>
      </c>
      <c r="K662" t="s">
        <v>4993</v>
      </c>
      <c r="L662">
        <v>335</v>
      </c>
      <c r="M662">
        <v>69</v>
      </c>
      <c r="N662" t="s">
        <v>5014</v>
      </c>
      <c r="O662">
        <v>0</v>
      </c>
      <c r="P662">
        <v>0</v>
      </c>
    </row>
    <row r="663" spans="1:16" x14ac:dyDescent="0.25">
      <c r="A663" t="s">
        <v>2471</v>
      </c>
      <c r="B663" t="s">
        <v>2472</v>
      </c>
      <c r="C663">
        <v>5674</v>
      </c>
      <c r="D663" t="s">
        <v>141</v>
      </c>
      <c r="E663" t="s">
        <v>21</v>
      </c>
      <c r="F663">
        <v>10448</v>
      </c>
      <c r="G663" t="s">
        <v>4999</v>
      </c>
      <c r="H663" t="s">
        <v>4993</v>
      </c>
      <c r="I663">
        <v>4.8319000000000001</v>
      </c>
      <c r="J663" t="s">
        <v>5012</v>
      </c>
      <c r="K663" t="s">
        <v>4993</v>
      </c>
      <c r="L663">
        <v>339</v>
      </c>
      <c r="M663">
        <v>60</v>
      </c>
      <c r="N663" t="s">
        <v>5014</v>
      </c>
      <c r="O663">
        <v>0</v>
      </c>
      <c r="P663">
        <v>0</v>
      </c>
    </row>
    <row r="664" spans="1:16" x14ac:dyDescent="0.25">
      <c r="A664" t="s">
        <v>2230</v>
      </c>
      <c r="B664" t="s">
        <v>2231</v>
      </c>
      <c r="C664">
        <v>3902</v>
      </c>
      <c r="D664" t="s">
        <v>72</v>
      </c>
      <c r="E664" t="s">
        <v>8</v>
      </c>
      <c r="F664">
        <v>12422</v>
      </c>
      <c r="G664" t="s">
        <v>4999</v>
      </c>
      <c r="H664" t="s">
        <v>4993</v>
      </c>
      <c r="I664">
        <v>4.6844000000000001</v>
      </c>
      <c r="J664" t="s">
        <v>5012</v>
      </c>
      <c r="K664" t="s">
        <v>4993</v>
      </c>
      <c r="L664">
        <v>339</v>
      </c>
      <c r="M664">
        <v>20</v>
      </c>
      <c r="N664" t="s">
        <v>5015</v>
      </c>
      <c r="O664">
        <v>0</v>
      </c>
      <c r="P664">
        <v>0</v>
      </c>
    </row>
    <row r="665" spans="1:16" x14ac:dyDescent="0.25">
      <c r="A665" t="s">
        <v>1462</v>
      </c>
      <c r="B665" t="s">
        <v>1463</v>
      </c>
      <c r="C665">
        <v>6341</v>
      </c>
      <c r="D665" t="s">
        <v>66</v>
      </c>
      <c r="E665" t="s">
        <v>149</v>
      </c>
      <c r="F665">
        <v>22932</v>
      </c>
      <c r="G665" t="s">
        <v>4999</v>
      </c>
      <c r="H665" t="s">
        <v>4993</v>
      </c>
      <c r="I665">
        <v>4.5</v>
      </c>
      <c r="J665" t="s">
        <v>5012</v>
      </c>
      <c r="K665" t="s">
        <v>4993</v>
      </c>
      <c r="L665">
        <v>340</v>
      </c>
      <c r="M665">
        <v>39</v>
      </c>
      <c r="N665" t="s">
        <v>5015</v>
      </c>
      <c r="O665">
        <v>0</v>
      </c>
      <c r="P665">
        <v>0</v>
      </c>
    </row>
    <row r="666" spans="1:16" x14ac:dyDescent="0.25">
      <c r="A666" t="s">
        <v>1208</v>
      </c>
      <c r="B666" t="s">
        <v>1209</v>
      </c>
      <c r="C666">
        <v>6117</v>
      </c>
      <c r="D666" t="s">
        <v>229</v>
      </c>
      <c r="E666" t="s">
        <v>13</v>
      </c>
      <c r="F666">
        <v>28997</v>
      </c>
      <c r="G666" t="s">
        <v>4999</v>
      </c>
      <c r="H666" t="s">
        <v>4993</v>
      </c>
      <c r="I666">
        <v>4.3011999999999997</v>
      </c>
      <c r="J666" t="s">
        <v>5012</v>
      </c>
      <c r="K666" t="s">
        <v>4993</v>
      </c>
      <c r="L666">
        <v>342</v>
      </c>
      <c r="M666">
        <v>14</v>
      </c>
      <c r="N666" t="s">
        <v>5013</v>
      </c>
      <c r="O666">
        <v>0</v>
      </c>
      <c r="P666">
        <v>0</v>
      </c>
    </row>
    <row r="667" spans="1:16" x14ac:dyDescent="0.25">
      <c r="A667" t="s">
        <v>2071</v>
      </c>
      <c r="B667" t="s">
        <v>2072</v>
      </c>
      <c r="C667">
        <v>7020</v>
      </c>
      <c r="D667" t="s">
        <v>657</v>
      </c>
      <c r="E667" t="s">
        <v>21</v>
      </c>
      <c r="F667">
        <v>13855</v>
      </c>
      <c r="G667" t="s">
        <v>4999</v>
      </c>
      <c r="H667" t="s">
        <v>4993</v>
      </c>
      <c r="I667">
        <v>4.4461000000000004</v>
      </c>
      <c r="J667" t="s">
        <v>5012</v>
      </c>
      <c r="K667" t="s">
        <v>4993</v>
      </c>
      <c r="L667">
        <v>343</v>
      </c>
      <c r="M667">
        <v>68</v>
      </c>
      <c r="N667" t="s">
        <v>5014</v>
      </c>
      <c r="O667">
        <v>0</v>
      </c>
      <c r="P667">
        <v>0</v>
      </c>
    </row>
    <row r="668" spans="1:16" x14ac:dyDescent="0.25">
      <c r="A668" t="s">
        <v>815</v>
      </c>
      <c r="B668" t="s">
        <v>816</v>
      </c>
      <c r="C668">
        <v>6117</v>
      </c>
      <c r="D668" t="s">
        <v>229</v>
      </c>
      <c r="E668" t="s">
        <v>21</v>
      </c>
      <c r="F668">
        <v>43956</v>
      </c>
      <c r="G668" t="s">
        <v>4999</v>
      </c>
      <c r="H668" t="s">
        <v>4993</v>
      </c>
      <c r="I668">
        <v>4.4169</v>
      </c>
      <c r="J668" t="s">
        <v>5012</v>
      </c>
      <c r="K668" t="s">
        <v>4993</v>
      </c>
      <c r="L668">
        <v>343</v>
      </c>
      <c r="M668">
        <v>88</v>
      </c>
      <c r="N668" t="s">
        <v>5014</v>
      </c>
      <c r="O668">
        <v>0</v>
      </c>
      <c r="P668">
        <v>0</v>
      </c>
    </row>
    <row r="669" spans="1:16" x14ac:dyDescent="0.25">
      <c r="A669" t="s">
        <v>2346</v>
      </c>
      <c r="B669" t="s">
        <v>2347</v>
      </c>
      <c r="C669">
        <v>3728</v>
      </c>
      <c r="D669" t="s">
        <v>458</v>
      </c>
      <c r="E669" t="s">
        <v>149</v>
      </c>
      <c r="F669">
        <v>11436</v>
      </c>
      <c r="G669" t="s">
        <v>4999</v>
      </c>
      <c r="H669" t="s">
        <v>4993</v>
      </c>
      <c r="I669">
        <v>4.0115999999999996</v>
      </c>
      <c r="J669" t="s">
        <v>5012</v>
      </c>
      <c r="K669" t="s">
        <v>4993</v>
      </c>
      <c r="L669">
        <v>345</v>
      </c>
      <c r="M669">
        <v>68</v>
      </c>
      <c r="N669" t="s">
        <v>5014</v>
      </c>
      <c r="O669">
        <v>0</v>
      </c>
      <c r="P669">
        <v>0</v>
      </c>
    </row>
    <row r="670" spans="1:16" x14ac:dyDescent="0.25">
      <c r="A670" t="s">
        <v>1685</v>
      </c>
      <c r="B670" t="s">
        <v>1686</v>
      </c>
      <c r="C670">
        <v>6285</v>
      </c>
      <c r="D670" t="s">
        <v>119</v>
      </c>
      <c r="E670" t="s">
        <v>13</v>
      </c>
      <c r="F670">
        <v>18399</v>
      </c>
      <c r="G670" t="s">
        <v>4999</v>
      </c>
      <c r="H670" t="s">
        <v>4993</v>
      </c>
      <c r="I670">
        <v>4.4203000000000001</v>
      </c>
      <c r="J670" t="s">
        <v>5012</v>
      </c>
      <c r="K670" t="s">
        <v>4993</v>
      </c>
      <c r="L670">
        <v>345</v>
      </c>
      <c r="M670">
        <v>5.99</v>
      </c>
      <c r="N670" t="s">
        <v>5013</v>
      </c>
      <c r="O670">
        <v>0</v>
      </c>
      <c r="P670">
        <v>0</v>
      </c>
    </row>
    <row r="671" spans="1:16" x14ac:dyDescent="0.25">
      <c r="A671" t="s">
        <v>965</v>
      </c>
      <c r="B671" t="s">
        <v>966</v>
      </c>
      <c r="C671">
        <v>6285</v>
      </c>
      <c r="D671" t="s">
        <v>119</v>
      </c>
      <c r="E671" t="s">
        <v>13</v>
      </c>
      <c r="F671">
        <v>38263</v>
      </c>
      <c r="G671" t="s">
        <v>4999</v>
      </c>
      <c r="H671" t="s">
        <v>4993</v>
      </c>
      <c r="I671">
        <v>4.4203000000000001</v>
      </c>
      <c r="J671" t="s">
        <v>5012</v>
      </c>
      <c r="K671" t="s">
        <v>4993</v>
      </c>
      <c r="L671">
        <v>345</v>
      </c>
      <c r="M671">
        <v>11.99</v>
      </c>
      <c r="N671" t="s">
        <v>5013</v>
      </c>
      <c r="O671">
        <v>0</v>
      </c>
      <c r="P671">
        <v>0</v>
      </c>
    </row>
    <row r="672" spans="1:16" x14ac:dyDescent="0.25">
      <c r="A672" t="s">
        <v>1214</v>
      </c>
      <c r="B672" t="s">
        <v>1215</v>
      </c>
      <c r="C672">
        <v>6285</v>
      </c>
      <c r="D672" t="s">
        <v>119</v>
      </c>
      <c r="E672" t="s">
        <v>8</v>
      </c>
      <c r="F672">
        <v>28723</v>
      </c>
      <c r="G672" t="s">
        <v>4999</v>
      </c>
      <c r="H672" t="s">
        <v>4993</v>
      </c>
      <c r="I672">
        <v>4.0376000000000003</v>
      </c>
      <c r="J672" t="s">
        <v>5012</v>
      </c>
      <c r="K672" t="s">
        <v>4993</v>
      </c>
      <c r="L672">
        <v>346</v>
      </c>
      <c r="M672">
        <v>12.99</v>
      </c>
      <c r="N672" t="s">
        <v>5013</v>
      </c>
      <c r="O672">
        <v>0</v>
      </c>
      <c r="P672">
        <v>0</v>
      </c>
    </row>
    <row r="673" spans="1:16" x14ac:dyDescent="0.25">
      <c r="A673" t="s">
        <v>1240</v>
      </c>
      <c r="B673" t="s">
        <v>1241</v>
      </c>
      <c r="C673">
        <v>6312</v>
      </c>
      <c r="D673" t="s">
        <v>1242</v>
      </c>
      <c r="E673" t="s">
        <v>69</v>
      </c>
      <c r="F673">
        <v>28060</v>
      </c>
      <c r="G673" t="s">
        <v>4999</v>
      </c>
      <c r="H673" t="s">
        <v>4993</v>
      </c>
      <c r="I673">
        <v>4.6801000000000004</v>
      </c>
      <c r="J673" t="s">
        <v>5012</v>
      </c>
      <c r="K673" t="s">
        <v>4993</v>
      </c>
      <c r="L673">
        <v>347</v>
      </c>
      <c r="M673">
        <v>56</v>
      </c>
      <c r="N673" t="s">
        <v>5014</v>
      </c>
      <c r="O673">
        <v>0</v>
      </c>
      <c r="P673">
        <v>0</v>
      </c>
    </row>
    <row r="674" spans="1:16" x14ac:dyDescent="0.25">
      <c r="A674" t="s">
        <v>2503</v>
      </c>
      <c r="B674" t="s">
        <v>2504</v>
      </c>
      <c r="C674">
        <v>4164</v>
      </c>
      <c r="D674" t="s">
        <v>623</v>
      </c>
      <c r="E674" t="s">
        <v>144</v>
      </c>
      <c r="F674">
        <v>10296</v>
      </c>
      <c r="G674" t="s">
        <v>4999</v>
      </c>
      <c r="H674" t="s">
        <v>4993</v>
      </c>
      <c r="I674">
        <v>4.2621000000000002</v>
      </c>
      <c r="J674" t="s">
        <v>5012</v>
      </c>
      <c r="K674" t="s">
        <v>4993</v>
      </c>
      <c r="L674">
        <v>351</v>
      </c>
      <c r="M674">
        <v>30</v>
      </c>
      <c r="N674" t="s">
        <v>5015</v>
      </c>
      <c r="O674">
        <v>0</v>
      </c>
      <c r="P674">
        <v>0</v>
      </c>
    </row>
    <row r="675" spans="1:16" x14ac:dyDescent="0.25">
      <c r="A675" t="s">
        <v>1879</v>
      </c>
      <c r="B675" t="s">
        <v>1880</v>
      </c>
      <c r="C675">
        <v>5972</v>
      </c>
      <c r="D675" t="s">
        <v>54</v>
      </c>
      <c r="E675" t="s">
        <v>8</v>
      </c>
      <c r="F675">
        <v>16175</v>
      </c>
      <c r="G675" t="s">
        <v>4999</v>
      </c>
      <c r="H675" t="s">
        <v>4993</v>
      </c>
      <c r="I675">
        <v>4.6780999999999997</v>
      </c>
      <c r="J675" t="s">
        <v>5012</v>
      </c>
      <c r="K675" t="s">
        <v>4993</v>
      </c>
      <c r="L675">
        <v>351</v>
      </c>
      <c r="M675">
        <v>50</v>
      </c>
      <c r="N675" t="s">
        <v>5015</v>
      </c>
      <c r="O675">
        <v>0</v>
      </c>
      <c r="P675">
        <v>0</v>
      </c>
    </row>
    <row r="676" spans="1:16" x14ac:dyDescent="0.25">
      <c r="A676" t="s">
        <v>1307</v>
      </c>
      <c r="B676" t="s">
        <v>1308</v>
      </c>
      <c r="C676">
        <v>4164</v>
      </c>
      <c r="D676" t="s">
        <v>623</v>
      </c>
      <c r="E676" t="s">
        <v>49</v>
      </c>
      <c r="F676">
        <v>26245</v>
      </c>
      <c r="G676" t="s">
        <v>4999</v>
      </c>
      <c r="H676" t="s">
        <v>4993</v>
      </c>
      <c r="I676">
        <v>4.3219000000000003</v>
      </c>
      <c r="J676" t="s">
        <v>5012</v>
      </c>
      <c r="K676" t="s">
        <v>4993</v>
      </c>
      <c r="L676">
        <v>351</v>
      </c>
      <c r="M676">
        <v>69</v>
      </c>
      <c r="N676" t="s">
        <v>5014</v>
      </c>
      <c r="O676">
        <v>0</v>
      </c>
      <c r="P676">
        <v>0</v>
      </c>
    </row>
    <row r="677" spans="1:16" x14ac:dyDescent="0.25">
      <c r="A677" t="s">
        <v>1218</v>
      </c>
      <c r="B677" t="s">
        <v>1219</v>
      </c>
      <c r="C677">
        <v>4164</v>
      </c>
      <c r="D677" t="s">
        <v>623</v>
      </c>
      <c r="E677" t="s">
        <v>8</v>
      </c>
      <c r="F677">
        <v>28653</v>
      </c>
      <c r="G677" t="s">
        <v>4999</v>
      </c>
      <c r="H677" t="s">
        <v>4993</v>
      </c>
      <c r="I677">
        <v>4.2621000000000002</v>
      </c>
      <c r="J677" t="s">
        <v>5012</v>
      </c>
      <c r="K677" t="s">
        <v>4993</v>
      </c>
      <c r="L677">
        <v>351</v>
      </c>
      <c r="M677">
        <v>88</v>
      </c>
      <c r="N677" t="s">
        <v>5014</v>
      </c>
      <c r="O677">
        <v>0</v>
      </c>
      <c r="P677">
        <v>0</v>
      </c>
    </row>
    <row r="678" spans="1:16" x14ac:dyDescent="0.25">
      <c r="A678" t="s">
        <v>1418</v>
      </c>
      <c r="B678" t="s">
        <v>1419</v>
      </c>
      <c r="C678">
        <v>5987</v>
      </c>
      <c r="D678" t="s">
        <v>48</v>
      </c>
      <c r="E678" t="s">
        <v>49</v>
      </c>
      <c r="F678">
        <v>23635</v>
      </c>
      <c r="G678" t="s">
        <v>4999</v>
      </c>
      <c r="H678" t="s">
        <v>4993</v>
      </c>
      <c r="I678">
        <v>4.2805</v>
      </c>
      <c r="J678" t="s">
        <v>5012</v>
      </c>
      <c r="K678" t="s">
        <v>4993</v>
      </c>
      <c r="L678">
        <v>353</v>
      </c>
      <c r="M678">
        <v>34</v>
      </c>
      <c r="N678" t="s">
        <v>5015</v>
      </c>
      <c r="O678">
        <v>0</v>
      </c>
      <c r="P678">
        <v>0</v>
      </c>
    </row>
    <row r="679" spans="1:16" x14ac:dyDescent="0.25">
      <c r="A679" t="s">
        <v>734</v>
      </c>
      <c r="B679" t="s">
        <v>735</v>
      </c>
      <c r="C679">
        <v>4171</v>
      </c>
      <c r="D679" t="s">
        <v>133</v>
      </c>
      <c r="E679" t="s">
        <v>8</v>
      </c>
      <c r="F679">
        <v>48739</v>
      </c>
      <c r="G679" t="s">
        <v>4999</v>
      </c>
      <c r="H679" t="s">
        <v>4993</v>
      </c>
      <c r="I679">
        <v>4.5721999999999996</v>
      </c>
      <c r="J679" t="s">
        <v>5012</v>
      </c>
      <c r="K679" t="s">
        <v>4993</v>
      </c>
      <c r="L679">
        <v>353</v>
      </c>
      <c r="M679">
        <v>84</v>
      </c>
      <c r="N679" t="s">
        <v>5014</v>
      </c>
      <c r="O679">
        <v>0</v>
      </c>
      <c r="P679">
        <v>0</v>
      </c>
    </row>
    <row r="680" spans="1:16" x14ac:dyDescent="0.25">
      <c r="A680" t="s">
        <v>817</v>
      </c>
      <c r="B680" t="s">
        <v>818</v>
      </c>
      <c r="C680">
        <v>6341</v>
      </c>
      <c r="D680" t="s">
        <v>66</v>
      </c>
      <c r="E680" t="s">
        <v>49</v>
      </c>
      <c r="F680">
        <v>43866</v>
      </c>
      <c r="G680" t="s">
        <v>4999</v>
      </c>
      <c r="H680" t="s">
        <v>4993</v>
      </c>
      <c r="I680">
        <v>4.2690999999999999</v>
      </c>
      <c r="J680" t="s">
        <v>5012</v>
      </c>
      <c r="K680" t="s">
        <v>4993</v>
      </c>
      <c r="L680">
        <v>405</v>
      </c>
      <c r="M680">
        <v>37</v>
      </c>
      <c r="N680" t="s">
        <v>5015</v>
      </c>
      <c r="O680">
        <v>0</v>
      </c>
      <c r="P680">
        <v>0</v>
      </c>
    </row>
    <row r="681" spans="1:16" x14ac:dyDescent="0.25">
      <c r="A681" t="s">
        <v>1518</v>
      </c>
      <c r="B681" t="s">
        <v>1519</v>
      </c>
      <c r="C681">
        <v>6294</v>
      </c>
      <c r="D681" t="s">
        <v>1520</v>
      </c>
      <c r="E681" t="s">
        <v>8</v>
      </c>
      <c r="F681">
        <v>21687</v>
      </c>
      <c r="G681" t="s">
        <v>4999</v>
      </c>
      <c r="H681" t="s">
        <v>4993</v>
      </c>
      <c r="I681">
        <v>4.3971999999999998</v>
      </c>
      <c r="J681" t="s">
        <v>5012</v>
      </c>
      <c r="K681" t="s">
        <v>4993</v>
      </c>
      <c r="L681">
        <v>355</v>
      </c>
      <c r="M681">
        <v>125</v>
      </c>
      <c r="N681" t="s">
        <v>5014</v>
      </c>
      <c r="O681">
        <v>0</v>
      </c>
      <c r="P681">
        <v>0</v>
      </c>
    </row>
    <row r="682" spans="1:16" x14ac:dyDescent="0.25">
      <c r="A682" t="s">
        <v>1751</v>
      </c>
      <c r="B682" t="s">
        <v>1752</v>
      </c>
      <c r="C682">
        <v>6219</v>
      </c>
      <c r="D682" t="s">
        <v>277</v>
      </c>
      <c r="E682" t="s">
        <v>13</v>
      </c>
      <c r="F682">
        <v>17736</v>
      </c>
      <c r="G682" t="s">
        <v>4999</v>
      </c>
      <c r="H682" t="s">
        <v>4993</v>
      </c>
      <c r="I682">
        <v>4.7843</v>
      </c>
      <c r="J682" t="s">
        <v>5012</v>
      </c>
      <c r="K682" t="s">
        <v>4993</v>
      </c>
      <c r="L682">
        <v>357</v>
      </c>
      <c r="M682">
        <v>37</v>
      </c>
      <c r="N682" t="s">
        <v>5015</v>
      </c>
      <c r="O682">
        <v>0</v>
      </c>
      <c r="P682">
        <v>0</v>
      </c>
    </row>
    <row r="683" spans="1:16" x14ac:dyDescent="0.25">
      <c r="A683" t="s">
        <v>1485</v>
      </c>
      <c r="B683" t="s">
        <v>1486</v>
      </c>
      <c r="C683">
        <v>5337</v>
      </c>
      <c r="D683" t="s">
        <v>209</v>
      </c>
      <c r="E683" t="s">
        <v>21</v>
      </c>
      <c r="F683">
        <v>22311</v>
      </c>
      <c r="G683" t="s">
        <v>4999</v>
      </c>
      <c r="H683" t="s">
        <v>4993</v>
      </c>
      <c r="I683">
        <v>4.5335000000000001</v>
      </c>
      <c r="J683" t="s">
        <v>5012</v>
      </c>
      <c r="K683" t="s">
        <v>4993</v>
      </c>
      <c r="L683">
        <v>358</v>
      </c>
      <c r="M683">
        <v>85</v>
      </c>
      <c r="N683" t="s">
        <v>5014</v>
      </c>
      <c r="O683">
        <v>0</v>
      </c>
      <c r="P683">
        <v>0</v>
      </c>
    </row>
    <row r="684" spans="1:16" x14ac:dyDescent="0.25">
      <c r="A684" t="s">
        <v>2519</v>
      </c>
      <c r="B684" t="s">
        <v>2520</v>
      </c>
      <c r="C684">
        <v>6014</v>
      </c>
      <c r="D684" t="s">
        <v>102</v>
      </c>
      <c r="E684" t="s">
        <v>69</v>
      </c>
      <c r="F684">
        <v>10190</v>
      </c>
      <c r="G684" t="s">
        <v>4999</v>
      </c>
      <c r="H684" t="s">
        <v>4993</v>
      </c>
      <c r="I684">
        <v>4.6936</v>
      </c>
      <c r="J684" t="s">
        <v>5012</v>
      </c>
      <c r="K684" t="s">
        <v>4993</v>
      </c>
      <c r="L684">
        <v>359</v>
      </c>
      <c r="M684">
        <v>9</v>
      </c>
      <c r="N684" t="s">
        <v>5013</v>
      </c>
      <c r="O684">
        <v>1</v>
      </c>
      <c r="P684">
        <v>0</v>
      </c>
    </row>
    <row r="685" spans="1:16" x14ac:dyDescent="0.25">
      <c r="A685" t="s">
        <v>841</v>
      </c>
      <c r="B685" t="s">
        <v>842</v>
      </c>
      <c r="C685">
        <v>6226</v>
      </c>
      <c r="D685" t="s">
        <v>843</v>
      </c>
      <c r="E685" t="s">
        <v>8</v>
      </c>
      <c r="F685">
        <v>43083</v>
      </c>
      <c r="G685" t="s">
        <v>4999</v>
      </c>
      <c r="H685" t="s">
        <v>4993</v>
      </c>
      <c r="I685">
        <v>4.5469999999999997</v>
      </c>
      <c r="J685" t="s">
        <v>5012</v>
      </c>
      <c r="K685" t="s">
        <v>4993</v>
      </c>
      <c r="L685">
        <v>404</v>
      </c>
      <c r="M685">
        <v>42</v>
      </c>
      <c r="N685" t="s">
        <v>5015</v>
      </c>
      <c r="O685">
        <v>0</v>
      </c>
      <c r="P685">
        <v>0</v>
      </c>
    </row>
    <row r="686" spans="1:16" x14ac:dyDescent="0.25">
      <c r="A686" t="s">
        <v>1267</v>
      </c>
      <c r="B686" t="s">
        <v>1268</v>
      </c>
      <c r="C686">
        <v>4164</v>
      </c>
      <c r="D686" t="s">
        <v>623</v>
      </c>
      <c r="E686" t="s">
        <v>149</v>
      </c>
      <c r="F686">
        <v>27356</v>
      </c>
      <c r="G686" t="s">
        <v>4999</v>
      </c>
      <c r="H686" t="s">
        <v>4993</v>
      </c>
      <c r="I686">
        <v>4.5278</v>
      </c>
      <c r="J686" t="s">
        <v>5012</v>
      </c>
      <c r="K686" t="s">
        <v>4993</v>
      </c>
      <c r="L686">
        <v>360</v>
      </c>
      <c r="M686">
        <v>89</v>
      </c>
      <c r="N686" t="s">
        <v>5014</v>
      </c>
      <c r="O686">
        <v>0</v>
      </c>
      <c r="P686">
        <v>0</v>
      </c>
    </row>
    <row r="687" spans="1:16" x14ac:dyDescent="0.25">
      <c r="A687" t="s">
        <v>1460</v>
      </c>
      <c r="B687" t="s">
        <v>1461</v>
      </c>
      <c r="C687">
        <v>6209</v>
      </c>
      <c r="D687" t="s">
        <v>45</v>
      </c>
      <c r="E687" t="s">
        <v>8</v>
      </c>
      <c r="F687">
        <v>22947</v>
      </c>
      <c r="G687" t="s">
        <v>4999</v>
      </c>
      <c r="H687" t="s">
        <v>4993</v>
      </c>
      <c r="I687">
        <v>4.0385999999999997</v>
      </c>
      <c r="J687" t="s">
        <v>5012</v>
      </c>
      <c r="K687" t="s">
        <v>4993</v>
      </c>
      <c r="L687">
        <v>363</v>
      </c>
      <c r="M687">
        <v>28</v>
      </c>
      <c r="N687" t="s">
        <v>5015</v>
      </c>
      <c r="O687">
        <v>0</v>
      </c>
      <c r="P687">
        <v>0</v>
      </c>
    </row>
    <row r="688" spans="1:16" x14ac:dyDescent="0.25">
      <c r="A688" t="s">
        <v>1614</v>
      </c>
      <c r="B688" t="s">
        <v>1615</v>
      </c>
      <c r="C688">
        <v>1254</v>
      </c>
      <c r="D688" t="s">
        <v>136</v>
      </c>
      <c r="E688" t="s">
        <v>49</v>
      </c>
      <c r="F688">
        <v>19781</v>
      </c>
      <c r="G688" t="s">
        <v>4999</v>
      </c>
      <c r="H688" t="s">
        <v>4993</v>
      </c>
      <c r="I688">
        <v>4.2521000000000004</v>
      </c>
      <c r="J688" t="s">
        <v>5012</v>
      </c>
      <c r="K688" t="s">
        <v>4993</v>
      </c>
      <c r="L688">
        <v>365</v>
      </c>
      <c r="M688">
        <v>23</v>
      </c>
      <c r="N688" t="s">
        <v>5015</v>
      </c>
      <c r="O688">
        <v>0</v>
      </c>
      <c r="P688">
        <v>0</v>
      </c>
    </row>
    <row r="689" spans="1:16" x14ac:dyDescent="0.25">
      <c r="A689" t="s">
        <v>890</v>
      </c>
      <c r="B689" t="s">
        <v>891</v>
      </c>
      <c r="C689">
        <v>6295</v>
      </c>
      <c r="D689" t="s">
        <v>184</v>
      </c>
      <c r="E689" t="s">
        <v>8</v>
      </c>
      <c r="F689">
        <v>41215</v>
      </c>
      <c r="G689" t="s">
        <v>4999</v>
      </c>
      <c r="H689" t="s">
        <v>4993</v>
      </c>
      <c r="I689">
        <v>4.5835999999999997</v>
      </c>
      <c r="J689" t="s">
        <v>5012</v>
      </c>
      <c r="K689" t="s">
        <v>4993</v>
      </c>
      <c r="L689">
        <v>365</v>
      </c>
      <c r="M689">
        <v>30</v>
      </c>
      <c r="N689" t="s">
        <v>5015</v>
      </c>
      <c r="O689">
        <v>0</v>
      </c>
      <c r="P689">
        <v>0</v>
      </c>
    </row>
    <row r="690" spans="1:16" x14ac:dyDescent="0.25">
      <c r="A690" t="s">
        <v>2297</v>
      </c>
      <c r="B690" t="s">
        <v>2298</v>
      </c>
      <c r="C690">
        <v>5987</v>
      </c>
      <c r="D690" t="s">
        <v>48</v>
      </c>
      <c r="E690" t="s">
        <v>8</v>
      </c>
      <c r="F690">
        <v>11846</v>
      </c>
      <c r="G690" t="s">
        <v>4999</v>
      </c>
      <c r="H690" t="s">
        <v>4993</v>
      </c>
      <c r="I690">
        <v>4.7356999999999996</v>
      </c>
      <c r="J690" t="s">
        <v>5012</v>
      </c>
      <c r="K690" t="s">
        <v>4993</v>
      </c>
      <c r="L690">
        <v>367</v>
      </c>
      <c r="M690">
        <v>46</v>
      </c>
      <c r="N690" t="s">
        <v>5015</v>
      </c>
      <c r="O690">
        <v>0</v>
      </c>
      <c r="P690">
        <v>0</v>
      </c>
    </row>
    <row r="691" spans="1:16" x14ac:dyDescent="0.25">
      <c r="A691" t="s">
        <v>1588</v>
      </c>
      <c r="B691" t="s">
        <v>1589</v>
      </c>
      <c r="C691">
        <v>4164</v>
      </c>
      <c r="D691" t="s">
        <v>623</v>
      </c>
      <c r="E691" t="s">
        <v>149</v>
      </c>
      <c r="F691">
        <v>20483</v>
      </c>
      <c r="G691" t="s">
        <v>4999</v>
      </c>
      <c r="H691" t="s">
        <v>4993</v>
      </c>
      <c r="I691">
        <v>4.6294000000000004</v>
      </c>
      <c r="J691" t="s">
        <v>5012</v>
      </c>
      <c r="K691" t="s">
        <v>4993</v>
      </c>
      <c r="L691">
        <v>367</v>
      </c>
      <c r="M691">
        <v>42</v>
      </c>
      <c r="N691" t="s">
        <v>5015</v>
      </c>
      <c r="O691">
        <v>0</v>
      </c>
      <c r="P691">
        <v>0</v>
      </c>
    </row>
    <row r="692" spans="1:16" x14ac:dyDescent="0.25">
      <c r="A692" t="s">
        <v>1090</v>
      </c>
      <c r="B692" t="s">
        <v>1091</v>
      </c>
      <c r="C692">
        <v>3728</v>
      </c>
      <c r="D692" t="s">
        <v>458</v>
      </c>
      <c r="E692" t="s">
        <v>8</v>
      </c>
      <c r="F692">
        <v>32582</v>
      </c>
      <c r="G692" t="s">
        <v>4999</v>
      </c>
      <c r="H692" t="s">
        <v>4993</v>
      </c>
      <c r="I692">
        <v>4.1608000000000001</v>
      </c>
      <c r="J692" t="s">
        <v>5012</v>
      </c>
      <c r="K692" t="s">
        <v>4993</v>
      </c>
      <c r="L692">
        <v>367</v>
      </c>
      <c r="M692">
        <v>88</v>
      </c>
      <c r="N692" t="s">
        <v>5014</v>
      </c>
      <c r="O692">
        <v>0</v>
      </c>
      <c r="P692">
        <v>0</v>
      </c>
    </row>
    <row r="693" spans="1:16" x14ac:dyDescent="0.25">
      <c r="A693" t="s">
        <v>1650</v>
      </c>
      <c r="B693" t="s">
        <v>1651</v>
      </c>
      <c r="C693">
        <v>6373</v>
      </c>
      <c r="D693" t="s">
        <v>1652</v>
      </c>
      <c r="E693" t="s">
        <v>149</v>
      </c>
      <c r="F693">
        <v>19298</v>
      </c>
      <c r="G693" t="s">
        <v>4999</v>
      </c>
      <c r="H693" t="s">
        <v>4993</v>
      </c>
      <c r="I693">
        <v>4.0731999999999999</v>
      </c>
      <c r="J693" t="s">
        <v>5012</v>
      </c>
      <c r="K693" t="s">
        <v>4993</v>
      </c>
      <c r="L693">
        <v>369</v>
      </c>
      <c r="M693">
        <v>32</v>
      </c>
      <c r="N693" t="s">
        <v>5015</v>
      </c>
      <c r="O693">
        <v>0</v>
      </c>
      <c r="P693">
        <v>0</v>
      </c>
    </row>
    <row r="694" spans="1:16" x14ac:dyDescent="0.25">
      <c r="A694" t="s">
        <v>1562</v>
      </c>
      <c r="B694" t="s">
        <v>1563</v>
      </c>
      <c r="C694">
        <v>5857</v>
      </c>
      <c r="D694" t="s">
        <v>433</v>
      </c>
      <c r="E694" t="s">
        <v>149</v>
      </c>
      <c r="F694">
        <v>20905</v>
      </c>
      <c r="G694" t="s">
        <v>4999</v>
      </c>
      <c r="H694" t="s">
        <v>4993</v>
      </c>
      <c r="I694">
        <v>4.3026999999999997</v>
      </c>
      <c r="J694" t="s">
        <v>5012</v>
      </c>
      <c r="K694" t="s">
        <v>4993</v>
      </c>
      <c r="L694">
        <v>370</v>
      </c>
      <c r="M694">
        <v>51</v>
      </c>
      <c r="N694" t="s">
        <v>5014</v>
      </c>
      <c r="O694">
        <v>0</v>
      </c>
      <c r="P694">
        <v>0</v>
      </c>
    </row>
    <row r="695" spans="1:16" x14ac:dyDescent="0.25">
      <c r="A695" t="s">
        <v>1158</v>
      </c>
      <c r="B695" t="s">
        <v>1159</v>
      </c>
      <c r="C695">
        <v>6357</v>
      </c>
      <c r="D695" t="s">
        <v>876</v>
      </c>
      <c r="E695" t="s">
        <v>8</v>
      </c>
      <c r="F695">
        <v>30846</v>
      </c>
      <c r="G695" t="s">
        <v>4999</v>
      </c>
      <c r="H695" t="s">
        <v>4993</v>
      </c>
      <c r="I695">
        <v>4.4043000000000001</v>
      </c>
      <c r="J695" t="s">
        <v>5012</v>
      </c>
      <c r="K695" t="s">
        <v>4993</v>
      </c>
      <c r="L695">
        <v>376</v>
      </c>
      <c r="M695">
        <v>34</v>
      </c>
      <c r="N695" t="s">
        <v>5015</v>
      </c>
      <c r="O695">
        <v>0</v>
      </c>
      <c r="P695">
        <v>0</v>
      </c>
    </row>
    <row r="696" spans="1:16" x14ac:dyDescent="0.25">
      <c r="A696" t="s">
        <v>2228</v>
      </c>
      <c r="B696" t="s">
        <v>2229</v>
      </c>
      <c r="C696">
        <v>6316</v>
      </c>
      <c r="D696" t="s">
        <v>563</v>
      </c>
      <c r="E696" t="s">
        <v>21</v>
      </c>
      <c r="F696">
        <v>12439</v>
      </c>
      <c r="G696" t="s">
        <v>4999</v>
      </c>
      <c r="H696" t="s">
        <v>4993</v>
      </c>
      <c r="I696">
        <v>4.3925999999999998</v>
      </c>
      <c r="J696" t="s">
        <v>5012</v>
      </c>
      <c r="K696" t="s">
        <v>4993</v>
      </c>
      <c r="L696">
        <v>377</v>
      </c>
      <c r="M696">
        <v>63</v>
      </c>
      <c r="N696" t="s">
        <v>5014</v>
      </c>
      <c r="O696">
        <v>0</v>
      </c>
      <c r="P696">
        <v>0</v>
      </c>
    </row>
    <row r="697" spans="1:16" x14ac:dyDescent="0.25">
      <c r="A697" t="s">
        <v>1202</v>
      </c>
      <c r="B697" t="s">
        <v>1203</v>
      </c>
      <c r="C697">
        <v>6169</v>
      </c>
      <c r="D697" t="s">
        <v>24</v>
      </c>
      <c r="E697" t="s">
        <v>21</v>
      </c>
      <c r="F697">
        <v>29088</v>
      </c>
      <c r="G697" t="s">
        <v>4999</v>
      </c>
      <c r="H697" t="s">
        <v>4993</v>
      </c>
      <c r="I697">
        <v>4.4402999999999997</v>
      </c>
      <c r="J697" t="s">
        <v>5012</v>
      </c>
      <c r="K697" t="s">
        <v>4993</v>
      </c>
      <c r="L697">
        <v>377</v>
      </c>
      <c r="M697">
        <v>68</v>
      </c>
      <c r="N697" t="s">
        <v>5014</v>
      </c>
      <c r="O697">
        <v>0</v>
      </c>
      <c r="P697">
        <v>0</v>
      </c>
    </row>
    <row r="698" spans="1:16" x14ac:dyDescent="0.25">
      <c r="A698" t="s">
        <v>1342</v>
      </c>
      <c r="B698" t="s">
        <v>1343</v>
      </c>
      <c r="C698">
        <v>5626</v>
      </c>
      <c r="D698" t="s">
        <v>1069</v>
      </c>
      <c r="E698" t="s">
        <v>106</v>
      </c>
      <c r="F698">
        <v>25187</v>
      </c>
      <c r="G698" t="s">
        <v>4999</v>
      </c>
      <c r="H698" t="s">
        <v>4993</v>
      </c>
      <c r="I698">
        <v>4.5556000000000001</v>
      </c>
      <c r="J698" t="s">
        <v>5012</v>
      </c>
      <c r="K698" t="s">
        <v>4993</v>
      </c>
      <c r="L698">
        <v>378</v>
      </c>
      <c r="M698">
        <v>9</v>
      </c>
      <c r="N698" t="s">
        <v>5013</v>
      </c>
      <c r="O698">
        <v>0</v>
      </c>
      <c r="P698">
        <v>0</v>
      </c>
    </row>
    <row r="699" spans="1:16" x14ac:dyDescent="0.25">
      <c r="A699" t="s">
        <v>1183</v>
      </c>
      <c r="B699" t="s">
        <v>1184</v>
      </c>
      <c r="C699">
        <v>4171</v>
      </c>
      <c r="D699" t="s">
        <v>133</v>
      </c>
      <c r="E699" t="s">
        <v>149</v>
      </c>
      <c r="F699">
        <v>29708</v>
      </c>
      <c r="G699" t="s">
        <v>4999</v>
      </c>
      <c r="H699" t="s">
        <v>4993</v>
      </c>
      <c r="I699">
        <v>4.6139000000000001</v>
      </c>
      <c r="J699" t="s">
        <v>5012</v>
      </c>
      <c r="K699" t="s">
        <v>4993</v>
      </c>
      <c r="L699">
        <v>404</v>
      </c>
      <c r="M699">
        <v>85</v>
      </c>
      <c r="N699" t="s">
        <v>5014</v>
      </c>
      <c r="O699">
        <v>0</v>
      </c>
      <c r="P699">
        <v>0</v>
      </c>
    </row>
    <row r="700" spans="1:16" x14ac:dyDescent="0.25">
      <c r="A700" t="s">
        <v>896</v>
      </c>
      <c r="B700" t="s">
        <v>897</v>
      </c>
      <c r="C700">
        <v>6247</v>
      </c>
      <c r="D700" t="s">
        <v>38</v>
      </c>
      <c r="E700" t="s">
        <v>149</v>
      </c>
      <c r="F700">
        <v>40911</v>
      </c>
      <c r="G700" t="s">
        <v>4999</v>
      </c>
      <c r="H700" t="s">
        <v>4993</v>
      </c>
      <c r="I700">
        <v>4.3596000000000004</v>
      </c>
      <c r="J700" t="s">
        <v>5012</v>
      </c>
      <c r="K700" t="s">
        <v>4993</v>
      </c>
      <c r="L700">
        <v>381</v>
      </c>
      <c r="M700">
        <v>42</v>
      </c>
      <c r="N700" t="s">
        <v>5015</v>
      </c>
      <c r="O700">
        <v>0</v>
      </c>
      <c r="P700">
        <v>0</v>
      </c>
    </row>
    <row r="701" spans="1:16" x14ac:dyDescent="0.25">
      <c r="A701" t="s">
        <v>1536</v>
      </c>
      <c r="B701" t="s">
        <v>1537</v>
      </c>
      <c r="C701">
        <v>5644</v>
      </c>
      <c r="D701" t="s">
        <v>158</v>
      </c>
      <c r="E701" t="s">
        <v>149</v>
      </c>
      <c r="F701">
        <v>21441</v>
      </c>
      <c r="G701" t="s">
        <v>4999</v>
      </c>
      <c r="H701" t="s">
        <v>4993</v>
      </c>
      <c r="I701">
        <v>4.0990000000000002</v>
      </c>
      <c r="J701" t="s">
        <v>5012</v>
      </c>
      <c r="K701" t="s">
        <v>4993</v>
      </c>
      <c r="L701">
        <v>404</v>
      </c>
      <c r="M701">
        <v>58</v>
      </c>
      <c r="N701" t="s">
        <v>5014</v>
      </c>
      <c r="O701">
        <v>0</v>
      </c>
      <c r="P701">
        <v>0</v>
      </c>
    </row>
    <row r="702" spans="1:16" x14ac:dyDescent="0.25">
      <c r="A702" t="s">
        <v>2314</v>
      </c>
      <c r="B702" t="s">
        <v>2315</v>
      </c>
      <c r="C702">
        <v>6209</v>
      </c>
      <c r="D702" t="s">
        <v>45</v>
      </c>
      <c r="E702" t="s">
        <v>8</v>
      </c>
      <c r="F702">
        <v>11747</v>
      </c>
      <c r="G702" t="s">
        <v>4999</v>
      </c>
      <c r="H702" t="s">
        <v>4993</v>
      </c>
      <c r="I702">
        <v>4.4973999999999998</v>
      </c>
      <c r="J702" t="s">
        <v>5012</v>
      </c>
      <c r="K702" t="s">
        <v>4993</v>
      </c>
      <c r="L702">
        <v>384</v>
      </c>
      <c r="M702">
        <v>19</v>
      </c>
      <c r="N702" t="s">
        <v>5013</v>
      </c>
      <c r="O702">
        <v>0</v>
      </c>
      <c r="P702">
        <v>0</v>
      </c>
    </row>
    <row r="703" spans="1:16" x14ac:dyDescent="0.25">
      <c r="A703" t="s">
        <v>1145</v>
      </c>
      <c r="B703" t="s">
        <v>1146</v>
      </c>
      <c r="C703">
        <v>3526</v>
      </c>
      <c r="D703" t="s">
        <v>1147</v>
      </c>
      <c r="E703" t="s">
        <v>21</v>
      </c>
      <c r="F703">
        <v>31434</v>
      </c>
      <c r="G703" t="s">
        <v>4999</v>
      </c>
      <c r="H703" t="s">
        <v>4993</v>
      </c>
      <c r="I703">
        <v>4.3932000000000002</v>
      </c>
      <c r="J703" t="s">
        <v>5012</v>
      </c>
      <c r="K703" t="s">
        <v>4993</v>
      </c>
      <c r="L703">
        <v>384</v>
      </c>
      <c r="M703">
        <v>14</v>
      </c>
      <c r="N703" t="s">
        <v>5013</v>
      </c>
      <c r="O703">
        <v>0</v>
      </c>
      <c r="P703">
        <v>0</v>
      </c>
    </row>
    <row r="704" spans="1:16" x14ac:dyDescent="0.25">
      <c r="A704" t="s">
        <v>2434</v>
      </c>
      <c r="B704" t="s">
        <v>2435</v>
      </c>
      <c r="C704">
        <v>6219</v>
      </c>
      <c r="D704" t="s">
        <v>277</v>
      </c>
      <c r="E704" t="s">
        <v>49</v>
      </c>
      <c r="F704">
        <v>10706</v>
      </c>
      <c r="G704" t="s">
        <v>4999</v>
      </c>
      <c r="H704" t="s">
        <v>4993</v>
      </c>
      <c r="I704">
        <v>4.3731</v>
      </c>
      <c r="J704" t="s">
        <v>5012</v>
      </c>
      <c r="K704" t="s">
        <v>4993</v>
      </c>
      <c r="L704">
        <v>386</v>
      </c>
      <c r="M704">
        <v>48</v>
      </c>
      <c r="N704" t="s">
        <v>5015</v>
      </c>
      <c r="O704">
        <v>0</v>
      </c>
      <c r="P704">
        <v>0</v>
      </c>
    </row>
    <row r="705" spans="1:16" x14ac:dyDescent="0.25">
      <c r="A705" t="s">
        <v>1167</v>
      </c>
      <c r="B705" t="s">
        <v>1168</v>
      </c>
      <c r="C705">
        <v>7083</v>
      </c>
      <c r="D705" t="s">
        <v>20</v>
      </c>
      <c r="E705" t="s">
        <v>13</v>
      </c>
      <c r="F705">
        <v>30472</v>
      </c>
      <c r="G705" t="s">
        <v>4999</v>
      </c>
      <c r="H705" t="s">
        <v>4993</v>
      </c>
      <c r="I705">
        <v>4.4663000000000004</v>
      </c>
      <c r="J705" t="s">
        <v>5012</v>
      </c>
      <c r="K705" t="s">
        <v>4993</v>
      </c>
      <c r="L705">
        <v>386</v>
      </c>
      <c r="M705">
        <v>28</v>
      </c>
      <c r="N705" t="s">
        <v>5015</v>
      </c>
      <c r="O705">
        <v>0</v>
      </c>
      <c r="P705">
        <v>0</v>
      </c>
    </row>
    <row r="706" spans="1:16" x14ac:dyDescent="0.25">
      <c r="A706" t="s">
        <v>1181</v>
      </c>
      <c r="B706" t="s">
        <v>1182</v>
      </c>
      <c r="C706">
        <v>6357</v>
      </c>
      <c r="D706" t="s">
        <v>876</v>
      </c>
      <c r="E706" t="s">
        <v>8</v>
      </c>
      <c r="F706">
        <v>29785</v>
      </c>
      <c r="G706" t="s">
        <v>4999</v>
      </c>
      <c r="H706" t="s">
        <v>4993</v>
      </c>
      <c r="I706">
        <v>4.6047000000000002</v>
      </c>
      <c r="J706" t="s">
        <v>5012</v>
      </c>
      <c r="K706" t="s">
        <v>4993</v>
      </c>
      <c r="L706">
        <v>387</v>
      </c>
      <c r="M706">
        <v>30</v>
      </c>
      <c r="N706" t="s">
        <v>5015</v>
      </c>
      <c r="O706">
        <v>0</v>
      </c>
      <c r="P706">
        <v>0</v>
      </c>
    </row>
    <row r="707" spans="1:16" x14ac:dyDescent="0.25">
      <c r="A707" t="s">
        <v>1542</v>
      </c>
      <c r="B707" t="s">
        <v>1543</v>
      </c>
      <c r="C707">
        <v>6207</v>
      </c>
      <c r="D707" t="s">
        <v>914</v>
      </c>
      <c r="E707" t="s">
        <v>8</v>
      </c>
      <c r="F707">
        <v>21320</v>
      </c>
      <c r="G707" t="s">
        <v>4999</v>
      </c>
      <c r="H707" t="s">
        <v>4993</v>
      </c>
      <c r="I707">
        <v>4.2287999999999997</v>
      </c>
      <c r="J707" t="s">
        <v>5012</v>
      </c>
      <c r="K707" t="s">
        <v>4993</v>
      </c>
      <c r="L707">
        <v>389</v>
      </c>
      <c r="M707">
        <v>73</v>
      </c>
      <c r="N707" t="s">
        <v>5014</v>
      </c>
      <c r="O707">
        <v>0</v>
      </c>
      <c r="P707">
        <v>0</v>
      </c>
    </row>
    <row r="708" spans="1:16" x14ac:dyDescent="0.25">
      <c r="A708" t="s">
        <v>2422</v>
      </c>
      <c r="B708" t="s">
        <v>2423</v>
      </c>
      <c r="C708">
        <v>3733</v>
      </c>
      <c r="D708" t="s">
        <v>124</v>
      </c>
      <c r="E708" t="s">
        <v>21</v>
      </c>
      <c r="F708">
        <v>10847</v>
      </c>
      <c r="G708" t="s">
        <v>4999</v>
      </c>
      <c r="H708" t="s">
        <v>4993</v>
      </c>
      <c r="I708">
        <v>4.3357999999999999</v>
      </c>
      <c r="J708" t="s">
        <v>5012</v>
      </c>
      <c r="K708" t="s">
        <v>4993</v>
      </c>
      <c r="L708">
        <v>402</v>
      </c>
      <c r="M708">
        <v>52</v>
      </c>
      <c r="N708" t="s">
        <v>5014</v>
      </c>
      <c r="O708">
        <v>0</v>
      </c>
      <c r="P708">
        <v>0</v>
      </c>
    </row>
    <row r="709" spans="1:16" x14ac:dyDescent="0.25">
      <c r="A709" t="s">
        <v>986</v>
      </c>
      <c r="B709" t="s">
        <v>987</v>
      </c>
      <c r="C709">
        <v>6219</v>
      </c>
      <c r="D709" t="s">
        <v>277</v>
      </c>
      <c r="E709" t="s">
        <v>69</v>
      </c>
      <c r="F709">
        <v>37767</v>
      </c>
      <c r="G709" t="s">
        <v>4999</v>
      </c>
      <c r="H709" t="s">
        <v>4993</v>
      </c>
      <c r="I709">
        <v>4.3666999999999998</v>
      </c>
      <c r="J709" t="s">
        <v>5012</v>
      </c>
      <c r="K709" t="s">
        <v>4993</v>
      </c>
      <c r="L709">
        <v>390</v>
      </c>
      <c r="M709">
        <v>65</v>
      </c>
      <c r="N709" t="s">
        <v>5014</v>
      </c>
      <c r="O709">
        <v>0</v>
      </c>
      <c r="P709">
        <v>0</v>
      </c>
    </row>
    <row r="710" spans="1:16" x14ac:dyDescent="0.25">
      <c r="A710" t="s">
        <v>1705</v>
      </c>
      <c r="B710" t="s">
        <v>1706</v>
      </c>
      <c r="C710">
        <v>4164</v>
      </c>
      <c r="D710" t="s">
        <v>623</v>
      </c>
      <c r="E710" t="s">
        <v>13</v>
      </c>
      <c r="F710">
        <v>18246</v>
      </c>
      <c r="G710" t="s">
        <v>4999</v>
      </c>
      <c r="H710" t="s">
        <v>4993</v>
      </c>
      <c r="I710">
        <v>4.4962</v>
      </c>
      <c r="J710" t="s">
        <v>5012</v>
      </c>
      <c r="K710" t="s">
        <v>4993</v>
      </c>
      <c r="L710">
        <v>391</v>
      </c>
      <c r="M710">
        <v>44</v>
      </c>
      <c r="N710" t="s">
        <v>5015</v>
      </c>
      <c r="O710">
        <v>0</v>
      </c>
      <c r="P710">
        <v>0</v>
      </c>
    </row>
    <row r="711" spans="1:16" x14ac:dyDescent="0.25">
      <c r="A711" t="s">
        <v>2456</v>
      </c>
      <c r="B711" t="s">
        <v>2457</v>
      </c>
      <c r="C711">
        <v>5626</v>
      </c>
      <c r="D711" t="s">
        <v>1069</v>
      </c>
      <c r="E711" t="s">
        <v>106</v>
      </c>
      <c r="F711">
        <v>10541</v>
      </c>
      <c r="G711" t="s">
        <v>4999</v>
      </c>
      <c r="H711" t="s">
        <v>4993</v>
      </c>
      <c r="I711">
        <v>4.3905000000000003</v>
      </c>
      <c r="J711" t="s">
        <v>5012</v>
      </c>
      <c r="K711" t="s">
        <v>4993</v>
      </c>
      <c r="L711">
        <v>402</v>
      </c>
      <c r="M711">
        <v>45</v>
      </c>
      <c r="N711" t="s">
        <v>5015</v>
      </c>
      <c r="O711">
        <v>0</v>
      </c>
      <c r="P711">
        <v>0</v>
      </c>
    </row>
    <row r="712" spans="1:16" x14ac:dyDescent="0.25">
      <c r="A712" t="s">
        <v>1122</v>
      </c>
      <c r="B712" t="s">
        <v>1123</v>
      </c>
      <c r="C712">
        <v>7050</v>
      </c>
      <c r="D712" t="s">
        <v>721</v>
      </c>
      <c r="E712" t="s">
        <v>201</v>
      </c>
      <c r="F712">
        <v>31935</v>
      </c>
      <c r="G712" t="s">
        <v>4999</v>
      </c>
      <c r="H712" t="s">
        <v>4993</v>
      </c>
      <c r="I712">
        <v>4.2643000000000004</v>
      </c>
      <c r="J712" t="s">
        <v>5012</v>
      </c>
      <c r="K712" t="s">
        <v>4993</v>
      </c>
      <c r="L712">
        <v>401</v>
      </c>
      <c r="M712">
        <v>26</v>
      </c>
      <c r="N712" t="s">
        <v>5015</v>
      </c>
      <c r="O712">
        <v>0</v>
      </c>
      <c r="P712">
        <v>0</v>
      </c>
    </row>
    <row r="713" spans="1:16" x14ac:dyDescent="0.25">
      <c r="A713" t="s">
        <v>1798</v>
      </c>
      <c r="B713" t="s">
        <v>1799</v>
      </c>
      <c r="C713">
        <v>1741</v>
      </c>
      <c r="D713" t="s">
        <v>388</v>
      </c>
      <c r="E713" t="s">
        <v>13</v>
      </c>
      <c r="F713">
        <v>17120</v>
      </c>
      <c r="G713" t="s">
        <v>4999</v>
      </c>
      <c r="H713" t="s">
        <v>4993</v>
      </c>
      <c r="I713">
        <v>4.4416000000000002</v>
      </c>
      <c r="J713" t="s">
        <v>5012</v>
      </c>
      <c r="K713" t="s">
        <v>4993</v>
      </c>
      <c r="L713">
        <v>394</v>
      </c>
      <c r="M713">
        <v>34</v>
      </c>
      <c r="N713" t="s">
        <v>5015</v>
      </c>
      <c r="O713">
        <v>0</v>
      </c>
      <c r="P713">
        <v>0</v>
      </c>
    </row>
    <row r="714" spans="1:16" x14ac:dyDescent="0.25">
      <c r="A714" t="s">
        <v>1570</v>
      </c>
      <c r="B714" t="s">
        <v>1571</v>
      </c>
      <c r="C714">
        <v>5671</v>
      </c>
      <c r="D714" t="s">
        <v>393</v>
      </c>
      <c r="E714" t="s">
        <v>4</v>
      </c>
      <c r="F714">
        <v>20830</v>
      </c>
      <c r="G714" t="s">
        <v>4999</v>
      </c>
      <c r="H714" t="s">
        <v>4993</v>
      </c>
      <c r="I714">
        <v>4.0998000000000001</v>
      </c>
      <c r="J714" t="s">
        <v>5012</v>
      </c>
      <c r="K714" t="s">
        <v>4993</v>
      </c>
      <c r="L714">
        <v>401</v>
      </c>
      <c r="M714">
        <v>7</v>
      </c>
      <c r="N714" t="s">
        <v>5013</v>
      </c>
      <c r="O714">
        <v>0</v>
      </c>
      <c r="P714">
        <v>0</v>
      </c>
    </row>
    <row r="715" spans="1:16" x14ac:dyDescent="0.25">
      <c r="A715" t="s">
        <v>1051</v>
      </c>
      <c r="B715" t="s">
        <v>1052</v>
      </c>
      <c r="C715">
        <v>6169</v>
      </c>
      <c r="D715" t="s">
        <v>24</v>
      </c>
      <c r="E715" t="s">
        <v>21</v>
      </c>
      <c r="F715">
        <v>34503</v>
      </c>
      <c r="G715" t="s">
        <v>4999</v>
      </c>
      <c r="H715" t="s">
        <v>4993</v>
      </c>
      <c r="I715">
        <v>4.1878000000000002</v>
      </c>
      <c r="J715" t="s">
        <v>5012</v>
      </c>
      <c r="K715" t="s">
        <v>4993</v>
      </c>
      <c r="L715">
        <v>394</v>
      </c>
      <c r="M715">
        <v>42</v>
      </c>
      <c r="N715" t="s">
        <v>5015</v>
      </c>
      <c r="O715">
        <v>0</v>
      </c>
      <c r="P715">
        <v>0</v>
      </c>
    </row>
    <row r="716" spans="1:16" x14ac:dyDescent="0.25">
      <c r="A716" t="s">
        <v>2256</v>
      </c>
      <c r="B716" t="s">
        <v>2257</v>
      </c>
      <c r="C716">
        <v>6373</v>
      </c>
      <c r="D716" t="s">
        <v>1652</v>
      </c>
      <c r="E716" t="s">
        <v>21</v>
      </c>
      <c r="F716">
        <v>12166</v>
      </c>
      <c r="G716" t="s">
        <v>4999</v>
      </c>
      <c r="H716" t="s">
        <v>4993</v>
      </c>
      <c r="I716">
        <v>4.1883999999999997</v>
      </c>
      <c r="J716" t="s">
        <v>5012</v>
      </c>
      <c r="K716" t="s">
        <v>4993</v>
      </c>
      <c r="L716">
        <v>398</v>
      </c>
      <c r="M716">
        <v>54</v>
      </c>
      <c r="N716" t="s">
        <v>5014</v>
      </c>
      <c r="O716">
        <v>0</v>
      </c>
      <c r="P716">
        <v>0</v>
      </c>
    </row>
    <row r="717" spans="1:16" x14ac:dyDescent="0.25">
      <c r="A717" t="s">
        <v>1972</v>
      </c>
      <c r="B717" t="s">
        <v>1973</v>
      </c>
      <c r="C717">
        <v>2082</v>
      </c>
      <c r="D717" t="s">
        <v>594</v>
      </c>
      <c r="E717" t="s">
        <v>149</v>
      </c>
      <c r="F717">
        <v>15015</v>
      </c>
      <c r="G717" t="s">
        <v>4999</v>
      </c>
      <c r="H717" t="s">
        <v>4993</v>
      </c>
      <c r="I717">
        <v>4.5945</v>
      </c>
      <c r="J717" t="s">
        <v>5012</v>
      </c>
      <c r="K717" t="s">
        <v>4993</v>
      </c>
      <c r="L717">
        <v>397</v>
      </c>
      <c r="M717">
        <v>90</v>
      </c>
      <c r="N717" t="s">
        <v>5014</v>
      </c>
      <c r="O717">
        <v>0</v>
      </c>
      <c r="P71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E95C-6F9F-43CF-AFE4-407B19C6F627}">
  <dimension ref="A1:P6"/>
  <sheetViews>
    <sheetView workbookViewId="0">
      <selection activeCell="C57" sqref="C57"/>
    </sheetView>
  </sheetViews>
  <sheetFormatPr defaultRowHeight="15" x14ac:dyDescent="0.25"/>
  <cols>
    <col min="1" max="1" width="12.28515625" bestFit="1" customWidth="1"/>
    <col min="2" max="2" width="57.28515625" bestFit="1" customWidth="1"/>
    <col min="3" max="3" width="10.5703125" bestFit="1" customWidth="1"/>
    <col min="4" max="4" width="20.85546875" bestFit="1" customWidth="1"/>
    <col min="5" max="5" width="16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5016</v>
      </c>
    </row>
    <row r="2" spans="1:16" x14ac:dyDescent="0.25">
      <c r="A2" s="15" t="s">
        <v>5023</v>
      </c>
      <c r="B2" s="15"/>
      <c r="C2" s="15"/>
      <c r="D2" s="15"/>
      <c r="E2" s="15"/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1305</v>
      </c>
      <c r="B4" t="s">
        <v>1306</v>
      </c>
      <c r="C4">
        <v>3902</v>
      </c>
      <c r="D4" t="s">
        <v>72</v>
      </c>
      <c r="E4" t="s">
        <v>13</v>
      </c>
      <c r="F4">
        <v>26264</v>
      </c>
      <c r="G4" t="s">
        <v>4999</v>
      </c>
      <c r="H4" t="s">
        <v>4993</v>
      </c>
      <c r="I4">
        <v>2.5640999999999998</v>
      </c>
      <c r="J4" t="s">
        <v>5012</v>
      </c>
      <c r="K4" t="s">
        <v>4994</v>
      </c>
      <c r="L4">
        <v>523</v>
      </c>
      <c r="M4">
        <v>6</v>
      </c>
      <c r="N4" t="s">
        <v>5013</v>
      </c>
      <c r="O4">
        <v>0</v>
      </c>
      <c r="P4">
        <v>0</v>
      </c>
    </row>
    <row r="5" spans="1:16" x14ac:dyDescent="0.25">
      <c r="A5" t="s">
        <v>1960</v>
      </c>
      <c r="B5" t="s">
        <v>1961</v>
      </c>
      <c r="C5">
        <v>6236</v>
      </c>
      <c r="D5" t="s">
        <v>272</v>
      </c>
      <c r="E5" t="s">
        <v>347</v>
      </c>
      <c r="F5">
        <v>15090</v>
      </c>
      <c r="G5" t="s">
        <v>4999</v>
      </c>
      <c r="H5" t="s">
        <v>4993</v>
      </c>
      <c r="I5">
        <v>2.8077000000000001</v>
      </c>
      <c r="J5" t="s">
        <v>5012</v>
      </c>
      <c r="K5" t="s">
        <v>4994</v>
      </c>
      <c r="L5">
        <v>26</v>
      </c>
      <c r="M5">
        <v>55</v>
      </c>
      <c r="N5" t="s">
        <v>5014</v>
      </c>
      <c r="O5">
        <v>0</v>
      </c>
      <c r="P5">
        <v>0</v>
      </c>
    </row>
    <row r="6" spans="1:16" x14ac:dyDescent="0.25">
      <c r="A6" t="s">
        <v>937</v>
      </c>
      <c r="B6" t="s">
        <v>938</v>
      </c>
      <c r="C6">
        <v>7083</v>
      </c>
      <c r="D6" t="s">
        <v>20</v>
      </c>
      <c r="E6" t="s">
        <v>220</v>
      </c>
      <c r="F6">
        <v>39446</v>
      </c>
      <c r="G6" t="s">
        <v>4999</v>
      </c>
      <c r="H6" t="s">
        <v>4993</v>
      </c>
      <c r="I6">
        <v>2.5</v>
      </c>
      <c r="J6" t="s">
        <v>5012</v>
      </c>
      <c r="K6" t="s">
        <v>4994</v>
      </c>
      <c r="L6">
        <v>22</v>
      </c>
      <c r="M6">
        <v>26</v>
      </c>
      <c r="N6" t="s">
        <v>5015</v>
      </c>
      <c r="O6">
        <v>0</v>
      </c>
      <c r="P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646A-493E-48D0-832D-90158A5AEF9C}">
  <dimension ref="A1:P87"/>
  <sheetViews>
    <sheetView workbookViewId="0">
      <selection activeCell="C57" sqref="C57"/>
    </sheetView>
  </sheetViews>
  <sheetFormatPr defaultRowHeight="15" x14ac:dyDescent="0.25"/>
  <cols>
    <col min="1" max="1" width="12.28515625" bestFit="1" customWidth="1"/>
    <col min="2" max="2" width="84.85546875" bestFit="1" customWidth="1"/>
    <col min="3" max="3" width="10.5703125" bestFit="1" customWidth="1"/>
    <col min="4" max="4" width="23.7109375" bestFit="1" customWidth="1"/>
    <col min="5" max="5" width="22.140625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5017</v>
      </c>
    </row>
    <row r="2" spans="1:16" x14ac:dyDescent="0.25">
      <c r="A2" s="15" t="s">
        <v>5024</v>
      </c>
      <c r="B2" s="15"/>
      <c r="C2" s="15"/>
      <c r="D2" s="15"/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4950</v>
      </c>
      <c r="B4" t="s">
        <v>4951</v>
      </c>
      <c r="C4">
        <v>8001</v>
      </c>
      <c r="D4" t="s">
        <v>27</v>
      </c>
      <c r="E4" t="s">
        <v>13</v>
      </c>
      <c r="F4">
        <v>0</v>
      </c>
      <c r="G4" t="s">
        <v>4998</v>
      </c>
      <c r="H4" t="s">
        <v>4996</v>
      </c>
      <c r="I4">
        <v>4.4958</v>
      </c>
      <c r="J4" t="s">
        <v>5012</v>
      </c>
      <c r="K4" t="s">
        <v>4993</v>
      </c>
      <c r="L4">
        <v>6158</v>
      </c>
      <c r="M4">
        <v>60</v>
      </c>
      <c r="N4" t="s">
        <v>5014</v>
      </c>
      <c r="O4">
        <v>0</v>
      </c>
      <c r="P4">
        <v>0</v>
      </c>
    </row>
    <row r="5" spans="1:16" hidden="1" x14ac:dyDescent="0.25">
      <c r="A5" t="s">
        <v>4819</v>
      </c>
      <c r="B5" t="s">
        <v>4820</v>
      </c>
      <c r="C5">
        <v>6307</v>
      </c>
      <c r="D5" t="s">
        <v>1132</v>
      </c>
      <c r="E5" t="s">
        <v>8</v>
      </c>
      <c r="F5">
        <v>399</v>
      </c>
      <c r="G5" t="s">
        <v>4998</v>
      </c>
      <c r="H5" t="s">
        <v>4996</v>
      </c>
      <c r="I5">
        <v>4.5824999999999996</v>
      </c>
      <c r="J5" t="s">
        <v>5012</v>
      </c>
      <c r="K5" t="s">
        <v>4993</v>
      </c>
      <c r="L5">
        <v>958</v>
      </c>
      <c r="M5">
        <v>110</v>
      </c>
      <c r="N5" t="s">
        <v>5014</v>
      </c>
      <c r="O5">
        <v>1</v>
      </c>
      <c r="P5">
        <v>0</v>
      </c>
    </row>
    <row r="6" spans="1:16" hidden="1" x14ac:dyDescent="0.25">
      <c r="A6" t="s">
        <v>4733</v>
      </c>
      <c r="B6" t="s">
        <v>4734</v>
      </c>
      <c r="C6">
        <v>5333</v>
      </c>
      <c r="D6" t="s">
        <v>4388</v>
      </c>
      <c r="E6" t="s">
        <v>21</v>
      </c>
      <c r="F6">
        <v>736</v>
      </c>
      <c r="G6" t="s">
        <v>4998</v>
      </c>
      <c r="H6" t="s">
        <v>4996</v>
      </c>
      <c r="I6">
        <v>4.5975000000000001</v>
      </c>
      <c r="J6" t="s">
        <v>5012</v>
      </c>
      <c r="K6" t="s">
        <v>4993</v>
      </c>
      <c r="L6">
        <v>718</v>
      </c>
      <c r="M6">
        <v>44</v>
      </c>
      <c r="N6" t="s">
        <v>5015</v>
      </c>
      <c r="O6">
        <v>1</v>
      </c>
      <c r="P6">
        <v>0</v>
      </c>
    </row>
    <row r="7" spans="1:16" x14ac:dyDescent="0.25">
      <c r="A7" t="s">
        <v>4761</v>
      </c>
      <c r="B7" t="s">
        <v>4762</v>
      </c>
      <c r="C7">
        <v>5333</v>
      </c>
      <c r="D7" t="s">
        <v>4388</v>
      </c>
      <c r="E7" t="s">
        <v>13</v>
      </c>
      <c r="F7">
        <v>629</v>
      </c>
      <c r="G7" t="s">
        <v>4998</v>
      </c>
      <c r="H7" t="s">
        <v>4996</v>
      </c>
      <c r="I7">
        <v>4.6463999999999999</v>
      </c>
      <c r="J7" t="s">
        <v>5012</v>
      </c>
      <c r="K7" t="s">
        <v>4993</v>
      </c>
      <c r="L7">
        <v>676</v>
      </c>
      <c r="M7">
        <v>34</v>
      </c>
      <c r="N7" t="s">
        <v>5015</v>
      </c>
      <c r="O7">
        <v>1</v>
      </c>
      <c r="P7">
        <v>0</v>
      </c>
    </row>
    <row r="8" spans="1:16" x14ac:dyDescent="0.25">
      <c r="A8" t="s">
        <v>4729</v>
      </c>
      <c r="B8" t="s">
        <v>4730</v>
      </c>
      <c r="C8">
        <v>5333</v>
      </c>
      <c r="D8" t="s">
        <v>4388</v>
      </c>
      <c r="E8" t="s">
        <v>13</v>
      </c>
      <c r="F8">
        <v>770</v>
      </c>
      <c r="G8" t="s">
        <v>4998</v>
      </c>
      <c r="H8" t="s">
        <v>4996</v>
      </c>
      <c r="I8">
        <v>4.6722999999999999</v>
      </c>
      <c r="J8" t="s">
        <v>5012</v>
      </c>
      <c r="K8" t="s">
        <v>4993</v>
      </c>
      <c r="L8">
        <v>476</v>
      </c>
      <c r="M8">
        <v>39</v>
      </c>
      <c r="N8" t="s">
        <v>5015</v>
      </c>
      <c r="O8">
        <v>1</v>
      </c>
      <c r="P8">
        <v>0</v>
      </c>
    </row>
    <row r="9" spans="1:16" x14ac:dyDescent="0.25">
      <c r="A9" t="s">
        <v>4808</v>
      </c>
      <c r="B9" t="s">
        <v>4809</v>
      </c>
      <c r="C9">
        <v>5333</v>
      </c>
      <c r="D9" t="s">
        <v>4388</v>
      </c>
      <c r="E9" t="s">
        <v>13</v>
      </c>
      <c r="F9">
        <v>429</v>
      </c>
      <c r="G9" t="s">
        <v>4998</v>
      </c>
      <c r="H9" t="s">
        <v>4996</v>
      </c>
      <c r="I9">
        <v>4.6212</v>
      </c>
      <c r="J9" t="s">
        <v>5012</v>
      </c>
      <c r="K9" t="s">
        <v>4993</v>
      </c>
      <c r="L9">
        <v>462</v>
      </c>
      <c r="M9">
        <v>29</v>
      </c>
      <c r="N9" t="s">
        <v>5015</v>
      </c>
      <c r="O9">
        <v>1</v>
      </c>
      <c r="P9">
        <v>0</v>
      </c>
    </row>
    <row r="10" spans="1:16" hidden="1" x14ac:dyDescent="0.25">
      <c r="A10" t="s">
        <v>4851</v>
      </c>
      <c r="B10" t="s">
        <v>4852</v>
      </c>
      <c r="C10">
        <v>6219</v>
      </c>
      <c r="D10" t="s">
        <v>277</v>
      </c>
      <c r="E10" t="s">
        <v>21</v>
      </c>
      <c r="F10">
        <v>274</v>
      </c>
      <c r="G10" t="s">
        <v>4998</v>
      </c>
      <c r="H10" t="s">
        <v>4996</v>
      </c>
      <c r="I10">
        <v>4.8646000000000003</v>
      </c>
      <c r="J10" t="s">
        <v>5012</v>
      </c>
      <c r="K10" t="s">
        <v>4993</v>
      </c>
      <c r="L10">
        <v>192</v>
      </c>
      <c r="M10">
        <v>125</v>
      </c>
      <c r="N10" t="s">
        <v>5014</v>
      </c>
      <c r="O10">
        <v>1</v>
      </c>
      <c r="P10">
        <v>0</v>
      </c>
    </row>
    <row r="11" spans="1:16" x14ac:dyDescent="0.25">
      <c r="A11" t="s">
        <v>4676</v>
      </c>
      <c r="B11" t="s">
        <v>4677</v>
      </c>
      <c r="C11">
        <v>6488</v>
      </c>
      <c r="D11" t="s">
        <v>2933</v>
      </c>
      <c r="E11" t="s">
        <v>13</v>
      </c>
      <c r="F11">
        <v>933</v>
      </c>
      <c r="G11" t="s">
        <v>4998</v>
      </c>
      <c r="H11" t="s">
        <v>4996</v>
      </c>
      <c r="I11">
        <v>4.7705000000000002</v>
      </c>
      <c r="J11" t="s">
        <v>5012</v>
      </c>
      <c r="K11" t="s">
        <v>4993</v>
      </c>
      <c r="L11">
        <v>183</v>
      </c>
      <c r="M11">
        <v>34</v>
      </c>
      <c r="N11" t="s">
        <v>5015</v>
      </c>
      <c r="O11">
        <v>0</v>
      </c>
      <c r="P11">
        <v>0</v>
      </c>
    </row>
    <row r="12" spans="1:16" hidden="1" x14ac:dyDescent="0.25">
      <c r="A12" t="s">
        <v>4716</v>
      </c>
      <c r="B12" t="s">
        <v>4717</v>
      </c>
      <c r="C12">
        <v>7050</v>
      </c>
      <c r="D12" t="s">
        <v>721</v>
      </c>
      <c r="E12" t="s">
        <v>201</v>
      </c>
      <c r="F12">
        <v>797</v>
      </c>
      <c r="G12" t="s">
        <v>4998</v>
      </c>
      <c r="H12" t="s">
        <v>4996</v>
      </c>
      <c r="I12">
        <v>4.6607000000000003</v>
      </c>
      <c r="J12" t="s">
        <v>5012</v>
      </c>
      <c r="K12" t="s">
        <v>4993</v>
      </c>
      <c r="L12">
        <v>168</v>
      </c>
      <c r="M12">
        <v>26</v>
      </c>
      <c r="N12" t="s">
        <v>5015</v>
      </c>
      <c r="O12">
        <v>1</v>
      </c>
      <c r="P12">
        <v>0</v>
      </c>
    </row>
    <row r="13" spans="1:16" hidden="1" x14ac:dyDescent="0.25">
      <c r="A13" t="s">
        <v>4829</v>
      </c>
      <c r="B13" t="s">
        <v>4830</v>
      </c>
      <c r="C13">
        <v>3728</v>
      </c>
      <c r="D13" t="s">
        <v>458</v>
      </c>
      <c r="E13" t="s">
        <v>49</v>
      </c>
      <c r="F13">
        <v>340</v>
      </c>
      <c r="G13" t="s">
        <v>4998</v>
      </c>
      <c r="H13" t="s">
        <v>4996</v>
      </c>
      <c r="I13">
        <v>4.8513999999999999</v>
      </c>
      <c r="J13" t="s">
        <v>5012</v>
      </c>
      <c r="K13" t="s">
        <v>4993</v>
      </c>
      <c r="L13">
        <v>148</v>
      </c>
      <c r="M13">
        <v>42</v>
      </c>
      <c r="N13" t="s">
        <v>5015</v>
      </c>
      <c r="O13">
        <v>1</v>
      </c>
      <c r="P13">
        <v>0</v>
      </c>
    </row>
    <row r="14" spans="1:16" hidden="1" x14ac:dyDescent="0.25">
      <c r="A14" t="s">
        <v>4666</v>
      </c>
      <c r="B14" t="s">
        <v>4667</v>
      </c>
      <c r="C14">
        <v>8012</v>
      </c>
      <c r="D14" t="s">
        <v>2864</v>
      </c>
      <c r="E14" t="s">
        <v>69</v>
      </c>
      <c r="F14">
        <v>978</v>
      </c>
      <c r="G14" t="s">
        <v>4998</v>
      </c>
      <c r="H14" t="s">
        <v>4996</v>
      </c>
      <c r="I14">
        <v>4.3810000000000002</v>
      </c>
      <c r="J14" t="s">
        <v>5012</v>
      </c>
      <c r="K14" t="s">
        <v>4993</v>
      </c>
      <c r="L14">
        <v>126</v>
      </c>
      <c r="M14">
        <v>27</v>
      </c>
      <c r="N14" t="s">
        <v>5015</v>
      </c>
      <c r="O14">
        <v>0</v>
      </c>
      <c r="P14">
        <v>0</v>
      </c>
    </row>
    <row r="15" spans="1:16" hidden="1" x14ac:dyDescent="0.25">
      <c r="A15" t="s">
        <v>4847</v>
      </c>
      <c r="B15" t="s">
        <v>4848</v>
      </c>
      <c r="C15">
        <v>5879</v>
      </c>
      <c r="D15" t="s">
        <v>3589</v>
      </c>
      <c r="E15" t="s">
        <v>8</v>
      </c>
      <c r="F15">
        <v>278</v>
      </c>
      <c r="G15" t="s">
        <v>4998</v>
      </c>
      <c r="H15" t="s">
        <v>4996</v>
      </c>
      <c r="I15">
        <v>4.8898000000000001</v>
      </c>
      <c r="J15" t="s">
        <v>5012</v>
      </c>
      <c r="K15" t="s">
        <v>4993</v>
      </c>
      <c r="L15">
        <v>118</v>
      </c>
      <c r="M15">
        <v>110</v>
      </c>
      <c r="N15" t="s">
        <v>5014</v>
      </c>
      <c r="O15">
        <v>1</v>
      </c>
      <c r="P15">
        <v>0</v>
      </c>
    </row>
    <row r="16" spans="1:16" x14ac:dyDescent="0.25">
      <c r="A16" t="s">
        <v>4769</v>
      </c>
      <c r="B16" t="s">
        <v>4770</v>
      </c>
      <c r="C16">
        <v>6349</v>
      </c>
      <c r="D16" t="s">
        <v>2031</v>
      </c>
      <c r="E16" t="s">
        <v>13</v>
      </c>
      <c r="F16">
        <v>606</v>
      </c>
      <c r="G16" t="s">
        <v>4998</v>
      </c>
      <c r="H16" t="s">
        <v>4996</v>
      </c>
      <c r="I16">
        <v>4.7037000000000004</v>
      </c>
      <c r="J16" t="s">
        <v>5012</v>
      </c>
      <c r="K16" t="s">
        <v>4993</v>
      </c>
      <c r="L16">
        <v>108</v>
      </c>
      <c r="M16">
        <v>47</v>
      </c>
      <c r="N16" t="s">
        <v>5015</v>
      </c>
      <c r="O16">
        <v>1</v>
      </c>
      <c r="P16">
        <v>0</v>
      </c>
    </row>
    <row r="17" spans="1:16" hidden="1" x14ac:dyDescent="0.25">
      <c r="A17" t="s">
        <v>4841</v>
      </c>
      <c r="B17" t="s">
        <v>4842</v>
      </c>
      <c r="C17">
        <v>6201</v>
      </c>
      <c r="D17" t="s">
        <v>367</v>
      </c>
      <c r="E17" t="s">
        <v>21</v>
      </c>
      <c r="F17">
        <v>295</v>
      </c>
      <c r="G17" t="s">
        <v>4998</v>
      </c>
      <c r="H17" t="s">
        <v>4996</v>
      </c>
      <c r="I17">
        <v>4.5145999999999997</v>
      </c>
      <c r="J17" t="s">
        <v>5012</v>
      </c>
      <c r="K17" t="s">
        <v>4993</v>
      </c>
      <c r="L17">
        <v>103</v>
      </c>
      <c r="M17">
        <v>380</v>
      </c>
      <c r="N17" t="s">
        <v>5014</v>
      </c>
      <c r="O17">
        <v>1</v>
      </c>
      <c r="P17">
        <v>0</v>
      </c>
    </row>
    <row r="18" spans="1:16" x14ac:dyDescent="0.25">
      <c r="A18" t="s">
        <v>4753</v>
      </c>
      <c r="B18" t="s">
        <v>4754</v>
      </c>
      <c r="C18">
        <v>6312</v>
      </c>
      <c r="D18" t="s">
        <v>1242</v>
      </c>
      <c r="E18" t="s">
        <v>13</v>
      </c>
      <c r="F18">
        <v>654</v>
      </c>
      <c r="G18" t="s">
        <v>4998</v>
      </c>
      <c r="H18" t="s">
        <v>4996</v>
      </c>
      <c r="I18">
        <v>4.9230999999999998</v>
      </c>
      <c r="J18" t="s">
        <v>5012</v>
      </c>
      <c r="K18" t="s">
        <v>4993</v>
      </c>
      <c r="L18">
        <v>91</v>
      </c>
      <c r="M18">
        <v>39</v>
      </c>
      <c r="N18" t="s">
        <v>5015</v>
      </c>
      <c r="O18">
        <v>1</v>
      </c>
      <c r="P18">
        <v>0</v>
      </c>
    </row>
    <row r="19" spans="1:16" hidden="1" x14ac:dyDescent="0.25">
      <c r="A19" t="s">
        <v>4737</v>
      </c>
      <c r="B19" t="s">
        <v>4738</v>
      </c>
      <c r="C19">
        <v>7050</v>
      </c>
      <c r="D19" t="s">
        <v>721</v>
      </c>
      <c r="E19" t="s">
        <v>201</v>
      </c>
      <c r="F19">
        <v>728</v>
      </c>
      <c r="G19" t="s">
        <v>4998</v>
      </c>
      <c r="H19" t="s">
        <v>4996</v>
      </c>
      <c r="I19">
        <v>4.8170999999999999</v>
      </c>
      <c r="J19" t="s">
        <v>5012</v>
      </c>
      <c r="K19" t="s">
        <v>4993</v>
      </c>
      <c r="L19">
        <v>82</v>
      </c>
      <c r="M19">
        <v>40</v>
      </c>
      <c r="N19" t="s">
        <v>5015</v>
      </c>
      <c r="O19">
        <v>0</v>
      </c>
      <c r="P19">
        <v>0</v>
      </c>
    </row>
    <row r="20" spans="1:16" hidden="1" x14ac:dyDescent="0.25">
      <c r="A20" t="s">
        <v>4706</v>
      </c>
      <c r="B20" t="s">
        <v>4707</v>
      </c>
      <c r="C20">
        <v>7050</v>
      </c>
      <c r="D20" t="s">
        <v>721</v>
      </c>
      <c r="E20" t="s">
        <v>201</v>
      </c>
      <c r="F20">
        <v>864</v>
      </c>
      <c r="G20" t="s">
        <v>4998</v>
      </c>
      <c r="H20" t="s">
        <v>4996</v>
      </c>
      <c r="I20">
        <v>4.8148</v>
      </c>
      <c r="J20" t="s">
        <v>5012</v>
      </c>
      <c r="K20" t="s">
        <v>4993</v>
      </c>
      <c r="L20">
        <v>81</v>
      </c>
      <c r="M20">
        <v>45</v>
      </c>
      <c r="N20" t="s">
        <v>5015</v>
      </c>
      <c r="O20">
        <v>0</v>
      </c>
      <c r="P20">
        <v>0</v>
      </c>
    </row>
    <row r="21" spans="1:16" hidden="1" x14ac:dyDescent="0.25">
      <c r="A21" t="s">
        <v>4672</v>
      </c>
      <c r="B21" t="s">
        <v>4673</v>
      </c>
      <c r="C21">
        <v>6749</v>
      </c>
      <c r="D21" t="s">
        <v>3173</v>
      </c>
      <c r="E21" t="s">
        <v>21</v>
      </c>
      <c r="F21">
        <v>940</v>
      </c>
      <c r="G21" t="s">
        <v>4998</v>
      </c>
      <c r="H21" t="s">
        <v>4996</v>
      </c>
      <c r="I21">
        <v>4.9486999999999997</v>
      </c>
      <c r="J21" t="s">
        <v>5012</v>
      </c>
      <c r="K21" t="s">
        <v>4993</v>
      </c>
      <c r="L21">
        <v>78</v>
      </c>
      <c r="M21">
        <v>120</v>
      </c>
      <c r="N21" t="s">
        <v>5014</v>
      </c>
      <c r="O21">
        <v>1</v>
      </c>
      <c r="P21">
        <v>0</v>
      </c>
    </row>
    <row r="22" spans="1:16" hidden="1" x14ac:dyDescent="0.25">
      <c r="A22" t="s">
        <v>4674</v>
      </c>
      <c r="B22" t="s">
        <v>4675</v>
      </c>
      <c r="C22">
        <v>6329</v>
      </c>
      <c r="D22" t="s">
        <v>3435</v>
      </c>
      <c r="E22" t="s">
        <v>21</v>
      </c>
      <c r="F22">
        <v>936</v>
      </c>
      <c r="G22" t="s">
        <v>4998</v>
      </c>
      <c r="H22" t="s">
        <v>4996</v>
      </c>
      <c r="I22">
        <v>4.6753</v>
      </c>
      <c r="J22" t="s">
        <v>5012</v>
      </c>
      <c r="K22" t="s">
        <v>4993</v>
      </c>
      <c r="L22">
        <v>77</v>
      </c>
      <c r="M22">
        <v>60</v>
      </c>
      <c r="N22" t="s">
        <v>5014</v>
      </c>
      <c r="O22">
        <v>0</v>
      </c>
      <c r="P22">
        <v>0</v>
      </c>
    </row>
    <row r="23" spans="1:16" hidden="1" x14ac:dyDescent="0.25">
      <c r="A23" t="s">
        <v>4757</v>
      </c>
      <c r="B23" t="s">
        <v>4758</v>
      </c>
      <c r="C23">
        <v>8012</v>
      </c>
      <c r="D23" t="s">
        <v>2864</v>
      </c>
      <c r="E23" t="s">
        <v>49</v>
      </c>
      <c r="F23">
        <v>647</v>
      </c>
      <c r="G23" t="s">
        <v>4998</v>
      </c>
      <c r="H23" t="s">
        <v>4996</v>
      </c>
      <c r="I23">
        <v>4.3765999999999998</v>
      </c>
      <c r="J23" t="s">
        <v>5012</v>
      </c>
      <c r="K23" t="s">
        <v>4993</v>
      </c>
      <c r="L23">
        <v>77</v>
      </c>
      <c r="M23">
        <v>36</v>
      </c>
      <c r="N23" t="s">
        <v>5015</v>
      </c>
      <c r="O23">
        <v>0</v>
      </c>
      <c r="P23">
        <v>0</v>
      </c>
    </row>
    <row r="24" spans="1:16" hidden="1" x14ac:dyDescent="0.25">
      <c r="A24" t="s">
        <v>4755</v>
      </c>
      <c r="B24" t="s">
        <v>4756</v>
      </c>
      <c r="C24">
        <v>7055</v>
      </c>
      <c r="D24" t="s">
        <v>3361</v>
      </c>
      <c r="E24" t="s">
        <v>21</v>
      </c>
      <c r="F24">
        <v>653</v>
      </c>
      <c r="G24" t="s">
        <v>4998</v>
      </c>
      <c r="H24" t="s">
        <v>4996</v>
      </c>
      <c r="I24">
        <v>4.2603</v>
      </c>
      <c r="J24" t="s">
        <v>5012</v>
      </c>
      <c r="K24" t="s">
        <v>4993</v>
      </c>
      <c r="L24">
        <v>73</v>
      </c>
      <c r="M24">
        <v>39</v>
      </c>
      <c r="N24" t="s">
        <v>5015</v>
      </c>
      <c r="O24">
        <v>0</v>
      </c>
      <c r="P24">
        <v>0</v>
      </c>
    </row>
    <row r="25" spans="1:16" hidden="1" x14ac:dyDescent="0.25">
      <c r="A25" t="s">
        <v>4670</v>
      </c>
      <c r="B25" t="s">
        <v>4671</v>
      </c>
      <c r="C25">
        <v>6329</v>
      </c>
      <c r="D25" t="s">
        <v>3435</v>
      </c>
      <c r="E25" t="s">
        <v>347</v>
      </c>
      <c r="F25">
        <v>961</v>
      </c>
      <c r="G25" t="s">
        <v>4998</v>
      </c>
      <c r="H25" t="s">
        <v>4996</v>
      </c>
      <c r="I25">
        <v>4.7611999999999997</v>
      </c>
      <c r="J25" t="s">
        <v>5012</v>
      </c>
      <c r="K25" t="s">
        <v>4993</v>
      </c>
      <c r="L25">
        <v>67</v>
      </c>
      <c r="M25">
        <v>70</v>
      </c>
      <c r="N25" t="s">
        <v>5014</v>
      </c>
      <c r="O25">
        <v>0</v>
      </c>
      <c r="P25">
        <v>0</v>
      </c>
    </row>
    <row r="26" spans="1:16" hidden="1" x14ac:dyDescent="0.25">
      <c r="A26" t="s">
        <v>4720</v>
      </c>
      <c r="B26" t="s">
        <v>4721</v>
      </c>
      <c r="C26">
        <v>6357</v>
      </c>
      <c r="D26" t="s">
        <v>876</v>
      </c>
      <c r="E26" t="s">
        <v>8</v>
      </c>
      <c r="F26">
        <v>790</v>
      </c>
      <c r="G26" t="s">
        <v>4998</v>
      </c>
      <c r="H26" t="s">
        <v>4996</v>
      </c>
      <c r="I26">
        <v>4.7895000000000003</v>
      </c>
      <c r="J26" t="s">
        <v>5012</v>
      </c>
      <c r="K26" t="s">
        <v>4993</v>
      </c>
      <c r="L26">
        <v>57</v>
      </c>
      <c r="M26">
        <v>38</v>
      </c>
      <c r="N26" t="s">
        <v>5015</v>
      </c>
      <c r="O26">
        <v>1</v>
      </c>
      <c r="P26">
        <v>0</v>
      </c>
    </row>
    <row r="27" spans="1:16" hidden="1" x14ac:dyDescent="0.25">
      <c r="A27" t="s">
        <v>4873</v>
      </c>
      <c r="B27" t="s">
        <v>4874</v>
      </c>
      <c r="C27">
        <v>6285</v>
      </c>
      <c r="D27" t="s">
        <v>119</v>
      </c>
      <c r="E27" t="s">
        <v>49</v>
      </c>
      <c r="F27">
        <v>164</v>
      </c>
      <c r="G27" t="s">
        <v>4998</v>
      </c>
      <c r="H27" t="s">
        <v>4996</v>
      </c>
      <c r="I27">
        <v>4.8654000000000002</v>
      </c>
      <c r="J27" t="s">
        <v>5012</v>
      </c>
      <c r="K27" t="s">
        <v>4993</v>
      </c>
      <c r="L27">
        <v>52</v>
      </c>
      <c r="M27">
        <v>14.99</v>
      </c>
      <c r="N27" t="s">
        <v>5013</v>
      </c>
      <c r="O27">
        <v>1</v>
      </c>
      <c r="P27">
        <v>1</v>
      </c>
    </row>
    <row r="28" spans="1:16" hidden="1" x14ac:dyDescent="0.25">
      <c r="A28" t="s">
        <v>4743</v>
      </c>
      <c r="B28" t="s">
        <v>4744</v>
      </c>
      <c r="C28">
        <v>6356</v>
      </c>
      <c r="D28" t="s">
        <v>1885</v>
      </c>
      <c r="E28" t="s">
        <v>69</v>
      </c>
      <c r="F28">
        <v>684</v>
      </c>
      <c r="G28" t="s">
        <v>4998</v>
      </c>
      <c r="H28" t="s">
        <v>4996</v>
      </c>
      <c r="I28">
        <v>4.375</v>
      </c>
      <c r="J28" t="s">
        <v>5012</v>
      </c>
      <c r="K28" t="s">
        <v>4993</v>
      </c>
      <c r="L28">
        <v>48</v>
      </c>
      <c r="M28">
        <v>215</v>
      </c>
      <c r="N28" t="s">
        <v>5014</v>
      </c>
      <c r="O28">
        <v>0</v>
      </c>
      <c r="P28">
        <v>0</v>
      </c>
    </row>
    <row r="29" spans="1:16" hidden="1" x14ac:dyDescent="0.25">
      <c r="A29" t="s">
        <v>4708</v>
      </c>
      <c r="B29" t="s">
        <v>4709</v>
      </c>
      <c r="C29">
        <v>6358</v>
      </c>
      <c r="D29" t="s">
        <v>2301</v>
      </c>
      <c r="E29" t="s">
        <v>8</v>
      </c>
      <c r="F29">
        <v>855</v>
      </c>
      <c r="G29" t="s">
        <v>4998</v>
      </c>
      <c r="H29" t="s">
        <v>4996</v>
      </c>
      <c r="I29">
        <v>4.7857000000000003</v>
      </c>
      <c r="J29" t="s">
        <v>5012</v>
      </c>
      <c r="K29" t="s">
        <v>4993</v>
      </c>
      <c r="L29">
        <v>42</v>
      </c>
      <c r="M29">
        <v>99</v>
      </c>
      <c r="N29" t="s">
        <v>5014</v>
      </c>
      <c r="O29">
        <v>1</v>
      </c>
      <c r="P29">
        <v>0</v>
      </c>
    </row>
    <row r="30" spans="1:16" hidden="1" x14ac:dyDescent="0.25">
      <c r="A30" t="s">
        <v>4857</v>
      </c>
      <c r="B30" t="s">
        <v>4858</v>
      </c>
      <c r="C30">
        <v>6753</v>
      </c>
      <c r="D30" t="s">
        <v>4812</v>
      </c>
      <c r="E30" t="s">
        <v>8</v>
      </c>
      <c r="F30">
        <v>254</v>
      </c>
      <c r="G30" t="s">
        <v>4998</v>
      </c>
      <c r="H30" t="s">
        <v>4996</v>
      </c>
      <c r="I30">
        <v>4.9268000000000001</v>
      </c>
      <c r="J30" t="s">
        <v>5012</v>
      </c>
      <c r="K30" t="s">
        <v>4993</v>
      </c>
      <c r="L30">
        <v>41</v>
      </c>
      <c r="M30">
        <v>195</v>
      </c>
      <c r="N30" t="s">
        <v>5014</v>
      </c>
      <c r="O30">
        <v>1</v>
      </c>
      <c r="P30">
        <v>0</v>
      </c>
    </row>
    <row r="31" spans="1:16" hidden="1" x14ac:dyDescent="0.25">
      <c r="A31" t="s">
        <v>4815</v>
      </c>
      <c r="B31" t="s">
        <v>4816</v>
      </c>
      <c r="C31">
        <v>6329</v>
      </c>
      <c r="D31" t="s">
        <v>3435</v>
      </c>
      <c r="E31" t="s">
        <v>347</v>
      </c>
      <c r="F31">
        <v>407</v>
      </c>
      <c r="G31" t="s">
        <v>4998</v>
      </c>
      <c r="H31" t="s">
        <v>4996</v>
      </c>
      <c r="I31">
        <v>4.3</v>
      </c>
      <c r="J31" t="s">
        <v>5012</v>
      </c>
      <c r="K31" t="s">
        <v>4993</v>
      </c>
      <c r="L31">
        <v>30</v>
      </c>
      <c r="M31">
        <v>70</v>
      </c>
      <c r="N31" t="s">
        <v>5014</v>
      </c>
      <c r="O31">
        <v>0</v>
      </c>
      <c r="P31">
        <v>0</v>
      </c>
    </row>
    <row r="32" spans="1:16" hidden="1" x14ac:dyDescent="0.25">
      <c r="A32" t="s">
        <v>4810</v>
      </c>
      <c r="B32" t="s">
        <v>4811</v>
      </c>
      <c r="C32">
        <v>6753</v>
      </c>
      <c r="D32" t="s">
        <v>4812</v>
      </c>
      <c r="E32" t="s">
        <v>4</v>
      </c>
      <c r="F32">
        <v>422</v>
      </c>
      <c r="G32" t="s">
        <v>4998</v>
      </c>
      <c r="H32" t="s">
        <v>4996</v>
      </c>
      <c r="I32">
        <v>4.7691999999999997</v>
      </c>
      <c r="J32" t="s">
        <v>5012</v>
      </c>
      <c r="K32" t="s">
        <v>4993</v>
      </c>
      <c r="L32">
        <v>26</v>
      </c>
      <c r="M32">
        <v>95</v>
      </c>
      <c r="N32" t="s">
        <v>5014</v>
      </c>
      <c r="O32">
        <v>1</v>
      </c>
      <c r="P32">
        <v>0</v>
      </c>
    </row>
    <row r="33" spans="1:16" hidden="1" x14ac:dyDescent="0.25">
      <c r="A33" t="s">
        <v>4919</v>
      </c>
      <c r="B33" t="s">
        <v>4920</v>
      </c>
      <c r="C33">
        <v>6309</v>
      </c>
      <c r="D33" t="s">
        <v>1735</v>
      </c>
      <c r="E33" t="s">
        <v>149</v>
      </c>
      <c r="F33">
        <v>10</v>
      </c>
      <c r="G33" t="s">
        <v>4998</v>
      </c>
      <c r="H33" t="s">
        <v>4996</v>
      </c>
      <c r="I33">
        <v>4.2308000000000003</v>
      </c>
      <c r="J33" t="s">
        <v>5012</v>
      </c>
      <c r="K33" t="s">
        <v>4993</v>
      </c>
      <c r="L33">
        <v>26</v>
      </c>
      <c r="M33">
        <v>58</v>
      </c>
      <c r="N33" t="s">
        <v>5014</v>
      </c>
      <c r="O33">
        <v>1</v>
      </c>
      <c r="P33">
        <v>1</v>
      </c>
    </row>
    <row r="34" spans="1:16" hidden="1" x14ac:dyDescent="0.25">
      <c r="A34" t="s">
        <v>4722</v>
      </c>
      <c r="B34" t="s">
        <v>4723</v>
      </c>
      <c r="C34">
        <v>6474</v>
      </c>
      <c r="D34" t="s">
        <v>4724</v>
      </c>
      <c r="E34" t="s">
        <v>201</v>
      </c>
      <c r="F34">
        <v>789</v>
      </c>
      <c r="G34" t="s">
        <v>4998</v>
      </c>
      <c r="H34" t="s">
        <v>4996</v>
      </c>
      <c r="I34">
        <v>4.5</v>
      </c>
      <c r="J34" t="s">
        <v>5012</v>
      </c>
      <c r="K34" t="s">
        <v>4993</v>
      </c>
      <c r="L34">
        <v>24</v>
      </c>
      <c r="M34">
        <v>48</v>
      </c>
      <c r="N34" t="s">
        <v>5015</v>
      </c>
      <c r="O34">
        <v>0</v>
      </c>
      <c r="P34">
        <v>0</v>
      </c>
    </row>
    <row r="35" spans="1:16" x14ac:dyDescent="0.25">
      <c r="A35" t="s">
        <v>4823</v>
      </c>
      <c r="B35" t="s">
        <v>4824</v>
      </c>
      <c r="C35">
        <v>6272</v>
      </c>
      <c r="D35" t="s">
        <v>1711</v>
      </c>
      <c r="E35" t="s">
        <v>13</v>
      </c>
      <c r="F35">
        <v>372</v>
      </c>
      <c r="G35" t="s">
        <v>4998</v>
      </c>
      <c r="H35" t="s">
        <v>4996</v>
      </c>
      <c r="I35">
        <v>4.6666999999999996</v>
      </c>
      <c r="J35" t="s">
        <v>5012</v>
      </c>
      <c r="K35" t="s">
        <v>4993</v>
      </c>
      <c r="L35">
        <v>24</v>
      </c>
      <c r="M35">
        <v>49</v>
      </c>
      <c r="N35" t="s">
        <v>5015</v>
      </c>
      <c r="O35">
        <v>1</v>
      </c>
      <c r="P35">
        <v>0</v>
      </c>
    </row>
    <row r="36" spans="1:16" hidden="1" x14ac:dyDescent="0.25">
      <c r="A36" t="s">
        <v>4782</v>
      </c>
      <c r="B36" t="s">
        <v>4783</v>
      </c>
      <c r="C36">
        <v>6328</v>
      </c>
      <c r="D36" t="s">
        <v>4784</v>
      </c>
      <c r="E36" t="s">
        <v>4</v>
      </c>
      <c r="F36">
        <v>547</v>
      </c>
      <c r="G36" t="s">
        <v>4998</v>
      </c>
      <c r="H36" t="s">
        <v>4996</v>
      </c>
      <c r="I36">
        <v>4.9474</v>
      </c>
      <c r="J36" t="s">
        <v>5012</v>
      </c>
      <c r="K36" t="s">
        <v>4993</v>
      </c>
      <c r="L36">
        <v>19</v>
      </c>
      <c r="M36">
        <v>32</v>
      </c>
      <c r="N36" t="s">
        <v>5015</v>
      </c>
      <c r="O36">
        <v>1</v>
      </c>
      <c r="P36">
        <v>1</v>
      </c>
    </row>
    <row r="37" spans="1:16" hidden="1" x14ac:dyDescent="0.25">
      <c r="A37" t="s">
        <v>4833</v>
      </c>
      <c r="B37" t="s">
        <v>4834</v>
      </c>
      <c r="C37">
        <v>6753</v>
      </c>
      <c r="D37" t="s">
        <v>4812</v>
      </c>
      <c r="E37" t="s">
        <v>149</v>
      </c>
      <c r="F37">
        <v>328</v>
      </c>
      <c r="G37" t="s">
        <v>4998</v>
      </c>
      <c r="H37" t="s">
        <v>4996</v>
      </c>
      <c r="I37">
        <v>4.8947000000000003</v>
      </c>
      <c r="J37" t="s">
        <v>5012</v>
      </c>
      <c r="K37" t="s">
        <v>4993</v>
      </c>
      <c r="L37">
        <v>19</v>
      </c>
      <c r="M37">
        <v>135</v>
      </c>
      <c r="N37" t="s">
        <v>5014</v>
      </c>
      <c r="O37">
        <v>1</v>
      </c>
      <c r="P37">
        <v>0</v>
      </c>
    </row>
    <row r="38" spans="1:16" hidden="1" x14ac:dyDescent="0.25">
      <c r="A38" t="s">
        <v>4778</v>
      </c>
      <c r="B38" t="s">
        <v>4779</v>
      </c>
      <c r="C38">
        <v>1254</v>
      </c>
      <c r="D38" t="s">
        <v>136</v>
      </c>
      <c r="E38" t="s">
        <v>21</v>
      </c>
      <c r="F38">
        <v>574</v>
      </c>
      <c r="G38" t="s">
        <v>4998</v>
      </c>
      <c r="H38" t="s">
        <v>4996</v>
      </c>
      <c r="I38">
        <v>4.4118000000000004</v>
      </c>
      <c r="J38" t="s">
        <v>5012</v>
      </c>
      <c r="K38" t="s">
        <v>4993</v>
      </c>
      <c r="L38">
        <v>17</v>
      </c>
      <c r="M38">
        <v>68</v>
      </c>
      <c r="N38" t="s">
        <v>5014</v>
      </c>
      <c r="O38">
        <v>0</v>
      </c>
      <c r="P38">
        <v>0</v>
      </c>
    </row>
    <row r="39" spans="1:16" hidden="1" x14ac:dyDescent="0.25">
      <c r="A39" t="s">
        <v>4686</v>
      </c>
      <c r="B39" t="s">
        <v>4687</v>
      </c>
      <c r="C39">
        <v>7037</v>
      </c>
      <c r="D39" t="s">
        <v>1718</v>
      </c>
      <c r="E39" t="s">
        <v>347</v>
      </c>
      <c r="F39">
        <v>918</v>
      </c>
      <c r="G39" t="s">
        <v>4998</v>
      </c>
      <c r="H39" t="s">
        <v>4996</v>
      </c>
      <c r="I39">
        <v>5</v>
      </c>
      <c r="J39" t="s">
        <v>5012</v>
      </c>
      <c r="K39" t="s">
        <v>4993</v>
      </c>
      <c r="L39">
        <v>16</v>
      </c>
      <c r="M39">
        <v>279</v>
      </c>
      <c r="N39" t="s">
        <v>5014</v>
      </c>
      <c r="O39">
        <v>0</v>
      </c>
      <c r="P39">
        <v>0</v>
      </c>
    </row>
    <row r="40" spans="1:16" hidden="1" x14ac:dyDescent="0.25">
      <c r="A40" t="s">
        <v>4714</v>
      </c>
      <c r="B40" t="s">
        <v>4715</v>
      </c>
      <c r="C40">
        <v>5879</v>
      </c>
      <c r="D40" t="s">
        <v>3589</v>
      </c>
      <c r="E40" t="s">
        <v>49</v>
      </c>
      <c r="F40">
        <v>799</v>
      </c>
      <c r="G40" t="s">
        <v>4998</v>
      </c>
      <c r="H40" t="s">
        <v>4996</v>
      </c>
      <c r="I40">
        <v>4.0625</v>
      </c>
      <c r="J40" t="s">
        <v>5012</v>
      </c>
      <c r="K40" t="s">
        <v>4993</v>
      </c>
      <c r="L40">
        <v>16</v>
      </c>
      <c r="M40">
        <v>86</v>
      </c>
      <c r="N40" t="s">
        <v>5014</v>
      </c>
      <c r="O40">
        <v>0</v>
      </c>
      <c r="P40">
        <v>0</v>
      </c>
    </row>
    <row r="41" spans="1:16" x14ac:dyDescent="0.25">
      <c r="A41" t="s">
        <v>4790</v>
      </c>
      <c r="B41" t="s">
        <v>4791</v>
      </c>
      <c r="C41">
        <v>6117</v>
      </c>
      <c r="D41" t="s">
        <v>229</v>
      </c>
      <c r="E41" t="s">
        <v>13</v>
      </c>
      <c r="F41">
        <v>518</v>
      </c>
      <c r="G41" t="s">
        <v>4998</v>
      </c>
      <c r="H41" t="s">
        <v>4996</v>
      </c>
      <c r="I41">
        <v>5</v>
      </c>
      <c r="J41" t="s">
        <v>5012</v>
      </c>
      <c r="K41" t="s">
        <v>4993</v>
      </c>
      <c r="L41">
        <v>15</v>
      </c>
      <c r="M41">
        <v>26</v>
      </c>
      <c r="N41" t="s">
        <v>5015</v>
      </c>
      <c r="O41">
        <v>1</v>
      </c>
      <c r="P41">
        <v>0</v>
      </c>
    </row>
    <row r="42" spans="1:16" hidden="1" x14ac:dyDescent="0.25">
      <c r="A42" t="s">
        <v>4839</v>
      </c>
      <c r="B42" t="s">
        <v>4840</v>
      </c>
      <c r="C42">
        <v>6753</v>
      </c>
      <c r="D42" t="s">
        <v>4812</v>
      </c>
      <c r="E42" t="s">
        <v>21</v>
      </c>
      <c r="F42">
        <v>297</v>
      </c>
      <c r="G42" t="s">
        <v>4998</v>
      </c>
      <c r="H42" t="s">
        <v>4996</v>
      </c>
      <c r="I42">
        <v>4.9333</v>
      </c>
      <c r="J42" t="s">
        <v>5012</v>
      </c>
      <c r="K42" t="s">
        <v>4993</v>
      </c>
      <c r="L42">
        <v>15</v>
      </c>
      <c r="M42">
        <v>225</v>
      </c>
      <c r="N42" t="s">
        <v>5014</v>
      </c>
      <c r="O42">
        <v>1</v>
      </c>
      <c r="P42">
        <v>0</v>
      </c>
    </row>
    <row r="43" spans="1:16" hidden="1" x14ac:dyDescent="0.25">
      <c r="A43" t="s">
        <v>4929</v>
      </c>
      <c r="B43" t="s">
        <v>4930</v>
      </c>
      <c r="C43">
        <v>1073</v>
      </c>
      <c r="D43" t="s">
        <v>767</v>
      </c>
      <c r="E43" t="s">
        <v>8</v>
      </c>
      <c r="F43">
        <v>0</v>
      </c>
      <c r="G43" t="s">
        <v>4998</v>
      </c>
      <c r="H43" t="s">
        <v>4996</v>
      </c>
      <c r="I43">
        <v>4.6666999999999996</v>
      </c>
      <c r="J43" t="s">
        <v>5012</v>
      </c>
      <c r="K43" t="s">
        <v>4993</v>
      </c>
      <c r="L43">
        <v>15</v>
      </c>
      <c r="M43">
        <v>110</v>
      </c>
      <c r="N43" t="s">
        <v>5014</v>
      </c>
      <c r="O43">
        <v>0</v>
      </c>
      <c r="P43">
        <v>0</v>
      </c>
    </row>
    <row r="44" spans="1:16" hidden="1" x14ac:dyDescent="0.25">
      <c r="A44" t="s">
        <v>4954</v>
      </c>
      <c r="B44" t="s">
        <v>4955</v>
      </c>
      <c r="C44">
        <v>4348</v>
      </c>
      <c r="D44" t="s">
        <v>61</v>
      </c>
      <c r="E44" t="s">
        <v>4956</v>
      </c>
      <c r="F44">
        <v>0</v>
      </c>
      <c r="G44" t="s">
        <v>4998</v>
      </c>
      <c r="H44" t="s">
        <v>4996</v>
      </c>
      <c r="I44">
        <v>4.2667000000000002</v>
      </c>
      <c r="J44" t="s">
        <v>5012</v>
      </c>
      <c r="K44" t="s">
        <v>4993</v>
      </c>
      <c r="L44">
        <v>15</v>
      </c>
      <c r="M44">
        <v>28</v>
      </c>
      <c r="N44" t="s">
        <v>5015</v>
      </c>
      <c r="O44">
        <v>0</v>
      </c>
      <c r="P44">
        <v>0</v>
      </c>
    </row>
    <row r="45" spans="1:16" x14ac:dyDescent="0.25">
      <c r="A45" t="s">
        <v>4867</v>
      </c>
      <c r="B45" t="s">
        <v>4868</v>
      </c>
      <c r="C45">
        <v>6753</v>
      </c>
      <c r="D45" t="s">
        <v>4812</v>
      </c>
      <c r="E45" t="s">
        <v>13</v>
      </c>
      <c r="F45">
        <v>204</v>
      </c>
      <c r="G45" t="s">
        <v>4998</v>
      </c>
      <c r="H45" t="s">
        <v>4996</v>
      </c>
      <c r="I45">
        <v>4.9230999999999998</v>
      </c>
      <c r="J45" t="s">
        <v>5012</v>
      </c>
      <c r="K45" t="s">
        <v>4993</v>
      </c>
      <c r="L45">
        <v>13</v>
      </c>
      <c r="M45">
        <v>85</v>
      </c>
      <c r="N45" t="s">
        <v>5014</v>
      </c>
      <c r="O45">
        <v>1</v>
      </c>
      <c r="P45">
        <v>0</v>
      </c>
    </row>
    <row r="46" spans="1:16" hidden="1" x14ac:dyDescent="0.25">
      <c r="A46" t="s">
        <v>4933</v>
      </c>
      <c r="B46" t="s">
        <v>4934</v>
      </c>
      <c r="C46">
        <v>1073</v>
      </c>
      <c r="D46" t="s">
        <v>767</v>
      </c>
      <c r="E46" t="s">
        <v>8</v>
      </c>
      <c r="F46">
        <v>0</v>
      </c>
      <c r="G46" t="s">
        <v>4998</v>
      </c>
      <c r="H46" t="s">
        <v>4996</v>
      </c>
      <c r="I46">
        <v>4</v>
      </c>
      <c r="J46" t="s">
        <v>5012</v>
      </c>
      <c r="K46" t="s">
        <v>4993</v>
      </c>
      <c r="L46">
        <v>13</v>
      </c>
      <c r="M46">
        <v>110</v>
      </c>
      <c r="N46" t="s">
        <v>5014</v>
      </c>
      <c r="O46">
        <v>0</v>
      </c>
      <c r="P46">
        <v>0</v>
      </c>
    </row>
    <row r="47" spans="1:16" hidden="1" x14ac:dyDescent="0.25">
      <c r="A47" t="s">
        <v>4937</v>
      </c>
      <c r="B47" t="s">
        <v>4938</v>
      </c>
      <c r="C47">
        <v>6014</v>
      </c>
      <c r="D47" t="s">
        <v>102</v>
      </c>
      <c r="E47" t="s">
        <v>69</v>
      </c>
      <c r="F47">
        <v>0</v>
      </c>
      <c r="G47" t="s">
        <v>4998</v>
      </c>
      <c r="H47" t="s">
        <v>4996</v>
      </c>
      <c r="I47">
        <v>4.8461999999999996</v>
      </c>
      <c r="J47" t="s">
        <v>5012</v>
      </c>
      <c r="K47" t="s">
        <v>4993</v>
      </c>
      <c r="L47">
        <v>13</v>
      </c>
      <c r="M47">
        <v>15</v>
      </c>
      <c r="N47" t="s">
        <v>5013</v>
      </c>
      <c r="O47">
        <v>0</v>
      </c>
      <c r="P47">
        <v>0</v>
      </c>
    </row>
    <row r="48" spans="1:16" hidden="1" x14ac:dyDescent="0.25">
      <c r="A48" t="s">
        <v>4817</v>
      </c>
      <c r="B48" t="s">
        <v>4818</v>
      </c>
      <c r="C48">
        <v>6375</v>
      </c>
      <c r="D48" t="s">
        <v>3234</v>
      </c>
      <c r="E48" t="s">
        <v>8</v>
      </c>
      <c r="F48">
        <v>400</v>
      </c>
      <c r="G48" t="s">
        <v>4998</v>
      </c>
      <c r="H48" t="s">
        <v>4996</v>
      </c>
      <c r="I48">
        <v>5</v>
      </c>
      <c r="J48" t="s">
        <v>5012</v>
      </c>
      <c r="K48" t="s">
        <v>4993</v>
      </c>
      <c r="L48">
        <v>12</v>
      </c>
      <c r="M48">
        <v>65</v>
      </c>
      <c r="N48" t="s">
        <v>5014</v>
      </c>
      <c r="O48">
        <v>1</v>
      </c>
      <c r="P48">
        <v>0</v>
      </c>
    </row>
    <row r="49" spans="1:16" x14ac:dyDescent="0.25">
      <c r="A49" t="s">
        <v>4853</v>
      </c>
      <c r="B49" t="s">
        <v>4854</v>
      </c>
      <c r="C49">
        <v>3902</v>
      </c>
      <c r="D49" t="s">
        <v>72</v>
      </c>
      <c r="E49" t="s">
        <v>13</v>
      </c>
      <c r="F49">
        <v>265</v>
      </c>
      <c r="G49" t="s">
        <v>4998</v>
      </c>
      <c r="H49" t="s">
        <v>4996</v>
      </c>
      <c r="I49">
        <v>4.3</v>
      </c>
      <c r="J49" t="s">
        <v>5012</v>
      </c>
      <c r="K49" t="s">
        <v>4993</v>
      </c>
      <c r="L49">
        <v>10</v>
      </c>
      <c r="M49">
        <v>3</v>
      </c>
      <c r="N49" t="s">
        <v>5013</v>
      </c>
      <c r="O49">
        <v>0</v>
      </c>
      <c r="P49">
        <v>1</v>
      </c>
    </row>
    <row r="50" spans="1:16" hidden="1" x14ac:dyDescent="0.25">
      <c r="A50" t="s">
        <v>4941</v>
      </c>
      <c r="B50" t="s">
        <v>4942</v>
      </c>
      <c r="C50">
        <v>6014</v>
      </c>
      <c r="D50" t="s">
        <v>102</v>
      </c>
      <c r="E50" t="s">
        <v>69</v>
      </c>
      <c r="F50">
        <v>0</v>
      </c>
      <c r="G50" t="s">
        <v>4998</v>
      </c>
      <c r="H50" t="s">
        <v>4996</v>
      </c>
      <c r="I50">
        <v>4.5556000000000001</v>
      </c>
      <c r="J50" t="s">
        <v>5012</v>
      </c>
      <c r="K50" t="s">
        <v>4993</v>
      </c>
      <c r="L50">
        <v>9</v>
      </c>
      <c r="M50">
        <v>15</v>
      </c>
      <c r="N50" t="s">
        <v>5013</v>
      </c>
      <c r="O50">
        <v>0</v>
      </c>
      <c r="P50">
        <v>0</v>
      </c>
    </row>
    <row r="51" spans="1:16" hidden="1" x14ac:dyDescent="0.25">
      <c r="A51" t="s">
        <v>4891</v>
      </c>
      <c r="B51" t="s">
        <v>4892</v>
      </c>
      <c r="C51">
        <v>6358</v>
      </c>
      <c r="D51" t="s">
        <v>2301</v>
      </c>
      <c r="E51" t="s">
        <v>220</v>
      </c>
      <c r="F51">
        <v>43</v>
      </c>
      <c r="G51" t="s">
        <v>4998</v>
      </c>
      <c r="H51" t="s">
        <v>4996</v>
      </c>
      <c r="I51">
        <v>4.875</v>
      </c>
      <c r="J51" t="s">
        <v>5012</v>
      </c>
      <c r="K51" t="s">
        <v>4993</v>
      </c>
      <c r="L51">
        <v>8</v>
      </c>
      <c r="M51">
        <v>39</v>
      </c>
      <c r="N51" t="s">
        <v>5015</v>
      </c>
      <c r="O51">
        <v>1</v>
      </c>
      <c r="P51">
        <v>0</v>
      </c>
    </row>
    <row r="52" spans="1:16" hidden="1" x14ac:dyDescent="0.25">
      <c r="A52" t="s">
        <v>4961</v>
      </c>
      <c r="B52" t="s">
        <v>4962</v>
      </c>
      <c r="C52">
        <v>5674</v>
      </c>
      <c r="D52" t="s">
        <v>141</v>
      </c>
      <c r="E52" t="s">
        <v>144</v>
      </c>
      <c r="F52">
        <v>0</v>
      </c>
      <c r="G52" t="s">
        <v>4998</v>
      </c>
      <c r="H52" t="s">
        <v>4996</v>
      </c>
      <c r="I52">
        <v>4.5</v>
      </c>
      <c r="J52" t="s">
        <v>5012</v>
      </c>
      <c r="K52" t="s">
        <v>4993</v>
      </c>
      <c r="L52">
        <v>8</v>
      </c>
      <c r="M52">
        <v>19</v>
      </c>
      <c r="N52" t="s">
        <v>5013</v>
      </c>
      <c r="O52">
        <v>0</v>
      </c>
      <c r="P52">
        <v>0</v>
      </c>
    </row>
    <row r="53" spans="1:16" hidden="1" x14ac:dyDescent="0.25">
      <c r="A53" t="s">
        <v>4668</v>
      </c>
      <c r="B53" t="s">
        <v>4669</v>
      </c>
      <c r="C53">
        <v>3297</v>
      </c>
      <c r="D53" t="s">
        <v>238</v>
      </c>
      <c r="E53" t="s">
        <v>21</v>
      </c>
      <c r="F53">
        <v>972</v>
      </c>
      <c r="G53" t="s">
        <v>4998</v>
      </c>
      <c r="H53" t="s">
        <v>4996</v>
      </c>
      <c r="I53">
        <v>4.1429</v>
      </c>
      <c r="J53" t="s">
        <v>5012</v>
      </c>
      <c r="K53" t="s">
        <v>4993</v>
      </c>
      <c r="L53">
        <v>7</v>
      </c>
      <c r="M53">
        <v>40</v>
      </c>
      <c r="N53" t="s">
        <v>5015</v>
      </c>
      <c r="O53">
        <v>0</v>
      </c>
      <c r="P53">
        <v>0</v>
      </c>
    </row>
    <row r="54" spans="1:16" x14ac:dyDescent="0.25">
      <c r="A54" t="s">
        <v>4785</v>
      </c>
      <c r="B54" t="s">
        <v>952</v>
      </c>
      <c r="C54">
        <v>1254</v>
      </c>
      <c r="D54" t="s">
        <v>136</v>
      </c>
      <c r="E54" t="s">
        <v>13</v>
      </c>
      <c r="F54">
        <v>545</v>
      </c>
      <c r="G54" t="s">
        <v>4998</v>
      </c>
      <c r="H54" t="s">
        <v>4996</v>
      </c>
      <c r="I54">
        <v>4.4286000000000003</v>
      </c>
      <c r="J54" t="s">
        <v>5012</v>
      </c>
      <c r="K54" t="s">
        <v>4993</v>
      </c>
      <c r="L54">
        <v>7</v>
      </c>
      <c r="M54">
        <v>36</v>
      </c>
      <c r="N54" t="s">
        <v>5015</v>
      </c>
      <c r="O54">
        <v>0</v>
      </c>
      <c r="P54">
        <v>0</v>
      </c>
    </row>
    <row r="55" spans="1:16" hidden="1" x14ac:dyDescent="0.25">
      <c r="A55" t="s">
        <v>4889</v>
      </c>
      <c r="B55" t="s">
        <v>4890</v>
      </c>
      <c r="C55">
        <v>6375</v>
      </c>
      <c r="D55" t="s">
        <v>3234</v>
      </c>
      <c r="E55" t="s">
        <v>21</v>
      </c>
      <c r="F55">
        <v>48</v>
      </c>
      <c r="G55" t="s">
        <v>4998</v>
      </c>
      <c r="H55" t="s">
        <v>4996</v>
      </c>
      <c r="I55">
        <v>5</v>
      </c>
      <c r="J55" t="s">
        <v>5012</v>
      </c>
      <c r="K55" t="s">
        <v>4993</v>
      </c>
      <c r="L55">
        <v>7</v>
      </c>
      <c r="M55">
        <v>65</v>
      </c>
      <c r="N55" t="s">
        <v>5014</v>
      </c>
      <c r="O55">
        <v>1</v>
      </c>
      <c r="P55">
        <v>0</v>
      </c>
    </row>
    <row r="56" spans="1:16" x14ac:dyDescent="0.25">
      <c r="A56" t="s">
        <v>4777</v>
      </c>
      <c r="B56" t="s">
        <v>1391</v>
      </c>
      <c r="C56">
        <v>1254</v>
      </c>
      <c r="D56" t="s">
        <v>136</v>
      </c>
      <c r="E56" t="s">
        <v>13</v>
      </c>
      <c r="F56">
        <v>577</v>
      </c>
      <c r="G56" t="s">
        <v>4998</v>
      </c>
      <c r="H56" t="s">
        <v>4996</v>
      </c>
      <c r="I56">
        <v>4.1666999999999996</v>
      </c>
      <c r="J56" t="s">
        <v>5012</v>
      </c>
      <c r="K56" t="s">
        <v>4993</v>
      </c>
      <c r="L56">
        <v>6</v>
      </c>
      <c r="M56">
        <v>36</v>
      </c>
      <c r="N56" t="s">
        <v>5015</v>
      </c>
      <c r="O56">
        <v>0</v>
      </c>
      <c r="P56">
        <v>0</v>
      </c>
    </row>
    <row r="57" spans="1:16" x14ac:dyDescent="0.25">
      <c r="A57" t="s">
        <v>4893</v>
      </c>
      <c r="B57" t="s">
        <v>4894</v>
      </c>
      <c r="C57">
        <v>6375</v>
      </c>
      <c r="D57" t="s">
        <v>3234</v>
      </c>
      <c r="E57" t="s">
        <v>13</v>
      </c>
      <c r="F57">
        <v>27</v>
      </c>
      <c r="G57" t="s">
        <v>4998</v>
      </c>
      <c r="H57" t="s">
        <v>4996</v>
      </c>
      <c r="I57">
        <v>5</v>
      </c>
      <c r="J57" t="s">
        <v>5012</v>
      </c>
      <c r="K57" t="s">
        <v>4993</v>
      </c>
      <c r="L57">
        <v>6</v>
      </c>
      <c r="M57">
        <v>42</v>
      </c>
      <c r="N57" t="s">
        <v>5015</v>
      </c>
      <c r="O57">
        <v>1</v>
      </c>
      <c r="P57">
        <v>0</v>
      </c>
    </row>
    <row r="58" spans="1:16" hidden="1" x14ac:dyDescent="0.25">
      <c r="A58" t="s">
        <v>4969</v>
      </c>
      <c r="B58" t="s">
        <v>4970</v>
      </c>
      <c r="C58">
        <v>6041</v>
      </c>
      <c r="D58" t="s">
        <v>33</v>
      </c>
      <c r="E58" t="s">
        <v>144</v>
      </c>
      <c r="F58">
        <v>0</v>
      </c>
      <c r="G58" t="s">
        <v>4998</v>
      </c>
      <c r="H58" t="s">
        <v>4996</v>
      </c>
      <c r="I58">
        <v>4</v>
      </c>
      <c r="J58" t="s">
        <v>5012</v>
      </c>
      <c r="K58" t="s">
        <v>4993</v>
      </c>
      <c r="L58">
        <v>6</v>
      </c>
      <c r="M58">
        <v>22</v>
      </c>
      <c r="N58" t="s">
        <v>5015</v>
      </c>
      <c r="O58">
        <v>0</v>
      </c>
      <c r="P58">
        <v>0</v>
      </c>
    </row>
    <row r="59" spans="1:16" hidden="1" x14ac:dyDescent="0.25">
      <c r="A59" t="s">
        <v>4939</v>
      </c>
      <c r="B59" t="s">
        <v>4940</v>
      </c>
      <c r="C59">
        <v>6014</v>
      </c>
      <c r="D59" t="s">
        <v>102</v>
      </c>
      <c r="E59" t="s">
        <v>69</v>
      </c>
      <c r="F59">
        <v>0</v>
      </c>
      <c r="G59" t="s">
        <v>4998</v>
      </c>
      <c r="H59" t="s">
        <v>4996</v>
      </c>
      <c r="I59">
        <v>4</v>
      </c>
      <c r="J59" t="s">
        <v>5012</v>
      </c>
      <c r="K59" t="s">
        <v>4993</v>
      </c>
      <c r="L59">
        <v>6</v>
      </c>
      <c r="M59">
        <v>15</v>
      </c>
      <c r="N59" t="s">
        <v>5013</v>
      </c>
      <c r="O59">
        <v>0</v>
      </c>
      <c r="P59">
        <v>0</v>
      </c>
    </row>
    <row r="60" spans="1:16" hidden="1" x14ac:dyDescent="0.25">
      <c r="A60" t="s">
        <v>4869</v>
      </c>
      <c r="B60" t="s">
        <v>4870</v>
      </c>
      <c r="C60">
        <v>5668</v>
      </c>
      <c r="D60" t="s">
        <v>93</v>
      </c>
      <c r="E60" t="s">
        <v>347</v>
      </c>
      <c r="F60">
        <v>191</v>
      </c>
      <c r="G60" t="s">
        <v>4998</v>
      </c>
      <c r="H60" t="s">
        <v>4996</v>
      </c>
      <c r="I60">
        <v>5</v>
      </c>
      <c r="J60" t="s">
        <v>5012</v>
      </c>
      <c r="K60" t="s">
        <v>4993</v>
      </c>
      <c r="L60">
        <v>5</v>
      </c>
      <c r="M60">
        <v>199</v>
      </c>
      <c r="N60" t="s">
        <v>5014</v>
      </c>
      <c r="O60">
        <v>1</v>
      </c>
      <c r="P60">
        <v>0</v>
      </c>
    </row>
    <row r="61" spans="1:16" hidden="1" x14ac:dyDescent="0.25">
      <c r="A61" t="s">
        <v>4899</v>
      </c>
      <c r="B61" t="s">
        <v>4900</v>
      </c>
      <c r="C61">
        <v>1741</v>
      </c>
      <c r="D61" t="s">
        <v>388</v>
      </c>
      <c r="E61" t="s">
        <v>8</v>
      </c>
      <c r="F61">
        <v>23</v>
      </c>
      <c r="G61" t="s">
        <v>4998</v>
      </c>
      <c r="H61" t="s">
        <v>4996</v>
      </c>
      <c r="I61">
        <v>4.4000000000000004</v>
      </c>
      <c r="J61" t="s">
        <v>5012</v>
      </c>
      <c r="K61" t="s">
        <v>4993</v>
      </c>
      <c r="L61">
        <v>5</v>
      </c>
      <c r="M61">
        <v>85</v>
      </c>
      <c r="N61" t="s">
        <v>5014</v>
      </c>
      <c r="O61">
        <v>1</v>
      </c>
      <c r="P61">
        <v>0</v>
      </c>
    </row>
    <row r="62" spans="1:16" hidden="1" x14ac:dyDescent="0.25">
      <c r="A62" t="s">
        <v>4771</v>
      </c>
      <c r="B62" t="s">
        <v>4772</v>
      </c>
      <c r="C62">
        <v>4372</v>
      </c>
      <c r="D62" t="s">
        <v>1513</v>
      </c>
      <c r="E62" t="s">
        <v>8</v>
      </c>
      <c r="F62">
        <v>597</v>
      </c>
      <c r="G62" t="s">
        <v>4998</v>
      </c>
      <c r="H62" t="s">
        <v>4996</v>
      </c>
      <c r="I62">
        <v>5</v>
      </c>
      <c r="J62" t="s">
        <v>5012</v>
      </c>
      <c r="K62" t="s">
        <v>4993</v>
      </c>
      <c r="L62">
        <v>4</v>
      </c>
      <c r="M62">
        <v>65</v>
      </c>
      <c r="N62" t="s">
        <v>5014</v>
      </c>
      <c r="O62">
        <v>0</v>
      </c>
      <c r="P62">
        <v>1</v>
      </c>
    </row>
    <row r="63" spans="1:16" hidden="1" x14ac:dyDescent="0.25">
      <c r="A63" t="s">
        <v>4662</v>
      </c>
      <c r="B63" t="s">
        <v>4663</v>
      </c>
      <c r="C63">
        <v>6274</v>
      </c>
      <c r="D63" t="s">
        <v>2153</v>
      </c>
      <c r="E63" t="s">
        <v>21</v>
      </c>
      <c r="F63">
        <v>986</v>
      </c>
      <c r="G63" t="s">
        <v>4998</v>
      </c>
      <c r="H63" t="s">
        <v>4996</v>
      </c>
      <c r="I63">
        <v>5</v>
      </c>
      <c r="J63" t="s">
        <v>5012</v>
      </c>
      <c r="K63" t="s">
        <v>4993</v>
      </c>
      <c r="L63">
        <v>3</v>
      </c>
      <c r="M63">
        <v>44</v>
      </c>
      <c r="N63" t="s">
        <v>5015</v>
      </c>
      <c r="O63">
        <v>0</v>
      </c>
      <c r="P63">
        <v>0</v>
      </c>
    </row>
    <row r="64" spans="1:16" hidden="1" x14ac:dyDescent="0.25">
      <c r="A64" t="s">
        <v>4688</v>
      </c>
      <c r="B64" t="s">
        <v>4689</v>
      </c>
      <c r="C64">
        <v>6303</v>
      </c>
      <c r="D64" t="s">
        <v>3247</v>
      </c>
      <c r="E64" t="s">
        <v>8</v>
      </c>
      <c r="F64">
        <v>906</v>
      </c>
      <c r="G64" t="s">
        <v>4998</v>
      </c>
      <c r="H64" t="s">
        <v>4996</v>
      </c>
      <c r="I64">
        <v>5</v>
      </c>
      <c r="J64" t="s">
        <v>5012</v>
      </c>
      <c r="K64" t="s">
        <v>4993</v>
      </c>
      <c r="L64">
        <v>3</v>
      </c>
      <c r="M64">
        <v>105</v>
      </c>
      <c r="N64" t="s">
        <v>5014</v>
      </c>
      <c r="O64">
        <v>0</v>
      </c>
      <c r="P64">
        <v>0</v>
      </c>
    </row>
    <row r="65" spans="1:16" hidden="1" x14ac:dyDescent="0.25">
      <c r="A65" t="s">
        <v>4696</v>
      </c>
      <c r="B65" t="s">
        <v>4697</v>
      </c>
      <c r="C65">
        <v>5879</v>
      </c>
      <c r="D65" t="s">
        <v>3589</v>
      </c>
      <c r="E65" t="s">
        <v>21</v>
      </c>
      <c r="F65">
        <v>876</v>
      </c>
      <c r="G65" t="s">
        <v>4998</v>
      </c>
      <c r="H65" t="s">
        <v>4996</v>
      </c>
      <c r="I65">
        <v>5</v>
      </c>
      <c r="J65" t="s">
        <v>5012</v>
      </c>
      <c r="K65" t="s">
        <v>4993</v>
      </c>
      <c r="L65">
        <v>3</v>
      </c>
      <c r="M65">
        <v>94</v>
      </c>
      <c r="N65" t="s">
        <v>5014</v>
      </c>
      <c r="O65">
        <v>0</v>
      </c>
      <c r="P65">
        <v>0</v>
      </c>
    </row>
    <row r="66" spans="1:16" hidden="1" x14ac:dyDescent="0.25">
      <c r="A66" t="s">
        <v>4698</v>
      </c>
      <c r="B66" t="s">
        <v>4699</v>
      </c>
      <c r="C66">
        <v>6302</v>
      </c>
      <c r="D66" t="s">
        <v>2721</v>
      </c>
      <c r="E66" t="s">
        <v>21</v>
      </c>
      <c r="F66">
        <v>873</v>
      </c>
      <c r="G66" t="s">
        <v>4998</v>
      </c>
      <c r="H66" t="s">
        <v>4996</v>
      </c>
      <c r="I66">
        <v>4.6666999999999996</v>
      </c>
      <c r="J66" t="s">
        <v>5012</v>
      </c>
      <c r="K66" t="s">
        <v>4993</v>
      </c>
      <c r="L66">
        <v>3</v>
      </c>
      <c r="M66">
        <v>240</v>
      </c>
      <c r="N66" t="s">
        <v>5014</v>
      </c>
      <c r="O66">
        <v>0</v>
      </c>
      <c r="P66">
        <v>0</v>
      </c>
    </row>
    <row r="67" spans="1:16" hidden="1" x14ac:dyDescent="0.25">
      <c r="A67" t="s">
        <v>4780</v>
      </c>
      <c r="B67" t="s">
        <v>4781</v>
      </c>
      <c r="C67">
        <v>2082</v>
      </c>
      <c r="D67" t="s">
        <v>594</v>
      </c>
      <c r="E67" t="s">
        <v>21</v>
      </c>
      <c r="F67">
        <v>566</v>
      </c>
      <c r="G67" t="s">
        <v>4998</v>
      </c>
      <c r="H67" t="s">
        <v>4996</v>
      </c>
      <c r="I67">
        <v>4.6666999999999996</v>
      </c>
      <c r="J67" t="s">
        <v>5012</v>
      </c>
      <c r="K67" t="s">
        <v>4993</v>
      </c>
      <c r="L67">
        <v>3</v>
      </c>
      <c r="M67">
        <v>132</v>
      </c>
      <c r="N67" t="s">
        <v>5014</v>
      </c>
      <c r="O67">
        <v>0</v>
      </c>
      <c r="P67">
        <v>0</v>
      </c>
    </row>
    <row r="68" spans="1:16" x14ac:dyDescent="0.25">
      <c r="A68" t="s">
        <v>4901</v>
      </c>
      <c r="B68" t="s">
        <v>4902</v>
      </c>
      <c r="C68">
        <v>6358</v>
      </c>
      <c r="D68" t="s">
        <v>2301</v>
      </c>
      <c r="E68" t="s">
        <v>13</v>
      </c>
      <c r="F68">
        <v>23</v>
      </c>
      <c r="G68" t="s">
        <v>4998</v>
      </c>
      <c r="H68" t="s">
        <v>4996</v>
      </c>
      <c r="I68">
        <v>5</v>
      </c>
      <c r="J68" t="s">
        <v>5012</v>
      </c>
      <c r="K68" t="s">
        <v>4993</v>
      </c>
      <c r="L68">
        <v>3</v>
      </c>
      <c r="M68">
        <v>39</v>
      </c>
      <c r="N68" t="s">
        <v>5015</v>
      </c>
      <c r="O68">
        <v>1</v>
      </c>
      <c r="P68">
        <v>0</v>
      </c>
    </row>
    <row r="69" spans="1:16" hidden="1" x14ac:dyDescent="0.25">
      <c r="A69" t="s">
        <v>4959</v>
      </c>
      <c r="B69" t="s">
        <v>4960</v>
      </c>
      <c r="C69">
        <v>4348</v>
      </c>
      <c r="D69" t="s">
        <v>61</v>
      </c>
      <c r="E69" t="s">
        <v>144</v>
      </c>
      <c r="F69">
        <v>0</v>
      </c>
      <c r="G69" t="s">
        <v>4998</v>
      </c>
      <c r="H69" t="s">
        <v>4996</v>
      </c>
      <c r="I69">
        <v>4</v>
      </c>
      <c r="J69" t="s">
        <v>5012</v>
      </c>
      <c r="K69" t="s">
        <v>4993</v>
      </c>
      <c r="L69">
        <v>3</v>
      </c>
      <c r="M69">
        <v>40</v>
      </c>
      <c r="N69" t="s">
        <v>5015</v>
      </c>
      <c r="O69">
        <v>0</v>
      </c>
      <c r="P69">
        <v>0</v>
      </c>
    </row>
    <row r="70" spans="1:16" hidden="1" x14ac:dyDescent="0.25">
      <c r="A70" t="s">
        <v>4660</v>
      </c>
      <c r="B70" t="s">
        <v>4661</v>
      </c>
      <c r="C70">
        <v>1073</v>
      </c>
      <c r="D70" t="s">
        <v>767</v>
      </c>
      <c r="E70" t="s">
        <v>69</v>
      </c>
      <c r="F70">
        <v>993</v>
      </c>
      <c r="G70" t="s">
        <v>4998</v>
      </c>
      <c r="H70" t="s">
        <v>4996</v>
      </c>
      <c r="I70">
        <v>5</v>
      </c>
      <c r="J70" t="s">
        <v>5012</v>
      </c>
      <c r="K70" t="s">
        <v>4993</v>
      </c>
      <c r="L70">
        <v>2</v>
      </c>
      <c r="M70">
        <v>80</v>
      </c>
      <c r="N70" t="s">
        <v>5014</v>
      </c>
      <c r="O70">
        <v>1</v>
      </c>
      <c r="P70">
        <v>0</v>
      </c>
    </row>
    <row r="71" spans="1:16" hidden="1" x14ac:dyDescent="0.25">
      <c r="A71" t="s">
        <v>4664</v>
      </c>
      <c r="B71" t="s">
        <v>4665</v>
      </c>
      <c r="C71">
        <v>8017</v>
      </c>
      <c r="D71" t="s">
        <v>620</v>
      </c>
      <c r="E71" t="s">
        <v>49</v>
      </c>
      <c r="F71">
        <v>983</v>
      </c>
      <c r="G71" t="s">
        <v>4998</v>
      </c>
      <c r="H71" t="s">
        <v>4996</v>
      </c>
      <c r="I71">
        <v>5</v>
      </c>
      <c r="J71" t="s">
        <v>5012</v>
      </c>
      <c r="K71" t="s">
        <v>4993</v>
      </c>
      <c r="L71">
        <v>2</v>
      </c>
      <c r="M71">
        <v>28</v>
      </c>
      <c r="N71" t="s">
        <v>5015</v>
      </c>
      <c r="O71">
        <v>0</v>
      </c>
      <c r="P71">
        <v>0</v>
      </c>
    </row>
    <row r="72" spans="1:16" hidden="1" x14ac:dyDescent="0.25">
      <c r="A72" t="s">
        <v>4747</v>
      </c>
      <c r="B72" t="s">
        <v>4748</v>
      </c>
      <c r="C72">
        <v>4372</v>
      </c>
      <c r="D72" t="s">
        <v>1513</v>
      </c>
      <c r="E72" t="s">
        <v>8</v>
      </c>
      <c r="F72">
        <v>665</v>
      </c>
      <c r="G72" t="s">
        <v>4998</v>
      </c>
      <c r="H72" t="s">
        <v>4996</v>
      </c>
      <c r="I72">
        <v>4.5</v>
      </c>
      <c r="J72" t="s">
        <v>5012</v>
      </c>
      <c r="K72" t="s">
        <v>4993</v>
      </c>
      <c r="L72">
        <v>2</v>
      </c>
      <c r="M72">
        <v>85</v>
      </c>
      <c r="N72" t="s">
        <v>5014</v>
      </c>
      <c r="O72">
        <v>0</v>
      </c>
      <c r="P72">
        <v>0</v>
      </c>
    </row>
    <row r="73" spans="1:16" hidden="1" x14ac:dyDescent="0.25">
      <c r="A73" t="s">
        <v>4759</v>
      </c>
      <c r="B73" t="s">
        <v>4760</v>
      </c>
      <c r="C73">
        <v>5337</v>
      </c>
      <c r="D73" t="s">
        <v>209</v>
      </c>
      <c r="E73" t="s">
        <v>49</v>
      </c>
      <c r="F73">
        <v>636</v>
      </c>
      <c r="G73" t="s">
        <v>4998</v>
      </c>
      <c r="H73" t="s">
        <v>4996</v>
      </c>
      <c r="I73">
        <v>4</v>
      </c>
      <c r="J73" t="s">
        <v>5012</v>
      </c>
      <c r="K73" t="s">
        <v>4993</v>
      </c>
      <c r="L73">
        <v>2</v>
      </c>
      <c r="M73">
        <v>270</v>
      </c>
      <c r="N73" t="s">
        <v>5014</v>
      </c>
      <c r="O73">
        <v>0</v>
      </c>
      <c r="P73">
        <v>0</v>
      </c>
    </row>
    <row r="74" spans="1:16" hidden="1" x14ac:dyDescent="0.25">
      <c r="A74" t="s">
        <v>4773</v>
      </c>
      <c r="B74" t="s">
        <v>4774</v>
      </c>
      <c r="C74">
        <v>2082</v>
      </c>
      <c r="D74" t="s">
        <v>594</v>
      </c>
      <c r="E74" t="s">
        <v>21</v>
      </c>
      <c r="F74">
        <v>595</v>
      </c>
      <c r="G74" t="s">
        <v>4998</v>
      </c>
      <c r="H74" t="s">
        <v>4996</v>
      </c>
      <c r="I74">
        <v>5</v>
      </c>
      <c r="J74" t="s">
        <v>5012</v>
      </c>
      <c r="K74" t="s">
        <v>4993</v>
      </c>
      <c r="L74">
        <v>2</v>
      </c>
      <c r="M74">
        <v>140</v>
      </c>
      <c r="N74" t="s">
        <v>5014</v>
      </c>
      <c r="O74">
        <v>0</v>
      </c>
      <c r="P74">
        <v>0</v>
      </c>
    </row>
    <row r="75" spans="1:16" hidden="1" x14ac:dyDescent="0.25">
      <c r="A75" t="s">
        <v>4965</v>
      </c>
      <c r="B75" t="s">
        <v>4966</v>
      </c>
      <c r="C75">
        <v>6219</v>
      </c>
      <c r="D75" t="s">
        <v>277</v>
      </c>
      <c r="E75" t="s">
        <v>144</v>
      </c>
      <c r="F75">
        <v>0</v>
      </c>
      <c r="G75" t="s">
        <v>4998</v>
      </c>
      <c r="H75" t="s">
        <v>4996</v>
      </c>
      <c r="I75">
        <v>5</v>
      </c>
      <c r="J75" t="s">
        <v>5012</v>
      </c>
      <c r="K75" t="s">
        <v>4993</v>
      </c>
      <c r="L75">
        <v>2</v>
      </c>
      <c r="M75">
        <v>16.5</v>
      </c>
      <c r="N75" t="s">
        <v>5013</v>
      </c>
      <c r="O75">
        <v>0</v>
      </c>
      <c r="P75">
        <v>0</v>
      </c>
    </row>
    <row r="76" spans="1:16" hidden="1" x14ac:dyDescent="0.25">
      <c r="A76" t="s">
        <v>4680</v>
      </c>
      <c r="B76" t="s">
        <v>4681</v>
      </c>
      <c r="C76">
        <v>6307</v>
      </c>
      <c r="D76" t="s">
        <v>1132</v>
      </c>
      <c r="E76" t="s">
        <v>21</v>
      </c>
      <c r="F76">
        <v>923</v>
      </c>
      <c r="G76" t="s">
        <v>4998</v>
      </c>
      <c r="H76" t="s">
        <v>4996</v>
      </c>
      <c r="I76">
        <v>4</v>
      </c>
      <c r="J76" t="s">
        <v>5012</v>
      </c>
      <c r="K76" t="s">
        <v>4993</v>
      </c>
      <c r="L76">
        <v>1</v>
      </c>
      <c r="M76">
        <v>72</v>
      </c>
      <c r="N76" t="s">
        <v>5014</v>
      </c>
      <c r="O76">
        <v>0</v>
      </c>
      <c r="P76">
        <v>0</v>
      </c>
    </row>
    <row r="77" spans="1:16" hidden="1" x14ac:dyDescent="0.25">
      <c r="A77" t="s">
        <v>4682</v>
      </c>
      <c r="B77" t="s">
        <v>4683</v>
      </c>
      <c r="C77">
        <v>5972</v>
      </c>
      <c r="D77" t="s">
        <v>54</v>
      </c>
      <c r="E77" t="s">
        <v>220</v>
      </c>
      <c r="F77">
        <v>921</v>
      </c>
      <c r="G77" t="s">
        <v>4998</v>
      </c>
      <c r="H77" t="s">
        <v>4996</v>
      </c>
      <c r="I77">
        <v>5</v>
      </c>
      <c r="J77" t="s">
        <v>5012</v>
      </c>
      <c r="K77" t="s">
        <v>4993</v>
      </c>
      <c r="L77">
        <v>1</v>
      </c>
      <c r="M77">
        <v>30</v>
      </c>
      <c r="N77" t="s">
        <v>5015</v>
      </c>
      <c r="O77">
        <v>1</v>
      </c>
      <c r="P77">
        <v>0</v>
      </c>
    </row>
    <row r="78" spans="1:16" hidden="1" x14ac:dyDescent="0.25">
      <c r="A78" t="s">
        <v>4712</v>
      </c>
      <c r="B78" t="s">
        <v>4713</v>
      </c>
      <c r="C78">
        <v>6226</v>
      </c>
      <c r="D78" t="s">
        <v>843</v>
      </c>
      <c r="E78" t="s">
        <v>201</v>
      </c>
      <c r="F78">
        <v>820</v>
      </c>
      <c r="G78" t="s">
        <v>4998</v>
      </c>
      <c r="H78" t="s">
        <v>4996</v>
      </c>
      <c r="I78">
        <v>5</v>
      </c>
      <c r="J78" t="s">
        <v>5012</v>
      </c>
      <c r="K78" t="s">
        <v>4993</v>
      </c>
      <c r="L78">
        <v>1</v>
      </c>
      <c r="M78">
        <v>38</v>
      </c>
      <c r="N78" t="s">
        <v>5015</v>
      </c>
      <c r="O78">
        <v>0</v>
      </c>
      <c r="P78">
        <v>0</v>
      </c>
    </row>
    <row r="79" spans="1:16" hidden="1" x14ac:dyDescent="0.25">
      <c r="A79" t="s">
        <v>4727</v>
      </c>
      <c r="B79" t="s">
        <v>4728</v>
      </c>
      <c r="C79">
        <v>7083</v>
      </c>
      <c r="D79" t="s">
        <v>20</v>
      </c>
      <c r="E79" t="s">
        <v>220</v>
      </c>
      <c r="F79">
        <v>782</v>
      </c>
      <c r="G79" t="s">
        <v>4998</v>
      </c>
      <c r="H79" t="s">
        <v>4996</v>
      </c>
      <c r="I79">
        <v>5</v>
      </c>
      <c r="J79" t="s">
        <v>5012</v>
      </c>
      <c r="K79" t="s">
        <v>4993</v>
      </c>
      <c r="L79">
        <v>1</v>
      </c>
      <c r="M79">
        <v>54</v>
      </c>
      <c r="N79" t="s">
        <v>5014</v>
      </c>
      <c r="O79">
        <v>1</v>
      </c>
      <c r="P79">
        <v>0</v>
      </c>
    </row>
    <row r="80" spans="1:16" x14ac:dyDescent="0.25">
      <c r="A80" t="s">
        <v>4741</v>
      </c>
      <c r="B80" t="s">
        <v>4742</v>
      </c>
      <c r="C80">
        <v>7020</v>
      </c>
      <c r="D80" t="s">
        <v>657</v>
      </c>
      <c r="E80" t="s">
        <v>13</v>
      </c>
      <c r="F80">
        <v>689</v>
      </c>
      <c r="G80" t="s">
        <v>4998</v>
      </c>
      <c r="H80" t="s">
        <v>4996</v>
      </c>
      <c r="I80">
        <v>5</v>
      </c>
      <c r="J80" t="s">
        <v>5012</v>
      </c>
      <c r="K80" t="s">
        <v>4993</v>
      </c>
      <c r="L80">
        <v>1</v>
      </c>
      <c r="M80">
        <v>88</v>
      </c>
      <c r="N80" t="s">
        <v>5014</v>
      </c>
      <c r="O80">
        <v>0</v>
      </c>
      <c r="P80">
        <v>0</v>
      </c>
    </row>
    <row r="81" spans="1:16" hidden="1" x14ac:dyDescent="0.25">
      <c r="A81" t="s">
        <v>4745</v>
      </c>
      <c r="B81" t="s">
        <v>4746</v>
      </c>
      <c r="C81">
        <v>7081</v>
      </c>
      <c r="D81" t="s">
        <v>4597</v>
      </c>
      <c r="E81" t="s">
        <v>220</v>
      </c>
      <c r="F81">
        <v>673</v>
      </c>
      <c r="G81" t="s">
        <v>4998</v>
      </c>
      <c r="H81" t="s">
        <v>4996</v>
      </c>
      <c r="I81">
        <v>5</v>
      </c>
      <c r="J81" t="s">
        <v>5012</v>
      </c>
      <c r="K81" t="s">
        <v>4993</v>
      </c>
      <c r="L81">
        <v>1</v>
      </c>
      <c r="M81">
        <v>75</v>
      </c>
      <c r="N81" t="s">
        <v>5014</v>
      </c>
      <c r="O81">
        <v>0</v>
      </c>
      <c r="P81">
        <v>1</v>
      </c>
    </row>
    <row r="82" spans="1:16" hidden="1" x14ac:dyDescent="0.25">
      <c r="A82" t="s">
        <v>4751</v>
      </c>
      <c r="B82" t="s">
        <v>4752</v>
      </c>
      <c r="C82">
        <v>7081</v>
      </c>
      <c r="D82" t="s">
        <v>4597</v>
      </c>
      <c r="E82" t="s">
        <v>220</v>
      </c>
      <c r="F82">
        <v>655</v>
      </c>
      <c r="G82" t="s">
        <v>4998</v>
      </c>
      <c r="H82" t="s">
        <v>4996</v>
      </c>
      <c r="I82">
        <v>5</v>
      </c>
      <c r="J82" t="s">
        <v>5012</v>
      </c>
      <c r="K82" t="s">
        <v>4993</v>
      </c>
      <c r="L82">
        <v>1</v>
      </c>
      <c r="M82">
        <v>50</v>
      </c>
      <c r="N82" t="s">
        <v>5015</v>
      </c>
      <c r="O82">
        <v>0</v>
      </c>
      <c r="P82">
        <v>1</v>
      </c>
    </row>
    <row r="83" spans="1:16" hidden="1" x14ac:dyDescent="0.25">
      <c r="A83" t="s">
        <v>4794</v>
      </c>
      <c r="B83" t="s">
        <v>4795</v>
      </c>
      <c r="C83">
        <v>5879</v>
      </c>
      <c r="D83" t="s">
        <v>3589</v>
      </c>
      <c r="E83" t="s">
        <v>8</v>
      </c>
      <c r="F83">
        <v>482</v>
      </c>
      <c r="G83" t="s">
        <v>4998</v>
      </c>
      <c r="H83" t="s">
        <v>4996</v>
      </c>
      <c r="I83">
        <v>5</v>
      </c>
      <c r="J83" t="s">
        <v>5012</v>
      </c>
      <c r="K83" t="s">
        <v>4993</v>
      </c>
      <c r="L83">
        <v>1</v>
      </c>
      <c r="M83">
        <v>198</v>
      </c>
      <c r="N83" t="s">
        <v>5014</v>
      </c>
      <c r="O83">
        <v>0</v>
      </c>
      <c r="P83">
        <v>0</v>
      </c>
    </row>
    <row r="84" spans="1:16" x14ac:dyDescent="0.25">
      <c r="A84" t="s">
        <v>4804</v>
      </c>
      <c r="B84" t="s">
        <v>4805</v>
      </c>
      <c r="C84">
        <v>6089</v>
      </c>
      <c r="D84" t="s">
        <v>605</v>
      </c>
      <c r="E84" t="s">
        <v>13</v>
      </c>
      <c r="F84">
        <v>435</v>
      </c>
      <c r="G84" t="s">
        <v>4998</v>
      </c>
      <c r="H84" t="s">
        <v>4996</v>
      </c>
      <c r="I84">
        <v>5</v>
      </c>
      <c r="J84" t="s">
        <v>5012</v>
      </c>
      <c r="K84" t="s">
        <v>4993</v>
      </c>
      <c r="L84">
        <v>1</v>
      </c>
      <c r="M84">
        <v>26</v>
      </c>
      <c r="N84" t="s">
        <v>5015</v>
      </c>
      <c r="O84">
        <v>1</v>
      </c>
      <c r="P84">
        <v>0</v>
      </c>
    </row>
    <row r="85" spans="1:16" hidden="1" x14ac:dyDescent="0.25">
      <c r="A85" t="s">
        <v>4835</v>
      </c>
      <c r="B85" t="s">
        <v>4836</v>
      </c>
      <c r="C85">
        <v>3297</v>
      </c>
      <c r="D85" t="s">
        <v>238</v>
      </c>
      <c r="E85" t="s">
        <v>21</v>
      </c>
      <c r="F85">
        <v>326</v>
      </c>
      <c r="G85" t="s">
        <v>4998</v>
      </c>
      <c r="H85" t="s">
        <v>4996</v>
      </c>
      <c r="I85">
        <v>5</v>
      </c>
      <c r="J85" t="s">
        <v>5012</v>
      </c>
      <c r="K85" t="s">
        <v>4993</v>
      </c>
      <c r="L85">
        <v>1</v>
      </c>
      <c r="M85">
        <v>38</v>
      </c>
      <c r="N85" t="s">
        <v>5015</v>
      </c>
      <c r="O85">
        <v>0</v>
      </c>
      <c r="P85">
        <v>0</v>
      </c>
    </row>
    <row r="86" spans="1:16" x14ac:dyDescent="0.25">
      <c r="A86" t="s">
        <v>4871</v>
      </c>
      <c r="B86" t="s">
        <v>4872</v>
      </c>
      <c r="C86">
        <v>7055</v>
      </c>
      <c r="D86" t="s">
        <v>3361</v>
      </c>
      <c r="E86" t="s">
        <v>13</v>
      </c>
      <c r="F86">
        <v>177</v>
      </c>
      <c r="G86" t="s">
        <v>4998</v>
      </c>
      <c r="H86" t="s">
        <v>4996</v>
      </c>
      <c r="I86">
        <v>5</v>
      </c>
      <c r="J86" t="s">
        <v>5012</v>
      </c>
      <c r="K86" t="s">
        <v>4993</v>
      </c>
      <c r="L86">
        <v>1</v>
      </c>
      <c r="M86">
        <v>19</v>
      </c>
      <c r="N86" t="s">
        <v>5013</v>
      </c>
      <c r="O86">
        <v>0</v>
      </c>
      <c r="P86">
        <v>0</v>
      </c>
    </row>
    <row r="87" spans="1:16" hidden="1" x14ac:dyDescent="0.25">
      <c r="A87" t="s">
        <v>4913</v>
      </c>
      <c r="B87" t="s">
        <v>4914</v>
      </c>
      <c r="C87">
        <v>6358</v>
      </c>
      <c r="D87" t="s">
        <v>2301</v>
      </c>
      <c r="E87" t="s">
        <v>8</v>
      </c>
      <c r="F87">
        <v>13</v>
      </c>
      <c r="G87" t="s">
        <v>4998</v>
      </c>
      <c r="H87" t="s">
        <v>4996</v>
      </c>
      <c r="I87">
        <v>5</v>
      </c>
      <c r="J87" t="s">
        <v>5012</v>
      </c>
      <c r="K87" t="s">
        <v>4993</v>
      </c>
      <c r="L87">
        <v>1</v>
      </c>
      <c r="M87">
        <v>49</v>
      </c>
      <c r="N87" t="s">
        <v>5015</v>
      </c>
      <c r="O87">
        <v>1</v>
      </c>
      <c r="P8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D65B-67BD-42F6-A400-7C2840F5F467}">
  <dimension ref="A1:P387"/>
  <sheetViews>
    <sheetView workbookViewId="0">
      <selection activeCell="C57" sqref="C57"/>
    </sheetView>
  </sheetViews>
  <sheetFormatPr defaultRowHeight="15" x14ac:dyDescent="0.25"/>
  <cols>
    <col min="1" max="1" width="12.28515625" bestFit="1" customWidth="1"/>
    <col min="2" max="2" width="98" bestFit="1" customWidth="1"/>
    <col min="3" max="3" width="10.5703125" bestFit="1" customWidth="1"/>
    <col min="4" max="4" width="30.42578125" bestFit="1" customWidth="1"/>
    <col min="5" max="5" width="22.140625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5018</v>
      </c>
    </row>
    <row r="2" spans="1:16" x14ac:dyDescent="0.25">
      <c r="A2" s="15" t="s">
        <v>5024</v>
      </c>
      <c r="B2" s="15"/>
      <c r="C2" s="15"/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3545</v>
      </c>
      <c r="B4" t="s">
        <v>3546</v>
      </c>
      <c r="C4">
        <v>6295</v>
      </c>
      <c r="D4" t="s">
        <v>184</v>
      </c>
      <c r="E4" t="s">
        <v>13</v>
      </c>
      <c r="F4">
        <v>4981</v>
      </c>
      <c r="G4" t="s">
        <v>5000</v>
      </c>
      <c r="H4" t="s">
        <v>4994</v>
      </c>
      <c r="I4">
        <v>4.2161999999999997</v>
      </c>
      <c r="J4" t="s">
        <v>5012</v>
      </c>
      <c r="K4" t="s">
        <v>4993</v>
      </c>
      <c r="L4">
        <v>37</v>
      </c>
      <c r="M4">
        <v>12</v>
      </c>
      <c r="N4" t="s">
        <v>5013</v>
      </c>
      <c r="O4">
        <v>0</v>
      </c>
      <c r="P4">
        <v>0</v>
      </c>
    </row>
    <row r="5" spans="1:16" x14ac:dyDescent="0.25">
      <c r="A5" t="s">
        <v>3547</v>
      </c>
      <c r="B5" t="s">
        <v>3548</v>
      </c>
      <c r="C5">
        <v>6089</v>
      </c>
      <c r="D5" t="s">
        <v>605</v>
      </c>
      <c r="E5" t="s">
        <v>21</v>
      </c>
      <c r="F5">
        <v>4961</v>
      </c>
      <c r="G5" t="s">
        <v>5000</v>
      </c>
      <c r="H5" t="s">
        <v>4994</v>
      </c>
      <c r="I5">
        <v>4.3201999999999998</v>
      </c>
      <c r="J5" t="s">
        <v>5012</v>
      </c>
      <c r="K5" t="s">
        <v>4993</v>
      </c>
      <c r="L5">
        <v>2783</v>
      </c>
      <c r="M5">
        <v>98</v>
      </c>
      <c r="N5" t="s">
        <v>5014</v>
      </c>
      <c r="O5">
        <v>0</v>
      </c>
      <c r="P5">
        <v>0</v>
      </c>
    </row>
    <row r="6" spans="1:16" x14ac:dyDescent="0.25">
      <c r="A6" t="s">
        <v>3549</v>
      </c>
      <c r="B6" t="s">
        <v>3550</v>
      </c>
      <c r="C6">
        <v>6272</v>
      </c>
      <c r="D6" t="s">
        <v>1711</v>
      </c>
      <c r="E6" t="s">
        <v>347</v>
      </c>
      <c r="F6">
        <v>4954</v>
      </c>
      <c r="G6" t="s">
        <v>5000</v>
      </c>
      <c r="H6" t="s">
        <v>4994</v>
      </c>
      <c r="I6">
        <v>4.2727000000000004</v>
      </c>
      <c r="J6" t="s">
        <v>5012</v>
      </c>
      <c r="K6" t="s">
        <v>4993</v>
      </c>
      <c r="L6">
        <v>11</v>
      </c>
      <c r="M6">
        <v>59</v>
      </c>
      <c r="N6" t="s">
        <v>5014</v>
      </c>
      <c r="O6">
        <v>0</v>
      </c>
      <c r="P6">
        <v>0</v>
      </c>
    </row>
    <row r="7" spans="1:16" x14ac:dyDescent="0.25">
      <c r="A7" t="s">
        <v>3551</v>
      </c>
      <c r="B7" t="s">
        <v>3552</v>
      </c>
      <c r="C7">
        <v>6219</v>
      </c>
      <c r="D7" t="s">
        <v>277</v>
      </c>
      <c r="E7" t="s">
        <v>69</v>
      </c>
      <c r="F7">
        <v>4950</v>
      </c>
      <c r="G7" t="s">
        <v>5000</v>
      </c>
      <c r="H7" t="s">
        <v>4994</v>
      </c>
      <c r="I7">
        <v>4.6879</v>
      </c>
      <c r="J7" t="s">
        <v>5012</v>
      </c>
      <c r="K7" t="s">
        <v>4993</v>
      </c>
      <c r="L7">
        <v>298</v>
      </c>
      <c r="M7">
        <v>69</v>
      </c>
      <c r="N7" t="s">
        <v>5014</v>
      </c>
      <c r="O7">
        <v>0</v>
      </c>
      <c r="P7">
        <v>0</v>
      </c>
    </row>
    <row r="8" spans="1:16" x14ac:dyDescent="0.25">
      <c r="A8" t="s">
        <v>3555</v>
      </c>
      <c r="B8" t="s">
        <v>3556</v>
      </c>
      <c r="C8">
        <v>6358</v>
      </c>
      <c r="D8" t="s">
        <v>2301</v>
      </c>
      <c r="E8" t="s">
        <v>21</v>
      </c>
      <c r="F8">
        <v>4940</v>
      </c>
      <c r="G8" t="s">
        <v>5000</v>
      </c>
      <c r="H8" t="s">
        <v>4994</v>
      </c>
      <c r="I8">
        <v>4.7812999999999999</v>
      </c>
      <c r="J8" t="s">
        <v>5012</v>
      </c>
      <c r="K8" t="s">
        <v>4993</v>
      </c>
      <c r="L8">
        <v>64</v>
      </c>
      <c r="M8">
        <v>119</v>
      </c>
      <c r="N8" t="s">
        <v>5014</v>
      </c>
      <c r="O8">
        <v>0</v>
      </c>
      <c r="P8">
        <v>0</v>
      </c>
    </row>
    <row r="9" spans="1:16" x14ac:dyDescent="0.25">
      <c r="A9" t="s">
        <v>3563</v>
      </c>
      <c r="B9" t="s">
        <v>3564</v>
      </c>
      <c r="C9">
        <v>6302</v>
      </c>
      <c r="D9" t="s">
        <v>2721</v>
      </c>
      <c r="E9" t="s">
        <v>8</v>
      </c>
      <c r="F9">
        <v>4921</v>
      </c>
      <c r="G9" t="s">
        <v>5000</v>
      </c>
      <c r="H9" t="s">
        <v>4994</v>
      </c>
      <c r="I9">
        <v>4.7020999999999997</v>
      </c>
      <c r="J9" t="s">
        <v>5012</v>
      </c>
      <c r="K9" t="s">
        <v>4993</v>
      </c>
      <c r="L9">
        <v>47</v>
      </c>
      <c r="M9">
        <v>310</v>
      </c>
      <c r="N9" t="s">
        <v>5014</v>
      </c>
      <c r="O9">
        <v>0</v>
      </c>
      <c r="P9">
        <v>0</v>
      </c>
    </row>
    <row r="10" spans="1:16" x14ac:dyDescent="0.25">
      <c r="A10" t="s">
        <v>3565</v>
      </c>
      <c r="B10" t="s">
        <v>3566</v>
      </c>
      <c r="C10">
        <v>6475</v>
      </c>
      <c r="D10" t="s">
        <v>3011</v>
      </c>
      <c r="E10" t="s">
        <v>69</v>
      </c>
      <c r="F10">
        <v>4918</v>
      </c>
      <c r="G10" t="s">
        <v>5000</v>
      </c>
      <c r="H10" t="s">
        <v>4994</v>
      </c>
      <c r="I10">
        <v>4.6298000000000004</v>
      </c>
      <c r="J10" t="s">
        <v>5012</v>
      </c>
      <c r="K10" t="s">
        <v>4993</v>
      </c>
      <c r="L10">
        <v>181</v>
      </c>
      <c r="M10">
        <v>75</v>
      </c>
      <c r="N10" t="s">
        <v>5014</v>
      </c>
      <c r="O10">
        <v>0</v>
      </c>
      <c r="P10">
        <v>0</v>
      </c>
    </row>
    <row r="11" spans="1:16" x14ac:dyDescent="0.25">
      <c r="A11" t="s">
        <v>3567</v>
      </c>
      <c r="B11" t="s">
        <v>3568</v>
      </c>
      <c r="C11">
        <v>6084</v>
      </c>
      <c r="D11" t="s">
        <v>269</v>
      </c>
      <c r="E11" t="s">
        <v>21</v>
      </c>
      <c r="F11">
        <v>4899</v>
      </c>
      <c r="G11" t="s">
        <v>5000</v>
      </c>
      <c r="H11" t="s">
        <v>4994</v>
      </c>
      <c r="I11">
        <v>4.1345999999999998</v>
      </c>
      <c r="J11" t="s">
        <v>5012</v>
      </c>
      <c r="K11" t="s">
        <v>4993</v>
      </c>
      <c r="L11">
        <v>104</v>
      </c>
      <c r="M11">
        <v>225</v>
      </c>
      <c r="N11" t="s">
        <v>5014</v>
      </c>
      <c r="O11">
        <v>0</v>
      </c>
      <c r="P11">
        <v>0</v>
      </c>
    </row>
    <row r="12" spans="1:16" x14ac:dyDescent="0.25">
      <c r="A12" t="s">
        <v>3571</v>
      </c>
      <c r="B12" t="s">
        <v>3572</v>
      </c>
      <c r="C12">
        <v>7020</v>
      </c>
      <c r="D12" t="s">
        <v>657</v>
      </c>
      <c r="E12" t="s">
        <v>69</v>
      </c>
      <c r="F12">
        <v>4881</v>
      </c>
      <c r="G12" t="s">
        <v>5000</v>
      </c>
      <c r="H12" t="s">
        <v>4994</v>
      </c>
      <c r="I12">
        <v>4.75</v>
      </c>
      <c r="J12" t="s">
        <v>5012</v>
      </c>
      <c r="K12" t="s">
        <v>4993</v>
      </c>
      <c r="L12">
        <v>4</v>
      </c>
      <c r="M12">
        <v>68</v>
      </c>
      <c r="N12" t="s">
        <v>5014</v>
      </c>
      <c r="O12">
        <v>0</v>
      </c>
      <c r="P12">
        <v>0</v>
      </c>
    </row>
    <row r="13" spans="1:16" x14ac:dyDescent="0.25">
      <c r="A13" t="s">
        <v>3569</v>
      </c>
      <c r="B13" t="s">
        <v>3570</v>
      </c>
      <c r="C13">
        <v>6352</v>
      </c>
      <c r="D13" t="s">
        <v>251</v>
      </c>
      <c r="E13" t="s">
        <v>21</v>
      </c>
      <c r="F13">
        <v>4881</v>
      </c>
      <c r="G13" t="s">
        <v>5000</v>
      </c>
      <c r="H13" t="s">
        <v>4994</v>
      </c>
      <c r="I13">
        <v>4.1988000000000003</v>
      </c>
      <c r="J13" t="s">
        <v>5012</v>
      </c>
      <c r="K13" t="s">
        <v>4993</v>
      </c>
      <c r="L13">
        <v>166</v>
      </c>
      <c r="M13">
        <v>26</v>
      </c>
      <c r="N13" t="s">
        <v>5015</v>
      </c>
      <c r="O13">
        <v>1</v>
      </c>
      <c r="P13">
        <v>0</v>
      </c>
    </row>
    <row r="14" spans="1:16" x14ac:dyDescent="0.25">
      <c r="A14" t="s">
        <v>3575</v>
      </c>
      <c r="B14" t="s">
        <v>3576</v>
      </c>
      <c r="C14">
        <v>6207</v>
      </c>
      <c r="D14" t="s">
        <v>914</v>
      </c>
      <c r="E14" t="s">
        <v>21</v>
      </c>
      <c r="F14">
        <v>4877</v>
      </c>
      <c r="G14" t="s">
        <v>5000</v>
      </c>
      <c r="H14" t="s">
        <v>4994</v>
      </c>
      <c r="I14">
        <v>4.5026999999999999</v>
      </c>
      <c r="J14" t="s">
        <v>5012</v>
      </c>
      <c r="K14" t="s">
        <v>4993</v>
      </c>
      <c r="L14">
        <v>183</v>
      </c>
      <c r="M14">
        <v>44</v>
      </c>
      <c r="N14" t="s">
        <v>5015</v>
      </c>
      <c r="O14">
        <v>0</v>
      </c>
      <c r="P14">
        <v>0</v>
      </c>
    </row>
    <row r="15" spans="1:16" x14ac:dyDescent="0.25">
      <c r="A15" t="s">
        <v>3577</v>
      </c>
      <c r="B15" t="s">
        <v>3578</v>
      </c>
      <c r="C15">
        <v>8001</v>
      </c>
      <c r="D15" t="s">
        <v>27</v>
      </c>
      <c r="E15" t="s">
        <v>220</v>
      </c>
      <c r="F15">
        <v>4870</v>
      </c>
      <c r="G15" t="s">
        <v>5000</v>
      </c>
      <c r="H15" t="s">
        <v>4994</v>
      </c>
      <c r="I15">
        <v>4.7778</v>
      </c>
      <c r="J15" t="s">
        <v>5012</v>
      </c>
      <c r="K15" t="s">
        <v>4993</v>
      </c>
      <c r="L15">
        <v>9</v>
      </c>
      <c r="M15">
        <v>46</v>
      </c>
      <c r="N15" t="s">
        <v>5015</v>
      </c>
      <c r="O15">
        <v>0</v>
      </c>
      <c r="P15">
        <v>0</v>
      </c>
    </row>
    <row r="16" spans="1:16" x14ac:dyDescent="0.25">
      <c r="A16" t="s">
        <v>3579</v>
      </c>
      <c r="B16" t="s">
        <v>3580</v>
      </c>
      <c r="C16">
        <v>5648</v>
      </c>
      <c r="D16" t="s">
        <v>408</v>
      </c>
      <c r="E16" t="s">
        <v>144</v>
      </c>
      <c r="F16">
        <v>4857</v>
      </c>
      <c r="G16" t="s">
        <v>5000</v>
      </c>
      <c r="H16" t="s">
        <v>4994</v>
      </c>
      <c r="I16">
        <v>4.6666999999999996</v>
      </c>
      <c r="J16" t="s">
        <v>5012</v>
      </c>
      <c r="K16" t="s">
        <v>4993</v>
      </c>
      <c r="L16">
        <v>3</v>
      </c>
      <c r="M16">
        <v>14</v>
      </c>
      <c r="N16" t="s">
        <v>5013</v>
      </c>
      <c r="O16">
        <v>0</v>
      </c>
      <c r="P16">
        <v>0</v>
      </c>
    </row>
    <row r="17" spans="1:16" x14ac:dyDescent="0.25">
      <c r="A17" t="s">
        <v>3581</v>
      </c>
      <c r="B17" t="s">
        <v>3582</v>
      </c>
      <c r="C17">
        <v>6219</v>
      </c>
      <c r="D17" t="s">
        <v>277</v>
      </c>
      <c r="E17" t="s">
        <v>8</v>
      </c>
      <c r="F17">
        <v>4851</v>
      </c>
      <c r="G17" t="s">
        <v>5000</v>
      </c>
      <c r="H17" t="s">
        <v>4994</v>
      </c>
      <c r="I17">
        <v>4.7824999999999998</v>
      </c>
      <c r="J17" t="s">
        <v>5012</v>
      </c>
      <c r="K17" t="s">
        <v>4993</v>
      </c>
      <c r="L17">
        <v>354</v>
      </c>
      <c r="M17">
        <v>145</v>
      </c>
      <c r="N17" t="s">
        <v>5014</v>
      </c>
      <c r="O17">
        <v>0</v>
      </c>
      <c r="P17">
        <v>0</v>
      </c>
    </row>
    <row r="18" spans="1:16" x14ac:dyDescent="0.25">
      <c r="A18" t="s">
        <v>3583</v>
      </c>
      <c r="B18" t="s">
        <v>3584</v>
      </c>
      <c r="C18">
        <v>6018</v>
      </c>
      <c r="D18" t="s">
        <v>517</v>
      </c>
      <c r="E18" t="s">
        <v>21</v>
      </c>
      <c r="F18">
        <v>4845</v>
      </c>
      <c r="G18" t="s">
        <v>5000</v>
      </c>
      <c r="H18" t="s">
        <v>4994</v>
      </c>
      <c r="I18">
        <v>4.6981999999999999</v>
      </c>
      <c r="J18" t="s">
        <v>5012</v>
      </c>
      <c r="K18" t="s">
        <v>4993</v>
      </c>
      <c r="L18">
        <v>169</v>
      </c>
      <c r="M18">
        <v>65</v>
      </c>
      <c r="N18" t="s">
        <v>5014</v>
      </c>
      <c r="O18">
        <v>0</v>
      </c>
      <c r="P18">
        <v>0</v>
      </c>
    </row>
    <row r="19" spans="1:16" x14ac:dyDescent="0.25">
      <c r="A19" t="s">
        <v>3585</v>
      </c>
      <c r="B19" t="s">
        <v>3586</v>
      </c>
      <c r="C19">
        <v>1741</v>
      </c>
      <c r="D19" t="s">
        <v>388</v>
      </c>
      <c r="E19" t="s">
        <v>69</v>
      </c>
      <c r="F19">
        <v>4838</v>
      </c>
      <c r="G19" t="s">
        <v>5000</v>
      </c>
      <c r="H19" t="s">
        <v>4994</v>
      </c>
      <c r="I19">
        <v>4.7222</v>
      </c>
      <c r="J19" t="s">
        <v>5012</v>
      </c>
      <c r="K19" t="s">
        <v>4993</v>
      </c>
      <c r="L19">
        <v>18</v>
      </c>
      <c r="M19">
        <v>68</v>
      </c>
      <c r="N19" t="s">
        <v>5014</v>
      </c>
      <c r="O19">
        <v>0</v>
      </c>
      <c r="P19">
        <v>0</v>
      </c>
    </row>
    <row r="20" spans="1:16" x14ac:dyDescent="0.25">
      <c r="A20" t="s">
        <v>3587</v>
      </c>
      <c r="B20" t="s">
        <v>3588</v>
      </c>
      <c r="C20">
        <v>5879</v>
      </c>
      <c r="D20" t="s">
        <v>3589</v>
      </c>
      <c r="E20" t="s">
        <v>149</v>
      </c>
      <c r="F20">
        <v>4836</v>
      </c>
      <c r="G20" t="s">
        <v>5000</v>
      </c>
      <c r="H20" t="s">
        <v>4994</v>
      </c>
      <c r="I20">
        <v>4.5303000000000004</v>
      </c>
      <c r="J20" t="s">
        <v>5012</v>
      </c>
      <c r="K20" t="s">
        <v>4993</v>
      </c>
      <c r="L20">
        <v>66</v>
      </c>
      <c r="M20">
        <v>82</v>
      </c>
      <c r="N20" t="s">
        <v>5014</v>
      </c>
      <c r="O20">
        <v>0</v>
      </c>
      <c r="P20">
        <v>0</v>
      </c>
    </row>
    <row r="21" spans="1:16" x14ac:dyDescent="0.25">
      <c r="A21" t="s">
        <v>3592</v>
      </c>
      <c r="B21" t="s">
        <v>3593</v>
      </c>
      <c r="C21">
        <v>1073</v>
      </c>
      <c r="D21" t="s">
        <v>767</v>
      </c>
      <c r="E21" t="s">
        <v>21</v>
      </c>
      <c r="F21">
        <v>4799</v>
      </c>
      <c r="G21" t="s">
        <v>5000</v>
      </c>
      <c r="H21" t="s">
        <v>4994</v>
      </c>
      <c r="I21">
        <v>4.4545000000000003</v>
      </c>
      <c r="J21" t="s">
        <v>5012</v>
      </c>
      <c r="K21" t="s">
        <v>4993</v>
      </c>
      <c r="L21">
        <v>44</v>
      </c>
      <c r="M21">
        <v>175</v>
      </c>
      <c r="N21" t="s">
        <v>5014</v>
      </c>
      <c r="O21">
        <v>0</v>
      </c>
      <c r="P21">
        <v>0</v>
      </c>
    </row>
    <row r="22" spans="1:16" x14ac:dyDescent="0.25">
      <c r="A22" t="s">
        <v>3594</v>
      </c>
      <c r="B22" t="s">
        <v>3595</v>
      </c>
      <c r="C22">
        <v>3728</v>
      </c>
      <c r="D22" t="s">
        <v>458</v>
      </c>
      <c r="E22" t="s">
        <v>69</v>
      </c>
      <c r="F22">
        <v>4791</v>
      </c>
      <c r="G22" t="s">
        <v>5000</v>
      </c>
      <c r="H22" t="s">
        <v>4994</v>
      </c>
      <c r="I22">
        <v>4.25</v>
      </c>
      <c r="J22" t="s">
        <v>5012</v>
      </c>
      <c r="K22" t="s">
        <v>4993</v>
      </c>
      <c r="L22">
        <v>12</v>
      </c>
      <c r="M22">
        <v>55</v>
      </c>
      <c r="N22" t="s">
        <v>5014</v>
      </c>
      <c r="O22">
        <v>0</v>
      </c>
      <c r="P22">
        <v>0</v>
      </c>
    </row>
    <row r="23" spans="1:16" x14ac:dyDescent="0.25">
      <c r="A23" t="s">
        <v>3596</v>
      </c>
      <c r="B23" t="s">
        <v>3597</v>
      </c>
      <c r="C23">
        <v>4372</v>
      </c>
      <c r="D23" t="s">
        <v>1513</v>
      </c>
      <c r="E23" t="s">
        <v>13</v>
      </c>
      <c r="F23">
        <v>4790</v>
      </c>
      <c r="G23" t="s">
        <v>5000</v>
      </c>
      <c r="H23" t="s">
        <v>4994</v>
      </c>
      <c r="I23">
        <v>4.2211999999999996</v>
      </c>
      <c r="J23" t="s">
        <v>5012</v>
      </c>
      <c r="K23" t="s">
        <v>4993</v>
      </c>
      <c r="L23">
        <v>104</v>
      </c>
      <c r="M23">
        <v>36</v>
      </c>
      <c r="N23" t="s">
        <v>5015</v>
      </c>
      <c r="O23">
        <v>0</v>
      </c>
      <c r="P23">
        <v>0</v>
      </c>
    </row>
    <row r="24" spans="1:16" x14ac:dyDescent="0.25">
      <c r="A24" t="s">
        <v>3600</v>
      </c>
      <c r="B24" t="s">
        <v>3601</v>
      </c>
      <c r="C24">
        <v>1254</v>
      </c>
      <c r="D24" t="s">
        <v>136</v>
      </c>
      <c r="E24" t="s">
        <v>13</v>
      </c>
      <c r="F24">
        <v>4781</v>
      </c>
      <c r="G24" t="s">
        <v>5000</v>
      </c>
      <c r="H24" t="s">
        <v>4994</v>
      </c>
      <c r="I24">
        <v>4.5651999999999999</v>
      </c>
      <c r="J24" t="s">
        <v>5012</v>
      </c>
      <c r="K24" t="s">
        <v>4993</v>
      </c>
      <c r="L24">
        <v>23</v>
      </c>
      <c r="M24">
        <v>26.5</v>
      </c>
      <c r="N24" t="s">
        <v>5015</v>
      </c>
      <c r="O24">
        <v>0</v>
      </c>
      <c r="P24">
        <v>0</v>
      </c>
    </row>
    <row r="25" spans="1:16" x14ac:dyDescent="0.25">
      <c r="A25" t="s">
        <v>3602</v>
      </c>
      <c r="B25" t="s">
        <v>3603</v>
      </c>
      <c r="C25">
        <v>6367</v>
      </c>
      <c r="D25" t="s">
        <v>2766</v>
      </c>
      <c r="E25" t="s">
        <v>8</v>
      </c>
      <c r="F25">
        <v>4769</v>
      </c>
      <c r="G25" t="s">
        <v>5000</v>
      </c>
      <c r="H25" t="s">
        <v>4994</v>
      </c>
      <c r="I25">
        <v>4.6687000000000003</v>
      </c>
      <c r="J25" t="s">
        <v>5012</v>
      </c>
      <c r="K25" t="s">
        <v>4993</v>
      </c>
      <c r="L25">
        <v>166</v>
      </c>
      <c r="M25">
        <v>74</v>
      </c>
      <c r="N25" t="s">
        <v>5014</v>
      </c>
      <c r="O25">
        <v>0</v>
      </c>
      <c r="P25">
        <v>0</v>
      </c>
    </row>
    <row r="26" spans="1:16" x14ac:dyDescent="0.25">
      <c r="A26" t="s">
        <v>3604</v>
      </c>
      <c r="B26" t="s">
        <v>3605</v>
      </c>
      <c r="C26">
        <v>6219</v>
      </c>
      <c r="D26" t="s">
        <v>277</v>
      </c>
      <c r="E26" t="s">
        <v>21</v>
      </c>
      <c r="F26">
        <v>4762</v>
      </c>
      <c r="G26" t="s">
        <v>5000</v>
      </c>
      <c r="H26" t="s">
        <v>4994</v>
      </c>
      <c r="I26">
        <v>4.3981000000000003</v>
      </c>
      <c r="J26" t="s">
        <v>5012</v>
      </c>
      <c r="K26" t="s">
        <v>4993</v>
      </c>
      <c r="L26">
        <v>314</v>
      </c>
      <c r="M26">
        <v>86</v>
      </c>
      <c r="N26" t="s">
        <v>5014</v>
      </c>
      <c r="O26">
        <v>0</v>
      </c>
      <c r="P26">
        <v>0</v>
      </c>
    </row>
    <row r="27" spans="1:16" x14ac:dyDescent="0.25">
      <c r="A27" t="s">
        <v>3608</v>
      </c>
      <c r="B27" t="s">
        <v>3609</v>
      </c>
      <c r="C27">
        <v>5626</v>
      </c>
      <c r="D27" t="s">
        <v>1069</v>
      </c>
      <c r="E27" t="s">
        <v>106</v>
      </c>
      <c r="F27">
        <v>4749</v>
      </c>
      <c r="G27" t="s">
        <v>5000</v>
      </c>
      <c r="H27" t="s">
        <v>4994</v>
      </c>
      <c r="I27">
        <v>4.3238000000000003</v>
      </c>
      <c r="J27" t="s">
        <v>5012</v>
      </c>
      <c r="K27" t="s">
        <v>4993</v>
      </c>
      <c r="L27">
        <v>386</v>
      </c>
      <c r="M27">
        <v>29</v>
      </c>
      <c r="N27" t="s">
        <v>5015</v>
      </c>
      <c r="O27">
        <v>0</v>
      </c>
      <c r="P27">
        <v>0</v>
      </c>
    </row>
    <row r="28" spans="1:16" x14ac:dyDescent="0.25">
      <c r="A28" t="s">
        <v>3614</v>
      </c>
      <c r="B28" t="s">
        <v>3615</v>
      </c>
      <c r="C28">
        <v>6302</v>
      </c>
      <c r="D28" t="s">
        <v>2721</v>
      </c>
      <c r="E28" t="s">
        <v>21</v>
      </c>
      <c r="F28">
        <v>4738</v>
      </c>
      <c r="G28" t="s">
        <v>5000</v>
      </c>
      <c r="H28" t="s">
        <v>4994</v>
      </c>
      <c r="I28">
        <v>4.2407000000000004</v>
      </c>
      <c r="J28" t="s">
        <v>5012</v>
      </c>
      <c r="K28" t="s">
        <v>4993</v>
      </c>
      <c r="L28">
        <v>810</v>
      </c>
      <c r="M28">
        <v>225</v>
      </c>
      <c r="N28" t="s">
        <v>5014</v>
      </c>
      <c r="O28">
        <v>0</v>
      </c>
      <c r="P28">
        <v>0</v>
      </c>
    </row>
    <row r="29" spans="1:16" x14ac:dyDescent="0.25">
      <c r="A29" t="s">
        <v>3618</v>
      </c>
      <c r="B29" t="s">
        <v>3619</v>
      </c>
      <c r="C29">
        <v>6488</v>
      </c>
      <c r="D29" t="s">
        <v>2933</v>
      </c>
      <c r="E29" t="s">
        <v>21</v>
      </c>
      <c r="F29">
        <v>4721</v>
      </c>
      <c r="G29" t="s">
        <v>5000</v>
      </c>
      <c r="H29" t="s">
        <v>4994</v>
      </c>
      <c r="I29">
        <v>4.5892999999999997</v>
      </c>
      <c r="J29" t="s">
        <v>5012</v>
      </c>
      <c r="K29" t="s">
        <v>4993</v>
      </c>
      <c r="L29">
        <v>112</v>
      </c>
      <c r="M29">
        <v>44</v>
      </c>
      <c r="N29" t="s">
        <v>5015</v>
      </c>
      <c r="O29">
        <v>0</v>
      </c>
      <c r="P29">
        <v>0</v>
      </c>
    </row>
    <row r="30" spans="1:16" x14ac:dyDescent="0.25">
      <c r="A30" t="s">
        <v>3622</v>
      </c>
      <c r="B30" t="s">
        <v>3623</v>
      </c>
      <c r="C30">
        <v>6329</v>
      </c>
      <c r="D30" t="s">
        <v>3435</v>
      </c>
      <c r="E30" t="s">
        <v>347</v>
      </c>
      <c r="F30">
        <v>4697</v>
      </c>
      <c r="G30" t="s">
        <v>5000</v>
      </c>
      <c r="H30" t="s">
        <v>4994</v>
      </c>
      <c r="I30">
        <v>4.6757</v>
      </c>
      <c r="J30" t="s">
        <v>5012</v>
      </c>
      <c r="K30" t="s">
        <v>4993</v>
      </c>
      <c r="L30">
        <v>37</v>
      </c>
      <c r="M30">
        <v>95</v>
      </c>
      <c r="N30" t="s">
        <v>5014</v>
      </c>
      <c r="O30">
        <v>0</v>
      </c>
      <c r="P30">
        <v>1</v>
      </c>
    </row>
    <row r="31" spans="1:16" x14ac:dyDescent="0.25">
      <c r="A31" t="s">
        <v>3624</v>
      </c>
      <c r="B31" t="s">
        <v>3625</v>
      </c>
      <c r="C31">
        <v>6018</v>
      </c>
      <c r="D31" t="s">
        <v>517</v>
      </c>
      <c r="E31" t="s">
        <v>13</v>
      </c>
      <c r="F31">
        <v>4693</v>
      </c>
      <c r="G31" t="s">
        <v>5000</v>
      </c>
      <c r="H31" t="s">
        <v>4994</v>
      </c>
      <c r="I31">
        <v>4.7938999999999998</v>
      </c>
      <c r="J31" t="s">
        <v>5012</v>
      </c>
      <c r="K31" t="s">
        <v>4993</v>
      </c>
      <c r="L31">
        <v>165</v>
      </c>
      <c r="M31">
        <v>40</v>
      </c>
      <c r="N31" t="s">
        <v>5015</v>
      </c>
      <c r="O31">
        <v>0</v>
      </c>
      <c r="P31">
        <v>0</v>
      </c>
    </row>
    <row r="32" spans="1:16" x14ac:dyDescent="0.25">
      <c r="A32" t="s">
        <v>3630</v>
      </c>
      <c r="B32" t="s">
        <v>3631</v>
      </c>
      <c r="C32">
        <v>6225</v>
      </c>
      <c r="D32" t="s">
        <v>640</v>
      </c>
      <c r="E32" t="s">
        <v>106</v>
      </c>
      <c r="F32">
        <v>4679</v>
      </c>
      <c r="G32" t="s">
        <v>5000</v>
      </c>
      <c r="H32" t="s">
        <v>4994</v>
      </c>
      <c r="I32">
        <v>4.4443999999999999</v>
      </c>
      <c r="J32" t="s">
        <v>5012</v>
      </c>
      <c r="K32" t="s">
        <v>4993</v>
      </c>
      <c r="L32">
        <v>18</v>
      </c>
      <c r="M32">
        <v>49</v>
      </c>
      <c r="N32" t="s">
        <v>5015</v>
      </c>
      <c r="O32">
        <v>0</v>
      </c>
      <c r="P32">
        <v>0</v>
      </c>
    </row>
    <row r="33" spans="1:16" x14ac:dyDescent="0.25">
      <c r="A33" t="s">
        <v>3634</v>
      </c>
      <c r="B33" t="s">
        <v>3635</v>
      </c>
      <c r="C33">
        <v>5337</v>
      </c>
      <c r="D33" t="s">
        <v>209</v>
      </c>
      <c r="E33" t="s">
        <v>13</v>
      </c>
      <c r="F33">
        <v>4643</v>
      </c>
      <c r="G33" t="s">
        <v>5000</v>
      </c>
      <c r="H33" t="s">
        <v>4994</v>
      </c>
      <c r="I33">
        <v>4.2381000000000002</v>
      </c>
      <c r="J33" t="s">
        <v>5012</v>
      </c>
      <c r="K33" t="s">
        <v>4993</v>
      </c>
      <c r="L33">
        <v>21</v>
      </c>
      <c r="M33">
        <v>36</v>
      </c>
      <c r="N33" t="s">
        <v>5015</v>
      </c>
      <c r="O33">
        <v>0</v>
      </c>
      <c r="P33">
        <v>0</v>
      </c>
    </row>
    <row r="34" spans="1:16" x14ac:dyDescent="0.25">
      <c r="A34" t="s">
        <v>3636</v>
      </c>
      <c r="B34" t="s">
        <v>3637</v>
      </c>
      <c r="C34">
        <v>6089</v>
      </c>
      <c r="D34" t="s">
        <v>605</v>
      </c>
      <c r="E34" t="s">
        <v>21</v>
      </c>
      <c r="F34">
        <v>4621</v>
      </c>
      <c r="G34" t="s">
        <v>5000</v>
      </c>
      <c r="H34" t="s">
        <v>4994</v>
      </c>
      <c r="I34">
        <v>4.1852</v>
      </c>
      <c r="J34" t="s">
        <v>5012</v>
      </c>
      <c r="K34" t="s">
        <v>4993</v>
      </c>
      <c r="L34">
        <v>27</v>
      </c>
      <c r="M34">
        <v>110</v>
      </c>
      <c r="N34" t="s">
        <v>5014</v>
      </c>
      <c r="O34">
        <v>0</v>
      </c>
      <c r="P34">
        <v>0</v>
      </c>
    </row>
    <row r="35" spans="1:16" x14ac:dyDescent="0.25">
      <c r="A35" t="s">
        <v>3638</v>
      </c>
      <c r="B35" t="s">
        <v>3639</v>
      </c>
      <c r="C35">
        <v>6089</v>
      </c>
      <c r="D35" t="s">
        <v>605</v>
      </c>
      <c r="E35" t="s">
        <v>8</v>
      </c>
      <c r="F35">
        <v>4615</v>
      </c>
      <c r="G35" t="s">
        <v>5000</v>
      </c>
      <c r="H35" t="s">
        <v>4994</v>
      </c>
      <c r="I35">
        <v>4</v>
      </c>
      <c r="J35" t="s">
        <v>5012</v>
      </c>
      <c r="K35" t="s">
        <v>4993</v>
      </c>
      <c r="L35">
        <v>13</v>
      </c>
      <c r="M35">
        <v>86</v>
      </c>
      <c r="N35" t="s">
        <v>5014</v>
      </c>
      <c r="O35">
        <v>0</v>
      </c>
      <c r="P35">
        <v>0</v>
      </c>
    </row>
    <row r="36" spans="1:16" x14ac:dyDescent="0.25">
      <c r="A36" t="s">
        <v>3640</v>
      </c>
      <c r="B36" t="s">
        <v>3641</v>
      </c>
      <c r="C36">
        <v>5337</v>
      </c>
      <c r="D36" t="s">
        <v>209</v>
      </c>
      <c r="E36" t="s">
        <v>21</v>
      </c>
      <c r="F36">
        <v>4608</v>
      </c>
      <c r="G36" t="s">
        <v>5000</v>
      </c>
      <c r="H36" t="s">
        <v>4994</v>
      </c>
      <c r="I36">
        <v>4.9375</v>
      </c>
      <c r="J36" t="s">
        <v>5012</v>
      </c>
      <c r="K36" t="s">
        <v>4993</v>
      </c>
      <c r="L36">
        <v>16</v>
      </c>
      <c r="M36">
        <v>110</v>
      </c>
      <c r="N36" t="s">
        <v>5014</v>
      </c>
      <c r="O36">
        <v>0</v>
      </c>
      <c r="P36">
        <v>0</v>
      </c>
    </row>
    <row r="37" spans="1:16" x14ac:dyDescent="0.25">
      <c r="A37" t="s">
        <v>3642</v>
      </c>
      <c r="B37" t="s">
        <v>3643</v>
      </c>
      <c r="C37">
        <v>4372</v>
      </c>
      <c r="D37" t="s">
        <v>1513</v>
      </c>
      <c r="E37" t="s">
        <v>8</v>
      </c>
      <c r="F37">
        <v>4599</v>
      </c>
      <c r="G37" t="s">
        <v>5000</v>
      </c>
      <c r="H37" t="s">
        <v>4994</v>
      </c>
      <c r="I37">
        <v>4.6959</v>
      </c>
      <c r="J37" t="s">
        <v>5012</v>
      </c>
      <c r="K37" t="s">
        <v>4993</v>
      </c>
      <c r="L37">
        <v>148</v>
      </c>
      <c r="M37">
        <v>120</v>
      </c>
      <c r="N37" t="s">
        <v>5014</v>
      </c>
      <c r="O37">
        <v>0</v>
      </c>
      <c r="P37">
        <v>0</v>
      </c>
    </row>
    <row r="38" spans="1:16" x14ac:dyDescent="0.25">
      <c r="A38" t="s">
        <v>3644</v>
      </c>
      <c r="B38" t="s">
        <v>3645</v>
      </c>
      <c r="C38">
        <v>6309</v>
      </c>
      <c r="D38" t="s">
        <v>1735</v>
      </c>
      <c r="E38" t="s">
        <v>8</v>
      </c>
      <c r="F38">
        <v>4597</v>
      </c>
      <c r="G38" t="s">
        <v>5000</v>
      </c>
      <c r="H38" t="s">
        <v>4994</v>
      </c>
      <c r="I38">
        <v>4.2549999999999999</v>
      </c>
      <c r="J38" t="s">
        <v>5012</v>
      </c>
      <c r="K38" t="s">
        <v>4993</v>
      </c>
      <c r="L38">
        <v>1196</v>
      </c>
      <c r="M38">
        <v>125</v>
      </c>
      <c r="N38" t="s">
        <v>5014</v>
      </c>
      <c r="O38">
        <v>0</v>
      </c>
      <c r="P38">
        <v>0</v>
      </c>
    </row>
    <row r="39" spans="1:16" x14ac:dyDescent="0.25">
      <c r="A39" t="s">
        <v>3646</v>
      </c>
      <c r="B39" t="s">
        <v>3647</v>
      </c>
      <c r="C39">
        <v>6117</v>
      </c>
      <c r="D39" t="s">
        <v>229</v>
      </c>
      <c r="E39" t="s">
        <v>21</v>
      </c>
      <c r="F39">
        <v>4593</v>
      </c>
      <c r="G39" t="s">
        <v>5000</v>
      </c>
      <c r="H39" t="s">
        <v>4994</v>
      </c>
      <c r="I39">
        <v>4.2461000000000002</v>
      </c>
      <c r="J39" t="s">
        <v>5012</v>
      </c>
      <c r="K39" t="s">
        <v>4993</v>
      </c>
      <c r="L39">
        <v>959</v>
      </c>
      <c r="M39">
        <v>15</v>
      </c>
      <c r="N39" t="s">
        <v>5013</v>
      </c>
      <c r="O39">
        <v>0</v>
      </c>
      <c r="P39">
        <v>0</v>
      </c>
    </row>
    <row r="40" spans="1:16" x14ac:dyDescent="0.25">
      <c r="A40" t="s">
        <v>3648</v>
      </c>
      <c r="B40" t="s">
        <v>3649</v>
      </c>
      <c r="C40">
        <v>6201</v>
      </c>
      <c r="D40" t="s">
        <v>367</v>
      </c>
      <c r="E40" t="s">
        <v>21</v>
      </c>
      <c r="F40">
        <v>4580</v>
      </c>
      <c r="G40" t="s">
        <v>5000</v>
      </c>
      <c r="H40" t="s">
        <v>4994</v>
      </c>
      <c r="I40">
        <v>4.0704000000000002</v>
      </c>
      <c r="J40" t="s">
        <v>5012</v>
      </c>
      <c r="K40" t="s">
        <v>4993</v>
      </c>
      <c r="L40">
        <v>71</v>
      </c>
      <c r="M40">
        <v>320</v>
      </c>
      <c r="N40" t="s">
        <v>5014</v>
      </c>
      <c r="O40">
        <v>0</v>
      </c>
      <c r="P40">
        <v>0</v>
      </c>
    </row>
    <row r="41" spans="1:16" x14ac:dyDescent="0.25">
      <c r="A41" t="s">
        <v>3652</v>
      </c>
      <c r="B41" t="s">
        <v>3653</v>
      </c>
      <c r="C41">
        <v>6368</v>
      </c>
      <c r="D41" t="s">
        <v>2117</v>
      </c>
      <c r="E41" t="s">
        <v>220</v>
      </c>
      <c r="F41">
        <v>4569</v>
      </c>
      <c r="G41" t="s">
        <v>5000</v>
      </c>
      <c r="H41" t="s">
        <v>4994</v>
      </c>
      <c r="I41">
        <v>4.6666999999999996</v>
      </c>
      <c r="J41" t="s">
        <v>5012</v>
      </c>
      <c r="K41" t="s">
        <v>4993</v>
      </c>
      <c r="L41">
        <v>15</v>
      </c>
      <c r="M41">
        <v>39</v>
      </c>
      <c r="N41" t="s">
        <v>5015</v>
      </c>
      <c r="O41">
        <v>0</v>
      </c>
      <c r="P41">
        <v>0</v>
      </c>
    </row>
    <row r="42" spans="1:16" x14ac:dyDescent="0.25">
      <c r="A42" t="s">
        <v>3656</v>
      </c>
      <c r="B42" t="s">
        <v>3657</v>
      </c>
      <c r="C42">
        <v>5746</v>
      </c>
      <c r="D42" t="s">
        <v>3658</v>
      </c>
      <c r="E42" t="s">
        <v>21</v>
      </c>
      <c r="F42">
        <v>4568</v>
      </c>
      <c r="G42" t="s">
        <v>5000</v>
      </c>
      <c r="H42" t="s">
        <v>4994</v>
      </c>
      <c r="I42">
        <v>4.5556000000000001</v>
      </c>
      <c r="J42" t="s">
        <v>5012</v>
      </c>
      <c r="K42" t="s">
        <v>4993</v>
      </c>
      <c r="L42">
        <v>27</v>
      </c>
      <c r="M42">
        <v>45</v>
      </c>
      <c r="N42" t="s">
        <v>5015</v>
      </c>
      <c r="O42">
        <v>0</v>
      </c>
      <c r="P42">
        <v>0</v>
      </c>
    </row>
    <row r="43" spans="1:16" x14ac:dyDescent="0.25">
      <c r="A43" t="s">
        <v>3661</v>
      </c>
      <c r="B43" t="s">
        <v>3662</v>
      </c>
      <c r="C43">
        <v>7050</v>
      </c>
      <c r="D43" t="s">
        <v>721</v>
      </c>
      <c r="E43" t="s">
        <v>201</v>
      </c>
      <c r="F43">
        <v>4531</v>
      </c>
      <c r="G43" t="s">
        <v>5000</v>
      </c>
      <c r="H43" t="s">
        <v>4994</v>
      </c>
      <c r="I43">
        <v>4.2055999999999996</v>
      </c>
      <c r="J43" t="s">
        <v>5012</v>
      </c>
      <c r="K43" t="s">
        <v>4993</v>
      </c>
      <c r="L43">
        <v>107</v>
      </c>
      <c r="M43">
        <v>30</v>
      </c>
      <c r="N43" t="s">
        <v>5015</v>
      </c>
      <c r="O43">
        <v>0</v>
      </c>
      <c r="P43">
        <v>0</v>
      </c>
    </row>
    <row r="44" spans="1:16" x14ac:dyDescent="0.25">
      <c r="A44" t="s">
        <v>3667</v>
      </c>
      <c r="B44" t="s">
        <v>3668</v>
      </c>
      <c r="C44">
        <v>5946</v>
      </c>
      <c r="D44" t="s">
        <v>341</v>
      </c>
      <c r="E44" t="s">
        <v>8</v>
      </c>
      <c r="F44">
        <v>4497</v>
      </c>
      <c r="G44" t="s">
        <v>5000</v>
      </c>
      <c r="H44" t="s">
        <v>4994</v>
      </c>
      <c r="I44">
        <v>4.7011000000000003</v>
      </c>
      <c r="J44" t="s">
        <v>5012</v>
      </c>
      <c r="K44" t="s">
        <v>4993</v>
      </c>
      <c r="L44">
        <v>87</v>
      </c>
      <c r="M44">
        <v>68</v>
      </c>
      <c r="N44" t="s">
        <v>5014</v>
      </c>
      <c r="O44">
        <v>0</v>
      </c>
      <c r="P44">
        <v>0</v>
      </c>
    </row>
    <row r="45" spans="1:16" x14ac:dyDescent="0.25">
      <c r="A45" t="s">
        <v>3669</v>
      </c>
      <c r="B45" t="s">
        <v>3670</v>
      </c>
      <c r="C45">
        <v>6377</v>
      </c>
      <c r="D45" t="s">
        <v>1903</v>
      </c>
      <c r="E45" t="s">
        <v>13</v>
      </c>
      <c r="F45">
        <v>4482</v>
      </c>
      <c r="G45" t="s">
        <v>5000</v>
      </c>
      <c r="H45" t="s">
        <v>4994</v>
      </c>
      <c r="I45">
        <v>4.6881000000000004</v>
      </c>
      <c r="J45" t="s">
        <v>5012</v>
      </c>
      <c r="K45" t="s">
        <v>4993</v>
      </c>
      <c r="L45">
        <v>109</v>
      </c>
      <c r="M45">
        <v>30</v>
      </c>
      <c r="N45" t="s">
        <v>5015</v>
      </c>
      <c r="O45">
        <v>0</v>
      </c>
      <c r="P45">
        <v>1</v>
      </c>
    </row>
    <row r="46" spans="1:16" x14ac:dyDescent="0.25">
      <c r="A46" t="s">
        <v>3671</v>
      </c>
      <c r="B46" t="s">
        <v>3672</v>
      </c>
      <c r="C46">
        <v>3902</v>
      </c>
      <c r="D46" t="s">
        <v>72</v>
      </c>
      <c r="E46" t="s">
        <v>69</v>
      </c>
      <c r="F46">
        <v>4478</v>
      </c>
      <c r="G46" t="s">
        <v>5000</v>
      </c>
      <c r="H46" t="s">
        <v>4994</v>
      </c>
      <c r="I46">
        <v>4.5</v>
      </c>
      <c r="J46" t="s">
        <v>5012</v>
      </c>
      <c r="K46" t="s">
        <v>4993</v>
      </c>
      <c r="L46">
        <v>6</v>
      </c>
      <c r="M46">
        <v>16</v>
      </c>
      <c r="N46" t="s">
        <v>5013</v>
      </c>
      <c r="O46">
        <v>0</v>
      </c>
      <c r="P46">
        <v>0</v>
      </c>
    </row>
    <row r="47" spans="1:16" x14ac:dyDescent="0.25">
      <c r="A47" t="s">
        <v>3675</v>
      </c>
      <c r="B47" t="s">
        <v>3676</v>
      </c>
      <c r="C47">
        <v>6216</v>
      </c>
      <c r="D47" t="s">
        <v>3124</v>
      </c>
      <c r="E47" t="s">
        <v>13</v>
      </c>
      <c r="F47">
        <v>4469</v>
      </c>
      <c r="G47" t="s">
        <v>5000</v>
      </c>
      <c r="H47" t="s">
        <v>4994</v>
      </c>
      <c r="I47">
        <v>4.5349000000000004</v>
      </c>
      <c r="J47" t="s">
        <v>5012</v>
      </c>
      <c r="K47" t="s">
        <v>4993</v>
      </c>
      <c r="L47">
        <v>86</v>
      </c>
      <c r="M47">
        <v>14</v>
      </c>
      <c r="N47" t="s">
        <v>5013</v>
      </c>
      <c r="O47">
        <v>0</v>
      </c>
      <c r="P47">
        <v>1</v>
      </c>
    </row>
    <row r="48" spans="1:16" x14ac:dyDescent="0.25">
      <c r="A48" t="s">
        <v>3681</v>
      </c>
      <c r="B48" t="s">
        <v>3682</v>
      </c>
      <c r="C48">
        <v>6749</v>
      </c>
      <c r="D48" t="s">
        <v>3173</v>
      </c>
      <c r="E48" t="s">
        <v>13</v>
      </c>
      <c r="F48">
        <v>4444</v>
      </c>
      <c r="G48" t="s">
        <v>5000</v>
      </c>
      <c r="H48" t="s">
        <v>4994</v>
      </c>
      <c r="I48">
        <v>4.8838999999999997</v>
      </c>
      <c r="J48" t="s">
        <v>5012</v>
      </c>
      <c r="K48" t="s">
        <v>4993</v>
      </c>
      <c r="L48">
        <v>224</v>
      </c>
      <c r="M48">
        <v>58</v>
      </c>
      <c r="N48" t="s">
        <v>5014</v>
      </c>
      <c r="O48">
        <v>1</v>
      </c>
      <c r="P48">
        <v>0</v>
      </c>
    </row>
    <row r="49" spans="1:16" x14ac:dyDescent="0.25">
      <c r="A49" t="s">
        <v>3683</v>
      </c>
      <c r="B49" t="s">
        <v>3684</v>
      </c>
      <c r="C49">
        <v>3728</v>
      </c>
      <c r="D49" t="s">
        <v>458</v>
      </c>
      <c r="E49" t="s">
        <v>144</v>
      </c>
      <c r="F49">
        <v>4443</v>
      </c>
      <c r="G49" t="s">
        <v>5000</v>
      </c>
      <c r="H49" t="s">
        <v>4994</v>
      </c>
      <c r="I49">
        <v>4.2767999999999997</v>
      </c>
      <c r="J49" t="s">
        <v>5012</v>
      </c>
      <c r="K49" t="s">
        <v>4993</v>
      </c>
      <c r="L49">
        <v>625</v>
      </c>
      <c r="M49">
        <v>20</v>
      </c>
      <c r="N49" t="s">
        <v>5015</v>
      </c>
      <c r="O49">
        <v>0</v>
      </c>
      <c r="P49">
        <v>1</v>
      </c>
    </row>
    <row r="50" spans="1:16" x14ac:dyDescent="0.25">
      <c r="A50" t="s">
        <v>3687</v>
      </c>
      <c r="B50" t="s">
        <v>3688</v>
      </c>
      <c r="C50">
        <v>6488</v>
      </c>
      <c r="D50" t="s">
        <v>2933</v>
      </c>
      <c r="E50" t="s">
        <v>220</v>
      </c>
      <c r="F50">
        <v>4435</v>
      </c>
      <c r="G50" t="s">
        <v>5000</v>
      </c>
      <c r="H50" t="s">
        <v>4994</v>
      </c>
      <c r="I50">
        <v>4.5740999999999996</v>
      </c>
      <c r="J50" t="s">
        <v>5012</v>
      </c>
      <c r="K50" t="s">
        <v>4993</v>
      </c>
      <c r="L50">
        <v>108</v>
      </c>
      <c r="M50">
        <v>50</v>
      </c>
      <c r="N50" t="s">
        <v>5015</v>
      </c>
      <c r="O50">
        <v>0</v>
      </c>
      <c r="P50">
        <v>0</v>
      </c>
    </row>
    <row r="51" spans="1:16" x14ac:dyDescent="0.25">
      <c r="A51" t="s">
        <v>3693</v>
      </c>
      <c r="B51" t="s">
        <v>3694</v>
      </c>
      <c r="C51">
        <v>6302</v>
      </c>
      <c r="D51" t="s">
        <v>2721</v>
      </c>
      <c r="E51" t="s">
        <v>13</v>
      </c>
      <c r="F51">
        <v>4371</v>
      </c>
      <c r="G51" t="s">
        <v>5000</v>
      </c>
      <c r="H51" t="s">
        <v>4994</v>
      </c>
      <c r="I51">
        <v>4.4828000000000001</v>
      </c>
      <c r="J51" t="s">
        <v>5012</v>
      </c>
      <c r="K51" t="s">
        <v>4993</v>
      </c>
      <c r="L51">
        <v>29</v>
      </c>
      <c r="M51">
        <v>75</v>
      </c>
      <c r="N51" t="s">
        <v>5014</v>
      </c>
      <c r="O51">
        <v>0</v>
      </c>
      <c r="P51">
        <v>0</v>
      </c>
    </row>
    <row r="52" spans="1:16" x14ac:dyDescent="0.25">
      <c r="A52" t="s">
        <v>3697</v>
      </c>
      <c r="B52" t="s">
        <v>3698</v>
      </c>
      <c r="C52">
        <v>6274</v>
      </c>
      <c r="D52" t="s">
        <v>2153</v>
      </c>
      <c r="E52" t="s">
        <v>201</v>
      </c>
      <c r="F52">
        <v>4350</v>
      </c>
      <c r="G52" t="s">
        <v>5000</v>
      </c>
      <c r="H52" t="s">
        <v>4994</v>
      </c>
      <c r="I52">
        <v>4.4737</v>
      </c>
      <c r="J52" t="s">
        <v>5012</v>
      </c>
      <c r="K52" t="s">
        <v>4993</v>
      </c>
      <c r="L52">
        <v>19</v>
      </c>
      <c r="M52">
        <v>77</v>
      </c>
      <c r="N52" t="s">
        <v>5014</v>
      </c>
      <c r="O52">
        <v>0</v>
      </c>
      <c r="P52">
        <v>0</v>
      </c>
    </row>
    <row r="53" spans="1:16" x14ac:dyDescent="0.25">
      <c r="A53" t="s">
        <v>3699</v>
      </c>
      <c r="B53" t="s">
        <v>3700</v>
      </c>
      <c r="C53">
        <v>6201</v>
      </c>
      <c r="D53" t="s">
        <v>367</v>
      </c>
      <c r="E53" t="s">
        <v>21</v>
      </c>
      <c r="F53">
        <v>4347</v>
      </c>
      <c r="G53" t="s">
        <v>5000</v>
      </c>
      <c r="H53" t="s">
        <v>4994</v>
      </c>
      <c r="I53">
        <v>4.2257999999999996</v>
      </c>
      <c r="J53" t="s">
        <v>5012</v>
      </c>
      <c r="K53" t="s">
        <v>4993</v>
      </c>
      <c r="L53">
        <v>62</v>
      </c>
      <c r="M53">
        <v>320</v>
      </c>
      <c r="N53" t="s">
        <v>5014</v>
      </c>
      <c r="O53">
        <v>0</v>
      </c>
      <c r="P53">
        <v>0</v>
      </c>
    </row>
    <row r="54" spans="1:16" x14ac:dyDescent="0.25">
      <c r="A54" t="s">
        <v>3703</v>
      </c>
      <c r="B54" t="s">
        <v>3704</v>
      </c>
      <c r="C54">
        <v>6309</v>
      </c>
      <c r="D54" t="s">
        <v>1735</v>
      </c>
      <c r="E54" t="s">
        <v>21</v>
      </c>
      <c r="F54">
        <v>4306</v>
      </c>
      <c r="G54" t="s">
        <v>5000</v>
      </c>
      <c r="H54" t="s">
        <v>4994</v>
      </c>
      <c r="I54">
        <v>4.0637999999999996</v>
      </c>
      <c r="J54" t="s">
        <v>5012</v>
      </c>
      <c r="K54" t="s">
        <v>4993</v>
      </c>
      <c r="L54">
        <v>815</v>
      </c>
      <c r="M54">
        <v>58</v>
      </c>
      <c r="N54" t="s">
        <v>5014</v>
      </c>
      <c r="O54">
        <v>0</v>
      </c>
      <c r="P54">
        <v>0</v>
      </c>
    </row>
    <row r="55" spans="1:16" x14ac:dyDescent="0.25">
      <c r="A55" t="s">
        <v>3705</v>
      </c>
      <c r="B55" t="s">
        <v>3706</v>
      </c>
      <c r="C55">
        <v>5857</v>
      </c>
      <c r="D55" t="s">
        <v>433</v>
      </c>
      <c r="E55" t="s">
        <v>13</v>
      </c>
      <c r="F55">
        <v>4303</v>
      </c>
      <c r="G55" t="s">
        <v>5000</v>
      </c>
      <c r="H55" t="s">
        <v>4994</v>
      </c>
      <c r="I55">
        <v>4.5999999999999996</v>
      </c>
      <c r="J55" t="s">
        <v>5012</v>
      </c>
      <c r="K55" t="s">
        <v>4993</v>
      </c>
      <c r="L55">
        <v>40</v>
      </c>
      <c r="M55">
        <v>38</v>
      </c>
      <c r="N55" t="s">
        <v>5015</v>
      </c>
      <c r="O55">
        <v>0</v>
      </c>
      <c r="P55">
        <v>0</v>
      </c>
    </row>
    <row r="56" spans="1:16" x14ac:dyDescent="0.25">
      <c r="A56" t="s">
        <v>3707</v>
      </c>
      <c r="B56" t="s">
        <v>3708</v>
      </c>
      <c r="C56">
        <v>5715</v>
      </c>
      <c r="D56" t="s">
        <v>979</v>
      </c>
      <c r="E56" t="s">
        <v>149</v>
      </c>
      <c r="F56">
        <v>4302</v>
      </c>
      <c r="G56" t="s">
        <v>5000</v>
      </c>
      <c r="H56" t="s">
        <v>4994</v>
      </c>
      <c r="I56">
        <v>4.0063000000000004</v>
      </c>
      <c r="J56" t="s">
        <v>5012</v>
      </c>
      <c r="K56" t="s">
        <v>4993</v>
      </c>
      <c r="L56">
        <v>158</v>
      </c>
      <c r="M56">
        <v>61</v>
      </c>
      <c r="N56" t="s">
        <v>5014</v>
      </c>
      <c r="O56">
        <v>0</v>
      </c>
      <c r="P56">
        <v>0</v>
      </c>
    </row>
    <row r="57" spans="1:16" x14ac:dyDescent="0.25">
      <c r="A57" t="s">
        <v>3711</v>
      </c>
      <c r="B57" t="s">
        <v>3712</v>
      </c>
      <c r="C57">
        <v>1254</v>
      </c>
      <c r="D57" t="s">
        <v>136</v>
      </c>
      <c r="E57" t="s">
        <v>8</v>
      </c>
      <c r="F57">
        <v>4293</v>
      </c>
      <c r="G57" t="s">
        <v>5000</v>
      </c>
      <c r="H57" t="s">
        <v>4994</v>
      </c>
      <c r="I57">
        <v>4.194</v>
      </c>
      <c r="J57" t="s">
        <v>5012</v>
      </c>
      <c r="K57" t="s">
        <v>4993</v>
      </c>
      <c r="L57">
        <v>1670</v>
      </c>
      <c r="M57">
        <v>71</v>
      </c>
      <c r="N57" t="s">
        <v>5014</v>
      </c>
      <c r="O57">
        <v>0</v>
      </c>
      <c r="P57">
        <v>0</v>
      </c>
    </row>
    <row r="58" spans="1:16" x14ac:dyDescent="0.25">
      <c r="A58" t="s">
        <v>3713</v>
      </c>
      <c r="B58" t="s">
        <v>3714</v>
      </c>
      <c r="C58">
        <v>6476</v>
      </c>
      <c r="D58" t="s">
        <v>3462</v>
      </c>
      <c r="E58" t="s">
        <v>220</v>
      </c>
      <c r="F58">
        <v>4292</v>
      </c>
      <c r="G58" t="s">
        <v>5000</v>
      </c>
      <c r="H58" t="s">
        <v>4994</v>
      </c>
      <c r="I58">
        <v>4.55</v>
      </c>
      <c r="J58" t="s">
        <v>5012</v>
      </c>
      <c r="K58" t="s">
        <v>4993</v>
      </c>
      <c r="L58">
        <v>180</v>
      </c>
      <c r="M58">
        <v>68</v>
      </c>
      <c r="N58" t="s">
        <v>5014</v>
      </c>
      <c r="O58">
        <v>0</v>
      </c>
      <c r="P58">
        <v>0</v>
      </c>
    </row>
    <row r="59" spans="1:16" x14ac:dyDescent="0.25">
      <c r="A59" t="s">
        <v>3715</v>
      </c>
      <c r="B59" t="s">
        <v>3716</v>
      </c>
      <c r="C59">
        <v>6014</v>
      </c>
      <c r="D59" t="s">
        <v>102</v>
      </c>
      <c r="E59" t="s">
        <v>69</v>
      </c>
      <c r="F59">
        <v>4288</v>
      </c>
      <c r="G59" t="s">
        <v>5000</v>
      </c>
      <c r="H59" t="s">
        <v>4994</v>
      </c>
      <c r="I59">
        <v>4.6323999999999996</v>
      </c>
      <c r="J59" t="s">
        <v>5012</v>
      </c>
      <c r="K59" t="s">
        <v>4993</v>
      </c>
      <c r="L59">
        <v>340</v>
      </c>
      <c r="M59">
        <v>15</v>
      </c>
      <c r="N59" t="s">
        <v>5013</v>
      </c>
      <c r="O59">
        <v>1</v>
      </c>
      <c r="P59">
        <v>0</v>
      </c>
    </row>
    <row r="60" spans="1:16" x14ac:dyDescent="0.25">
      <c r="A60" t="s">
        <v>3719</v>
      </c>
      <c r="B60" t="s">
        <v>3720</v>
      </c>
      <c r="C60">
        <v>6375</v>
      </c>
      <c r="D60" t="s">
        <v>3234</v>
      </c>
      <c r="E60" t="s">
        <v>201</v>
      </c>
      <c r="F60">
        <v>4285</v>
      </c>
      <c r="G60" t="s">
        <v>5000</v>
      </c>
      <c r="H60" t="s">
        <v>4994</v>
      </c>
      <c r="I60">
        <v>4.2042000000000002</v>
      </c>
      <c r="J60" t="s">
        <v>5012</v>
      </c>
      <c r="K60" t="s">
        <v>4993</v>
      </c>
      <c r="L60">
        <v>191</v>
      </c>
      <c r="M60">
        <v>30</v>
      </c>
      <c r="N60" t="s">
        <v>5015</v>
      </c>
      <c r="O60">
        <v>0</v>
      </c>
      <c r="P60">
        <v>0</v>
      </c>
    </row>
    <row r="61" spans="1:16" x14ac:dyDescent="0.25">
      <c r="A61" t="s">
        <v>3721</v>
      </c>
      <c r="B61" t="s">
        <v>3722</v>
      </c>
      <c r="C61">
        <v>6373</v>
      </c>
      <c r="D61" t="s">
        <v>1652</v>
      </c>
      <c r="E61" t="s">
        <v>8</v>
      </c>
      <c r="F61">
        <v>4283</v>
      </c>
      <c r="G61" t="s">
        <v>5000</v>
      </c>
      <c r="H61" t="s">
        <v>4994</v>
      </c>
      <c r="I61">
        <v>4.2104999999999997</v>
      </c>
      <c r="J61" t="s">
        <v>5012</v>
      </c>
      <c r="K61" t="s">
        <v>4993</v>
      </c>
      <c r="L61">
        <v>76</v>
      </c>
      <c r="M61">
        <v>58</v>
      </c>
      <c r="N61" t="s">
        <v>5014</v>
      </c>
      <c r="O61">
        <v>0</v>
      </c>
      <c r="P61">
        <v>0</v>
      </c>
    </row>
    <row r="62" spans="1:16" x14ac:dyDescent="0.25">
      <c r="A62" t="s">
        <v>3723</v>
      </c>
      <c r="B62" t="s">
        <v>3724</v>
      </c>
      <c r="C62">
        <v>2082</v>
      </c>
      <c r="D62" t="s">
        <v>594</v>
      </c>
      <c r="E62" t="s">
        <v>69</v>
      </c>
      <c r="F62">
        <v>4267</v>
      </c>
      <c r="G62" t="s">
        <v>5000</v>
      </c>
      <c r="H62" t="s">
        <v>4994</v>
      </c>
      <c r="I62">
        <v>4.25</v>
      </c>
      <c r="J62" t="s">
        <v>5012</v>
      </c>
      <c r="K62" t="s">
        <v>4993</v>
      </c>
      <c r="L62">
        <v>16</v>
      </c>
      <c r="M62">
        <v>79</v>
      </c>
      <c r="N62" t="s">
        <v>5014</v>
      </c>
      <c r="O62">
        <v>0</v>
      </c>
      <c r="P62">
        <v>0</v>
      </c>
    </row>
    <row r="63" spans="1:16" x14ac:dyDescent="0.25">
      <c r="A63" t="s">
        <v>3727</v>
      </c>
      <c r="B63" t="s">
        <v>3728</v>
      </c>
      <c r="C63">
        <v>6285</v>
      </c>
      <c r="D63" t="s">
        <v>119</v>
      </c>
      <c r="E63" t="s">
        <v>21</v>
      </c>
      <c r="F63">
        <v>4253</v>
      </c>
      <c r="G63" t="s">
        <v>5000</v>
      </c>
      <c r="H63" t="s">
        <v>4994</v>
      </c>
      <c r="I63">
        <v>4.1935000000000002</v>
      </c>
      <c r="J63" t="s">
        <v>5012</v>
      </c>
      <c r="K63" t="s">
        <v>4993</v>
      </c>
      <c r="L63">
        <v>62</v>
      </c>
      <c r="M63">
        <v>19.989999999999998</v>
      </c>
      <c r="N63" t="s">
        <v>5013</v>
      </c>
      <c r="O63">
        <v>0</v>
      </c>
      <c r="P63">
        <v>0</v>
      </c>
    </row>
    <row r="64" spans="1:16" x14ac:dyDescent="0.25">
      <c r="A64" t="s">
        <v>3729</v>
      </c>
      <c r="B64" t="s">
        <v>3730</v>
      </c>
      <c r="C64">
        <v>6371</v>
      </c>
      <c r="D64" t="s">
        <v>2583</v>
      </c>
      <c r="E64" t="s">
        <v>69</v>
      </c>
      <c r="F64">
        <v>4247</v>
      </c>
      <c r="G64" t="s">
        <v>5000</v>
      </c>
      <c r="H64" t="s">
        <v>4994</v>
      </c>
      <c r="I64">
        <v>4.5949999999999998</v>
      </c>
      <c r="J64" t="s">
        <v>5012</v>
      </c>
      <c r="K64" t="s">
        <v>4993</v>
      </c>
      <c r="L64">
        <v>484</v>
      </c>
      <c r="M64">
        <v>38</v>
      </c>
      <c r="N64" t="s">
        <v>5015</v>
      </c>
      <c r="O64">
        <v>0</v>
      </c>
      <c r="P64">
        <v>1</v>
      </c>
    </row>
    <row r="65" spans="1:16" x14ac:dyDescent="0.25">
      <c r="A65" t="s">
        <v>3731</v>
      </c>
      <c r="B65" t="s">
        <v>3732</v>
      </c>
      <c r="C65">
        <v>6334</v>
      </c>
      <c r="D65" t="s">
        <v>2819</v>
      </c>
      <c r="E65" t="s">
        <v>8</v>
      </c>
      <c r="F65">
        <v>4241</v>
      </c>
      <c r="G65" t="s">
        <v>5000</v>
      </c>
      <c r="H65" t="s">
        <v>4994</v>
      </c>
      <c r="I65">
        <v>4.3285</v>
      </c>
      <c r="J65" t="s">
        <v>5012</v>
      </c>
      <c r="K65" t="s">
        <v>4993</v>
      </c>
      <c r="L65">
        <v>137</v>
      </c>
      <c r="M65">
        <v>48</v>
      </c>
      <c r="N65" t="s">
        <v>5015</v>
      </c>
      <c r="O65">
        <v>0</v>
      </c>
      <c r="P65">
        <v>0</v>
      </c>
    </row>
    <row r="66" spans="1:16" x14ac:dyDescent="0.25">
      <c r="A66" t="s">
        <v>3735</v>
      </c>
      <c r="B66" t="s">
        <v>3736</v>
      </c>
      <c r="C66">
        <v>6114</v>
      </c>
      <c r="D66" t="s">
        <v>1355</v>
      </c>
      <c r="E66" t="s">
        <v>347</v>
      </c>
      <c r="F66">
        <v>4221</v>
      </c>
      <c r="G66" t="s">
        <v>5000</v>
      </c>
      <c r="H66" t="s">
        <v>4994</v>
      </c>
      <c r="I66">
        <v>4.8205</v>
      </c>
      <c r="J66" t="s">
        <v>5012</v>
      </c>
      <c r="K66" t="s">
        <v>4993</v>
      </c>
      <c r="L66">
        <v>39</v>
      </c>
      <c r="M66">
        <v>179</v>
      </c>
      <c r="N66" t="s">
        <v>5014</v>
      </c>
      <c r="O66">
        <v>0</v>
      </c>
      <c r="P66">
        <v>0</v>
      </c>
    </row>
    <row r="67" spans="1:16" x14ac:dyDescent="0.25">
      <c r="A67" t="s">
        <v>3737</v>
      </c>
      <c r="B67" t="s">
        <v>3738</v>
      </c>
      <c r="C67">
        <v>6294</v>
      </c>
      <c r="D67" t="s">
        <v>1520</v>
      </c>
      <c r="E67" t="s">
        <v>4</v>
      </c>
      <c r="F67">
        <v>4219</v>
      </c>
      <c r="G67" t="s">
        <v>5000</v>
      </c>
      <c r="H67" t="s">
        <v>4994</v>
      </c>
      <c r="I67">
        <v>4.6551999999999998</v>
      </c>
      <c r="J67" t="s">
        <v>5012</v>
      </c>
      <c r="K67" t="s">
        <v>4993</v>
      </c>
      <c r="L67">
        <v>29</v>
      </c>
      <c r="M67">
        <v>28</v>
      </c>
      <c r="N67" t="s">
        <v>5015</v>
      </c>
      <c r="O67">
        <v>0</v>
      </c>
      <c r="P67">
        <v>0</v>
      </c>
    </row>
    <row r="68" spans="1:16" x14ac:dyDescent="0.25">
      <c r="A68" t="s">
        <v>3739</v>
      </c>
      <c r="B68" t="s">
        <v>3740</v>
      </c>
      <c r="C68">
        <v>5668</v>
      </c>
      <c r="D68" t="s">
        <v>93</v>
      </c>
      <c r="E68" t="s">
        <v>21</v>
      </c>
      <c r="F68">
        <v>4205</v>
      </c>
      <c r="G68" t="s">
        <v>5000</v>
      </c>
      <c r="H68" t="s">
        <v>4994</v>
      </c>
      <c r="I68">
        <v>4.5609999999999999</v>
      </c>
      <c r="J68" t="s">
        <v>5012</v>
      </c>
      <c r="K68" t="s">
        <v>4993</v>
      </c>
      <c r="L68">
        <v>82</v>
      </c>
      <c r="M68">
        <v>72</v>
      </c>
      <c r="N68" t="s">
        <v>5014</v>
      </c>
      <c r="O68">
        <v>0</v>
      </c>
      <c r="P68">
        <v>0</v>
      </c>
    </row>
    <row r="69" spans="1:16" x14ac:dyDescent="0.25">
      <c r="A69" t="s">
        <v>3747</v>
      </c>
      <c r="B69" t="s">
        <v>3748</v>
      </c>
      <c r="C69">
        <v>6356</v>
      </c>
      <c r="D69" t="s">
        <v>1885</v>
      </c>
      <c r="E69" t="s">
        <v>13</v>
      </c>
      <c r="F69">
        <v>4123</v>
      </c>
      <c r="G69" t="s">
        <v>5000</v>
      </c>
      <c r="H69" t="s">
        <v>4994</v>
      </c>
      <c r="I69">
        <v>4.4825999999999997</v>
      </c>
      <c r="J69" t="s">
        <v>5012</v>
      </c>
      <c r="K69" t="s">
        <v>4993</v>
      </c>
      <c r="L69">
        <v>661</v>
      </c>
      <c r="M69">
        <v>70</v>
      </c>
      <c r="N69" t="s">
        <v>5014</v>
      </c>
      <c r="O69">
        <v>0</v>
      </c>
      <c r="P69">
        <v>0</v>
      </c>
    </row>
    <row r="70" spans="1:16" x14ac:dyDescent="0.25">
      <c r="A70" t="s">
        <v>3749</v>
      </c>
      <c r="B70" t="s">
        <v>3750</v>
      </c>
      <c r="C70">
        <v>6295</v>
      </c>
      <c r="D70" t="s">
        <v>184</v>
      </c>
      <c r="E70" t="s">
        <v>13</v>
      </c>
      <c r="F70">
        <v>4123</v>
      </c>
      <c r="G70" t="s">
        <v>5000</v>
      </c>
      <c r="H70" t="s">
        <v>4994</v>
      </c>
      <c r="I70">
        <v>4.4443999999999999</v>
      </c>
      <c r="J70" t="s">
        <v>5012</v>
      </c>
      <c r="K70" t="s">
        <v>4993</v>
      </c>
      <c r="L70">
        <v>9</v>
      </c>
      <c r="M70">
        <v>14</v>
      </c>
      <c r="N70" t="s">
        <v>5013</v>
      </c>
      <c r="O70">
        <v>0</v>
      </c>
      <c r="P70">
        <v>0</v>
      </c>
    </row>
    <row r="71" spans="1:16" x14ac:dyDescent="0.25">
      <c r="A71" t="s">
        <v>3752</v>
      </c>
      <c r="B71" t="s">
        <v>3753</v>
      </c>
      <c r="C71">
        <v>7020</v>
      </c>
      <c r="D71" t="s">
        <v>657</v>
      </c>
      <c r="E71" t="s">
        <v>13</v>
      </c>
      <c r="F71">
        <v>4114</v>
      </c>
      <c r="G71" t="s">
        <v>5000</v>
      </c>
      <c r="H71" t="s">
        <v>4994</v>
      </c>
      <c r="I71">
        <v>4.5416999999999996</v>
      </c>
      <c r="J71" t="s">
        <v>5012</v>
      </c>
      <c r="K71" t="s">
        <v>4993</v>
      </c>
      <c r="L71">
        <v>48</v>
      </c>
      <c r="M71">
        <v>88</v>
      </c>
      <c r="N71" t="s">
        <v>5014</v>
      </c>
      <c r="O71">
        <v>0</v>
      </c>
      <c r="P71">
        <v>0</v>
      </c>
    </row>
    <row r="72" spans="1:16" x14ac:dyDescent="0.25">
      <c r="A72" t="s">
        <v>3754</v>
      </c>
      <c r="B72" t="s">
        <v>3755</v>
      </c>
      <c r="C72">
        <v>7100</v>
      </c>
      <c r="D72" t="s">
        <v>3756</v>
      </c>
      <c r="E72" t="s">
        <v>21</v>
      </c>
      <c r="F72">
        <v>4096</v>
      </c>
      <c r="G72" t="s">
        <v>5000</v>
      </c>
      <c r="H72" t="s">
        <v>4994</v>
      </c>
      <c r="I72">
        <v>4.7</v>
      </c>
      <c r="J72" t="s">
        <v>5012</v>
      </c>
      <c r="K72" t="s">
        <v>4993</v>
      </c>
      <c r="L72">
        <v>120</v>
      </c>
      <c r="M72">
        <v>85</v>
      </c>
      <c r="N72" t="s">
        <v>5014</v>
      </c>
      <c r="O72">
        <v>0</v>
      </c>
      <c r="P72">
        <v>0</v>
      </c>
    </row>
    <row r="73" spans="1:16" x14ac:dyDescent="0.25">
      <c r="A73" t="s">
        <v>3757</v>
      </c>
      <c r="B73" t="s">
        <v>3758</v>
      </c>
      <c r="C73">
        <v>6272</v>
      </c>
      <c r="D73" t="s">
        <v>1711</v>
      </c>
      <c r="E73" t="s">
        <v>8</v>
      </c>
      <c r="F73">
        <v>4079</v>
      </c>
      <c r="G73" t="s">
        <v>5000</v>
      </c>
      <c r="H73" t="s">
        <v>4994</v>
      </c>
      <c r="I73">
        <v>4.6353999999999997</v>
      </c>
      <c r="J73" t="s">
        <v>5012</v>
      </c>
      <c r="K73" t="s">
        <v>4993</v>
      </c>
      <c r="L73">
        <v>181</v>
      </c>
      <c r="M73">
        <v>69</v>
      </c>
      <c r="N73" t="s">
        <v>5014</v>
      </c>
      <c r="O73">
        <v>0</v>
      </c>
      <c r="P73">
        <v>0</v>
      </c>
    </row>
    <row r="74" spans="1:16" x14ac:dyDescent="0.25">
      <c r="A74" t="s">
        <v>3759</v>
      </c>
      <c r="B74" t="s">
        <v>3760</v>
      </c>
      <c r="C74">
        <v>7020</v>
      </c>
      <c r="D74" t="s">
        <v>657</v>
      </c>
      <c r="E74" t="s">
        <v>69</v>
      </c>
      <c r="F74">
        <v>4076</v>
      </c>
      <c r="G74" t="s">
        <v>5000</v>
      </c>
      <c r="H74" t="s">
        <v>4994</v>
      </c>
      <c r="I74">
        <v>4.375</v>
      </c>
      <c r="J74" t="s">
        <v>5012</v>
      </c>
      <c r="K74" t="s">
        <v>4993</v>
      </c>
      <c r="L74">
        <v>32</v>
      </c>
      <c r="M74">
        <v>95</v>
      </c>
      <c r="N74" t="s">
        <v>5014</v>
      </c>
      <c r="O74">
        <v>0</v>
      </c>
      <c r="P74">
        <v>0</v>
      </c>
    </row>
    <row r="75" spans="1:16" x14ac:dyDescent="0.25">
      <c r="A75" t="s">
        <v>3761</v>
      </c>
      <c r="B75" t="s">
        <v>3762</v>
      </c>
      <c r="C75">
        <v>6294</v>
      </c>
      <c r="D75" t="s">
        <v>1520</v>
      </c>
      <c r="E75" t="s">
        <v>21</v>
      </c>
      <c r="F75">
        <v>4072</v>
      </c>
      <c r="G75" t="s">
        <v>5000</v>
      </c>
      <c r="H75" t="s">
        <v>4994</v>
      </c>
      <c r="I75">
        <v>4.5395000000000003</v>
      </c>
      <c r="J75" t="s">
        <v>5012</v>
      </c>
      <c r="K75" t="s">
        <v>4993</v>
      </c>
      <c r="L75">
        <v>76</v>
      </c>
      <c r="M75">
        <v>68</v>
      </c>
      <c r="N75" t="s">
        <v>5014</v>
      </c>
      <c r="O75">
        <v>0</v>
      </c>
      <c r="P75">
        <v>0</v>
      </c>
    </row>
    <row r="76" spans="1:16" x14ac:dyDescent="0.25">
      <c r="A76" t="s">
        <v>3763</v>
      </c>
      <c r="B76" t="s">
        <v>3764</v>
      </c>
      <c r="C76">
        <v>5946</v>
      </c>
      <c r="D76" t="s">
        <v>341</v>
      </c>
      <c r="E76" t="s">
        <v>13</v>
      </c>
      <c r="F76">
        <v>4060</v>
      </c>
      <c r="G76" t="s">
        <v>5000</v>
      </c>
      <c r="H76" t="s">
        <v>4994</v>
      </c>
      <c r="I76">
        <v>4.1875</v>
      </c>
      <c r="J76" t="s">
        <v>5012</v>
      </c>
      <c r="K76" t="s">
        <v>4993</v>
      </c>
      <c r="L76">
        <v>144</v>
      </c>
      <c r="M76">
        <v>44</v>
      </c>
      <c r="N76" t="s">
        <v>5015</v>
      </c>
      <c r="O76">
        <v>0</v>
      </c>
      <c r="P76">
        <v>0</v>
      </c>
    </row>
    <row r="77" spans="1:16" x14ac:dyDescent="0.25">
      <c r="A77" t="s">
        <v>3765</v>
      </c>
      <c r="B77" t="s">
        <v>3766</v>
      </c>
      <c r="C77">
        <v>6272</v>
      </c>
      <c r="D77" t="s">
        <v>1711</v>
      </c>
      <c r="E77" t="s">
        <v>21</v>
      </c>
      <c r="F77">
        <v>4050</v>
      </c>
      <c r="G77" t="s">
        <v>5000</v>
      </c>
      <c r="H77" t="s">
        <v>4994</v>
      </c>
      <c r="I77">
        <v>4.1818</v>
      </c>
      <c r="J77" t="s">
        <v>5012</v>
      </c>
      <c r="K77" t="s">
        <v>4993</v>
      </c>
      <c r="L77">
        <v>11</v>
      </c>
      <c r="M77">
        <v>70</v>
      </c>
      <c r="N77" t="s">
        <v>5014</v>
      </c>
      <c r="O77">
        <v>0</v>
      </c>
      <c r="P77">
        <v>0</v>
      </c>
    </row>
    <row r="78" spans="1:16" x14ac:dyDescent="0.25">
      <c r="A78" t="s">
        <v>3769</v>
      </c>
      <c r="B78" t="s">
        <v>3770</v>
      </c>
      <c r="C78">
        <v>6367</v>
      </c>
      <c r="D78" t="s">
        <v>2766</v>
      </c>
      <c r="E78" t="s">
        <v>220</v>
      </c>
      <c r="F78">
        <v>4044</v>
      </c>
      <c r="G78" t="s">
        <v>5000</v>
      </c>
      <c r="H78" t="s">
        <v>4994</v>
      </c>
      <c r="I78">
        <v>5</v>
      </c>
      <c r="J78" t="s">
        <v>5012</v>
      </c>
      <c r="K78" t="s">
        <v>4993</v>
      </c>
      <c r="L78">
        <v>4</v>
      </c>
      <c r="M78">
        <v>66</v>
      </c>
      <c r="N78" t="s">
        <v>5014</v>
      </c>
      <c r="O78">
        <v>0</v>
      </c>
      <c r="P78">
        <v>0</v>
      </c>
    </row>
    <row r="79" spans="1:16" x14ac:dyDescent="0.25">
      <c r="A79" t="s">
        <v>3775</v>
      </c>
      <c r="B79" t="s">
        <v>3776</v>
      </c>
      <c r="C79">
        <v>5946</v>
      </c>
      <c r="D79" t="s">
        <v>341</v>
      </c>
      <c r="E79" t="s">
        <v>149</v>
      </c>
      <c r="F79">
        <v>3993</v>
      </c>
      <c r="G79" t="s">
        <v>5000</v>
      </c>
      <c r="H79" t="s">
        <v>4994</v>
      </c>
      <c r="I79">
        <v>4.6353999999999997</v>
      </c>
      <c r="J79" t="s">
        <v>5012</v>
      </c>
      <c r="K79" t="s">
        <v>4993</v>
      </c>
      <c r="L79">
        <v>96</v>
      </c>
      <c r="M79">
        <v>140</v>
      </c>
      <c r="N79" t="s">
        <v>5014</v>
      </c>
      <c r="O79">
        <v>0</v>
      </c>
      <c r="P79">
        <v>0</v>
      </c>
    </row>
    <row r="80" spans="1:16" x14ac:dyDescent="0.25">
      <c r="A80" t="s">
        <v>3777</v>
      </c>
      <c r="B80" t="s">
        <v>3778</v>
      </c>
      <c r="C80">
        <v>5644</v>
      </c>
      <c r="D80" t="s">
        <v>158</v>
      </c>
      <c r="E80" t="s">
        <v>21</v>
      </c>
      <c r="F80">
        <v>3974</v>
      </c>
      <c r="G80" t="s">
        <v>5000</v>
      </c>
      <c r="H80" t="s">
        <v>4994</v>
      </c>
      <c r="I80">
        <v>4.3333000000000004</v>
      </c>
      <c r="J80" t="s">
        <v>5012</v>
      </c>
      <c r="K80" t="s">
        <v>4993</v>
      </c>
      <c r="L80">
        <v>18</v>
      </c>
      <c r="M80">
        <v>66</v>
      </c>
      <c r="N80" t="s">
        <v>5014</v>
      </c>
      <c r="O80">
        <v>0</v>
      </c>
      <c r="P80">
        <v>0</v>
      </c>
    </row>
    <row r="81" spans="1:16" x14ac:dyDescent="0.25">
      <c r="A81" t="s">
        <v>3779</v>
      </c>
      <c r="B81" t="s">
        <v>3780</v>
      </c>
      <c r="C81">
        <v>4171</v>
      </c>
      <c r="D81" t="s">
        <v>133</v>
      </c>
      <c r="E81" t="s">
        <v>220</v>
      </c>
      <c r="F81">
        <v>3970</v>
      </c>
      <c r="G81" t="s">
        <v>5000</v>
      </c>
      <c r="H81" t="s">
        <v>4994</v>
      </c>
      <c r="I81">
        <v>4.25</v>
      </c>
      <c r="J81" t="s">
        <v>5012</v>
      </c>
      <c r="K81" t="s">
        <v>4993</v>
      </c>
      <c r="L81">
        <v>4</v>
      </c>
      <c r="M81">
        <v>84</v>
      </c>
      <c r="N81" t="s">
        <v>5014</v>
      </c>
      <c r="O81">
        <v>1</v>
      </c>
      <c r="P81">
        <v>0</v>
      </c>
    </row>
    <row r="82" spans="1:16" x14ac:dyDescent="0.25">
      <c r="A82" t="s">
        <v>3781</v>
      </c>
      <c r="B82" t="s">
        <v>3782</v>
      </c>
      <c r="C82">
        <v>6335</v>
      </c>
      <c r="D82" t="s">
        <v>2128</v>
      </c>
      <c r="E82" t="s">
        <v>220</v>
      </c>
      <c r="F82">
        <v>3952</v>
      </c>
      <c r="G82" t="s">
        <v>5000</v>
      </c>
      <c r="H82" t="s">
        <v>4994</v>
      </c>
      <c r="I82">
        <v>4.2782</v>
      </c>
      <c r="J82" t="s">
        <v>5012</v>
      </c>
      <c r="K82" t="s">
        <v>4993</v>
      </c>
      <c r="L82">
        <v>133</v>
      </c>
      <c r="M82">
        <v>64</v>
      </c>
      <c r="N82" t="s">
        <v>5014</v>
      </c>
      <c r="O82">
        <v>0</v>
      </c>
      <c r="P82">
        <v>0</v>
      </c>
    </row>
    <row r="83" spans="1:16" x14ac:dyDescent="0.25">
      <c r="A83" t="s">
        <v>3783</v>
      </c>
      <c r="B83" t="s">
        <v>3784</v>
      </c>
      <c r="C83">
        <v>6289</v>
      </c>
      <c r="D83" t="s">
        <v>111</v>
      </c>
      <c r="E83" t="s">
        <v>220</v>
      </c>
      <c r="F83">
        <v>3945</v>
      </c>
      <c r="G83" t="s">
        <v>5000</v>
      </c>
      <c r="H83" t="s">
        <v>4994</v>
      </c>
      <c r="I83">
        <v>4</v>
      </c>
      <c r="J83" t="s">
        <v>5012</v>
      </c>
      <c r="K83" t="s">
        <v>4993</v>
      </c>
      <c r="L83">
        <v>1</v>
      </c>
      <c r="M83">
        <v>35</v>
      </c>
      <c r="N83" t="s">
        <v>5015</v>
      </c>
      <c r="O83">
        <v>0</v>
      </c>
      <c r="P83">
        <v>0</v>
      </c>
    </row>
    <row r="84" spans="1:16" x14ac:dyDescent="0.25">
      <c r="A84" t="s">
        <v>3785</v>
      </c>
      <c r="B84" t="s">
        <v>3786</v>
      </c>
      <c r="C84">
        <v>1132</v>
      </c>
      <c r="D84" t="s">
        <v>1319</v>
      </c>
      <c r="E84" t="s">
        <v>8</v>
      </c>
      <c r="F84">
        <v>3942</v>
      </c>
      <c r="G84" t="s">
        <v>5000</v>
      </c>
      <c r="H84" t="s">
        <v>4994</v>
      </c>
      <c r="I84">
        <v>4.6196000000000002</v>
      </c>
      <c r="J84" t="s">
        <v>5012</v>
      </c>
      <c r="K84" t="s">
        <v>4993</v>
      </c>
      <c r="L84">
        <v>418</v>
      </c>
      <c r="M84">
        <v>240</v>
      </c>
      <c r="N84" t="s">
        <v>5014</v>
      </c>
      <c r="O84">
        <v>0</v>
      </c>
      <c r="P84">
        <v>0</v>
      </c>
    </row>
    <row r="85" spans="1:16" x14ac:dyDescent="0.25">
      <c r="A85" t="s">
        <v>3787</v>
      </c>
      <c r="B85" t="s">
        <v>3788</v>
      </c>
      <c r="C85">
        <v>5879</v>
      </c>
      <c r="D85" t="s">
        <v>3589</v>
      </c>
      <c r="E85" t="s">
        <v>149</v>
      </c>
      <c r="F85">
        <v>3935</v>
      </c>
      <c r="G85" t="s">
        <v>5000</v>
      </c>
      <c r="H85" t="s">
        <v>4994</v>
      </c>
      <c r="I85">
        <v>4.4718999999999998</v>
      </c>
      <c r="J85" t="s">
        <v>5012</v>
      </c>
      <c r="K85" t="s">
        <v>4993</v>
      </c>
      <c r="L85">
        <v>89</v>
      </c>
      <c r="M85">
        <v>68</v>
      </c>
      <c r="N85" t="s">
        <v>5014</v>
      </c>
      <c r="O85">
        <v>0</v>
      </c>
      <c r="P85">
        <v>0</v>
      </c>
    </row>
    <row r="86" spans="1:16" x14ac:dyDescent="0.25">
      <c r="A86" t="s">
        <v>3789</v>
      </c>
      <c r="B86" t="s">
        <v>3790</v>
      </c>
      <c r="C86">
        <v>8017</v>
      </c>
      <c r="D86" t="s">
        <v>620</v>
      </c>
      <c r="E86" t="s">
        <v>21</v>
      </c>
      <c r="F86">
        <v>3932</v>
      </c>
      <c r="G86" t="s">
        <v>5000</v>
      </c>
      <c r="H86" t="s">
        <v>4994</v>
      </c>
      <c r="I86">
        <v>4.2857000000000003</v>
      </c>
      <c r="J86" t="s">
        <v>5012</v>
      </c>
      <c r="K86" t="s">
        <v>4993</v>
      </c>
      <c r="L86">
        <v>14</v>
      </c>
      <c r="M86">
        <v>9</v>
      </c>
      <c r="N86" t="s">
        <v>5013</v>
      </c>
      <c r="O86">
        <v>0</v>
      </c>
      <c r="P86">
        <v>0</v>
      </c>
    </row>
    <row r="87" spans="1:16" x14ac:dyDescent="0.25">
      <c r="A87" t="s">
        <v>3791</v>
      </c>
      <c r="B87" t="s">
        <v>3792</v>
      </c>
      <c r="C87">
        <v>6283</v>
      </c>
      <c r="D87" t="s">
        <v>1696</v>
      </c>
      <c r="E87" t="s">
        <v>8</v>
      </c>
      <c r="F87">
        <v>3928</v>
      </c>
      <c r="G87" t="s">
        <v>5000</v>
      </c>
      <c r="H87" t="s">
        <v>4994</v>
      </c>
      <c r="I87">
        <v>5</v>
      </c>
      <c r="J87" t="s">
        <v>5012</v>
      </c>
      <c r="K87" t="s">
        <v>4993</v>
      </c>
      <c r="L87">
        <v>16</v>
      </c>
      <c r="M87">
        <v>105</v>
      </c>
      <c r="N87" t="s">
        <v>5014</v>
      </c>
      <c r="O87">
        <v>0</v>
      </c>
      <c r="P87">
        <v>0</v>
      </c>
    </row>
    <row r="88" spans="1:16" x14ac:dyDescent="0.25">
      <c r="A88" t="s">
        <v>3793</v>
      </c>
      <c r="B88" t="s">
        <v>3794</v>
      </c>
      <c r="C88">
        <v>6303</v>
      </c>
      <c r="D88" t="s">
        <v>3247</v>
      </c>
      <c r="E88" t="s">
        <v>8</v>
      </c>
      <c r="F88">
        <v>3924</v>
      </c>
      <c r="G88" t="s">
        <v>5000</v>
      </c>
      <c r="H88" t="s">
        <v>4994</v>
      </c>
      <c r="I88">
        <v>4.125</v>
      </c>
      <c r="J88" t="s">
        <v>5012</v>
      </c>
      <c r="K88" t="s">
        <v>4993</v>
      </c>
      <c r="L88">
        <v>24</v>
      </c>
      <c r="M88">
        <v>46</v>
      </c>
      <c r="N88" t="s">
        <v>5015</v>
      </c>
      <c r="O88">
        <v>0</v>
      </c>
      <c r="P88">
        <v>0</v>
      </c>
    </row>
    <row r="89" spans="1:16" x14ac:dyDescent="0.25">
      <c r="A89" t="s">
        <v>3795</v>
      </c>
      <c r="B89" t="s">
        <v>1138</v>
      </c>
      <c r="C89">
        <v>3902</v>
      </c>
      <c r="D89" t="s">
        <v>72</v>
      </c>
      <c r="E89" t="s">
        <v>201</v>
      </c>
      <c r="F89">
        <v>3924</v>
      </c>
      <c r="G89" t="s">
        <v>5000</v>
      </c>
      <c r="H89" t="s">
        <v>4994</v>
      </c>
      <c r="I89">
        <v>4</v>
      </c>
      <c r="J89" t="s">
        <v>5012</v>
      </c>
      <c r="K89" t="s">
        <v>4993</v>
      </c>
      <c r="L89">
        <v>2</v>
      </c>
      <c r="M89">
        <v>35</v>
      </c>
      <c r="N89" t="s">
        <v>5015</v>
      </c>
      <c r="O89">
        <v>0</v>
      </c>
      <c r="P89">
        <v>0</v>
      </c>
    </row>
    <row r="90" spans="1:16" x14ac:dyDescent="0.25">
      <c r="A90" t="s">
        <v>3796</v>
      </c>
      <c r="B90" t="s">
        <v>3797</v>
      </c>
      <c r="C90">
        <v>6219</v>
      </c>
      <c r="D90" t="s">
        <v>277</v>
      </c>
      <c r="E90" t="s">
        <v>8</v>
      </c>
      <c r="F90">
        <v>3898</v>
      </c>
      <c r="G90" t="s">
        <v>5000</v>
      </c>
      <c r="H90" t="s">
        <v>4994</v>
      </c>
      <c r="I90">
        <v>4.8080999999999996</v>
      </c>
      <c r="J90" t="s">
        <v>5012</v>
      </c>
      <c r="K90" t="s">
        <v>4993</v>
      </c>
      <c r="L90">
        <v>344</v>
      </c>
      <c r="M90">
        <v>92</v>
      </c>
      <c r="N90" t="s">
        <v>5014</v>
      </c>
      <c r="O90">
        <v>0</v>
      </c>
      <c r="P90">
        <v>0</v>
      </c>
    </row>
    <row r="91" spans="1:16" x14ac:dyDescent="0.25">
      <c r="A91" t="s">
        <v>3798</v>
      </c>
      <c r="B91" t="s">
        <v>3799</v>
      </c>
      <c r="C91">
        <v>5715</v>
      </c>
      <c r="D91" t="s">
        <v>979</v>
      </c>
      <c r="E91" t="s">
        <v>21</v>
      </c>
      <c r="F91">
        <v>3897</v>
      </c>
      <c r="G91" t="s">
        <v>5000</v>
      </c>
      <c r="H91" t="s">
        <v>4994</v>
      </c>
      <c r="I91">
        <v>4.0517000000000003</v>
      </c>
      <c r="J91" t="s">
        <v>5012</v>
      </c>
      <c r="K91" t="s">
        <v>4993</v>
      </c>
      <c r="L91">
        <v>58</v>
      </c>
      <c r="M91">
        <v>45</v>
      </c>
      <c r="N91" t="s">
        <v>5015</v>
      </c>
      <c r="O91">
        <v>0</v>
      </c>
      <c r="P91">
        <v>0</v>
      </c>
    </row>
    <row r="92" spans="1:16" x14ac:dyDescent="0.25">
      <c r="A92" t="s">
        <v>3806</v>
      </c>
      <c r="B92" t="s">
        <v>3807</v>
      </c>
      <c r="C92">
        <v>6084</v>
      </c>
      <c r="D92" t="s">
        <v>269</v>
      </c>
      <c r="E92" t="s">
        <v>21</v>
      </c>
      <c r="F92">
        <v>3863</v>
      </c>
      <c r="G92" t="s">
        <v>5000</v>
      </c>
      <c r="H92" t="s">
        <v>4994</v>
      </c>
      <c r="I92">
        <v>4.5454999999999997</v>
      </c>
      <c r="J92" t="s">
        <v>5012</v>
      </c>
      <c r="K92" t="s">
        <v>4993</v>
      </c>
      <c r="L92">
        <v>11</v>
      </c>
      <c r="M92">
        <v>315</v>
      </c>
      <c r="N92" t="s">
        <v>5014</v>
      </c>
      <c r="O92">
        <v>0</v>
      </c>
      <c r="P92">
        <v>0</v>
      </c>
    </row>
    <row r="93" spans="1:16" x14ac:dyDescent="0.25">
      <c r="A93" t="s">
        <v>3808</v>
      </c>
      <c r="B93" t="s">
        <v>3809</v>
      </c>
      <c r="C93">
        <v>6488</v>
      </c>
      <c r="D93" t="s">
        <v>2933</v>
      </c>
      <c r="E93" t="s">
        <v>13</v>
      </c>
      <c r="F93">
        <v>3860</v>
      </c>
      <c r="G93" t="s">
        <v>5000</v>
      </c>
      <c r="H93" t="s">
        <v>4994</v>
      </c>
      <c r="I93">
        <v>4.6936999999999998</v>
      </c>
      <c r="J93" t="s">
        <v>5012</v>
      </c>
      <c r="K93" t="s">
        <v>4993</v>
      </c>
      <c r="L93">
        <v>111</v>
      </c>
      <c r="M93">
        <v>32</v>
      </c>
      <c r="N93" t="s">
        <v>5015</v>
      </c>
      <c r="O93">
        <v>0</v>
      </c>
      <c r="P93">
        <v>0</v>
      </c>
    </row>
    <row r="94" spans="1:16" x14ac:dyDescent="0.25">
      <c r="A94" t="s">
        <v>3810</v>
      </c>
      <c r="B94" t="s">
        <v>3811</v>
      </c>
      <c r="C94">
        <v>5337</v>
      </c>
      <c r="D94" t="s">
        <v>209</v>
      </c>
      <c r="E94" t="s">
        <v>49</v>
      </c>
      <c r="F94">
        <v>3841</v>
      </c>
      <c r="G94" t="s">
        <v>5000</v>
      </c>
      <c r="H94" t="s">
        <v>4994</v>
      </c>
      <c r="I94">
        <v>4.3071999999999999</v>
      </c>
      <c r="J94" t="s">
        <v>5012</v>
      </c>
      <c r="K94" t="s">
        <v>4993</v>
      </c>
      <c r="L94">
        <v>485</v>
      </c>
      <c r="M94">
        <v>38</v>
      </c>
      <c r="N94" t="s">
        <v>5015</v>
      </c>
      <c r="O94">
        <v>0</v>
      </c>
      <c r="P94">
        <v>0</v>
      </c>
    </row>
    <row r="95" spans="1:16" x14ac:dyDescent="0.25">
      <c r="A95" t="s">
        <v>3812</v>
      </c>
      <c r="B95" t="s">
        <v>3813</v>
      </c>
      <c r="C95">
        <v>6334</v>
      </c>
      <c r="D95" t="s">
        <v>2819</v>
      </c>
      <c r="E95" t="s">
        <v>13</v>
      </c>
      <c r="F95">
        <v>3840</v>
      </c>
      <c r="G95" t="s">
        <v>5000</v>
      </c>
      <c r="H95" t="s">
        <v>4994</v>
      </c>
      <c r="I95">
        <v>4.5980999999999996</v>
      </c>
      <c r="J95" t="s">
        <v>5012</v>
      </c>
      <c r="K95" t="s">
        <v>4993</v>
      </c>
      <c r="L95">
        <v>107</v>
      </c>
      <c r="M95">
        <v>38</v>
      </c>
      <c r="N95" t="s">
        <v>5015</v>
      </c>
      <c r="O95">
        <v>0</v>
      </c>
      <c r="P95">
        <v>0</v>
      </c>
    </row>
    <row r="96" spans="1:16" x14ac:dyDescent="0.25">
      <c r="A96" t="s">
        <v>3814</v>
      </c>
      <c r="B96" t="s">
        <v>3815</v>
      </c>
      <c r="C96">
        <v>3733</v>
      </c>
      <c r="D96" t="s">
        <v>124</v>
      </c>
      <c r="E96" t="s">
        <v>8</v>
      </c>
      <c r="F96">
        <v>3806</v>
      </c>
      <c r="G96" t="s">
        <v>5000</v>
      </c>
      <c r="H96" t="s">
        <v>4994</v>
      </c>
      <c r="I96">
        <v>4.4356</v>
      </c>
      <c r="J96" t="s">
        <v>5012</v>
      </c>
      <c r="K96" t="s">
        <v>4993</v>
      </c>
      <c r="L96">
        <v>225</v>
      </c>
      <c r="M96">
        <v>61</v>
      </c>
      <c r="N96" t="s">
        <v>5014</v>
      </c>
      <c r="O96">
        <v>0</v>
      </c>
      <c r="P96">
        <v>0</v>
      </c>
    </row>
    <row r="97" spans="1:16" x14ac:dyDescent="0.25">
      <c r="A97" t="s">
        <v>3816</v>
      </c>
      <c r="B97" t="s">
        <v>3817</v>
      </c>
      <c r="C97">
        <v>6373</v>
      </c>
      <c r="D97" t="s">
        <v>1652</v>
      </c>
      <c r="E97" t="s">
        <v>49</v>
      </c>
      <c r="F97">
        <v>3802</v>
      </c>
      <c r="G97" t="s">
        <v>5000</v>
      </c>
      <c r="H97" t="s">
        <v>4994</v>
      </c>
      <c r="I97">
        <v>4.3548</v>
      </c>
      <c r="J97" t="s">
        <v>5012</v>
      </c>
      <c r="K97" t="s">
        <v>4993</v>
      </c>
      <c r="L97">
        <v>62</v>
      </c>
      <c r="M97">
        <v>38</v>
      </c>
      <c r="N97" t="s">
        <v>5015</v>
      </c>
      <c r="O97">
        <v>0</v>
      </c>
      <c r="P97">
        <v>0</v>
      </c>
    </row>
    <row r="98" spans="1:16" x14ac:dyDescent="0.25">
      <c r="A98" t="s">
        <v>3822</v>
      </c>
      <c r="B98" t="s">
        <v>3823</v>
      </c>
      <c r="C98">
        <v>6358</v>
      </c>
      <c r="D98" t="s">
        <v>2301</v>
      </c>
      <c r="E98" t="s">
        <v>21</v>
      </c>
      <c r="F98">
        <v>3783</v>
      </c>
      <c r="G98" t="s">
        <v>5000</v>
      </c>
      <c r="H98" t="s">
        <v>4994</v>
      </c>
      <c r="I98">
        <v>4.6848000000000001</v>
      </c>
      <c r="J98" t="s">
        <v>5012</v>
      </c>
      <c r="K98" t="s">
        <v>4993</v>
      </c>
      <c r="L98">
        <v>92</v>
      </c>
      <c r="M98">
        <v>82</v>
      </c>
      <c r="N98" t="s">
        <v>5014</v>
      </c>
      <c r="O98">
        <v>0</v>
      </c>
      <c r="P98">
        <v>0</v>
      </c>
    </row>
    <row r="99" spans="1:16" x14ac:dyDescent="0.25">
      <c r="A99" t="s">
        <v>3824</v>
      </c>
      <c r="B99" t="s">
        <v>3825</v>
      </c>
      <c r="C99">
        <v>4164</v>
      </c>
      <c r="D99" t="s">
        <v>623</v>
      </c>
      <c r="E99" t="s">
        <v>220</v>
      </c>
      <c r="F99">
        <v>3779</v>
      </c>
      <c r="G99" t="s">
        <v>5000</v>
      </c>
      <c r="H99" t="s">
        <v>4994</v>
      </c>
      <c r="I99">
        <v>5</v>
      </c>
      <c r="J99" t="s">
        <v>5012</v>
      </c>
      <c r="K99" t="s">
        <v>4993</v>
      </c>
      <c r="L99">
        <v>2</v>
      </c>
      <c r="M99">
        <v>52</v>
      </c>
      <c r="N99" t="s">
        <v>5014</v>
      </c>
      <c r="O99">
        <v>0</v>
      </c>
      <c r="P99">
        <v>0</v>
      </c>
    </row>
    <row r="100" spans="1:16" x14ac:dyDescent="0.25">
      <c r="A100" t="s">
        <v>3826</v>
      </c>
      <c r="B100" t="s">
        <v>3827</v>
      </c>
      <c r="C100">
        <v>6130</v>
      </c>
      <c r="D100" t="s">
        <v>200</v>
      </c>
      <c r="E100" t="s">
        <v>201</v>
      </c>
      <c r="F100">
        <v>3771</v>
      </c>
      <c r="G100" t="s">
        <v>5000</v>
      </c>
      <c r="H100" t="s">
        <v>4994</v>
      </c>
      <c r="I100">
        <v>4</v>
      </c>
      <c r="J100" t="s">
        <v>5012</v>
      </c>
      <c r="K100" t="s">
        <v>4993</v>
      </c>
      <c r="L100">
        <v>8</v>
      </c>
      <c r="M100">
        <v>55</v>
      </c>
      <c r="N100" t="s">
        <v>5014</v>
      </c>
      <c r="O100">
        <v>0</v>
      </c>
      <c r="P100">
        <v>0</v>
      </c>
    </row>
    <row r="101" spans="1:16" x14ac:dyDescent="0.25">
      <c r="A101" t="s">
        <v>3830</v>
      </c>
      <c r="B101" t="s">
        <v>3831</v>
      </c>
      <c r="C101">
        <v>8012</v>
      </c>
      <c r="D101" t="s">
        <v>2864</v>
      </c>
      <c r="E101" t="s">
        <v>8</v>
      </c>
      <c r="F101">
        <v>3771</v>
      </c>
      <c r="G101" t="s">
        <v>5000</v>
      </c>
      <c r="H101" t="s">
        <v>4994</v>
      </c>
      <c r="I101">
        <v>4.7656000000000001</v>
      </c>
      <c r="J101" t="s">
        <v>5012</v>
      </c>
      <c r="K101" t="s">
        <v>4993</v>
      </c>
      <c r="L101">
        <v>64</v>
      </c>
      <c r="M101">
        <v>39</v>
      </c>
      <c r="N101" t="s">
        <v>5015</v>
      </c>
      <c r="O101">
        <v>0</v>
      </c>
      <c r="P101">
        <v>0</v>
      </c>
    </row>
    <row r="102" spans="1:16" x14ac:dyDescent="0.25">
      <c r="A102" t="s">
        <v>3832</v>
      </c>
      <c r="B102" t="s">
        <v>3833</v>
      </c>
      <c r="C102">
        <v>6294</v>
      </c>
      <c r="D102" t="s">
        <v>1520</v>
      </c>
      <c r="E102" t="s">
        <v>8</v>
      </c>
      <c r="F102">
        <v>3758</v>
      </c>
      <c r="G102" t="s">
        <v>5000</v>
      </c>
      <c r="H102" t="s">
        <v>4994</v>
      </c>
      <c r="I102">
        <v>4.7544000000000004</v>
      </c>
      <c r="J102" t="s">
        <v>5012</v>
      </c>
      <c r="K102" t="s">
        <v>4993</v>
      </c>
      <c r="L102">
        <v>57</v>
      </c>
      <c r="M102">
        <v>70</v>
      </c>
      <c r="N102" t="s">
        <v>5014</v>
      </c>
      <c r="O102">
        <v>0</v>
      </c>
      <c r="P102">
        <v>0</v>
      </c>
    </row>
    <row r="103" spans="1:16" x14ac:dyDescent="0.25">
      <c r="A103" t="s">
        <v>3834</v>
      </c>
      <c r="B103" t="s">
        <v>3835</v>
      </c>
      <c r="C103">
        <v>6488</v>
      </c>
      <c r="D103" t="s">
        <v>2933</v>
      </c>
      <c r="E103" t="s">
        <v>149</v>
      </c>
      <c r="F103">
        <v>3752</v>
      </c>
      <c r="G103" t="s">
        <v>5000</v>
      </c>
      <c r="H103" t="s">
        <v>4994</v>
      </c>
      <c r="I103">
        <v>4.3739999999999997</v>
      </c>
      <c r="J103" t="s">
        <v>5012</v>
      </c>
      <c r="K103" t="s">
        <v>4993</v>
      </c>
      <c r="L103">
        <v>123</v>
      </c>
      <c r="M103">
        <v>42</v>
      </c>
      <c r="N103" t="s">
        <v>5015</v>
      </c>
      <c r="O103">
        <v>0</v>
      </c>
      <c r="P103">
        <v>0</v>
      </c>
    </row>
    <row r="104" spans="1:16" x14ac:dyDescent="0.25">
      <c r="A104" t="s">
        <v>3838</v>
      </c>
      <c r="B104" t="s">
        <v>3839</v>
      </c>
      <c r="C104">
        <v>3902</v>
      </c>
      <c r="D104" t="s">
        <v>72</v>
      </c>
      <c r="E104" t="s">
        <v>220</v>
      </c>
      <c r="F104">
        <v>3742</v>
      </c>
      <c r="G104" t="s">
        <v>5000</v>
      </c>
      <c r="H104" t="s">
        <v>4994</v>
      </c>
      <c r="I104">
        <v>4.3333000000000004</v>
      </c>
      <c r="J104" t="s">
        <v>5012</v>
      </c>
      <c r="K104" t="s">
        <v>4993</v>
      </c>
      <c r="L104">
        <v>6</v>
      </c>
      <c r="M104">
        <v>20</v>
      </c>
      <c r="N104" t="s">
        <v>5015</v>
      </c>
      <c r="O104">
        <v>0</v>
      </c>
      <c r="P104">
        <v>0</v>
      </c>
    </row>
    <row r="105" spans="1:16" x14ac:dyDescent="0.25">
      <c r="A105" t="s">
        <v>3840</v>
      </c>
      <c r="B105" t="s">
        <v>3841</v>
      </c>
      <c r="C105">
        <v>5972</v>
      </c>
      <c r="D105" t="s">
        <v>54</v>
      </c>
      <c r="E105" t="s">
        <v>220</v>
      </c>
      <c r="F105">
        <v>3738</v>
      </c>
      <c r="G105" t="s">
        <v>5000</v>
      </c>
      <c r="H105" t="s">
        <v>4994</v>
      </c>
      <c r="I105">
        <v>4</v>
      </c>
      <c r="J105" t="s">
        <v>5012</v>
      </c>
      <c r="K105" t="s">
        <v>4993</v>
      </c>
      <c r="L105">
        <v>4</v>
      </c>
      <c r="M105">
        <v>30</v>
      </c>
      <c r="N105" t="s">
        <v>5015</v>
      </c>
      <c r="O105">
        <v>0</v>
      </c>
      <c r="P105">
        <v>0</v>
      </c>
    </row>
    <row r="106" spans="1:16" x14ac:dyDescent="0.25">
      <c r="A106" t="s">
        <v>3842</v>
      </c>
      <c r="B106" t="s">
        <v>3843</v>
      </c>
      <c r="C106">
        <v>6475</v>
      </c>
      <c r="D106" t="s">
        <v>3011</v>
      </c>
      <c r="E106" t="s">
        <v>21</v>
      </c>
      <c r="F106">
        <v>3733</v>
      </c>
      <c r="G106" t="s">
        <v>5000</v>
      </c>
      <c r="H106" t="s">
        <v>4994</v>
      </c>
      <c r="I106">
        <v>4.4570999999999996</v>
      </c>
      <c r="J106" t="s">
        <v>5012</v>
      </c>
      <c r="K106" t="s">
        <v>4993</v>
      </c>
      <c r="L106">
        <v>35</v>
      </c>
      <c r="M106">
        <v>45</v>
      </c>
      <c r="N106" t="s">
        <v>5015</v>
      </c>
      <c r="O106">
        <v>0</v>
      </c>
      <c r="P106">
        <v>0</v>
      </c>
    </row>
    <row r="107" spans="1:16" x14ac:dyDescent="0.25">
      <c r="A107" t="s">
        <v>3844</v>
      </c>
      <c r="B107" t="s">
        <v>3845</v>
      </c>
      <c r="C107">
        <v>6335</v>
      </c>
      <c r="D107" t="s">
        <v>2128</v>
      </c>
      <c r="E107" t="s">
        <v>8</v>
      </c>
      <c r="F107">
        <v>3724</v>
      </c>
      <c r="G107" t="s">
        <v>5000</v>
      </c>
      <c r="H107" t="s">
        <v>4994</v>
      </c>
      <c r="I107">
        <v>4.4409000000000001</v>
      </c>
      <c r="J107" t="s">
        <v>5012</v>
      </c>
      <c r="K107" t="s">
        <v>4993</v>
      </c>
      <c r="L107">
        <v>127</v>
      </c>
      <c r="M107">
        <v>58</v>
      </c>
      <c r="N107" t="s">
        <v>5014</v>
      </c>
      <c r="O107">
        <v>0</v>
      </c>
      <c r="P107">
        <v>0</v>
      </c>
    </row>
    <row r="108" spans="1:16" x14ac:dyDescent="0.25">
      <c r="A108" t="s">
        <v>3852</v>
      </c>
      <c r="B108" t="s">
        <v>3853</v>
      </c>
      <c r="C108">
        <v>7091</v>
      </c>
      <c r="D108" t="s">
        <v>879</v>
      </c>
      <c r="E108" t="s">
        <v>106</v>
      </c>
      <c r="F108">
        <v>3650</v>
      </c>
      <c r="G108" t="s">
        <v>5000</v>
      </c>
      <c r="H108" t="s">
        <v>4994</v>
      </c>
      <c r="I108">
        <v>4</v>
      </c>
      <c r="J108" t="s">
        <v>5012</v>
      </c>
      <c r="K108" t="s">
        <v>4993</v>
      </c>
      <c r="L108">
        <v>27</v>
      </c>
      <c r="M108">
        <v>48</v>
      </c>
      <c r="N108" t="s">
        <v>5015</v>
      </c>
      <c r="O108">
        <v>0</v>
      </c>
      <c r="P108">
        <v>0</v>
      </c>
    </row>
    <row r="109" spans="1:16" x14ac:dyDescent="0.25">
      <c r="A109" t="s">
        <v>3856</v>
      </c>
      <c r="B109" t="s">
        <v>3857</v>
      </c>
      <c r="C109">
        <v>5668</v>
      </c>
      <c r="D109" t="s">
        <v>93</v>
      </c>
      <c r="E109" t="s">
        <v>220</v>
      </c>
      <c r="F109">
        <v>3622</v>
      </c>
      <c r="G109" t="s">
        <v>5000</v>
      </c>
      <c r="H109" t="s">
        <v>4994</v>
      </c>
      <c r="I109">
        <v>4.6295999999999999</v>
      </c>
      <c r="J109" t="s">
        <v>5012</v>
      </c>
      <c r="K109" t="s">
        <v>4993</v>
      </c>
      <c r="L109">
        <v>27</v>
      </c>
      <c r="M109">
        <v>92</v>
      </c>
      <c r="N109" t="s">
        <v>5014</v>
      </c>
      <c r="O109">
        <v>0</v>
      </c>
      <c r="P109">
        <v>0</v>
      </c>
    </row>
    <row r="110" spans="1:16" x14ac:dyDescent="0.25">
      <c r="A110" t="s">
        <v>3858</v>
      </c>
      <c r="B110" t="s">
        <v>3859</v>
      </c>
      <c r="C110">
        <v>6307</v>
      </c>
      <c r="D110" t="s">
        <v>1132</v>
      </c>
      <c r="E110" t="s">
        <v>21</v>
      </c>
      <c r="F110">
        <v>3616</v>
      </c>
      <c r="G110" t="s">
        <v>5000</v>
      </c>
      <c r="H110" t="s">
        <v>4994</v>
      </c>
      <c r="I110">
        <v>4.4766000000000004</v>
      </c>
      <c r="J110" t="s">
        <v>5012</v>
      </c>
      <c r="K110" t="s">
        <v>4993</v>
      </c>
      <c r="L110">
        <v>342</v>
      </c>
      <c r="M110">
        <v>260</v>
      </c>
      <c r="N110" t="s">
        <v>5014</v>
      </c>
      <c r="O110">
        <v>0</v>
      </c>
      <c r="P110">
        <v>0</v>
      </c>
    </row>
    <row r="111" spans="1:16" x14ac:dyDescent="0.25">
      <c r="A111" t="s">
        <v>3860</v>
      </c>
      <c r="B111" t="s">
        <v>3861</v>
      </c>
      <c r="C111">
        <v>6283</v>
      </c>
      <c r="D111" t="s">
        <v>1696</v>
      </c>
      <c r="E111" t="s">
        <v>13</v>
      </c>
      <c r="F111">
        <v>3612</v>
      </c>
      <c r="G111" t="s">
        <v>5000</v>
      </c>
      <c r="H111" t="s">
        <v>4994</v>
      </c>
      <c r="I111">
        <v>4.5454999999999997</v>
      </c>
      <c r="J111" t="s">
        <v>5012</v>
      </c>
      <c r="K111" t="s">
        <v>4993</v>
      </c>
      <c r="L111">
        <v>77</v>
      </c>
      <c r="M111">
        <v>38</v>
      </c>
      <c r="N111" t="s">
        <v>5015</v>
      </c>
      <c r="O111">
        <v>0</v>
      </c>
      <c r="P111">
        <v>0</v>
      </c>
    </row>
    <row r="112" spans="1:16" x14ac:dyDescent="0.25">
      <c r="A112" t="s">
        <v>3862</v>
      </c>
      <c r="B112" t="s">
        <v>3863</v>
      </c>
      <c r="C112">
        <v>6114</v>
      </c>
      <c r="D112" t="s">
        <v>1355</v>
      </c>
      <c r="E112" t="s">
        <v>347</v>
      </c>
      <c r="F112">
        <v>3602</v>
      </c>
      <c r="G112" t="s">
        <v>5000</v>
      </c>
      <c r="H112" t="s">
        <v>4994</v>
      </c>
      <c r="I112">
        <v>4.7069000000000001</v>
      </c>
      <c r="J112" t="s">
        <v>5012</v>
      </c>
      <c r="K112" t="s">
        <v>4993</v>
      </c>
      <c r="L112">
        <v>58</v>
      </c>
      <c r="M112">
        <v>179</v>
      </c>
      <c r="N112" t="s">
        <v>5014</v>
      </c>
      <c r="O112">
        <v>0</v>
      </c>
      <c r="P112">
        <v>0</v>
      </c>
    </row>
    <row r="113" spans="1:16" x14ac:dyDescent="0.25">
      <c r="A113" t="s">
        <v>3864</v>
      </c>
      <c r="B113" t="s">
        <v>3865</v>
      </c>
      <c r="C113">
        <v>8012</v>
      </c>
      <c r="D113" t="s">
        <v>2864</v>
      </c>
      <c r="E113" t="s">
        <v>8</v>
      </c>
      <c r="F113">
        <v>3597</v>
      </c>
      <c r="G113" t="s">
        <v>5000</v>
      </c>
      <c r="H113" t="s">
        <v>4994</v>
      </c>
      <c r="I113">
        <v>4.5758000000000001</v>
      </c>
      <c r="J113" t="s">
        <v>5012</v>
      </c>
      <c r="K113" t="s">
        <v>4993</v>
      </c>
      <c r="L113">
        <v>99</v>
      </c>
      <c r="M113">
        <v>39</v>
      </c>
      <c r="N113" t="s">
        <v>5015</v>
      </c>
      <c r="O113">
        <v>0</v>
      </c>
      <c r="P113">
        <v>0</v>
      </c>
    </row>
    <row r="114" spans="1:16" x14ac:dyDescent="0.25">
      <c r="A114" t="s">
        <v>3866</v>
      </c>
      <c r="B114" t="s">
        <v>3867</v>
      </c>
      <c r="C114">
        <v>6209</v>
      </c>
      <c r="D114" t="s">
        <v>45</v>
      </c>
      <c r="E114" t="s">
        <v>220</v>
      </c>
      <c r="F114">
        <v>3592</v>
      </c>
      <c r="G114" t="s">
        <v>5000</v>
      </c>
      <c r="H114" t="s">
        <v>4994</v>
      </c>
      <c r="I114">
        <v>4.2222</v>
      </c>
      <c r="J114" t="s">
        <v>5012</v>
      </c>
      <c r="K114" t="s">
        <v>4993</v>
      </c>
      <c r="L114">
        <v>18</v>
      </c>
      <c r="M114">
        <v>48</v>
      </c>
      <c r="N114" t="s">
        <v>5015</v>
      </c>
      <c r="O114">
        <v>0</v>
      </c>
      <c r="P114">
        <v>0</v>
      </c>
    </row>
    <row r="115" spans="1:16" x14ac:dyDescent="0.25">
      <c r="A115" t="s">
        <v>3868</v>
      </c>
      <c r="B115" t="s">
        <v>3869</v>
      </c>
      <c r="C115">
        <v>6373</v>
      </c>
      <c r="D115" t="s">
        <v>1652</v>
      </c>
      <c r="E115" t="s">
        <v>13</v>
      </c>
      <c r="F115">
        <v>3585</v>
      </c>
      <c r="G115" t="s">
        <v>5000</v>
      </c>
      <c r="H115" t="s">
        <v>4994</v>
      </c>
      <c r="I115">
        <v>4.32</v>
      </c>
      <c r="J115" t="s">
        <v>5012</v>
      </c>
      <c r="K115" t="s">
        <v>4993</v>
      </c>
      <c r="L115">
        <v>50</v>
      </c>
      <c r="M115">
        <v>34</v>
      </c>
      <c r="N115" t="s">
        <v>5015</v>
      </c>
      <c r="O115">
        <v>0</v>
      </c>
      <c r="P115">
        <v>0</v>
      </c>
    </row>
    <row r="116" spans="1:16" x14ac:dyDescent="0.25">
      <c r="A116" t="s">
        <v>3872</v>
      </c>
      <c r="B116" t="s">
        <v>3873</v>
      </c>
      <c r="C116">
        <v>6307</v>
      </c>
      <c r="D116" t="s">
        <v>1132</v>
      </c>
      <c r="E116" t="s">
        <v>21</v>
      </c>
      <c r="F116">
        <v>3539</v>
      </c>
      <c r="G116" t="s">
        <v>5000</v>
      </c>
      <c r="H116" t="s">
        <v>4994</v>
      </c>
      <c r="I116">
        <v>5</v>
      </c>
      <c r="J116" t="s">
        <v>5012</v>
      </c>
      <c r="K116" t="s">
        <v>4993</v>
      </c>
      <c r="L116">
        <v>4</v>
      </c>
      <c r="M116">
        <v>68</v>
      </c>
      <c r="N116" t="s">
        <v>5014</v>
      </c>
      <c r="O116">
        <v>0</v>
      </c>
      <c r="P116">
        <v>0</v>
      </c>
    </row>
    <row r="117" spans="1:16" x14ac:dyDescent="0.25">
      <c r="A117" t="s">
        <v>3874</v>
      </c>
      <c r="B117" t="s">
        <v>3875</v>
      </c>
      <c r="C117">
        <v>4348</v>
      </c>
      <c r="D117" t="s">
        <v>61</v>
      </c>
      <c r="E117" t="s">
        <v>69</v>
      </c>
      <c r="F117">
        <v>3539</v>
      </c>
      <c r="G117" t="s">
        <v>5000</v>
      </c>
      <c r="H117" t="s">
        <v>4994</v>
      </c>
      <c r="I117">
        <v>5</v>
      </c>
      <c r="J117" t="s">
        <v>5012</v>
      </c>
      <c r="K117" t="s">
        <v>4993</v>
      </c>
      <c r="L117">
        <v>1</v>
      </c>
      <c r="M117">
        <v>28</v>
      </c>
      <c r="N117" t="s">
        <v>5015</v>
      </c>
      <c r="O117">
        <v>1</v>
      </c>
      <c r="P117">
        <v>0</v>
      </c>
    </row>
    <row r="118" spans="1:16" x14ac:dyDescent="0.25">
      <c r="A118" t="s">
        <v>3880</v>
      </c>
      <c r="B118" t="s">
        <v>3881</v>
      </c>
      <c r="C118">
        <v>5879</v>
      </c>
      <c r="D118" t="s">
        <v>3589</v>
      </c>
      <c r="E118" t="s">
        <v>21</v>
      </c>
      <c r="F118">
        <v>3526</v>
      </c>
      <c r="G118" t="s">
        <v>5000</v>
      </c>
      <c r="H118" t="s">
        <v>4994</v>
      </c>
      <c r="I118">
        <v>4.7691999999999997</v>
      </c>
      <c r="J118" t="s">
        <v>5012</v>
      </c>
      <c r="K118" t="s">
        <v>4993</v>
      </c>
      <c r="L118">
        <v>52</v>
      </c>
      <c r="M118">
        <v>65</v>
      </c>
      <c r="N118" t="s">
        <v>5014</v>
      </c>
      <c r="O118">
        <v>0</v>
      </c>
      <c r="P118">
        <v>0</v>
      </c>
    </row>
    <row r="119" spans="1:16" x14ac:dyDescent="0.25">
      <c r="A119" t="s">
        <v>3882</v>
      </c>
      <c r="B119" t="s">
        <v>3883</v>
      </c>
      <c r="C119">
        <v>3733</v>
      </c>
      <c r="D119" t="s">
        <v>124</v>
      </c>
      <c r="E119" t="s">
        <v>21</v>
      </c>
      <c r="F119">
        <v>3524</v>
      </c>
      <c r="G119" t="s">
        <v>5000</v>
      </c>
      <c r="H119" t="s">
        <v>4994</v>
      </c>
      <c r="I119">
        <v>4.2667000000000002</v>
      </c>
      <c r="J119" t="s">
        <v>5012</v>
      </c>
      <c r="K119" t="s">
        <v>4993</v>
      </c>
      <c r="L119">
        <v>15</v>
      </c>
      <c r="M119">
        <v>71</v>
      </c>
      <c r="N119" t="s">
        <v>5014</v>
      </c>
      <c r="O119">
        <v>0</v>
      </c>
      <c r="P119">
        <v>0</v>
      </c>
    </row>
    <row r="120" spans="1:16" x14ac:dyDescent="0.25">
      <c r="A120" t="s">
        <v>3884</v>
      </c>
      <c r="B120" t="s">
        <v>3885</v>
      </c>
      <c r="C120">
        <v>6218</v>
      </c>
      <c r="D120" t="s">
        <v>116</v>
      </c>
      <c r="E120" t="s">
        <v>13</v>
      </c>
      <c r="F120">
        <v>3514</v>
      </c>
      <c r="G120" t="s">
        <v>5000</v>
      </c>
      <c r="H120" t="s">
        <v>4994</v>
      </c>
      <c r="I120">
        <v>5</v>
      </c>
      <c r="J120" t="s">
        <v>5012</v>
      </c>
      <c r="K120" t="s">
        <v>4993</v>
      </c>
      <c r="L120">
        <v>3</v>
      </c>
      <c r="M120">
        <v>18</v>
      </c>
      <c r="N120" t="s">
        <v>5013</v>
      </c>
      <c r="O120">
        <v>0</v>
      </c>
      <c r="P120">
        <v>0</v>
      </c>
    </row>
    <row r="121" spans="1:16" x14ac:dyDescent="0.25">
      <c r="A121" t="s">
        <v>3886</v>
      </c>
      <c r="B121" t="s">
        <v>3887</v>
      </c>
      <c r="C121">
        <v>1073</v>
      </c>
      <c r="D121" t="s">
        <v>767</v>
      </c>
      <c r="E121" t="s">
        <v>21</v>
      </c>
      <c r="F121">
        <v>3512</v>
      </c>
      <c r="G121" t="s">
        <v>5000</v>
      </c>
      <c r="H121" t="s">
        <v>4994</v>
      </c>
      <c r="I121">
        <v>4.6416000000000004</v>
      </c>
      <c r="J121" t="s">
        <v>5012</v>
      </c>
      <c r="K121" t="s">
        <v>4993</v>
      </c>
      <c r="L121">
        <v>611</v>
      </c>
      <c r="M121">
        <v>60</v>
      </c>
      <c r="N121" t="s">
        <v>5014</v>
      </c>
      <c r="O121">
        <v>0</v>
      </c>
      <c r="P121">
        <v>0</v>
      </c>
    </row>
    <row r="122" spans="1:16" x14ac:dyDescent="0.25">
      <c r="A122" t="s">
        <v>3890</v>
      </c>
      <c r="B122" t="s">
        <v>3891</v>
      </c>
      <c r="C122">
        <v>3733</v>
      </c>
      <c r="D122" t="s">
        <v>124</v>
      </c>
      <c r="E122" t="s">
        <v>21</v>
      </c>
      <c r="F122">
        <v>3509</v>
      </c>
      <c r="G122" t="s">
        <v>5000</v>
      </c>
      <c r="H122" t="s">
        <v>4994</v>
      </c>
      <c r="I122">
        <v>4.5965999999999996</v>
      </c>
      <c r="J122" t="s">
        <v>5012</v>
      </c>
      <c r="K122" t="s">
        <v>4993</v>
      </c>
      <c r="L122">
        <v>119</v>
      </c>
      <c r="M122">
        <v>36</v>
      </c>
      <c r="N122" t="s">
        <v>5015</v>
      </c>
      <c r="O122">
        <v>0</v>
      </c>
      <c r="P122">
        <v>0</v>
      </c>
    </row>
    <row r="123" spans="1:16" x14ac:dyDescent="0.25">
      <c r="A123" t="s">
        <v>3892</v>
      </c>
      <c r="B123" t="s">
        <v>3893</v>
      </c>
      <c r="C123">
        <v>5922</v>
      </c>
      <c r="D123" t="s">
        <v>204</v>
      </c>
      <c r="E123" t="s">
        <v>21</v>
      </c>
      <c r="F123">
        <v>3498</v>
      </c>
      <c r="G123" t="s">
        <v>5000</v>
      </c>
      <c r="H123" t="s">
        <v>4994</v>
      </c>
      <c r="I123">
        <v>4.7518000000000002</v>
      </c>
      <c r="J123" t="s">
        <v>5012</v>
      </c>
      <c r="K123" t="s">
        <v>4993</v>
      </c>
      <c r="L123">
        <v>278</v>
      </c>
      <c r="M123">
        <v>54</v>
      </c>
      <c r="N123" t="s">
        <v>5014</v>
      </c>
      <c r="O123">
        <v>0</v>
      </c>
      <c r="P123">
        <v>0</v>
      </c>
    </row>
    <row r="124" spans="1:16" x14ac:dyDescent="0.25">
      <c r="A124" t="s">
        <v>3898</v>
      </c>
      <c r="B124" t="s">
        <v>3899</v>
      </c>
      <c r="C124">
        <v>6349</v>
      </c>
      <c r="D124" t="s">
        <v>2031</v>
      </c>
      <c r="E124" t="s">
        <v>13</v>
      </c>
      <c r="F124">
        <v>3446</v>
      </c>
      <c r="G124" t="s">
        <v>5000</v>
      </c>
      <c r="H124" t="s">
        <v>4994</v>
      </c>
      <c r="I124">
        <v>4.7929000000000004</v>
      </c>
      <c r="J124" t="s">
        <v>5012</v>
      </c>
      <c r="K124" t="s">
        <v>4993</v>
      </c>
      <c r="L124">
        <v>198</v>
      </c>
      <c r="M124">
        <v>38</v>
      </c>
      <c r="N124" t="s">
        <v>5015</v>
      </c>
      <c r="O124">
        <v>0</v>
      </c>
      <c r="P124">
        <v>0</v>
      </c>
    </row>
    <row r="125" spans="1:16" x14ac:dyDescent="0.25">
      <c r="A125" t="s">
        <v>3902</v>
      </c>
      <c r="B125" t="s">
        <v>3903</v>
      </c>
      <c r="C125">
        <v>6334</v>
      </c>
      <c r="D125" t="s">
        <v>2819</v>
      </c>
      <c r="E125" t="s">
        <v>8</v>
      </c>
      <c r="F125">
        <v>3425</v>
      </c>
      <c r="G125" t="s">
        <v>5000</v>
      </c>
      <c r="H125" t="s">
        <v>4994</v>
      </c>
      <c r="I125">
        <v>4.4095000000000004</v>
      </c>
      <c r="J125" t="s">
        <v>5012</v>
      </c>
      <c r="K125" t="s">
        <v>4993</v>
      </c>
      <c r="L125">
        <v>105</v>
      </c>
      <c r="M125">
        <v>42</v>
      </c>
      <c r="N125" t="s">
        <v>5015</v>
      </c>
      <c r="O125">
        <v>0</v>
      </c>
      <c r="P125">
        <v>0</v>
      </c>
    </row>
    <row r="126" spans="1:16" x14ac:dyDescent="0.25">
      <c r="A126" t="s">
        <v>3906</v>
      </c>
      <c r="B126" t="s">
        <v>3907</v>
      </c>
      <c r="C126">
        <v>6169</v>
      </c>
      <c r="D126" t="s">
        <v>24</v>
      </c>
      <c r="E126" t="s">
        <v>149</v>
      </c>
      <c r="F126">
        <v>3420</v>
      </c>
      <c r="G126" t="s">
        <v>5000</v>
      </c>
      <c r="H126" t="s">
        <v>4994</v>
      </c>
      <c r="I126">
        <v>4.8</v>
      </c>
      <c r="J126" t="s">
        <v>5012</v>
      </c>
      <c r="K126" t="s">
        <v>4993</v>
      </c>
      <c r="L126">
        <v>45</v>
      </c>
      <c r="M126">
        <v>48</v>
      </c>
      <c r="N126" t="s">
        <v>5015</v>
      </c>
      <c r="O126">
        <v>1</v>
      </c>
      <c r="P126">
        <v>0</v>
      </c>
    </row>
    <row r="127" spans="1:16" x14ac:dyDescent="0.25">
      <c r="A127" t="s">
        <v>3908</v>
      </c>
      <c r="B127" t="s">
        <v>3909</v>
      </c>
      <c r="C127">
        <v>3902</v>
      </c>
      <c r="D127" t="s">
        <v>72</v>
      </c>
      <c r="E127" t="s">
        <v>347</v>
      </c>
      <c r="F127">
        <v>3419</v>
      </c>
      <c r="G127" t="s">
        <v>5000</v>
      </c>
      <c r="H127" t="s">
        <v>4994</v>
      </c>
      <c r="I127">
        <v>4.1429</v>
      </c>
      <c r="J127" t="s">
        <v>5012</v>
      </c>
      <c r="K127" t="s">
        <v>4993</v>
      </c>
      <c r="L127">
        <v>7</v>
      </c>
      <c r="M127">
        <v>8</v>
      </c>
      <c r="N127" t="s">
        <v>5013</v>
      </c>
      <c r="O127">
        <v>0</v>
      </c>
      <c r="P127">
        <v>0</v>
      </c>
    </row>
    <row r="128" spans="1:16" x14ac:dyDescent="0.25">
      <c r="A128" t="s">
        <v>3916</v>
      </c>
      <c r="B128" t="s">
        <v>3917</v>
      </c>
      <c r="C128">
        <v>5946</v>
      </c>
      <c r="D128" t="s">
        <v>341</v>
      </c>
      <c r="E128" t="s">
        <v>220</v>
      </c>
      <c r="F128">
        <v>3372</v>
      </c>
      <c r="G128" t="s">
        <v>5000</v>
      </c>
      <c r="H128" t="s">
        <v>4994</v>
      </c>
      <c r="I128">
        <v>4.9066999999999998</v>
      </c>
      <c r="J128" t="s">
        <v>5012</v>
      </c>
      <c r="K128" t="s">
        <v>4993</v>
      </c>
      <c r="L128">
        <v>75</v>
      </c>
      <c r="M128">
        <v>72</v>
      </c>
      <c r="N128" t="s">
        <v>5014</v>
      </c>
      <c r="O128">
        <v>0</v>
      </c>
      <c r="P128">
        <v>0</v>
      </c>
    </row>
    <row r="129" spans="1:16" x14ac:dyDescent="0.25">
      <c r="A129" t="s">
        <v>3918</v>
      </c>
      <c r="B129" t="s">
        <v>3919</v>
      </c>
      <c r="C129">
        <v>4348</v>
      </c>
      <c r="D129" t="s">
        <v>61</v>
      </c>
      <c r="E129" t="s">
        <v>21</v>
      </c>
      <c r="F129">
        <v>3371</v>
      </c>
      <c r="G129" t="s">
        <v>5000</v>
      </c>
      <c r="H129" t="s">
        <v>4994</v>
      </c>
      <c r="I129">
        <v>4.0065</v>
      </c>
      <c r="J129" t="s">
        <v>5012</v>
      </c>
      <c r="K129" t="s">
        <v>4993</v>
      </c>
      <c r="L129">
        <v>153</v>
      </c>
      <c r="M129">
        <v>95</v>
      </c>
      <c r="N129" t="s">
        <v>5014</v>
      </c>
      <c r="O129">
        <v>0</v>
      </c>
      <c r="P129">
        <v>0</v>
      </c>
    </row>
    <row r="130" spans="1:16" x14ac:dyDescent="0.25">
      <c r="A130" t="s">
        <v>3920</v>
      </c>
      <c r="B130" t="s">
        <v>3921</v>
      </c>
      <c r="C130">
        <v>6084</v>
      </c>
      <c r="D130" t="s">
        <v>269</v>
      </c>
      <c r="E130" t="s">
        <v>21</v>
      </c>
      <c r="F130">
        <v>3361</v>
      </c>
      <c r="G130" t="s">
        <v>5000</v>
      </c>
      <c r="H130" t="s">
        <v>4994</v>
      </c>
      <c r="I130">
        <v>4.1878000000000002</v>
      </c>
      <c r="J130" t="s">
        <v>5012</v>
      </c>
      <c r="K130" t="s">
        <v>4993</v>
      </c>
      <c r="L130">
        <v>442</v>
      </c>
      <c r="M130">
        <v>255</v>
      </c>
      <c r="N130" t="s">
        <v>5014</v>
      </c>
      <c r="O130">
        <v>0</v>
      </c>
      <c r="P130">
        <v>0</v>
      </c>
    </row>
    <row r="131" spans="1:16" x14ac:dyDescent="0.25">
      <c r="A131" t="s">
        <v>3926</v>
      </c>
      <c r="B131" t="s">
        <v>3927</v>
      </c>
      <c r="C131">
        <v>6272</v>
      </c>
      <c r="D131" t="s">
        <v>1711</v>
      </c>
      <c r="E131" t="s">
        <v>347</v>
      </c>
      <c r="F131">
        <v>3334</v>
      </c>
      <c r="G131" t="s">
        <v>5000</v>
      </c>
      <c r="H131" t="s">
        <v>4994</v>
      </c>
      <c r="I131">
        <v>4.1429</v>
      </c>
      <c r="J131" t="s">
        <v>5012</v>
      </c>
      <c r="K131" t="s">
        <v>4993</v>
      </c>
      <c r="L131">
        <v>7</v>
      </c>
      <c r="M131">
        <v>49</v>
      </c>
      <c r="N131" t="s">
        <v>5015</v>
      </c>
      <c r="O131">
        <v>0</v>
      </c>
      <c r="P131">
        <v>0</v>
      </c>
    </row>
    <row r="132" spans="1:16" x14ac:dyDescent="0.25">
      <c r="A132" t="s">
        <v>3928</v>
      </c>
      <c r="B132" t="s">
        <v>3929</v>
      </c>
      <c r="C132">
        <v>5644</v>
      </c>
      <c r="D132" t="s">
        <v>158</v>
      </c>
      <c r="E132" t="s">
        <v>21</v>
      </c>
      <c r="F132">
        <v>3331</v>
      </c>
      <c r="G132" t="s">
        <v>5000</v>
      </c>
      <c r="H132" t="s">
        <v>4994</v>
      </c>
      <c r="I132">
        <v>4.5</v>
      </c>
      <c r="J132" t="s">
        <v>5012</v>
      </c>
      <c r="K132" t="s">
        <v>4993</v>
      </c>
      <c r="L132">
        <v>2</v>
      </c>
      <c r="M132">
        <v>110</v>
      </c>
      <c r="N132" t="s">
        <v>5014</v>
      </c>
      <c r="O132">
        <v>0</v>
      </c>
      <c r="P132">
        <v>0</v>
      </c>
    </row>
    <row r="133" spans="1:16" x14ac:dyDescent="0.25">
      <c r="A133" t="s">
        <v>3930</v>
      </c>
      <c r="B133" t="s">
        <v>3931</v>
      </c>
      <c r="C133">
        <v>6358</v>
      </c>
      <c r="D133" t="s">
        <v>2301</v>
      </c>
      <c r="E133" t="s">
        <v>220</v>
      </c>
      <c r="F133">
        <v>3322</v>
      </c>
      <c r="G133" t="s">
        <v>5000</v>
      </c>
      <c r="H133" t="s">
        <v>4994</v>
      </c>
      <c r="I133">
        <v>4.5263</v>
      </c>
      <c r="J133" t="s">
        <v>5012</v>
      </c>
      <c r="K133" t="s">
        <v>4993</v>
      </c>
      <c r="L133">
        <v>19</v>
      </c>
      <c r="M133">
        <v>89</v>
      </c>
      <c r="N133" t="s">
        <v>5014</v>
      </c>
      <c r="O133">
        <v>0</v>
      </c>
      <c r="P133">
        <v>0</v>
      </c>
    </row>
    <row r="134" spans="1:16" x14ac:dyDescent="0.25">
      <c r="A134" t="s">
        <v>3932</v>
      </c>
      <c r="B134" t="s">
        <v>3933</v>
      </c>
      <c r="C134">
        <v>6371</v>
      </c>
      <c r="D134" t="s">
        <v>2583</v>
      </c>
      <c r="E134" t="s">
        <v>21</v>
      </c>
      <c r="F134">
        <v>3322</v>
      </c>
      <c r="G134" t="s">
        <v>5000</v>
      </c>
      <c r="H134" t="s">
        <v>4994</v>
      </c>
      <c r="I134">
        <v>4.1776</v>
      </c>
      <c r="J134" t="s">
        <v>5012</v>
      </c>
      <c r="K134" t="s">
        <v>4993</v>
      </c>
      <c r="L134">
        <v>490</v>
      </c>
      <c r="M134">
        <v>36</v>
      </c>
      <c r="N134" t="s">
        <v>5015</v>
      </c>
      <c r="O134">
        <v>0</v>
      </c>
      <c r="P134">
        <v>0</v>
      </c>
    </row>
    <row r="135" spans="1:16" x14ac:dyDescent="0.25">
      <c r="A135" t="s">
        <v>3934</v>
      </c>
      <c r="B135" t="s">
        <v>3935</v>
      </c>
      <c r="C135">
        <v>6201</v>
      </c>
      <c r="D135" t="s">
        <v>367</v>
      </c>
      <c r="E135" t="s">
        <v>144</v>
      </c>
      <c r="F135">
        <v>3320</v>
      </c>
      <c r="G135" t="s">
        <v>5000</v>
      </c>
      <c r="H135" t="s">
        <v>4994</v>
      </c>
      <c r="I135">
        <v>4.3</v>
      </c>
      <c r="J135" t="s">
        <v>5012</v>
      </c>
      <c r="K135" t="s">
        <v>4993</v>
      </c>
      <c r="L135">
        <v>10</v>
      </c>
      <c r="M135">
        <v>100</v>
      </c>
      <c r="N135" t="s">
        <v>5014</v>
      </c>
      <c r="O135">
        <v>0</v>
      </c>
      <c r="P135">
        <v>0</v>
      </c>
    </row>
    <row r="136" spans="1:16" x14ac:dyDescent="0.25">
      <c r="A136" t="s">
        <v>3936</v>
      </c>
      <c r="B136" t="s">
        <v>3937</v>
      </c>
      <c r="C136">
        <v>6018</v>
      </c>
      <c r="D136" t="s">
        <v>517</v>
      </c>
      <c r="E136" t="s">
        <v>21</v>
      </c>
      <c r="F136">
        <v>3317</v>
      </c>
      <c r="G136" t="s">
        <v>5000</v>
      </c>
      <c r="H136" t="s">
        <v>4994</v>
      </c>
      <c r="I136">
        <v>4.3243</v>
      </c>
      <c r="J136" t="s">
        <v>5012</v>
      </c>
      <c r="K136" t="s">
        <v>4993</v>
      </c>
      <c r="L136">
        <v>37</v>
      </c>
      <c r="M136">
        <v>96</v>
      </c>
      <c r="N136" t="s">
        <v>5014</v>
      </c>
      <c r="O136">
        <v>0</v>
      </c>
      <c r="P136">
        <v>0</v>
      </c>
    </row>
    <row r="137" spans="1:16" x14ac:dyDescent="0.25">
      <c r="A137" t="s">
        <v>3938</v>
      </c>
      <c r="B137" t="s">
        <v>3939</v>
      </c>
      <c r="C137">
        <v>6302</v>
      </c>
      <c r="D137" t="s">
        <v>2721</v>
      </c>
      <c r="E137" t="s">
        <v>21</v>
      </c>
      <c r="F137">
        <v>3298</v>
      </c>
      <c r="G137" t="s">
        <v>5000</v>
      </c>
      <c r="H137" t="s">
        <v>4994</v>
      </c>
      <c r="I137">
        <v>4.3182</v>
      </c>
      <c r="J137" t="s">
        <v>5012</v>
      </c>
      <c r="K137" t="s">
        <v>4993</v>
      </c>
      <c r="L137">
        <v>22</v>
      </c>
      <c r="M137">
        <v>240</v>
      </c>
      <c r="N137" t="s">
        <v>5014</v>
      </c>
      <c r="O137">
        <v>0</v>
      </c>
      <c r="P137">
        <v>0</v>
      </c>
    </row>
    <row r="138" spans="1:16" x14ac:dyDescent="0.25">
      <c r="A138" t="s">
        <v>3940</v>
      </c>
      <c r="B138" t="s">
        <v>3941</v>
      </c>
      <c r="C138">
        <v>6743</v>
      </c>
      <c r="D138" t="s">
        <v>3942</v>
      </c>
      <c r="E138" t="s">
        <v>149</v>
      </c>
      <c r="F138">
        <v>3298</v>
      </c>
      <c r="G138" t="s">
        <v>5000</v>
      </c>
      <c r="H138" t="s">
        <v>4994</v>
      </c>
      <c r="I138">
        <v>4.1379000000000001</v>
      </c>
      <c r="J138" t="s">
        <v>5012</v>
      </c>
      <c r="K138" t="s">
        <v>4993</v>
      </c>
      <c r="L138">
        <v>116</v>
      </c>
      <c r="M138">
        <v>18</v>
      </c>
      <c r="N138" t="s">
        <v>5013</v>
      </c>
      <c r="O138">
        <v>0</v>
      </c>
      <c r="P138">
        <v>0</v>
      </c>
    </row>
    <row r="139" spans="1:16" x14ac:dyDescent="0.25">
      <c r="A139" t="s">
        <v>3945</v>
      </c>
      <c r="B139" t="s">
        <v>3946</v>
      </c>
      <c r="C139">
        <v>1741</v>
      </c>
      <c r="D139" t="s">
        <v>388</v>
      </c>
      <c r="E139" t="s">
        <v>220</v>
      </c>
      <c r="F139">
        <v>3271</v>
      </c>
      <c r="G139" t="s">
        <v>5000</v>
      </c>
      <c r="H139" t="s">
        <v>4994</v>
      </c>
      <c r="I139">
        <v>4.2382999999999997</v>
      </c>
      <c r="J139" t="s">
        <v>5012</v>
      </c>
      <c r="K139" t="s">
        <v>4993</v>
      </c>
      <c r="L139">
        <v>1045</v>
      </c>
      <c r="M139">
        <v>65</v>
      </c>
      <c r="N139" t="s">
        <v>5014</v>
      </c>
      <c r="O139">
        <v>0</v>
      </c>
      <c r="P139">
        <v>0</v>
      </c>
    </row>
    <row r="140" spans="1:16" x14ac:dyDescent="0.25">
      <c r="A140" t="s">
        <v>3947</v>
      </c>
      <c r="B140" t="s">
        <v>3948</v>
      </c>
      <c r="C140">
        <v>6358</v>
      </c>
      <c r="D140" t="s">
        <v>2301</v>
      </c>
      <c r="E140" t="s">
        <v>149</v>
      </c>
      <c r="F140">
        <v>3261</v>
      </c>
      <c r="G140" t="s">
        <v>5000</v>
      </c>
      <c r="H140" t="s">
        <v>4994</v>
      </c>
      <c r="I140">
        <v>4.6889000000000003</v>
      </c>
      <c r="J140" t="s">
        <v>5012</v>
      </c>
      <c r="K140" t="s">
        <v>4993</v>
      </c>
      <c r="L140">
        <v>45</v>
      </c>
      <c r="M140">
        <v>65</v>
      </c>
      <c r="N140" t="s">
        <v>5014</v>
      </c>
      <c r="O140">
        <v>0</v>
      </c>
      <c r="P140">
        <v>0</v>
      </c>
    </row>
    <row r="141" spans="1:16" x14ac:dyDescent="0.25">
      <c r="A141" t="s">
        <v>3949</v>
      </c>
      <c r="B141" t="s">
        <v>3950</v>
      </c>
      <c r="C141">
        <v>4372</v>
      </c>
      <c r="D141" t="s">
        <v>1513</v>
      </c>
      <c r="E141" t="s">
        <v>8</v>
      </c>
      <c r="F141">
        <v>3259</v>
      </c>
      <c r="G141" t="s">
        <v>5000</v>
      </c>
      <c r="H141" t="s">
        <v>4994</v>
      </c>
      <c r="I141">
        <v>4.1852</v>
      </c>
      <c r="J141" t="s">
        <v>5012</v>
      </c>
      <c r="K141" t="s">
        <v>4993</v>
      </c>
      <c r="L141">
        <v>54</v>
      </c>
      <c r="M141">
        <v>152</v>
      </c>
      <c r="N141" t="s">
        <v>5014</v>
      </c>
      <c r="O141">
        <v>0</v>
      </c>
      <c r="P141">
        <v>0</v>
      </c>
    </row>
    <row r="142" spans="1:16" x14ac:dyDescent="0.25">
      <c r="A142" t="s">
        <v>3951</v>
      </c>
      <c r="B142" t="s">
        <v>3952</v>
      </c>
      <c r="C142">
        <v>6084</v>
      </c>
      <c r="D142" t="s">
        <v>269</v>
      </c>
      <c r="E142" t="s">
        <v>149</v>
      </c>
      <c r="F142">
        <v>3246</v>
      </c>
      <c r="G142" t="s">
        <v>5000</v>
      </c>
      <c r="H142" t="s">
        <v>4994</v>
      </c>
      <c r="I142">
        <v>4.3226000000000004</v>
      </c>
      <c r="J142" t="s">
        <v>5012</v>
      </c>
      <c r="K142" t="s">
        <v>4993</v>
      </c>
      <c r="L142">
        <v>747</v>
      </c>
      <c r="M142">
        <v>145</v>
      </c>
      <c r="N142" t="s">
        <v>5014</v>
      </c>
      <c r="O142">
        <v>0</v>
      </c>
      <c r="P142">
        <v>0</v>
      </c>
    </row>
    <row r="143" spans="1:16" x14ac:dyDescent="0.25">
      <c r="A143" t="s">
        <v>3953</v>
      </c>
      <c r="B143" t="s">
        <v>3954</v>
      </c>
      <c r="C143">
        <v>3902</v>
      </c>
      <c r="D143" t="s">
        <v>72</v>
      </c>
      <c r="E143" t="s">
        <v>8</v>
      </c>
      <c r="F143">
        <v>3242</v>
      </c>
      <c r="G143" t="s">
        <v>5000</v>
      </c>
      <c r="H143" t="s">
        <v>4994</v>
      </c>
      <c r="I143">
        <v>4.8445</v>
      </c>
      <c r="J143" t="s">
        <v>5012</v>
      </c>
      <c r="K143" t="s">
        <v>4993</v>
      </c>
      <c r="L143">
        <v>238</v>
      </c>
      <c r="M143">
        <v>20</v>
      </c>
      <c r="N143" t="s">
        <v>5015</v>
      </c>
      <c r="O143">
        <v>1</v>
      </c>
      <c r="P143">
        <v>0</v>
      </c>
    </row>
    <row r="144" spans="1:16" x14ac:dyDescent="0.25">
      <c r="A144" t="s">
        <v>3955</v>
      </c>
      <c r="B144" t="s">
        <v>3956</v>
      </c>
      <c r="C144">
        <v>6309</v>
      </c>
      <c r="D144" t="s">
        <v>1735</v>
      </c>
      <c r="E144" t="s">
        <v>144</v>
      </c>
      <c r="F144">
        <v>3228</v>
      </c>
      <c r="G144" t="s">
        <v>5000</v>
      </c>
      <c r="H144" t="s">
        <v>4994</v>
      </c>
      <c r="I144">
        <v>4.2549999999999999</v>
      </c>
      <c r="J144" t="s">
        <v>5012</v>
      </c>
      <c r="K144" t="s">
        <v>4993</v>
      </c>
      <c r="L144">
        <v>1196</v>
      </c>
      <c r="M144">
        <v>45</v>
      </c>
      <c r="N144" t="s">
        <v>5015</v>
      </c>
      <c r="O144">
        <v>0</v>
      </c>
      <c r="P144">
        <v>0</v>
      </c>
    </row>
    <row r="145" spans="1:16" x14ac:dyDescent="0.25">
      <c r="A145" t="s">
        <v>3957</v>
      </c>
      <c r="B145" t="s">
        <v>3958</v>
      </c>
      <c r="C145">
        <v>5946</v>
      </c>
      <c r="D145" t="s">
        <v>341</v>
      </c>
      <c r="E145" t="s">
        <v>21</v>
      </c>
      <c r="F145">
        <v>3226</v>
      </c>
      <c r="G145" t="s">
        <v>5000</v>
      </c>
      <c r="H145" t="s">
        <v>4994</v>
      </c>
      <c r="I145">
        <v>4.8255999999999997</v>
      </c>
      <c r="J145" t="s">
        <v>5012</v>
      </c>
      <c r="K145" t="s">
        <v>4993</v>
      </c>
      <c r="L145">
        <v>86</v>
      </c>
      <c r="M145">
        <v>76</v>
      </c>
      <c r="N145" t="s">
        <v>5014</v>
      </c>
      <c r="O145">
        <v>0</v>
      </c>
      <c r="P145">
        <v>0</v>
      </c>
    </row>
    <row r="146" spans="1:16" x14ac:dyDescent="0.25">
      <c r="A146" t="s">
        <v>3959</v>
      </c>
      <c r="B146" t="s">
        <v>3960</v>
      </c>
      <c r="C146">
        <v>7100</v>
      </c>
      <c r="D146" t="s">
        <v>3756</v>
      </c>
      <c r="E146" t="s">
        <v>8</v>
      </c>
      <c r="F146">
        <v>3223</v>
      </c>
      <c r="G146" t="s">
        <v>5000</v>
      </c>
      <c r="H146" t="s">
        <v>4994</v>
      </c>
      <c r="I146">
        <v>4.5</v>
      </c>
      <c r="J146" t="s">
        <v>5012</v>
      </c>
      <c r="K146" t="s">
        <v>4993</v>
      </c>
      <c r="L146">
        <v>34</v>
      </c>
      <c r="M146">
        <v>70</v>
      </c>
      <c r="N146" t="s">
        <v>5014</v>
      </c>
      <c r="O146">
        <v>0</v>
      </c>
      <c r="P146">
        <v>0</v>
      </c>
    </row>
    <row r="147" spans="1:16" x14ac:dyDescent="0.25">
      <c r="A147" t="s">
        <v>3961</v>
      </c>
      <c r="B147" t="s">
        <v>3962</v>
      </c>
      <c r="C147">
        <v>8012</v>
      </c>
      <c r="D147" t="s">
        <v>2864</v>
      </c>
      <c r="E147" t="s">
        <v>21</v>
      </c>
      <c r="F147">
        <v>3211</v>
      </c>
      <c r="G147" t="s">
        <v>5000</v>
      </c>
      <c r="H147" t="s">
        <v>4994</v>
      </c>
      <c r="I147">
        <v>4.1905000000000001</v>
      </c>
      <c r="J147" t="s">
        <v>5012</v>
      </c>
      <c r="K147" t="s">
        <v>4993</v>
      </c>
      <c r="L147">
        <v>168</v>
      </c>
      <c r="M147">
        <v>35</v>
      </c>
      <c r="N147" t="s">
        <v>5015</v>
      </c>
      <c r="O147">
        <v>0</v>
      </c>
      <c r="P147">
        <v>0</v>
      </c>
    </row>
    <row r="148" spans="1:16" x14ac:dyDescent="0.25">
      <c r="A148" t="s">
        <v>3963</v>
      </c>
      <c r="B148" t="s">
        <v>3964</v>
      </c>
      <c r="C148">
        <v>6018</v>
      </c>
      <c r="D148" t="s">
        <v>517</v>
      </c>
      <c r="E148" t="s">
        <v>220</v>
      </c>
      <c r="F148">
        <v>3206</v>
      </c>
      <c r="G148" t="s">
        <v>5000</v>
      </c>
      <c r="H148" t="s">
        <v>4994</v>
      </c>
      <c r="I148">
        <v>4.8022999999999998</v>
      </c>
      <c r="J148" t="s">
        <v>5012</v>
      </c>
      <c r="K148" t="s">
        <v>4993</v>
      </c>
      <c r="L148">
        <v>258</v>
      </c>
      <c r="M148">
        <v>88</v>
      </c>
      <c r="N148" t="s">
        <v>5014</v>
      </c>
      <c r="O148">
        <v>0</v>
      </c>
      <c r="P148">
        <v>0</v>
      </c>
    </row>
    <row r="149" spans="1:16" x14ac:dyDescent="0.25">
      <c r="A149" t="s">
        <v>3965</v>
      </c>
      <c r="B149" t="s">
        <v>3966</v>
      </c>
      <c r="C149">
        <v>1254</v>
      </c>
      <c r="D149" t="s">
        <v>136</v>
      </c>
      <c r="E149" t="s">
        <v>21</v>
      </c>
      <c r="F149">
        <v>3174</v>
      </c>
      <c r="G149" t="s">
        <v>5000</v>
      </c>
      <c r="H149" t="s">
        <v>4994</v>
      </c>
      <c r="I149">
        <v>4.3143000000000002</v>
      </c>
      <c r="J149" t="s">
        <v>5012</v>
      </c>
      <c r="K149" t="s">
        <v>4993</v>
      </c>
      <c r="L149">
        <v>35</v>
      </c>
      <c r="M149">
        <v>64</v>
      </c>
      <c r="N149" t="s">
        <v>5014</v>
      </c>
      <c r="O149">
        <v>0</v>
      </c>
      <c r="P149">
        <v>0</v>
      </c>
    </row>
    <row r="150" spans="1:16" x14ac:dyDescent="0.25">
      <c r="A150" t="s">
        <v>3969</v>
      </c>
      <c r="B150" t="s">
        <v>3970</v>
      </c>
      <c r="C150">
        <v>6302</v>
      </c>
      <c r="D150" t="s">
        <v>2721</v>
      </c>
      <c r="E150" t="s">
        <v>13</v>
      </c>
      <c r="F150">
        <v>3148</v>
      </c>
      <c r="G150" t="s">
        <v>5000</v>
      </c>
      <c r="H150" t="s">
        <v>4994</v>
      </c>
      <c r="I150">
        <v>4.7778</v>
      </c>
      <c r="J150" t="s">
        <v>5012</v>
      </c>
      <c r="K150" t="s">
        <v>4993</v>
      </c>
      <c r="L150">
        <v>9</v>
      </c>
      <c r="M150">
        <v>75</v>
      </c>
      <c r="N150" t="s">
        <v>5014</v>
      </c>
      <c r="O150">
        <v>0</v>
      </c>
      <c r="P150">
        <v>0</v>
      </c>
    </row>
    <row r="151" spans="1:16" x14ac:dyDescent="0.25">
      <c r="A151" t="s">
        <v>3971</v>
      </c>
      <c r="B151" t="s">
        <v>3972</v>
      </c>
      <c r="C151">
        <v>6475</v>
      </c>
      <c r="D151" t="s">
        <v>3011</v>
      </c>
      <c r="E151" t="s">
        <v>13</v>
      </c>
      <c r="F151">
        <v>3144</v>
      </c>
      <c r="G151" t="s">
        <v>5000</v>
      </c>
      <c r="H151" t="s">
        <v>4994</v>
      </c>
      <c r="I151">
        <v>4.6364000000000001</v>
      </c>
      <c r="J151" t="s">
        <v>5012</v>
      </c>
      <c r="K151" t="s">
        <v>4993</v>
      </c>
      <c r="L151">
        <v>176</v>
      </c>
      <c r="M151">
        <v>45</v>
      </c>
      <c r="N151" t="s">
        <v>5015</v>
      </c>
      <c r="O151">
        <v>0</v>
      </c>
      <c r="P151">
        <v>0</v>
      </c>
    </row>
    <row r="152" spans="1:16" x14ac:dyDescent="0.25">
      <c r="A152" t="s">
        <v>3973</v>
      </c>
      <c r="B152" t="s">
        <v>3974</v>
      </c>
      <c r="C152">
        <v>6295</v>
      </c>
      <c r="D152" t="s">
        <v>184</v>
      </c>
      <c r="E152" t="s">
        <v>8</v>
      </c>
      <c r="F152">
        <v>3131</v>
      </c>
      <c r="G152" t="s">
        <v>5000</v>
      </c>
      <c r="H152" t="s">
        <v>4994</v>
      </c>
      <c r="I152">
        <v>4.5347</v>
      </c>
      <c r="J152" t="s">
        <v>5012</v>
      </c>
      <c r="K152" t="s">
        <v>4993</v>
      </c>
      <c r="L152">
        <v>101</v>
      </c>
      <c r="M152">
        <v>18</v>
      </c>
      <c r="N152" t="s">
        <v>5013</v>
      </c>
      <c r="O152">
        <v>0</v>
      </c>
      <c r="P152">
        <v>0</v>
      </c>
    </row>
    <row r="153" spans="1:16" x14ac:dyDescent="0.25">
      <c r="A153" t="s">
        <v>3977</v>
      </c>
      <c r="B153" t="s">
        <v>3978</v>
      </c>
      <c r="C153">
        <v>6307</v>
      </c>
      <c r="D153" t="s">
        <v>1132</v>
      </c>
      <c r="E153" t="s">
        <v>149</v>
      </c>
      <c r="F153">
        <v>3126</v>
      </c>
      <c r="G153" t="s">
        <v>5000</v>
      </c>
      <c r="H153" t="s">
        <v>4994</v>
      </c>
      <c r="I153">
        <v>4.3333000000000004</v>
      </c>
      <c r="J153" t="s">
        <v>5012</v>
      </c>
      <c r="K153" t="s">
        <v>4993</v>
      </c>
      <c r="L153">
        <v>3</v>
      </c>
      <c r="M153">
        <v>140</v>
      </c>
      <c r="N153" t="s">
        <v>5014</v>
      </c>
      <c r="O153">
        <v>0</v>
      </c>
      <c r="P153">
        <v>0</v>
      </c>
    </row>
    <row r="154" spans="1:16" x14ac:dyDescent="0.25">
      <c r="A154" t="s">
        <v>3979</v>
      </c>
      <c r="B154" t="s">
        <v>3980</v>
      </c>
      <c r="C154">
        <v>6117</v>
      </c>
      <c r="D154" t="s">
        <v>229</v>
      </c>
      <c r="E154" t="s">
        <v>21</v>
      </c>
      <c r="F154">
        <v>3119</v>
      </c>
      <c r="G154" t="s">
        <v>5000</v>
      </c>
      <c r="H154" t="s">
        <v>4994</v>
      </c>
      <c r="I154">
        <v>4.4169</v>
      </c>
      <c r="J154" t="s">
        <v>5012</v>
      </c>
      <c r="K154" t="s">
        <v>4993</v>
      </c>
      <c r="L154">
        <v>343</v>
      </c>
      <c r="M154">
        <v>60</v>
      </c>
      <c r="N154" t="s">
        <v>5014</v>
      </c>
      <c r="O154">
        <v>0</v>
      </c>
      <c r="P154">
        <v>0</v>
      </c>
    </row>
    <row r="155" spans="1:16" x14ac:dyDescent="0.25">
      <c r="A155" t="s">
        <v>3983</v>
      </c>
      <c r="B155" t="s">
        <v>3984</v>
      </c>
      <c r="C155">
        <v>1254</v>
      </c>
      <c r="D155" t="s">
        <v>136</v>
      </c>
      <c r="E155" t="s">
        <v>149</v>
      </c>
      <c r="F155">
        <v>3109</v>
      </c>
      <c r="G155" t="s">
        <v>5000</v>
      </c>
      <c r="H155" t="s">
        <v>4994</v>
      </c>
      <c r="I155">
        <v>4.24</v>
      </c>
      <c r="J155" t="s">
        <v>5012</v>
      </c>
      <c r="K155" t="s">
        <v>4993</v>
      </c>
      <c r="L155">
        <v>2017</v>
      </c>
      <c r="M155">
        <v>57</v>
      </c>
      <c r="N155" t="s">
        <v>5014</v>
      </c>
      <c r="O155">
        <v>0</v>
      </c>
      <c r="P155">
        <v>0</v>
      </c>
    </row>
    <row r="156" spans="1:16" x14ac:dyDescent="0.25">
      <c r="A156" t="s">
        <v>3989</v>
      </c>
      <c r="B156" t="s">
        <v>3990</v>
      </c>
      <c r="C156">
        <v>6329</v>
      </c>
      <c r="D156" t="s">
        <v>3435</v>
      </c>
      <c r="E156" t="s">
        <v>8</v>
      </c>
      <c r="F156">
        <v>3104</v>
      </c>
      <c r="G156" t="s">
        <v>5000</v>
      </c>
      <c r="H156" t="s">
        <v>4994</v>
      </c>
      <c r="I156">
        <v>4.9622999999999999</v>
      </c>
      <c r="J156" t="s">
        <v>5012</v>
      </c>
      <c r="K156" t="s">
        <v>4993</v>
      </c>
      <c r="L156">
        <v>53</v>
      </c>
      <c r="M156">
        <v>110</v>
      </c>
      <c r="N156" t="s">
        <v>5014</v>
      </c>
      <c r="O156">
        <v>0</v>
      </c>
      <c r="P156">
        <v>0</v>
      </c>
    </row>
    <row r="157" spans="1:16" x14ac:dyDescent="0.25">
      <c r="A157" t="s">
        <v>3987</v>
      </c>
      <c r="B157" t="s">
        <v>3988</v>
      </c>
      <c r="C157">
        <v>7020</v>
      </c>
      <c r="D157" t="s">
        <v>657</v>
      </c>
      <c r="E157" t="s">
        <v>144</v>
      </c>
      <c r="F157">
        <v>3104</v>
      </c>
      <c r="G157" t="s">
        <v>5000</v>
      </c>
      <c r="H157" t="s">
        <v>4994</v>
      </c>
      <c r="I157">
        <v>4.2058999999999997</v>
      </c>
      <c r="J157" t="s">
        <v>5012</v>
      </c>
      <c r="K157" t="s">
        <v>4993</v>
      </c>
      <c r="L157">
        <v>170</v>
      </c>
      <c r="M157">
        <v>46</v>
      </c>
      <c r="N157" t="s">
        <v>5015</v>
      </c>
      <c r="O157">
        <v>0</v>
      </c>
      <c r="P157">
        <v>0</v>
      </c>
    </row>
    <row r="158" spans="1:16" x14ac:dyDescent="0.25">
      <c r="A158" t="s">
        <v>3993</v>
      </c>
      <c r="B158" t="s">
        <v>3994</v>
      </c>
      <c r="C158">
        <v>1254</v>
      </c>
      <c r="D158" t="s">
        <v>136</v>
      </c>
      <c r="E158" t="s">
        <v>347</v>
      </c>
      <c r="F158">
        <v>3095</v>
      </c>
      <c r="G158" t="s">
        <v>5000</v>
      </c>
      <c r="H158" t="s">
        <v>4994</v>
      </c>
      <c r="I158">
        <v>4.5385</v>
      </c>
      <c r="J158" t="s">
        <v>5012</v>
      </c>
      <c r="K158" t="s">
        <v>4993</v>
      </c>
      <c r="L158">
        <v>13</v>
      </c>
      <c r="M158">
        <v>32</v>
      </c>
      <c r="N158" t="s">
        <v>5015</v>
      </c>
      <c r="O158">
        <v>0</v>
      </c>
      <c r="P158">
        <v>0</v>
      </c>
    </row>
    <row r="159" spans="1:16" x14ac:dyDescent="0.25">
      <c r="A159" t="s">
        <v>4001</v>
      </c>
      <c r="B159" t="s">
        <v>4002</v>
      </c>
      <c r="C159">
        <v>6114</v>
      </c>
      <c r="D159" t="s">
        <v>1355</v>
      </c>
      <c r="E159" t="s">
        <v>347</v>
      </c>
      <c r="F159">
        <v>3044</v>
      </c>
      <c r="G159" t="s">
        <v>5000</v>
      </c>
      <c r="H159" t="s">
        <v>4994</v>
      </c>
      <c r="I159">
        <v>4.2857000000000003</v>
      </c>
      <c r="J159" t="s">
        <v>5012</v>
      </c>
      <c r="K159" t="s">
        <v>4993</v>
      </c>
      <c r="L159">
        <v>77</v>
      </c>
      <c r="M159">
        <v>149</v>
      </c>
      <c r="N159" t="s">
        <v>5014</v>
      </c>
      <c r="O159">
        <v>0</v>
      </c>
      <c r="P159">
        <v>0</v>
      </c>
    </row>
    <row r="160" spans="1:16" x14ac:dyDescent="0.25">
      <c r="A160" t="s">
        <v>4003</v>
      </c>
      <c r="B160" t="s">
        <v>4004</v>
      </c>
      <c r="C160">
        <v>6226</v>
      </c>
      <c r="D160" t="s">
        <v>843</v>
      </c>
      <c r="E160" t="s">
        <v>201</v>
      </c>
      <c r="F160">
        <v>3042</v>
      </c>
      <c r="G160" t="s">
        <v>5000</v>
      </c>
      <c r="H160" t="s">
        <v>4994</v>
      </c>
      <c r="I160">
        <v>4.5932000000000004</v>
      </c>
      <c r="J160" t="s">
        <v>5012</v>
      </c>
      <c r="K160" t="s">
        <v>4993</v>
      </c>
      <c r="L160">
        <v>59</v>
      </c>
      <c r="M160">
        <v>42</v>
      </c>
      <c r="N160" t="s">
        <v>5015</v>
      </c>
      <c r="O160">
        <v>0</v>
      </c>
      <c r="P160">
        <v>0</v>
      </c>
    </row>
    <row r="161" spans="1:16" x14ac:dyDescent="0.25">
      <c r="A161" t="s">
        <v>4005</v>
      </c>
      <c r="B161" t="s">
        <v>4006</v>
      </c>
      <c r="C161">
        <v>6358</v>
      </c>
      <c r="D161" t="s">
        <v>2301</v>
      </c>
      <c r="E161" t="s">
        <v>8</v>
      </c>
      <c r="F161">
        <v>3033</v>
      </c>
      <c r="G161" t="s">
        <v>5000</v>
      </c>
      <c r="H161" t="s">
        <v>4994</v>
      </c>
      <c r="I161">
        <v>4.8085000000000004</v>
      </c>
      <c r="J161" t="s">
        <v>5012</v>
      </c>
      <c r="K161" t="s">
        <v>4993</v>
      </c>
      <c r="L161">
        <v>47</v>
      </c>
      <c r="M161">
        <v>99</v>
      </c>
      <c r="N161" t="s">
        <v>5014</v>
      </c>
      <c r="O161">
        <v>0</v>
      </c>
      <c r="P161">
        <v>0</v>
      </c>
    </row>
    <row r="162" spans="1:16" x14ac:dyDescent="0.25">
      <c r="A162" t="s">
        <v>4007</v>
      </c>
      <c r="B162" t="s">
        <v>4008</v>
      </c>
      <c r="C162">
        <v>6084</v>
      </c>
      <c r="D162" t="s">
        <v>269</v>
      </c>
      <c r="E162" t="s">
        <v>21</v>
      </c>
      <c r="F162">
        <v>3031</v>
      </c>
      <c r="G162" t="s">
        <v>5000</v>
      </c>
      <c r="H162" t="s">
        <v>4994</v>
      </c>
      <c r="I162">
        <v>4.4667000000000003</v>
      </c>
      <c r="J162" t="s">
        <v>5012</v>
      </c>
      <c r="K162" t="s">
        <v>4993</v>
      </c>
      <c r="L162">
        <v>60</v>
      </c>
      <c r="M162">
        <v>400</v>
      </c>
      <c r="N162" t="s">
        <v>5014</v>
      </c>
      <c r="O162">
        <v>0</v>
      </c>
      <c r="P162">
        <v>0</v>
      </c>
    </row>
    <row r="163" spans="1:16" x14ac:dyDescent="0.25">
      <c r="A163" t="s">
        <v>4009</v>
      </c>
      <c r="B163" t="s">
        <v>4010</v>
      </c>
      <c r="C163">
        <v>6476</v>
      </c>
      <c r="D163" t="s">
        <v>3462</v>
      </c>
      <c r="E163" t="s">
        <v>21</v>
      </c>
      <c r="F163">
        <v>3023</v>
      </c>
      <c r="G163" t="s">
        <v>5000</v>
      </c>
      <c r="H163" t="s">
        <v>4994</v>
      </c>
      <c r="I163">
        <v>4.6954000000000002</v>
      </c>
      <c r="J163" t="s">
        <v>5012</v>
      </c>
      <c r="K163" t="s">
        <v>4993</v>
      </c>
      <c r="L163">
        <v>151</v>
      </c>
      <c r="M163">
        <v>24</v>
      </c>
      <c r="N163" t="s">
        <v>5015</v>
      </c>
      <c r="O163">
        <v>0</v>
      </c>
      <c r="P163">
        <v>0</v>
      </c>
    </row>
    <row r="164" spans="1:16" x14ac:dyDescent="0.25">
      <c r="A164" t="s">
        <v>4011</v>
      </c>
      <c r="B164" t="s">
        <v>4012</v>
      </c>
      <c r="C164">
        <v>6307</v>
      </c>
      <c r="D164" t="s">
        <v>1132</v>
      </c>
      <c r="E164" t="s">
        <v>21</v>
      </c>
      <c r="F164">
        <v>3008</v>
      </c>
      <c r="G164" t="s">
        <v>5000</v>
      </c>
      <c r="H164" t="s">
        <v>4994</v>
      </c>
      <c r="I164">
        <v>4.5019</v>
      </c>
      <c r="J164" t="s">
        <v>5012</v>
      </c>
      <c r="K164" t="s">
        <v>4993</v>
      </c>
      <c r="L164">
        <v>257</v>
      </c>
      <c r="M164">
        <v>28</v>
      </c>
      <c r="N164" t="s">
        <v>5015</v>
      </c>
      <c r="O164">
        <v>0</v>
      </c>
      <c r="P164">
        <v>0</v>
      </c>
    </row>
    <row r="165" spans="1:16" x14ac:dyDescent="0.25">
      <c r="A165" t="s">
        <v>4013</v>
      </c>
      <c r="B165" t="s">
        <v>4014</v>
      </c>
      <c r="C165">
        <v>3733</v>
      </c>
      <c r="D165" t="s">
        <v>124</v>
      </c>
      <c r="E165" t="s">
        <v>21</v>
      </c>
      <c r="F165">
        <v>3001</v>
      </c>
      <c r="G165" t="s">
        <v>5000</v>
      </c>
      <c r="H165" t="s">
        <v>4994</v>
      </c>
      <c r="I165">
        <v>4.0345000000000004</v>
      </c>
      <c r="J165" t="s">
        <v>5012</v>
      </c>
      <c r="K165" t="s">
        <v>4993</v>
      </c>
      <c r="L165">
        <v>29</v>
      </c>
      <c r="M165">
        <v>71</v>
      </c>
      <c r="N165" t="s">
        <v>5014</v>
      </c>
      <c r="O165">
        <v>0</v>
      </c>
      <c r="P165">
        <v>0</v>
      </c>
    </row>
    <row r="166" spans="1:16" x14ac:dyDescent="0.25">
      <c r="A166" t="s">
        <v>4017</v>
      </c>
      <c r="B166" t="s">
        <v>4018</v>
      </c>
      <c r="C166">
        <v>6309</v>
      </c>
      <c r="D166" t="s">
        <v>1735</v>
      </c>
      <c r="E166" t="s">
        <v>21</v>
      </c>
      <c r="F166">
        <v>2987</v>
      </c>
      <c r="G166" t="s">
        <v>5000</v>
      </c>
      <c r="H166" t="s">
        <v>4994</v>
      </c>
      <c r="I166">
        <v>4.2846000000000002</v>
      </c>
      <c r="J166" t="s">
        <v>5012</v>
      </c>
      <c r="K166" t="s">
        <v>4993</v>
      </c>
      <c r="L166">
        <v>738</v>
      </c>
      <c r="M166">
        <v>98</v>
      </c>
      <c r="N166" t="s">
        <v>5014</v>
      </c>
      <c r="O166">
        <v>0</v>
      </c>
      <c r="P166">
        <v>0</v>
      </c>
    </row>
    <row r="167" spans="1:16" x14ac:dyDescent="0.25">
      <c r="A167" t="s">
        <v>4021</v>
      </c>
      <c r="B167" t="s">
        <v>4022</v>
      </c>
      <c r="C167">
        <v>3728</v>
      </c>
      <c r="D167" t="s">
        <v>458</v>
      </c>
      <c r="E167" t="s">
        <v>21</v>
      </c>
      <c r="F167">
        <v>2975</v>
      </c>
      <c r="G167" t="s">
        <v>5000</v>
      </c>
      <c r="H167" t="s">
        <v>4994</v>
      </c>
      <c r="I167">
        <v>4.7488999999999999</v>
      </c>
      <c r="J167" t="s">
        <v>5012</v>
      </c>
      <c r="K167" t="s">
        <v>4993</v>
      </c>
      <c r="L167">
        <v>219</v>
      </c>
      <c r="M167">
        <v>58</v>
      </c>
      <c r="N167" t="s">
        <v>5014</v>
      </c>
      <c r="O167">
        <v>0</v>
      </c>
      <c r="P167">
        <v>0</v>
      </c>
    </row>
    <row r="168" spans="1:16" x14ac:dyDescent="0.25">
      <c r="A168" t="s">
        <v>4025</v>
      </c>
      <c r="B168" t="s">
        <v>4026</v>
      </c>
      <c r="C168">
        <v>6307</v>
      </c>
      <c r="D168" t="s">
        <v>1132</v>
      </c>
      <c r="E168" t="s">
        <v>69</v>
      </c>
      <c r="F168">
        <v>2963</v>
      </c>
      <c r="G168" t="s">
        <v>5000</v>
      </c>
      <c r="H168" t="s">
        <v>4994</v>
      </c>
      <c r="I168">
        <v>4.5</v>
      </c>
      <c r="J168" t="s">
        <v>5012</v>
      </c>
      <c r="K168" t="s">
        <v>4993</v>
      </c>
      <c r="L168">
        <v>10</v>
      </c>
      <c r="M168">
        <v>45</v>
      </c>
      <c r="N168" t="s">
        <v>5015</v>
      </c>
      <c r="O168">
        <v>0</v>
      </c>
      <c r="P168">
        <v>0</v>
      </c>
    </row>
    <row r="169" spans="1:16" x14ac:dyDescent="0.25">
      <c r="A169" t="s">
        <v>4027</v>
      </c>
      <c r="B169" t="s">
        <v>4028</v>
      </c>
      <c r="C169">
        <v>8017</v>
      </c>
      <c r="D169" t="s">
        <v>620</v>
      </c>
      <c r="E169" t="s">
        <v>220</v>
      </c>
      <c r="F169">
        <v>2962</v>
      </c>
      <c r="G169" t="s">
        <v>5000</v>
      </c>
      <c r="H169" t="s">
        <v>4994</v>
      </c>
      <c r="I169">
        <v>4.3</v>
      </c>
      <c r="J169" t="s">
        <v>5012</v>
      </c>
      <c r="K169" t="s">
        <v>4993</v>
      </c>
      <c r="L169">
        <v>10</v>
      </c>
      <c r="M169">
        <v>30</v>
      </c>
      <c r="N169" t="s">
        <v>5015</v>
      </c>
      <c r="O169">
        <v>0</v>
      </c>
      <c r="P169">
        <v>0</v>
      </c>
    </row>
    <row r="170" spans="1:16" x14ac:dyDescent="0.25">
      <c r="A170" t="s">
        <v>4029</v>
      </c>
      <c r="B170" t="s">
        <v>4030</v>
      </c>
      <c r="C170">
        <v>5337</v>
      </c>
      <c r="D170" t="s">
        <v>209</v>
      </c>
      <c r="E170" t="s">
        <v>21</v>
      </c>
      <c r="F170">
        <v>2959</v>
      </c>
      <c r="G170" t="s">
        <v>5000</v>
      </c>
      <c r="H170" t="s">
        <v>4994</v>
      </c>
      <c r="I170">
        <v>4.5263</v>
      </c>
      <c r="J170" t="s">
        <v>5012</v>
      </c>
      <c r="K170" t="s">
        <v>4993</v>
      </c>
      <c r="L170">
        <v>19</v>
      </c>
      <c r="M170">
        <v>140</v>
      </c>
      <c r="N170" t="s">
        <v>5014</v>
      </c>
      <c r="O170">
        <v>0</v>
      </c>
      <c r="P170">
        <v>0</v>
      </c>
    </row>
    <row r="171" spans="1:16" x14ac:dyDescent="0.25">
      <c r="A171" t="s">
        <v>4035</v>
      </c>
      <c r="B171" t="s">
        <v>4036</v>
      </c>
      <c r="C171">
        <v>8017</v>
      </c>
      <c r="D171" t="s">
        <v>620</v>
      </c>
      <c r="E171" t="s">
        <v>149</v>
      </c>
      <c r="F171">
        <v>2932</v>
      </c>
      <c r="G171" t="s">
        <v>5000</v>
      </c>
      <c r="H171" t="s">
        <v>4994</v>
      </c>
      <c r="I171">
        <v>4.1111000000000004</v>
      </c>
      <c r="J171" t="s">
        <v>5012</v>
      </c>
      <c r="K171" t="s">
        <v>4993</v>
      </c>
      <c r="L171">
        <v>9</v>
      </c>
      <c r="M171">
        <v>20</v>
      </c>
      <c r="N171" t="s">
        <v>5015</v>
      </c>
      <c r="O171">
        <v>0</v>
      </c>
      <c r="P171">
        <v>1</v>
      </c>
    </row>
    <row r="172" spans="1:16" x14ac:dyDescent="0.25">
      <c r="A172" t="s">
        <v>4037</v>
      </c>
      <c r="B172" t="s">
        <v>4038</v>
      </c>
      <c r="C172">
        <v>6187</v>
      </c>
      <c r="D172" t="s">
        <v>3064</v>
      </c>
      <c r="E172" t="s">
        <v>69</v>
      </c>
      <c r="F172">
        <v>2931</v>
      </c>
      <c r="G172" t="s">
        <v>5000</v>
      </c>
      <c r="H172" t="s">
        <v>4994</v>
      </c>
      <c r="I172">
        <v>4.5</v>
      </c>
      <c r="J172" t="s">
        <v>5012</v>
      </c>
      <c r="K172" t="s">
        <v>4993</v>
      </c>
      <c r="L172">
        <v>8</v>
      </c>
      <c r="M172">
        <v>12</v>
      </c>
      <c r="N172" t="s">
        <v>5013</v>
      </c>
      <c r="O172">
        <v>0</v>
      </c>
      <c r="P172">
        <v>1</v>
      </c>
    </row>
    <row r="173" spans="1:16" x14ac:dyDescent="0.25">
      <c r="A173" t="s">
        <v>4039</v>
      </c>
      <c r="B173" t="s">
        <v>4040</v>
      </c>
      <c r="C173">
        <v>5987</v>
      </c>
      <c r="D173" t="s">
        <v>48</v>
      </c>
      <c r="E173" t="s">
        <v>49</v>
      </c>
      <c r="F173">
        <v>2927</v>
      </c>
      <c r="G173" t="s">
        <v>5000</v>
      </c>
      <c r="H173" t="s">
        <v>4994</v>
      </c>
      <c r="I173">
        <v>4.0909000000000004</v>
      </c>
      <c r="J173" t="s">
        <v>5012</v>
      </c>
      <c r="K173" t="s">
        <v>4993</v>
      </c>
      <c r="L173">
        <v>11</v>
      </c>
      <c r="M173">
        <v>36</v>
      </c>
      <c r="N173" t="s">
        <v>5015</v>
      </c>
      <c r="O173">
        <v>0</v>
      </c>
      <c r="P173">
        <v>0</v>
      </c>
    </row>
    <row r="174" spans="1:16" x14ac:dyDescent="0.25">
      <c r="A174" t="s">
        <v>4041</v>
      </c>
      <c r="B174" t="s">
        <v>4042</v>
      </c>
      <c r="C174">
        <v>5946</v>
      </c>
      <c r="D174" t="s">
        <v>341</v>
      </c>
      <c r="E174" t="s">
        <v>49</v>
      </c>
      <c r="F174">
        <v>2924</v>
      </c>
      <c r="G174" t="s">
        <v>5000</v>
      </c>
      <c r="H174" t="s">
        <v>4994</v>
      </c>
      <c r="I174">
        <v>4.4149000000000003</v>
      </c>
      <c r="J174" t="s">
        <v>5012</v>
      </c>
      <c r="K174" t="s">
        <v>4993</v>
      </c>
      <c r="L174">
        <v>94</v>
      </c>
      <c r="M174">
        <v>54</v>
      </c>
      <c r="N174" t="s">
        <v>5014</v>
      </c>
      <c r="O174">
        <v>0</v>
      </c>
      <c r="P174">
        <v>0</v>
      </c>
    </row>
    <row r="175" spans="1:16" x14ac:dyDescent="0.25">
      <c r="A175" t="s">
        <v>4043</v>
      </c>
      <c r="B175" t="s">
        <v>4044</v>
      </c>
      <c r="C175">
        <v>6356</v>
      </c>
      <c r="D175" t="s">
        <v>1885</v>
      </c>
      <c r="E175" t="s">
        <v>149</v>
      </c>
      <c r="F175">
        <v>2922</v>
      </c>
      <c r="G175" t="s">
        <v>5000</v>
      </c>
      <c r="H175" t="s">
        <v>4994</v>
      </c>
      <c r="I175">
        <v>4.2267000000000001</v>
      </c>
      <c r="J175" t="s">
        <v>5012</v>
      </c>
      <c r="K175" t="s">
        <v>4993</v>
      </c>
      <c r="L175">
        <v>75</v>
      </c>
      <c r="M175">
        <v>220</v>
      </c>
      <c r="N175" t="s">
        <v>5014</v>
      </c>
      <c r="O175">
        <v>0</v>
      </c>
      <c r="P175">
        <v>0</v>
      </c>
    </row>
    <row r="176" spans="1:16" x14ac:dyDescent="0.25">
      <c r="A176" t="s">
        <v>4045</v>
      </c>
      <c r="B176" t="s">
        <v>4046</v>
      </c>
      <c r="C176">
        <v>6089</v>
      </c>
      <c r="D176" t="s">
        <v>605</v>
      </c>
      <c r="E176" t="s">
        <v>144</v>
      </c>
      <c r="F176">
        <v>2904</v>
      </c>
      <c r="G176" t="s">
        <v>5000</v>
      </c>
      <c r="H176" t="s">
        <v>4994</v>
      </c>
      <c r="I176">
        <v>4.4545000000000003</v>
      </c>
      <c r="J176" t="s">
        <v>5012</v>
      </c>
      <c r="K176" t="s">
        <v>4993</v>
      </c>
      <c r="L176">
        <v>11</v>
      </c>
      <c r="M176">
        <v>36</v>
      </c>
      <c r="N176" t="s">
        <v>5015</v>
      </c>
      <c r="O176">
        <v>0</v>
      </c>
      <c r="P176">
        <v>0</v>
      </c>
    </row>
    <row r="177" spans="1:16" x14ac:dyDescent="0.25">
      <c r="A177" t="s">
        <v>4047</v>
      </c>
      <c r="B177" t="s">
        <v>4048</v>
      </c>
      <c r="C177">
        <v>6226</v>
      </c>
      <c r="D177" t="s">
        <v>843</v>
      </c>
      <c r="E177" t="s">
        <v>13</v>
      </c>
      <c r="F177">
        <v>2902</v>
      </c>
      <c r="G177" t="s">
        <v>5000</v>
      </c>
      <c r="H177" t="s">
        <v>4994</v>
      </c>
      <c r="I177">
        <v>4.4043000000000001</v>
      </c>
      <c r="J177" t="s">
        <v>5012</v>
      </c>
      <c r="K177" t="s">
        <v>4993</v>
      </c>
      <c r="L177">
        <v>47</v>
      </c>
      <c r="M177">
        <v>32</v>
      </c>
      <c r="N177" t="s">
        <v>5015</v>
      </c>
      <c r="O177">
        <v>0</v>
      </c>
      <c r="P177">
        <v>0</v>
      </c>
    </row>
    <row r="178" spans="1:16" x14ac:dyDescent="0.25">
      <c r="A178" t="s">
        <v>4049</v>
      </c>
      <c r="B178" t="s">
        <v>4050</v>
      </c>
      <c r="C178">
        <v>6247</v>
      </c>
      <c r="D178" t="s">
        <v>38</v>
      </c>
      <c r="E178" t="s">
        <v>69</v>
      </c>
      <c r="F178">
        <v>2900</v>
      </c>
      <c r="G178" t="s">
        <v>5000</v>
      </c>
      <c r="H178" t="s">
        <v>4994</v>
      </c>
      <c r="I178">
        <v>4.0262000000000002</v>
      </c>
      <c r="J178" t="s">
        <v>5012</v>
      </c>
      <c r="K178" t="s">
        <v>4993</v>
      </c>
      <c r="L178">
        <v>4427</v>
      </c>
      <c r="M178">
        <v>26</v>
      </c>
      <c r="N178" t="s">
        <v>5015</v>
      </c>
      <c r="O178">
        <v>0</v>
      </c>
      <c r="P178">
        <v>0</v>
      </c>
    </row>
    <row r="179" spans="1:16" x14ac:dyDescent="0.25">
      <c r="A179" t="s">
        <v>4051</v>
      </c>
      <c r="B179" t="s">
        <v>4052</v>
      </c>
      <c r="C179">
        <v>1741</v>
      </c>
      <c r="D179" t="s">
        <v>388</v>
      </c>
      <c r="E179" t="s">
        <v>21</v>
      </c>
      <c r="F179">
        <v>2887</v>
      </c>
      <c r="G179" t="s">
        <v>5000</v>
      </c>
      <c r="H179" t="s">
        <v>4994</v>
      </c>
      <c r="I179">
        <v>4.7126999999999999</v>
      </c>
      <c r="J179" t="s">
        <v>5012</v>
      </c>
      <c r="K179" t="s">
        <v>4993</v>
      </c>
      <c r="L179">
        <v>463</v>
      </c>
      <c r="M179">
        <v>95</v>
      </c>
      <c r="N179" t="s">
        <v>5014</v>
      </c>
      <c r="O179">
        <v>0</v>
      </c>
      <c r="P179">
        <v>0</v>
      </c>
    </row>
    <row r="180" spans="1:16" x14ac:dyDescent="0.25">
      <c r="A180" t="s">
        <v>4055</v>
      </c>
      <c r="B180" t="s">
        <v>4056</v>
      </c>
      <c r="C180">
        <v>8017</v>
      </c>
      <c r="D180" t="s">
        <v>620</v>
      </c>
      <c r="E180" t="s">
        <v>13</v>
      </c>
      <c r="F180">
        <v>2867</v>
      </c>
      <c r="G180" t="s">
        <v>5000</v>
      </c>
      <c r="H180" t="s">
        <v>4994</v>
      </c>
      <c r="I180">
        <v>4</v>
      </c>
      <c r="J180" t="s">
        <v>5012</v>
      </c>
      <c r="K180" t="s">
        <v>4993</v>
      </c>
      <c r="L180">
        <v>3</v>
      </c>
      <c r="M180">
        <v>14</v>
      </c>
      <c r="N180" t="s">
        <v>5013</v>
      </c>
      <c r="O180">
        <v>0</v>
      </c>
      <c r="P180">
        <v>1</v>
      </c>
    </row>
    <row r="181" spans="1:16" x14ac:dyDescent="0.25">
      <c r="A181" t="s">
        <v>4057</v>
      </c>
      <c r="B181" t="s">
        <v>4058</v>
      </c>
      <c r="C181">
        <v>6334</v>
      </c>
      <c r="D181" t="s">
        <v>2819</v>
      </c>
      <c r="E181" t="s">
        <v>8</v>
      </c>
      <c r="F181">
        <v>2860</v>
      </c>
      <c r="G181" t="s">
        <v>5000</v>
      </c>
      <c r="H181" t="s">
        <v>4994</v>
      </c>
      <c r="I181">
        <v>4.5019</v>
      </c>
      <c r="J181" t="s">
        <v>5012</v>
      </c>
      <c r="K181" t="s">
        <v>4993</v>
      </c>
      <c r="L181">
        <v>267</v>
      </c>
      <c r="M181">
        <v>72</v>
      </c>
      <c r="N181" t="s">
        <v>5014</v>
      </c>
      <c r="O181">
        <v>0</v>
      </c>
      <c r="P181">
        <v>0</v>
      </c>
    </row>
    <row r="182" spans="1:16" x14ac:dyDescent="0.25">
      <c r="A182" t="s">
        <v>4059</v>
      </c>
      <c r="B182" t="s">
        <v>4060</v>
      </c>
      <c r="C182">
        <v>6329</v>
      </c>
      <c r="D182" t="s">
        <v>3435</v>
      </c>
      <c r="E182" t="s">
        <v>347</v>
      </c>
      <c r="F182">
        <v>2856</v>
      </c>
      <c r="G182" t="s">
        <v>5000</v>
      </c>
      <c r="H182" t="s">
        <v>4994</v>
      </c>
      <c r="I182">
        <v>4.5208000000000004</v>
      </c>
      <c r="J182" t="s">
        <v>5012</v>
      </c>
      <c r="K182" t="s">
        <v>4993</v>
      </c>
      <c r="L182">
        <v>48</v>
      </c>
      <c r="M182">
        <v>35</v>
      </c>
      <c r="N182" t="s">
        <v>5015</v>
      </c>
      <c r="O182">
        <v>0</v>
      </c>
      <c r="P182">
        <v>0</v>
      </c>
    </row>
    <row r="183" spans="1:16" x14ac:dyDescent="0.25">
      <c r="A183" t="s">
        <v>4063</v>
      </c>
      <c r="B183" t="s">
        <v>4064</v>
      </c>
      <c r="C183">
        <v>8012</v>
      </c>
      <c r="D183" t="s">
        <v>2864</v>
      </c>
      <c r="E183" t="s">
        <v>8</v>
      </c>
      <c r="F183">
        <v>2843</v>
      </c>
      <c r="G183" t="s">
        <v>5000</v>
      </c>
      <c r="H183" t="s">
        <v>4994</v>
      </c>
      <c r="I183">
        <v>4.6704999999999997</v>
      </c>
      <c r="J183" t="s">
        <v>5012</v>
      </c>
      <c r="K183" t="s">
        <v>4993</v>
      </c>
      <c r="L183">
        <v>88</v>
      </c>
      <c r="M183">
        <v>39</v>
      </c>
      <c r="N183" t="s">
        <v>5015</v>
      </c>
      <c r="O183">
        <v>0</v>
      </c>
      <c r="P183">
        <v>0</v>
      </c>
    </row>
    <row r="184" spans="1:16" x14ac:dyDescent="0.25">
      <c r="A184" t="s">
        <v>4065</v>
      </c>
      <c r="B184" t="s">
        <v>4066</v>
      </c>
      <c r="C184">
        <v>3902</v>
      </c>
      <c r="D184" t="s">
        <v>72</v>
      </c>
      <c r="E184" t="s">
        <v>201</v>
      </c>
      <c r="F184">
        <v>2842</v>
      </c>
      <c r="G184" t="s">
        <v>5000</v>
      </c>
      <c r="H184" t="s">
        <v>4994</v>
      </c>
      <c r="I184">
        <v>5</v>
      </c>
      <c r="J184" t="s">
        <v>5012</v>
      </c>
      <c r="K184" t="s">
        <v>4993</v>
      </c>
      <c r="L184">
        <v>2</v>
      </c>
      <c r="M184">
        <v>18</v>
      </c>
      <c r="N184" t="s">
        <v>5013</v>
      </c>
      <c r="O184">
        <v>1</v>
      </c>
      <c r="P184">
        <v>0</v>
      </c>
    </row>
    <row r="185" spans="1:16" x14ac:dyDescent="0.25">
      <c r="A185" t="s">
        <v>4067</v>
      </c>
      <c r="B185" t="s">
        <v>4068</v>
      </c>
      <c r="C185">
        <v>6329</v>
      </c>
      <c r="D185" t="s">
        <v>3435</v>
      </c>
      <c r="E185" t="s">
        <v>8</v>
      </c>
      <c r="F185">
        <v>2833</v>
      </c>
      <c r="G185" t="s">
        <v>5000</v>
      </c>
      <c r="H185" t="s">
        <v>4994</v>
      </c>
      <c r="I185">
        <v>4.6376999999999997</v>
      </c>
      <c r="J185" t="s">
        <v>5012</v>
      </c>
      <c r="K185" t="s">
        <v>4993</v>
      </c>
      <c r="L185">
        <v>69</v>
      </c>
      <c r="M185">
        <v>68</v>
      </c>
      <c r="N185" t="s">
        <v>5014</v>
      </c>
      <c r="O185">
        <v>0</v>
      </c>
      <c r="P185">
        <v>0</v>
      </c>
    </row>
    <row r="186" spans="1:16" x14ac:dyDescent="0.25">
      <c r="A186" t="s">
        <v>4069</v>
      </c>
      <c r="B186" t="s">
        <v>4070</v>
      </c>
      <c r="C186">
        <v>7020</v>
      </c>
      <c r="D186" t="s">
        <v>657</v>
      </c>
      <c r="E186" t="s">
        <v>21</v>
      </c>
      <c r="F186">
        <v>2825</v>
      </c>
      <c r="G186" t="s">
        <v>5000</v>
      </c>
      <c r="H186" t="s">
        <v>4994</v>
      </c>
      <c r="I186">
        <v>4.1429</v>
      </c>
      <c r="J186" t="s">
        <v>5012</v>
      </c>
      <c r="K186" t="s">
        <v>4993</v>
      </c>
      <c r="L186">
        <v>21</v>
      </c>
      <c r="M186">
        <v>230</v>
      </c>
      <c r="N186" t="s">
        <v>5014</v>
      </c>
      <c r="O186">
        <v>0</v>
      </c>
      <c r="P186">
        <v>0</v>
      </c>
    </row>
    <row r="187" spans="1:16" x14ac:dyDescent="0.25">
      <c r="A187" t="s">
        <v>4071</v>
      </c>
      <c r="B187" t="s">
        <v>4072</v>
      </c>
      <c r="C187">
        <v>6358</v>
      </c>
      <c r="D187" t="s">
        <v>2301</v>
      </c>
      <c r="E187" t="s">
        <v>21</v>
      </c>
      <c r="F187">
        <v>2824</v>
      </c>
      <c r="G187" t="s">
        <v>5000</v>
      </c>
      <c r="H187" t="s">
        <v>4994</v>
      </c>
      <c r="I187">
        <v>4.7708000000000004</v>
      </c>
      <c r="J187" t="s">
        <v>5012</v>
      </c>
      <c r="K187" t="s">
        <v>4993</v>
      </c>
      <c r="L187">
        <v>48</v>
      </c>
      <c r="M187">
        <v>99</v>
      </c>
      <c r="N187" t="s">
        <v>5014</v>
      </c>
      <c r="O187">
        <v>0</v>
      </c>
      <c r="P187">
        <v>0</v>
      </c>
    </row>
    <row r="188" spans="1:16" x14ac:dyDescent="0.25">
      <c r="A188" t="s">
        <v>4073</v>
      </c>
      <c r="B188" t="s">
        <v>4074</v>
      </c>
      <c r="C188">
        <v>6219</v>
      </c>
      <c r="D188" t="s">
        <v>277</v>
      </c>
      <c r="E188" t="s">
        <v>8</v>
      </c>
      <c r="F188">
        <v>2823</v>
      </c>
      <c r="G188" t="s">
        <v>5000</v>
      </c>
      <c r="H188" t="s">
        <v>4994</v>
      </c>
      <c r="I188">
        <v>4.3311000000000002</v>
      </c>
      <c r="J188" t="s">
        <v>5012</v>
      </c>
      <c r="K188" t="s">
        <v>4993</v>
      </c>
      <c r="L188">
        <v>148</v>
      </c>
      <c r="M188">
        <v>155</v>
      </c>
      <c r="N188" t="s">
        <v>5014</v>
      </c>
      <c r="O188">
        <v>0</v>
      </c>
      <c r="P188">
        <v>0</v>
      </c>
    </row>
    <row r="189" spans="1:16" x14ac:dyDescent="0.25">
      <c r="A189" t="s">
        <v>4075</v>
      </c>
      <c r="B189" t="s">
        <v>4076</v>
      </c>
      <c r="C189">
        <v>6358</v>
      </c>
      <c r="D189" t="s">
        <v>2301</v>
      </c>
      <c r="E189" t="s">
        <v>220</v>
      </c>
      <c r="F189">
        <v>2820</v>
      </c>
      <c r="G189" t="s">
        <v>5000</v>
      </c>
      <c r="H189" t="s">
        <v>4994</v>
      </c>
      <c r="I189">
        <v>4.68</v>
      </c>
      <c r="J189" t="s">
        <v>5012</v>
      </c>
      <c r="K189" t="s">
        <v>4993</v>
      </c>
      <c r="L189">
        <v>25</v>
      </c>
      <c r="M189">
        <v>79</v>
      </c>
      <c r="N189" t="s">
        <v>5014</v>
      </c>
      <c r="O189">
        <v>0</v>
      </c>
      <c r="P189">
        <v>0</v>
      </c>
    </row>
    <row r="190" spans="1:16" x14ac:dyDescent="0.25">
      <c r="A190" t="s">
        <v>4077</v>
      </c>
      <c r="B190" t="s">
        <v>1848</v>
      </c>
      <c r="C190">
        <v>6073</v>
      </c>
      <c r="D190" t="s">
        <v>78</v>
      </c>
      <c r="E190" t="s">
        <v>21</v>
      </c>
      <c r="F190">
        <v>2817</v>
      </c>
      <c r="G190" t="s">
        <v>5000</v>
      </c>
      <c r="H190" t="s">
        <v>4994</v>
      </c>
      <c r="I190">
        <v>4.6660000000000004</v>
      </c>
      <c r="J190" t="s">
        <v>5012</v>
      </c>
      <c r="K190" t="s">
        <v>4993</v>
      </c>
      <c r="L190">
        <v>527</v>
      </c>
      <c r="M190">
        <v>22</v>
      </c>
      <c r="N190" t="s">
        <v>5015</v>
      </c>
      <c r="O190">
        <v>1</v>
      </c>
      <c r="P190">
        <v>0</v>
      </c>
    </row>
    <row r="191" spans="1:16" x14ac:dyDescent="0.25">
      <c r="A191" t="s">
        <v>4078</v>
      </c>
      <c r="B191" t="s">
        <v>4079</v>
      </c>
      <c r="C191">
        <v>6371</v>
      </c>
      <c r="D191" t="s">
        <v>2583</v>
      </c>
      <c r="E191" t="s">
        <v>149</v>
      </c>
      <c r="F191">
        <v>2784</v>
      </c>
      <c r="G191" t="s">
        <v>5000</v>
      </c>
      <c r="H191" t="s">
        <v>4994</v>
      </c>
      <c r="I191">
        <v>4.4301000000000004</v>
      </c>
      <c r="J191" t="s">
        <v>5012</v>
      </c>
      <c r="K191" t="s">
        <v>4993</v>
      </c>
      <c r="L191">
        <v>365</v>
      </c>
      <c r="M191">
        <v>30</v>
      </c>
      <c r="N191" t="s">
        <v>5015</v>
      </c>
      <c r="O191">
        <v>0</v>
      </c>
      <c r="P191">
        <v>1</v>
      </c>
    </row>
    <row r="192" spans="1:16" x14ac:dyDescent="0.25">
      <c r="A192" t="s">
        <v>4080</v>
      </c>
      <c r="B192" t="s">
        <v>3015</v>
      </c>
      <c r="C192">
        <v>6318</v>
      </c>
      <c r="D192" t="s">
        <v>2040</v>
      </c>
      <c r="E192" t="s">
        <v>8</v>
      </c>
      <c r="F192">
        <v>2777</v>
      </c>
      <c r="G192" t="s">
        <v>5000</v>
      </c>
      <c r="H192" t="s">
        <v>4994</v>
      </c>
      <c r="I192">
        <v>4.7850000000000001</v>
      </c>
      <c r="J192" t="s">
        <v>5012</v>
      </c>
      <c r="K192" t="s">
        <v>4993</v>
      </c>
      <c r="L192">
        <v>321</v>
      </c>
      <c r="M192">
        <v>245</v>
      </c>
      <c r="N192" t="s">
        <v>5014</v>
      </c>
      <c r="O192">
        <v>0</v>
      </c>
      <c r="P192">
        <v>0</v>
      </c>
    </row>
    <row r="193" spans="1:16" x14ac:dyDescent="0.25">
      <c r="A193" t="s">
        <v>4081</v>
      </c>
      <c r="B193" t="s">
        <v>4082</v>
      </c>
      <c r="C193">
        <v>7091</v>
      </c>
      <c r="D193" t="s">
        <v>879</v>
      </c>
      <c r="E193" t="s">
        <v>49</v>
      </c>
      <c r="F193">
        <v>2772</v>
      </c>
      <c r="G193" t="s">
        <v>5000</v>
      </c>
      <c r="H193" t="s">
        <v>4994</v>
      </c>
      <c r="I193">
        <v>5</v>
      </c>
      <c r="J193" t="s">
        <v>5012</v>
      </c>
      <c r="K193" t="s">
        <v>4993</v>
      </c>
      <c r="L193">
        <v>4</v>
      </c>
      <c r="M193">
        <v>32</v>
      </c>
      <c r="N193" t="s">
        <v>5015</v>
      </c>
      <c r="O193">
        <v>0</v>
      </c>
      <c r="P193">
        <v>0</v>
      </c>
    </row>
    <row r="194" spans="1:16" x14ac:dyDescent="0.25">
      <c r="A194" t="s">
        <v>4083</v>
      </c>
      <c r="B194" t="s">
        <v>4084</v>
      </c>
      <c r="C194">
        <v>8017</v>
      </c>
      <c r="D194" t="s">
        <v>620</v>
      </c>
      <c r="E194" t="s">
        <v>220</v>
      </c>
      <c r="F194">
        <v>2768</v>
      </c>
      <c r="G194" t="s">
        <v>5000</v>
      </c>
      <c r="H194" t="s">
        <v>4994</v>
      </c>
      <c r="I194">
        <v>4.5</v>
      </c>
      <c r="J194" t="s">
        <v>5012</v>
      </c>
      <c r="K194" t="s">
        <v>4993</v>
      </c>
      <c r="L194">
        <v>2</v>
      </c>
      <c r="M194">
        <v>20</v>
      </c>
      <c r="N194" t="s">
        <v>5015</v>
      </c>
      <c r="O194">
        <v>0</v>
      </c>
      <c r="P194">
        <v>1</v>
      </c>
    </row>
    <row r="195" spans="1:16" x14ac:dyDescent="0.25">
      <c r="A195" t="s">
        <v>4085</v>
      </c>
      <c r="B195" t="s">
        <v>4086</v>
      </c>
      <c r="C195">
        <v>5857</v>
      </c>
      <c r="D195" t="s">
        <v>433</v>
      </c>
      <c r="E195" t="s">
        <v>13</v>
      </c>
      <c r="F195">
        <v>2764</v>
      </c>
      <c r="G195" t="s">
        <v>5000</v>
      </c>
      <c r="H195" t="s">
        <v>4994</v>
      </c>
      <c r="I195">
        <v>4.3208000000000002</v>
      </c>
      <c r="J195" t="s">
        <v>5012</v>
      </c>
      <c r="K195" t="s">
        <v>4993</v>
      </c>
      <c r="L195">
        <v>159</v>
      </c>
      <c r="M195">
        <v>38</v>
      </c>
      <c r="N195" t="s">
        <v>5015</v>
      </c>
      <c r="O195">
        <v>0</v>
      </c>
      <c r="P195">
        <v>0</v>
      </c>
    </row>
    <row r="196" spans="1:16" x14ac:dyDescent="0.25">
      <c r="A196" t="s">
        <v>4087</v>
      </c>
      <c r="B196" t="s">
        <v>4088</v>
      </c>
      <c r="C196">
        <v>7037</v>
      </c>
      <c r="D196" t="s">
        <v>1718</v>
      </c>
      <c r="E196" t="s">
        <v>347</v>
      </c>
      <c r="F196">
        <v>2761</v>
      </c>
      <c r="G196" t="s">
        <v>5000</v>
      </c>
      <c r="H196" t="s">
        <v>4994</v>
      </c>
      <c r="I196">
        <v>4.8113000000000001</v>
      </c>
      <c r="J196" t="s">
        <v>5012</v>
      </c>
      <c r="K196" t="s">
        <v>4993</v>
      </c>
      <c r="L196">
        <v>53</v>
      </c>
      <c r="M196">
        <v>129</v>
      </c>
      <c r="N196" t="s">
        <v>5014</v>
      </c>
      <c r="O196">
        <v>0</v>
      </c>
      <c r="P196">
        <v>0</v>
      </c>
    </row>
    <row r="197" spans="1:16" x14ac:dyDescent="0.25">
      <c r="A197" t="s">
        <v>4089</v>
      </c>
      <c r="B197" t="s">
        <v>4090</v>
      </c>
      <c r="C197">
        <v>6373</v>
      </c>
      <c r="D197" t="s">
        <v>1652</v>
      </c>
      <c r="E197" t="s">
        <v>13</v>
      </c>
      <c r="F197">
        <v>2757</v>
      </c>
      <c r="G197" t="s">
        <v>5000</v>
      </c>
      <c r="H197" t="s">
        <v>4994</v>
      </c>
      <c r="I197">
        <v>4.1342999999999996</v>
      </c>
      <c r="J197" t="s">
        <v>5012</v>
      </c>
      <c r="K197" t="s">
        <v>4993</v>
      </c>
      <c r="L197">
        <v>67</v>
      </c>
      <c r="M197">
        <v>46</v>
      </c>
      <c r="N197" t="s">
        <v>5015</v>
      </c>
      <c r="O197">
        <v>0</v>
      </c>
      <c r="P197">
        <v>0</v>
      </c>
    </row>
    <row r="198" spans="1:16" x14ac:dyDescent="0.25">
      <c r="A198" t="s">
        <v>4093</v>
      </c>
      <c r="B198" t="s">
        <v>4094</v>
      </c>
      <c r="C198">
        <v>6309</v>
      </c>
      <c r="D198" t="s">
        <v>1735</v>
      </c>
      <c r="E198" t="s">
        <v>149</v>
      </c>
      <c r="F198">
        <v>2741</v>
      </c>
      <c r="G198" t="s">
        <v>5000</v>
      </c>
      <c r="H198" t="s">
        <v>4994</v>
      </c>
      <c r="I198">
        <v>4.2026000000000003</v>
      </c>
      <c r="J198" t="s">
        <v>5012</v>
      </c>
      <c r="K198" t="s">
        <v>4993</v>
      </c>
      <c r="L198">
        <v>627</v>
      </c>
      <c r="M198">
        <v>55</v>
      </c>
      <c r="N198" t="s">
        <v>5014</v>
      </c>
      <c r="O198">
        <v>0</v>
      </c>
      <c r="P198">
        <v>0</v>
      </c>
    </row>
    <row r="199" spans="1:16" x14ac:dyDescent="0.25">
      <c r="A199" t="s">
        <v>4095</v>
      </c>
      <c r="B199" t="s">
        <v>4096</v>
      </c>
      <c r="C199">
        <v>6302</v>
      </c>
      <c r="D199" t="s">
        <v>2721</v>
      </c>
      <c r="E199" t="s">
        <v>8</v>
      </c>
      <c r="F199">
        <v>2729</v>
      </c>
      <c r="G199" t="s">
        <v>5000</v>
      </c>
      <c r="H199" t="s">
        <v>4994</v>
      </c>
      <c r="I199">
        <v>4.125</v>
      </c>
      <c r="J199" t="s">
        <v>5012</v>
      </c>
      <c r="K199" t="s">
        <v>4993</v>
      </c>
      <c r="L199">
        <v>8</v>
      </c>
      <c r="M199">
        <v>55</v>
      </c>
      <c r="N199" t="s">
        <v>5014</v>
      </c>
      <c r="O199">
        <v>0</v>
      </c>
      <c r="P199">
        <v>0</v>
      </c>
    </row>
    <row r="200" spans="1:16" x14ac:dyDescent="0.25">
      <c r="A200" t="s">
        <v>4097</v>
      </c>
      <c r="B200" t="s">
        <v>4098</v>
      </c>
      <c r="C200">
        <v>5946</v>
      </c>
      <c r="D200" t="s">
        <v>341</v>
      </c>
      <c r="E200" t="s">
        <v>8</v>
      </c>
      <c r="F200">
        <v>2724</v>
      </c>
      <c r="G200" t="s">
        <v>5000</v>
      </c>
      <c r="H200" t="s">
        <v>4994</v>
      </c>
      <c r="I200">
        <v>4.8765000000000001</v>
      </c>
      <c r="J200" t="s">
        <v>5012</v>
      </c>
      <c r="K200" t="s">
        <v>4993</v>
      </c>
      <c r="L200">
        <v>81</v>
      </c>
      <c r="M200">
        <v>110</v>
      </c>
      <c r="N200" t="s">
        <v>5014</v>
      </c>
      <c r="O200">
        <v>0</v>
      </c>
      <c r="P200">
        <v>0</v>
      </c>
    </row>
    <row r="201" spans="1:16" x14ac:dyDescent="0.25">
      <c r="A201" t="s">
        <v>4099</v>
      </c>
      <c r="B201" t="s">
        <v>4100</v>
      </c>
      <c r="C201">
        <v>4372</v>
      </c>
      <c r="D201" t="s">
        <v>1513</v>
      </c>
      <c r="E201" t="s">
        <v>21</v>
      </c>
      <c r="F201">
        <v>2722</v>
      </c>
      <c r="G201" t="s">
        <v>5000</v>
      </c>
      <c r="H201" t="s">
        <v>4994</v>
      </c>
      <c r="I201">
        <v>4.0114000000000001</v>
      </c>
      <c r="J201" t="s">
        <v>5012</v>
      </c>
      <c r="K201" t="s">
        <v>4993</v>
      </c>
      <c r="L201">
        <v>88</v>
      </c>
      <c r="M201">
        <v>132</v>
      </c>
      <c r="N201" t="s">
        <v>5014</v>
      </c>
      <c r="O201">
        <v>0</v>
      </c>
      <c r="P201">
        <v>0</v>
      </c>
    </row>
    <row r="202" spans="1:16" x14ac:dyDescent="0.25">
      <c r="A202" t="s">
        <v>4101</v>
      </c>
      <c r="B202" t="s">
        <v>4102</v>
      </c>
      <c r="C202">
        <v>5337</v>
      </c>
      <c r="D202" t="s">
        <v>209</v>
      </c>
      <c r="E202" t="s">
        <v>13</v>
      </c>
      <c r="F202">
        <v>2716</v>
      </c>
      <c r="G202" t="s">
        <v>5000</v>
      </c>
      <c r="H202" t="s">
        <v>4994</v>
      </c>
      <c r="I202">
        <v>4.0869999999999997</v>
      </c>
      <c r="J202" t="s">
        <v>5012</v>
      </c>
      <c r="K202" t="s">
        <v>4993</v>
      </c>
      <c r="L202">
        <v>23</v>
      </c>
      <c r="M202">
        <v>36</v>
      </c>
      <c r="N202" t="s">
        <v>5015</v>
      </c>
      <c r="O202">
        <v>0</v>
      </c>
      <c r="P202">
        <v>0</v>
      </c>
    </row>
    <row r="203" spans="1:16" x14ac:dyDescent="0.25">
      <c r="A203" t="s">
        <v>4105</v>
      </c>
      <c r="B203" t="s">
        <v>4106</v>
      </c>
      <c r="C203">
        <v>1073</v>
      </c>
      <c r="D203" t="s">
        <v>767</v>
      </c>
      <c r="E203" t="s">
        <v>21</v>
      </c>
      <c r="F203">
        <v>2700</v>
      </c>
      <c r="G203" t="s">
        <v>5000</v>
      </c>
      <c r="H203" t="s">
        <v>4994</v>
      </c>
      <c r="I203">
        <v>4.5457000000000001</v>
      </c>
      <c r="J203" t="s">
        <v>5012</v>
      </c>
      <c r="K203" t="s">
        <v>4993</v>
      </c>
      <c r="L203">
        <v>678</v>
      </c>
      <c r="M203">
        <v>130</v>
      </c>
      <c r="N203" t="s">
        <v>5014</v>
      </c>
      <c r="O203">
        <v>0</v>
      </c>
      <c r="P203">
        <v>0</v>
      </c>
    </row>
    <row r="204" spans="1:16" x14ac:dyDescent="0.25">
      <c r="A204" t="s">
        <v>4107</v>
      </c>
      <c r="B204" t="s">
        <v>4108</v>
      </c>
      <c r="C204">
        <v>1254</v>
      </c>
      <c r="D204" t="s">
        <v>136</v>
      </c>
      <c r="E204" t="s">
        <v>8</v>
      </c>
      <c r="F204">
        <v>2689</v>
      </c>
      <c r="G204" t="s">
        <v>5000</v>
      </c>
      <c r="H204" t="s">
        <v>4994</v>
      </c>
      <c r="I204">
        <v>4.75</v>
      </c>
      <c r="J204" t="s">
        <v>5012</v>
      </c>
      <c r="K204" t="s">
        <v>4993</v>
      </c>
      <c r="L204">
        <v>8</v>
      </c>
      <c r="M204">
        <v>74</v>
      </c>
      <c r="N204" t="s">
        <v>5014</v>
      </c>
      <c r="O204">
        <v>0</v>
      </c>
      <c r="P204">
        <v>0</v>
      </c>
    </row>
    <row r="205" spans="1:16" x14ac:dyDescent="0.25">
      <c r="A205" t="s">
        <v>4111</v>
      </c>
      <c r="B205" t="s">
        <v>4112</v>
      </c>
      <c r="C205">
        <v>3733</v>
      </c>
      <c r="D205" t="s">
        <v>124</v>
      </c>
      <c r="E205" t="s">
        <v>144</v>
      </c>
      <c r="F205">
        <v>2661</v>
      </c>
      <c r="G205" t="s">
        <v>5000</v>
      </c>
      <c r="H205" t="s">
        <v>4994</v>
      </c>
      <c r="I205">
        <v>4.0713999999999997</v>
      </c>
      <c r="J205" t="s">
        <v>5012</v>
      </c>
      <c r="K205" t="s">
        <v>4993</v>
      </c>
      <c r="L205">
        <v>14</v>
      </c>
      <c r="M205">
        <v>24</v>
      </c>
      <c r="N205" t="s">
        <v>5015</v>
      </c>
      <c r="O205">
        <v>0</v>
      </c>
      <c r="P205">
        <v>0</v>
      </c>
    </row>
    <row r="206" spans="1:16" x14ac:dyDescent="0.25">
      <c r="A206" t="s">
        <v>4113</v>
      </c>
      <c r="B206" t="s">
        <v>4114</v>
      </c>
      <c r="C206">
        <v>5946</v>
      </c>
      <c r="D206" t="s">
        <v>341</v>
      </c>
      <c r="E206" t="s">
        <v>8</v>
      </c>
      <c r="F206">
        <v>2655</v>
      </c>
      <c r="G206" t="s">
        <v>5000</v>
      </c>
      <c r="H206" t="s">
        <v>4994</v>
      </c>
      <c r="I206">
        <v>4.6708999999999996</v>
      </c>
      <c r="J206" t="s">
        <v>5012</v>
      </c>
      <c r="K206" t="s">
        <v>4993</v>
      </c>
      <c r="L206">
        <v>79</v>
      </c>
      <c r="M206">
        <v>44</v>
      </c>
      <c r="N206" t="s">
        <v>5015</v>
      </c>
      <c r="O206">
        <v>0</v>
      </c>
      <c r="P206">
        <v>0</v>
      </c>
    </row>
    <row r="207" spans="1:16" x14ac:dyDescent="0.25">
      <c r="A207" t="s">
        <v>4115</v>
      </c>
      <c r="B207" t="s">
        <v>4116</v>
      </c>
      <c r="C207">
        <v>5337</v>
      </c>
      <c r="D207" t="s">
        <v>209</v>
      </c>
      <c r="E207" t="s">
        <v>149</v>
      </c>
      <c r="F207">
        <v>2649</v>
      </c>
      <c r="G207" t="s">
        <v>5000</v>
      </c>
      <c r="H207" t="s">
        <v>4994</v>
      </c>
      <c r="I207">
        <v>4</v>
      </c>
      <c r="J207" t="s">
        <v>5012</v>
      </c>
      <c r="K207" t="s">
        <v>4993</v>
      </c>
      <c r="L207">
        <v>5</v>
      </c>
      <c r="M207">
        <v>85</v>
      </c>
      <c r="N207" t="s">
        <v>5014</v>
      </c>
      <c r="O207">
        <v>0</v>
      </c>
      <c r="P207">
        <v>0</v>
      </c>
    </row>
    <row r="208" spans="1:16" x14ac:dyDescent="0.25">
      <c r="A208" t="s">
        <v>4117</v>
      </c>
      <c r="B208" t="s">
        <v>4118</v>
      </c>
      <c r="C208">
        <v>6272</v>
      </c>
      <c r="D208" t="s">
        <v>1711</v>
      </c>
      <c r="E208" t="s">
        <v>220</v>
      </c>
      <c r="F208">
        <v>2634</v>
      </c>
      <c r="G208" t="s">
        <v>5000</v>
      </c>
      <c r="H208" t="s">
        <v>4994</v>
      </c>
      <c r="I208">
        <v>4.3333000000000004</v>
      </c>
      <c r="J208" t="s">
        <v>5012</v>
      </c>
      <c r="K208" t="s">
        <v>4993</v>
      </c>
      <c r="L208">
        <v>6</v>
      </c>
      <c r="M208">
        <v>199</v>
      </c>
      <c r="N208" t="s">
        <v>5014</v>
      </c>
      <c r="O208">
        <v>0</v>
      </c>
      <c r="P208">
        <v>0</v>
      </c>
    </row>
    <row r="209" spans="1:16" x14ac:dyDescent="0.25">
      <c r="A209" t="s">
        <v>4121</v>
      </c>
      <c r="B209" t="s">
        <v>4122</v>
      </c>
      <c r="C209">
        <v>5337</v>
      </c>
      <c r="D209" t="s">
        <v>209</v>
      </c>
      <c r="E209" t="s">
        <v>21</v>
      </c>
      <c r="F209">
        <v>2628</v>
      </c>
      <c r="G209" t="s">
        <v>5000</v>
      </c>
      <c r="H209" t="s">
        <v>4994</v>
      </c>
      <c r="I209">
        <v>4.5518000000000001</v>
      </c>
      <c r="J209" t="s">
        <v>5012</v>
      </c>
      <c r="K209" t="s">
        <v>4993</v>
      </c>
      <c r="L209">
        <v>926</v>
      </c>
      <c r="M209">
        <v>50</v>
      </c>
      <c r="N209" t="s">
        <v>5015</v>
      </c>
      <c r="O209">
        <v>0</v>
      </c>
      <c r="P209">
        <v>0</v>
      </c>
    </row>
    <row r="210" spans="1:16" x14ac:dyDescent="0.25">
      <c r="A210" t="s">
        <v>4123</v>
      </c>
      <c r="B210" t="s">
        <v>4124</v>
      </c>
      <c r="C210">
        <v>3902</v>
      </c>
      <c r="D210" t="s">
        <v>72</v>
      </c>
      <c r="E210" t="s">
        <v>201</v>
      </c>
      <c r="F210">
        <v>2624</v>
      </c>
      <c r="G210" t="s">
        <v>5000</v>
      </c>
      <c r="H210" t="s">
        <v>4994</v>
      </c>
      <c r="I210">
        <v>4.0769000000000002</v>
      </c>
      <c r="J210" t="s">
        <v>5012</v>
      </c>
      <c r="K210" t="s">
        <v>4993</v>
      </c>
      <c r="L210">
        <v>13</v>
      </c>
      <c r="M210">
        <v>15</v>
      </c>
      <c r="N210" t="s">
        <v>5013</v>
      </c>
      <c r="O210">
        <v>0</v>
      </c>
      <c r="P210">
        <v>0</v>
      </c>
    </row>
    <row r="211" spans="1:16" x14ac:dyDescent="0.25">
      <c r="A211" t="s">
        <v>4125</v>
      </c>
      <c r="B211" t="s">
        <v>4126</v>
      </c>
      <c r="C211">
        <v>1254</v>
      </c>
      <c r="D211" t="s">
        <v>136</v>
      </c>
      <c r="E211" t="s">
        <v>13</v>
      </c>
      <c r="F211">
        <v>2618</v>
      </c>
      <c r="G211" t="s">
        <v>5000</v>
      </c>
      <c r="H211" t="s">
        <v>4994</v>
      </c>
      <c r="I211">
        <v>4.5521000000000003</v>
      </c>
      <c r="J211" t="s">
        <v>5012</v>
      </c>
      <c r="K211" t="s">
        <v>4993</v>
      </c>
      <c r="L211">
        <v>259</v>
      </c>
      <c r="M211">
        <v>38</v>
      </c>
      <c r="N211" t="s">
        <v>5015</v>
      </c>
      <c r="O211">
        <v>0</v>
      </c>
      <c r="P211">
        <v>0</v>
      </c>
    </row>
    <row r="212" spans="1:16" x14ac:dyDescent="0.25">
      <c r="A212" t="s">
        <v>4129</v>
      </c>
      <c r="B212" t="s">
        <v>4130</v>
      </c>
      <c r="C212">
        <v>7100</v>
      </c>
      <c r="D212" t="s">
        <v>3756</v>
      </c>
      <c r="E212" t="s">
        <v>13</v>
      </c>
      <c r="F212">
        <v>2610</v>
      </c>
      <c r="G212" t="s">
        <v>5000</v>
      </c>
      <c r="H212" t="s">
        <v>4994</v>
      </c>
      <c r="I212">
        <v>4.7142999999999997</v>
      </c>
      <c r="J212" t="s">
        <v>5012</v>
      </c>
      <c r="K212" t="s">
        <v>4993</v>
      </c>
      <c r="L212">
        <v>14</v>
      </c>
      <c r="M212">
        <v>38</v>
      </c>
      <c r="N212" t="s">
        <v>5015</v>
      </c>
      <c r="O212">
        <v>0</v>
      </c>
      <c r="P212">
        <v>0</v>
      </c>
    </row>
    <row r="213" spans="1:16" x14ac:dyDescent="0.25">
      <c r="A213" t="s">
        <v>4131</v>
      </c>
      <c r="B213" t="s">
        <v>4132</v>
      </c>
      <c r="C213">
        <v>6373</v>
      </c>
      <c r="D213" t="s">
        <v>1652</v>
      </c>
      <c r="E213" t="s">
        <v>69</v>
      </c>
      <c r="F213">
        <v>2603</v>
      </c>
      <c r="G213" t="s">
        <v>5000</v>
      </c>
      <c r="H213" t="s">
        <v>4994</v>
      </c>
      <c r="I213">
        <v>4.25</v>
      </c>
      <c r="J213" t="s">
        <v>5012</v>
      </c>
      <c r="K213" t="s">
        <v>4993</v>
      </c>
      <c r="L213">
        <v>44</v>
      </c>
      <c r="M213">
        <v>36</v>
      </c>
      <c r="N213" t="s">
        <v>5015</v>
      </c>
      <c r="O213">
        <v>0</v>
      </c>
      <c r="P213">
        <v>0</v>
      </c>
    </row>
    <row r="214" spans="1:16" x14ac:dyDescent="0.25">
      <c r="A214" t="s">
        <v>4133</v>
      </c>
      <c r="B214" t="s">
        <v>4134</v>
      </c>
      <c r="C214">
        <v>6041</v>
      </c>
      <c r="D214" t="s">
        <v>33</v>
      </c>
      <c r="E214" t="s">
        <v>8</v>
      </c>
      <c r="F214">
        <v>2589</v>
      </c>
      <c r="G214" t="s">
        <v>5000</v>
      </c>
      <c r="H214" t="s">
        <v>4994</v>
      </c>
      <c r="I214">
        <v>4.8387000000000002</v>
      </c>
      <c r="J214" t="s">
        <v>5012</v>
      </c>
      <c r="K214" t="s">
        <v>4993</v>
      </c>
      <c r="L214">
        <v>124</v>
      </c>
      <c r="M214">
        <v>98</v>
      </c>
      <c r="N214" t="s">
        <v>5014</v>
      </c>
      <c r="O214">
        <v>1</v>
      </c>
      <c r="P214">
        <v>0</v>
      </c>
    </row>
    <row r="215" spans="1:16" x14ac:dyDescent="0.25">
      <c r="A215" t="s">
        <v>4135</v>
      </c>
      <c r="B215" t="s">
        <v>4136</v>
      </c>
      <c r="C215">
        <v>6375</v>
      </c>
      <c r="D215" t="s">
        <v>3234</v>
      </c>
      <c r="E215" t="s">
        <v>201</v>
      </c>
      <c r="F215">
        <v>2584</v>
      </c>
      <c r="G215" t="s">
        <v>5000</v>
      </c>
      <c r="H215" t="s">
        <v>4994</v>
      </c>
      <c r="I215">
        <v>4.1543999999999999</v>
      </c>
      <c r="J215" t="s">
        <v>5012</v>
      </c>
      <c r="K215" t="s">
        <v>4993</v>
      </c>
      <c r="L215">
        <v>149</v>
      </c>
      <c r="M215">
        <v>45</v>
      </c>
      <c r="N215" t="s">
        <v>5015</v>
      </c>
      <c r="O215">
        <v>0</v>
      </c>
      <c r="P215">
        <v>0</v>
      </c>
    </row>
    <row r="216" spans="1:16" x14ac:dyDescent="0.25">
      <c r="A216" t="s">
        <v>4137</v>
      </c>
      <c r="B216" t="s">
        <v>4138</v>
      </c>
      <c r="C216">
        <v>6219</v>
      </c>
      <c r="D216" t="s">
        <v>277</v>
      </c>
      <c r="E216" t="s">
        <v>13</v>
      </c>
      <c r="F216">
        <v>2582</v>
      </c>
      <c r="G216" t="s">
        <v>5000</v>
      </c>
      <c r="H216" t="s">
        <v>4994</v>
      </c>
      <c r="I216">
        <v>4</v>
      </c>
      <c r="J216" t="s">
        <v>5012</v>
      </c>
      <c r="K216" t="s">
        <v>4993</v>
      </c>
      <c r="L216">
        <v>11</v>
      </c>
      <c r="M216">
        <v>42</v>
      </c>
      <c r="N216" t="s">
        <v>5015</v>
      </c>
      <c r="O216">
        <v>0</v>
      </c>
      <c r="P216">
        <v>0</v>
      </c>
    </row>
    <row r="217" spans="1:16" x14ac:dyDescent="0.25">
      <c r="A217" t="s">
        <v>4139</v>
      </c>
      <c r="B217" t="s">
        <v>4140</v>
      </c>
      <c r="C217">
        <v>6356</v>
      </c>
      <c r="D217" t="s">
        <v>1885</v>
      </c>
      <c r="E217" t="s">
        <v>8</v>
      </c>
      <c r="F217">
        <v>2564</v>
      </c>
      <c r="G217" t="s">
        <v>5000</v>
      </c>
      <c r="H217" t="s">
        <v>4994</v>
      </c>
      <c r="I217">
        <v>4.5</v>
      </c>
      <c r="J217" t="s">
        <v>5012</v>
      </c>
      <c r="K217" t="s">
        <v>4993</v>
      </c>
      <c r="L217">
        <v>4</v>
      </c>
      <c r="M217">
        <v>93</v>
      </c>
      <c r="N217" t="s">
        <v>5014</v>
      </c>
      <c r="O217">
        <v>0</v>
      </c>
      <c r="P217">
        <v>0</v>
      </c>
    </row>
    <row r="218" spans="1:16" x14ac:dyDescent="0.25">
      <c r="A218" t="s">
        <v>4147</v>
      </c>
      <c r="B218" t="s">
        <v>4148</v>
      </c>
      <c r="C218">
        <v>6302</v>
      </c>
      <c r="D218" t="s">
        <v>2721</v>
      </c>
      <c r="E218" t="s">
        <v>8</v>
      </c>
      <c r="F218">
        <v>2538</v>
      </c>
      <c r="G218" t="s">
        <v>5000</v>
      </c>
      <c r="H218" t="s">
        <v>4994</v>
      </c>
      <c r="I218">
        <v>4.8666999999999998</v>
      </c>
      <c r="J218" t="s">
        <v>5012</v>
      </c>
      <c r="K218" t="s">
        <v>4993</v>
      </c>
      <c r="L218">
        <v>30</v>
      </c>
      <c r="M218">
        <v>145</v>
      </c>
      <c r="N218" t="s">
        <v>5014</v>
      </c>
      <c r="O218">
        <v>0</v>
      </c>
      <c r="P218">
        <v>0</v>
      </c>
    </row>
    <row r="219" spans="1:16" x14ac:dyDescent="0.25">
      <c r="A219" t="s">
        <v>4149</v>
      </c>
      <c r="B219" t="s">
        <v>4150</v>
      </c>
      <c r="C219">
        <v>6307</v>
      </c>
      <c r="D219" t="s">
        <v>1132</v>
      </c>
      <c r="E219" t="s">
        <v>21</v>
      </c>
      <c r="F219">
        <v>2534</v>
      </c>
      <c r="G219" t="s">
        <v>5000</v>
      </c>
      <c r="H219" t="s">
        <v>4994</v>
      </c>
      <c r="I219">
        <v>4.5019</v>
      </c>
      <c r="J219" t="s">
        <v>5012</v>
      </c>
      <c r="K219" t="s">
        <v>4993</v>
      </c>
      <c r="L219">
        <v>257</v>
      </c>
      <c r="M219">
        <v>120</v>
      </c>
      <c r="N219" t="s">
        <v>5014</v>
      </c>
      <c r="O219">
        <v>0</v>
      </c>
      <c r="P219">
        <v>0</v>
      </c>
    </row>
    <row r="220" spans="1:16" x14ac:dyDescent="0.25">
      <c r="A220" t="s">
        <v>4153</v>
      </c>
      <c r="B220" t="s">
        <v>2447</v>
      </c>
      <c r="C220">
        <v>6302</v>
      </c>
      <c r="D220" t="s">
        <v>2721</v>
      </c>
      <c r="E220" t="s">
        <v>8</v>
      </c>
      <c r="F220">
        <v>2524</v>
      </c>
      <c r="G220" t="s">
        <v>5000</v>
      </c>
      <c r="H220" t="s">
        <v>4994</v>
      </c>
      <c r="I220">
        <v>4.125</v>
      </c>
      <c r="J220" t="s">
        <v>5012</v>
      </c>
      <c r="K220" t="s">
        <v>4993</v>
      </c>
      <c r="L220">
        <v>16</v>
      </c>
      <c r="M220">
        <v>255</v>
      </c>
      <c r="N220" t="s">
        <v>5014</v>
      </c>
      <c r="O220">
        <v>0</v>
      </c>
      <c r="P220">
        <v>0</v>
      </c>
    </row>
    <row r="221" spans="1:16" x14ac:dyDescent="0.25">
      <c r="A221" t="s">
        <v>4154</v>
      </c>
      <c r="B221" t="s">
        <v>4155</v>
      </c>
      <c r="C221">
        <v>6256</v>
      </c>
      <c r="D221" t="s">
        <v>346</v>
      </c>
      <c r="E221" t="s">
        <v>8</v>
      </c>
      <c r="F221">
        <v>2516</v>
      </c>
      <c r="G221" t="s">
        <v>5000</v>
      </c>
      <c r="H221" t="s">
        <v>4994</v>
      </c>
      <c r="I221">
        <v>4.0875000000000004</v>
      </c>
      <c r="J221" t="s">
        <v>5012</v>
      </c>
      <c r="K221" t="s">
        <v>4993</v>
      </c>
      <c r="L221">
        <v>160</v>
      </c>
      <c r="M221">
        <v>60</v>
      </c>
      <c r="N221" t="s">
        <v>5014</v>
      </c>
      <c r="O221">
        <v>0</v>
      </c>
      <c r="P221">
        <v>0</v>
      </c>
    </row>
    <row r="222" spans="1:16" x14ac:dyDescent="0.25">
      <c r="A222" t="s">
        <v>4156</v>
      </c>
      <c r="B222" t="s">
        <v>4157</v>
      </c>
      <c r="C222">
        <v>6226</v>
      </c>
      <c r="D222" t="s">
        <v>843</v>
      </c>
      <c r="E222" t="s">
        <v>201</v>
      </c>
      <c r="F222">
        <v>2514</v>
      </c>
      <c r="G222" t="s">
        <v>5000</v>
      </c>
      <c r="H222" t="s">
        <v>4994</v>
      </c>
      <c r="I222">
        <v>5</v>
      </c>
      <c r="J222" t="s">
        <v>5012</v>
      </c>
      <c r="K222" t="s">
        <v>4993</v>
      </c>
      <c r="L222">
        <v>3</v>
      </c>
      <c r="M222">
        <v>38</v>
      </c>
      <c r="N222" t="s">
        <v>5015</v>
      </c>
      <c r="O222">
        <v>0</v>
      </c>
      <c r="P222">
        <v>0</v>
      </c>
    </row>
    <row r="223" spans="1:16" x14ac:dyDescent="0.25">
      <c r="A223" t="s">
        <v>4162</v>
      </c>
      <c r="B223" t="s">
        <v>4163</v>
      </c>
      <c r="C223">
        <v>7020</v>
      </c>
      <c r="D223" t="s">
        <v>657</v>
      </c>
      <c r="E223" t="s">
        <v>21</v>
      </c>
      <c r="F223">
        <v>2480</v>
      </c>
      <c r="G223" t="s">
        <v>5000</v>
      </c>
      <c r="H223" t="s">
        <v>4994</v>
      </c>
      <c r="I223">
        <v>4.58</v>
      </c>
      <c r="J223" t="s">
        <v>5012</v>
      </c>
      <c r="K223" t="s">
        <v>4993</v>
      </c>
      <c r="L223">
        <v>50</v>
      </c>
      <c r="M223">
        <v>130</v>
      </c>
      <c r="N223" t="s">
        <v>5014</v>
      </c>
      <c r="O223">
        <v>0</v>
      </c>
      <c r="P223">
        <v>0</v>
      </c>
    </row>
    <row r="224" spans="1:16" x14ac:dyDescent="0.25">
      <c r="A224" t="s">
        <v>4164</v>
      </c>
      <c r="B224" t="s">
        <v>4165</v>
      </c>
      <c r="C224">
        <v>6334</v>
      </c>
      <c r="D224" t="s">
        <v>2819</v>
      </c>
      <c r="E224" t="s">
        <v>8</v>
      </c>
      <c r="F224">
        <v>2472</v>
      </c>
      <c r="G224" t="s">
        <v>5000</v>
      </c>
      <c r="H224" t="s">
        <v>4994</v>
      </c>
      <c r="I224">
        <v>4.5082000000000004</v>
      </c>
      <c r="J224" t="s">
        <v>5012</v>
      </c>
      <c r="K224" t="s">
        <v>4993</v>
      </c>
      <c r="L224">
        <v>122</v>
      </c>
      <c r="M224">
        <v>72</v>
      </c>
      <c r="N224" t="s">
        <v>5014</v>
      </c>
      <c r="O224">
        <v>0</v>
      </c>
      <c r="P224">
        <v>0</v>
      </c>
    </row>
    <row r="225" spans="1:16" x14ac:dyDescent="0.25">
      <c r="A225" t="s">
        <v>4166</v>
      </c>
      <c r="B225" t="s">
        <v>4167</v>
      </c>
      <c r="C225">
        <v>6349</v>
      </c>
      <c r="D225" t="s">
        <v>2031</v>
      </c>
      <c r="E225" t="s">
        <v>69</v>
      </c>
      <c r="F225">
        <v>2472</v>
      </c>
      <c r="G225" t="s">
        <v>5000</v>
      </c>
      <c r="H225" t="s">
        <v>4994</v>
      </c>
      <c r="I225">
        <v>4.7419000000000002</v>
      </c>
      <c r="J225" t="s">
        <v>5012</v>
      </c>
      <c r="K225" t="s">
        <v>4993</v>
      </c>
      <c r="L225">
        <v>62</v>
      </c>
      <c r="M225">
        <v>48</v>
      </c>
      <c r="N225" t="s">
        <v>5015</v>
      </c>
      <c r="O225">
        <v>0</v>
      </c>
      <c r="P225">
        <v>0</v>
      </c>
    </row>
    <row r="226" spans="1:16" x14ac:dyDescent="0.25">
      <c r="A226" t="s">
        <v>4168</v>
      </c>
      <c r="B226" t="s">
        <v>4169</v>
      </c>
      <c r="C226">
        <v>6373</v>
      </c>
      <c r="D226" t="s">
        <v>1652</v>
      </c>
      <c r="E226" t="s">
        <v>13</v>
      </c>
      <c r="F226">
        <v>2470</v>
      </c>
      <c r="G226" t="s">
        <v>5000</v>
      </c>
      <c r="H226" t="s">
        <v>4994</v>
      </c>
      <c r="I226">
        <v>4.0545</v>
      </c>
      <c r="J226" t="s">
        <v>5012</v>
      </c>
      <c r="K226" t="s">
        <v>4993</v>
      </c>
      <c r="L226">
        <v>55</v>
      </c>
      <c r="M226">
        <v>36</v>
      </c>
      <c r="N226" t="s">
        <v>5015</v>
      </c>
      <c r="O226">
        <v>0</v>
      </c>
      <c r="P226">
        <v>0</v>
      </c>
    </row>
    <row r="227" spans="1:16" x14ac:dyDescent="0.25">
      <c r="A227" t="s">
        <v>4172</v>
      </c>
      <c r="B227" t="s">
        <v>4173</v>
      </c>
      <c r="C227">
        <v>6302</v>
      </c>
      <c r="D227" t="s">
        <v>2721</v>
      </c>
      <c r="E227" t="s">
        <v>69</v>
      </c>
      <c r="F227">
        <v>2446</v>
      </c>
      <c r="G227" t="s">
        <v>5000</v>
      </c>
      <c r="H227" t="s">
        <v>4994</v>
      </c>
      <c r="I227">
        <v>4.125</v>
      </c>
      <c r="J227" t="s">
        <v>5012</v>
      </c>
      <c r="K227" t="s">
        <v>4993</v>
      </c>
      <c r="L227">
        <v>16</v>
      </c>
      <c r="M227">
        <v>150</v>
      </c>
      <c r="N227" t="s">
        <v>5014</v>
      </c>
      <c r="O227">
        <v>0</v>
      </c>
      <c r="P227">
        <v>0</v>
      </c>
    </row>
    <row r="228" spans="1:16" x14ac:dyDescent="0.25">
      <c r="A228" t="s">
        <v>4176</v>
      </c>
      <c r="B228" t="s">
        <v>4177</v>
      </c>
      <c r="C228">
        <v>6329</v>
      </c>
      <c r="D228" t="s">
        <v>3435</v>
      </c>
      <c r="E228" t="s">
        <v>21</v>
      </c>
      <c r="F228">
        <v>2438</v>
      </c>
      <c r="G228" t="s">
        <v>5000</v>
      </c>
      <c r="H228" t="s">
        <v>4994</v>
      </c>
      <c r="I228">
        <v>4.6052999999999997</v>
      </c>
      <c r="J228" t="s">
        <v>5012</v>
      </c>
      <c r="K228" t="s">
        <v>4993</v>
      </c>
      <c r="L228">
        <v>76</v>
      </c>
      <c r="M228">
        <v>70</v>
      </c>
      <c r="N228" t="s">
        <v>5014</v>
      </c>
      <c r="O228">
        <v>0</v>
      </c>
      <c r="P228">
        <v>0</v>
      </c>
    </row>
    <row r="229" spans="1:16" x14ac:dyDescent="0.25">
      <c r="A229" t="s">
        <v>4178</v>
      </c>
      <c r="B229" t="s">
        <v>4179</v>
      </c>
      <c r="C229">
        <v>1073</v>
      </c>
      <c r="D229" t="s">
        <v>767</v>
      </c>
      <c r="E229" t="s">
        <v>8</v>
      </c>
      <c r="F229">
        <v>2435</v>
      </c>
      <c r="G229" t="s">
        <v>5000</v>
      </c>
      <c r="H229" t="s">
        <v>4994</v>
      </c>
      <c r="I229">
        <v>4.4527000000000001</v>
      </c>
      <c r="J229" t="s">
        <v>5012</v>
      </c>
      <c r="K229" t="s">
        <v>4993</v>
      </c>
      <c r="L229">
        <v>497</v>
      </c>
      <c r="M229">
        <v>100</v>
      </c>
      <c r="N229" t="s">
        <v>5014</v>
      </c>
      <c r="O229">
        <v>1</v>
      </c>
      <c r="P229">
        <v>0</v>
      </c>
    </row>
    <row r="230" spans="1:16" x14ac:dyDescent="0.25">
      <c r="A230" t="s">
        <v>4180</v>
      </c>
      <c r="B230" t="s">
        <v>4181</v>
      </c>
      <c r="C230">
        <v>3733</v>
      </c>
      <c r="D230" t="s">
        <v>124</v>
      </c>
      <c r="E230" t="s">
        <v>21</v>
      </c>
      <c r="F230">
        <v>2424</v>
      </c>
      <c r="G230" t="s">
        <v>5000</v>
      </c>
      <c r="H230" t="s">
        <v>4994</v>
      </c>
      <c r="I230">
        <v>4.0999999999999996</v>
      </c>
      <c r="J230" t="s">
        <v>5012</v>
      </c>
      <c r="K230" t="s">
        <v>4993</v>
      </c>
      <c r="L230">
        <v>10</v>
      </c>
      <c r="M230">
        <v>40</v>
      </c>
      <c r="N230" t="s">
        <v>5015</v>
      </c>
      <c r="O230">
        <v>0</v>
      </c>
      <c r="P230">
        <v>0</v>
      </c>
    </row>
    <row r="231" spans="1:16" x14ac:dyDescent="0.25">
      <c r="A231" t="s">
        <v>4182</v>
      </c>
      <c r="B231" t="s">
        <v>4183</v>
      </c>
      <c r="C231">
        <v>7091</v>
      </c>
      <c r="D231" t="s">
        <v>879</v>
      </c>
      <c r="E231" t="s">
        <v>49</v>
      </c>
      <c r="F231">
        <v>2419</v>
      </c>
      <c r="G231" t="s">
        <v>5000</v>
      </c>
      <c r="H231" t="s">
        <v>4994</v>
      </c>
      <c r="I231">
        <v>5</v>
      </c>
      <c r="J231" t="s">
        <v>5012</v>
      </c>
      <c r="K231" t="s">
        <v>4993</v>
      </c>
      <c r="L231">
        <v>2</v>
      </c>
      <c r="M231">
        <v>30</v>
      </c>
      <c r="N231" t="s">
        <v>5015</v>
      </c>
      <c r="O231">
        <v>1</v>
      </c>
      <c r="P231">
        <v>0</v>
      </c>
    </row>
    <row r="232" spans="1:16" x14ac:dyDescent="0.25">
      <c r="A232" t="s">
        <v>4188</v>
      </c>
      <c r="B232" t="s">
        <v>4189</v>
      </c>
      <c r="C232">
        <v>6309</v>
      </c>
      <c r="D232" t="s">
        <v>1735</v>
      </c>
      <c r="E232" t="s">
        <v>13</v>
      </c>
      <c r="F232">
        <v>2403</v>
      </c>
      <c r="G232" t="s">
        <v>5000</v>
      </c>
      <c r="H232" t="s">
        <v>4994</v>
      </c>
      <c r="I232">
        <v>4.0194000000000001</v>
      </c>
      <c r="J232" t="s">
        <v>5012</v>
      </c>
      <c r="K232" t="s">
        <v>4993</v>
      </c>
      <c r="L232">
        <v>413</v>
      </c>
      <c r="M232">
        <v>35</v>
      </c>
      <c r="N232" t="s">
        <v>5015</v>
      </c>
      <c r="O232">
        <v>0</v>
      </c>
      <c r="P232">
        <v>0</v>
      </c>
    </row>
    <row r="233" spans="1:16" x14ac:dyDescent="0.25">
      <c r="A233" t="s">
        <v>4190</v>
      </c>
      <c r="B233" t="s">
        <v>4191</v>
      </c>
      <c r="C233">
        <v>5648</v>
      </c>
      <c r="D233" t="s">
        <v>408</v>
      </c>
      <c r="E233" t="s">
        <v>21</v>
      </c>
      <c r="F233">
        <v>2400</v>
      </c>
      <c r="G233" t="s">
        <v>5000</v>
      </c>
      <c r="H233" t="s">
        <v>4994</v>
      </c>
      <c r="I233">
        <v>4.25</v>
      </c>
      <c r="J233" t="s">
        <v>5012</v>
      </c>
      <c r="K233" t="s">
        <v>4993</v>
      </c>
      <c r="L233">
        <v>8</v>
      </c>
      <c r="M233">
        <v>14</v>
      </c>
      <c r="N233" t="s">
        <v>5013</v>
      </c>
      <c r="O233">
        <v>0</v>
      </c>
      <c r="P233">
        <v>0</v>
      </c>
    </row>
    <row r="234" spans="1:16" x14ac:dyDescent="0.25">
      <c r="A234" t="s">
        <v>4192</v>
      </c>
      <c r="B234" t="s">
        <v>4193</v>
      </c>
      <c r="C234">
        <v>6309</v>
      </c>
      <c r="D234" t="s">
        <v>1735</v>
      </c>
      <c r="E234" t="s">
        <v>13</v>
      </c>
      <c r="F234">
        <v>2395</v>
      </c>
      <c r="G234" t="s">
        <v>5000</v>
      </c>
      <c r="H234" t="s">
        <v>4994</v>
      </c>
      <c r="I234">
        <v>4.3888999999999996</v>
      </c>
      <c r="J234" t="s">
        <v>5012</v>
      </c>
      <c r="K234" t="s">
        <v>4993</v>
      </c>
      <c r="L234">
        <v>18</v>
      </c>
      <c r="M234">
        <v>48</v>
      </c>
      <c r="N234" t="s">
        <v>5015</v>
      </c>
      <c r="O234">
        <v>0</v>
      </c>
      <c r="P234">
        <v>1</v>
      </c>
    </row>
    <row r="235" spans="1:16" x14ac:dyDescent="0.25">
      <c r="A235" t="s">
        <v>4194</v>
      </c>
      <c r="B235" t="s">
        <v>4195</v>
      </c>
      <c r="C235">
        <v>6329</v>
      </c>
      <c r="D235" t="s">
        <v>3435</v>
      </c>
      <c r="E235" t="s">
        <v>13</v>
      </c>
      <c r="F235">
        <v>2393</v>
      </c>
      <c r="G235" t="s">
        <v>5000</v>
      </c>
      <c r="H235" t="s">
        <v>4994</v>
      </c>
      <c r="I235">
        <v>4.7887000000000004</v>
      </c>
      <c r="J235" t="s">
        <v>5012</v>
      </c>
      <c r="K235" t="s">
        <v>4993</v>
      </c>
      <c r="L235">
        <v>71</v>
      </c>
      <c r="M235">
        <v>38</v>
      </c>
      <c r="N235" t="s">
        <v>5015</v>
      </c>
      <c r="O235">
        <v>0</v>
      </c>
      <c r="P235">
        <v>0</v>
      </c>
    </row>
    <row r="236" spans="1:16" x14ac:dyDescent="0.25">
      <c r="A236" t="s">
        <v>4196</v>
      </c>
      <c r="B236" t="s">
        <v>4197</v>
      </c>
      <c r="C236">
        <v>7100</v>
      </c>
      <c r="D236" t="s">
        <v>3756</v>
      </c>
      <c r="E236" t="s">
        <v>8</v>
      </c>
      <c r="F236">
        <v>2391</v>
      </c>
      <c r="G236" t="s">
        <v>5000</v>
      </c>
      <c r="H236" t="s">
        <v>4994</v>
      </c>
      <c r="I236">
        <v>4.7142999999999997</v>
      </c>
      <c r="J236" t="s">
        <v>5012</v>
      </c>
      <c r="K236" t="s">
        <v>4993</v>
      </c>
      <c r="L236">
        <v>21</v>
      </c>
      <c r="M236">
        <v>70</v>
      </c>
      <c r="N236" t="s">
        <v>5014</v>
      </c>
      <c r="O236">
        <v>0</v>
      </c>
      <c r="P236">
        <v>0</v>
      </c>
    </row>
    <row r="237" spans="1:16" x14ac:dyDescent="0.25">
      <c r="A237" t="s">
        <v>4200</v>
      </c>
      <c r="B237" t="s">
        <v>4201</v>
      </c>
      <c r="C237">
        <v>5987</v>
      </c>
      <c r="D237" t="s">
        <v>48</v>
      </c>
      <c r="E237" t="s">
        <v>49</v>
      </c>
      <c r="F237">
        <v>2352</v>
      </c>
      <c r="G237" t="s">
        <v>5000</v>
      </c>
      <c r="H237" t="s">
        <v>4994</v>
      </c>
      <c r="I237">
        <v>4.4757999999999996</v>
      </c>
      <c r="J237" t="s">
        <v>5012</v>
      </c>
      <c r="K237" t="s">
        <v>4993</v>
      </c>
      <c r="L237">
        <v>124</v>
      </c>
      <c r="M237">
        <v>36</v>
      </c>
      <c r="N237" t="s">
        <v>5015</v>
      </c>
      <c r="O237">
        <v>1</v>
      </c>
      <c r="P237">
        <v>0</v>
      </c>
    </row>
    <row r="238" spans="1:16" x14ac:dyDescent="0.25">
      <c r="A238" t="s">
        <v>4202</v>
      </c>
      <c r="B238" t="s">
        <v>4203</v>
      </c>
      <c r="C238">
        <v>6089</v>
      </c>
      <c r="D238" t="s">
        <v>605</v>
      </c>
      <c r="E238" t="s">
        <v>21</v>
      </c>
      <c r="F238">
        <v>2348</v>
      </c>
      <c r="G238" t="s">
        <v>5000</v>
      </c>
      <c r="H238" t="s">
        <v>4994</v>
      </c>
      <c r="I238">
        <v>4.2173999999999996</v>
      </c>
      <c r="J238" t="s">
        <v>5012</v>
      </c>
      <c r="K238" t="s">
        <v>4993</v>
      </c>
      <c r="L238">
        <v>23</v>
      </c>
      <c r="M238">
        <v>59</v>
      </c>
      <c r="N238" t="s">
        <v>5014</v>
      </c>
      <c r="O238">
        <v>0</v>
      </c>
      <c r="P238">
        <v>0</v>
      </c>
    </row>
    <row r="239" spans="1:16" x14ac:dyDescent="0.25">
      <c r="A239" t="s">
        <v>4204</v>
      </c>
      <c r="B239" t="s">
        <v>4205</v>
      </c>
      <c r="C239">
        <v>1073</v>
      </c>
      <c r="D239" t="s">
        <v>767</v>
      </c>
      <c r="E239" t="s">
        <v>13</v>
      </c>
      <c r="F239">
        <v>2344</v>
      </c>
      <c r="G239" t="s">
        <v>5000</v>
      </c>
      <c r="H239" t="s">
        <v>4994</v>
      </c>
      <c r="I239">
        <v>4.4545000000000003</v>
      </c>
      <c r="J239" t="s">
        <v>5012</v>
      </c>
      <c r="K239" t="s">
        <v>4993</v>
      </c>
      <c r="L239">
        <v>11</v>
      </c>
      <c r="M239">
        <v>65</v>
      </c>
      <c r="N239" t="s">
        <v>5014</v>
      </c>
      <c r="O239">
        <v>0</v>
      </c>
      <c r="P239">
        <v>0</v>
      </c>
    </row>
    <row r="240" spans="1:16" x14ac:dyDescent="0.25">
      <c r="A240" t="s">
        <v>4206</v>
      </c>
      <c r="B240" t="s">
        <v>4207</v>
      </c>
      <c r="C240">
        <v>8017</v>
      </c>
      <c r="D240" t="s">
        <v>620</v>
      </c>
      <c r="E240" t="s">
        <v>69</v>
      </c>
      <c r="F240">
        <v>2333</v>
      </c>
      <c r="G240" t="s">
        <v>5000</v>
      </c>
      <c r="H240" t="s">
        <v>4994</v>
      </c>
      <c r="I240">
        <v>4.5</v>
      </c>
      <c r="J240" t="s">
        <v>5012</v>
      </c>
      <c r="K240" t="s">
        <v>4993</v>
      </c>
      <c r="L240">
        <v>4</v>
      </c>
      <c r="M240">
        <v>18</v>
      </c>
      <c r="N240" t="s">
        <v>5013</v>
      </c>
      <c r="O240">
        <v>0</v>
      </c>
      <c r="P240">
        <v>1</v>
      </c>
    </row>
    <row r="241" spans="1:16" x14ac:dyDescent="0.25">
      <c r="A241" t="s">
        <v>4208</v>
      </c>
      <c r="B241" t="s">
        <v>4209</v>
      </c>
      <c r="C241">
        <v>6356</v>
      </c>
      <c r="D241" t="s">
        <v>1885</v>
      </c>
      <c r="E241" t="s">
        <v>220</v>
      </c>
      <c r="F241">
        <v>2331</v>
      </c>
      <c r="G241" t="s">
        <v>5000</v>
      </c>
      <c r="H241" t="s">
        <v>4994</v>
      </c>
      <c r="I241">
        <v>5</v>
      </c>
      <c r="J241" t="s">
        <v>5012</v>
      </c>
      <c r="K241" t="s">
        <v>4993</v>
      </c>
      <c r="L241">
        <v>2</v>
      </c>
      <c r="M241">
        <v>185</v>
      </c>
      <c r="N241" t="s">
        <v>5014</v>
      </c>
      <c r="O241">
        <v>1</v>
      </c>
      <c r="P241">
        <v>0</v>
      </c>
    </row>
    <row r="242" spans="1:16" x14ac:dyDescent="0.25">
      <c r="A242" t="s">
        <v>4210</v>
      </c>
      <c r="B242" t="s">
        <v>4211</v>
      </c>
      <c r="C242">
        <v>6307</v>
      </c>
      <c r="D242" t="s">
        <v>1132</v>
      </c>
      <c r="E242" t="s">
        <v>21</v>
      </c>
      <c r="F242">
        <v>2324</v>
      </c>
      <c r="G242" t="s">
        <v>5000</v>
      </c>
      <c r="H242" t="s">
        <v>4994</v>
      </c>
      <c r="I242">
        <v>5</v>
      </c>
      <c r="J242" t="s">
        <v>5012</v>
      </c>
      <c r="K242" t="s">
        <v>4993</v>
      </c>
      <c r="L242">
        <v>3</v>
      </c>
      <c r="M242">
        <v>80</v>
      </c>
      <c r="N242" t="s">
        <v>5014</v>
      </c>
      <c r="O242">
        <v>0</v>
      </c>
      <c r="P242">
        <v>0</v>
      </c>
    </row>
    <row r="243" spans="1:16" x14ac:dyDescent="0.25">
      <c r="A243" t="s">
        <v>4212</v>
      </c>
      <c r="B243" t="s">
        <v>4213</v>
      </c>
      <c r="C243">
        <v>4372</v>
      </c>
      <c r="D243" t="s">
        <v>1513</v>
      </c>
      <c r="E243" t="s">
        <v>13</v>
      </c>
      <c r="F243">
        <v>2309</v>
      </c>
      <c r="G243" t="s">
        <v>5000</v>
      </c>
      <c r="H243" t="s">
        <v>4994</v>
      </c>
      <c r="I243">
        <v>4.8620999999999999</v>
      </c>
      <c r="J243" t="s">
        <v>5012</v>
      </c>
      <c r="K243" t="s">
        <v>4993</v>
      </c>
      <c r="L243">
        <v>58</v>
      </c>
      <c r="M243">
        <v>79</v>
      </c>
      <c r="N243" t="s">
        <v>5014</v>
      </c>
      <c r="O243">
        <v>0</v>
      </c>
      <c r="P243">
        <v>0</v>
      </c>
    </row>
    <row r="244" spans="1:16" x14ac:dyDescent="0.25">
      <c r="A244" t="s">
        <v>4214</v>
      </c>
      <c r="B244" t="s">
        <v>4215</v>
      </c>
      <c r="C244">
        <v>6001</v>
      </c>
      <c r="D244" t="s">
        <v>1836</v>
      </c>
      <c r="E244" t="s">
        <v>21</v>
      </c>
      <c r="F244">
        <v>2299</v>
      </c>
      <c r="G244" t="s">
        <v>5000</v>
      </c>
      <c r="H244" t="s">
        <v>4994</v>
      </c>
      <c r="I244">
        <v>4.5625</v>
      </c>
      <c r="J244" t="s">
        <v>5012</v>
      </c>
      <c r="K244" t="s">
        <v>4993</v>
      </c>
      <c r="L244">
        <v>16</v>
      </c>
      <c r="M244">
        <v>69</v>
      </c>
      <c r="N244" t="s">
        <v>5014</v>
      </c>
      <c r="O244">
        <v>0</v>
      </c>
      <c r="P244">
        <v>0</v>
      </c>
    </row>
    <row r="245" spans="1:16" x14ac:dyDescent="0.25">
      <c r="A245" t="s">
        <v>4220</v>
      </c>
      <c r="B245" t="s">
        <v>4221</v>
      </c>
      <c r="C245">
        <v>1073</v>
      </c>
      <c r="D245" t="s">
        <v>767</v>
      </c>
      <c r="E245" t="s">
        <v>8</v>
      </c>
      <c r="F245">
        <v>2275</v>
      </c>
      <c r="G245" t="s">
        <v>5000</v>
      </c>
      <c r="H245" t="s">
        <v>4994</v>
      </c>
      <c r="I245">
        <v>4.4286000000000003</v>
      </c>
      <c r="J245" t="s">
        <v>5012</v>
      </c>
      <c r="K245" t="s">
        <v>4993</v>
      </c>
      <c r="L245">
        <v>7</v>
      </c>
      <c r="M245">
        <v>110</v>
      </c>
      <c r="N245" t="s">
        <v>5014</v>
      </c>
      <c r="O245">
        <v>0</v>
      </c>
      <c r="P245">
        <v>0</v>
      </c>
    </row>
    <row r="246" spans="1:16" x14ac:dyDescent="0.25">
      <c r="A246" t="s">
        <v>4222</v>
      </c>
      <c r="B246" t="s">
        <v>4223</v>
      </c>
      <c r="C246">
        <v>3728</v>
      </c>
      <c r="D246" t="s">
        <v>458</v>
      </c>
      <c r="E246" t="s">
        <v>13</v>
      </c>
      <c r="F246">
        <v>2272</v>
      </c>
      <c r="G246" t="s">
        <v>5000</v>
      </c>
      <c r="H246" t="s">
        <v>4994</v>
      </c>
      <c r="I246">
        <v>4</v>
      </c>
      <c r="J246" t="s">
        <v>5012</v>
      </c>
      <c r="K246" t="s">
        <v>4993</v>
      </c>
      <c r="L246">
        <v>14</v>
      </c>
      <c r="M246">
        <v>32</v>
      </c>
      <c r="N246" t="s">
        <v>5015</v>
      </c>
      <c r="O246">
        <v>0</v>
      </c>
      <c r="P246">
        <v>0</v>
      </c>
    </row>
    <row r="247" spans="1:16" x14ac:dyDescent="0.25">
      <c r="A247" t="s">
        <v>4224</v>
      </c>
      <c r="B247" t="s">
        <v>4225</v>
      </c>
      <c r="C247">
        <v>3902</v>
      </c>
      <c r="D247" t="s">
        <v>72</v>
      </c>
      <c r="E247" t="s">
        <v>8</v>
      </c>
      <c r="F247">
        <v>2254</v>
      </c>
      <c r="G247" t="s">
        <v>5000</v>
      </c>
      <c r="H247" t="s">
        <v>4994</v>
      </c>
      <c r="I247">
        <v>5</v>
      </c>
      <c r="J247" t="s">
        <v>5012</v>
      </c>
      <c r="K247" t="s">
        <v>4993</v>
      </c>
      <c r="L247">
        <v>1</v>
      </c>
      <c r="M247">
        <v>17</v>
      </c>
      <c r="N247" t="s">
        <v>5013</v>
      </c>
      <c r="O247">
        <v>1</v>
      </c>
      <c r="P247">
        <v>0</v>
      </c>
    </row>
    <row r="248" spans="1:16" x14ac:dyDescent="0.25">
      <c r="A248" t="s">
        <v>4230</v>
      </c>
      <c r="B248" t="s">
        <v>4231</v>
      </c>
      <c r="C248">
        <v>6302</v>
      </c>
      <c r="D248" t="s">
        <v>2721</v>
      </c>
      <c r="E248" t="s">
        <v>8</v>
      </c>
      <c r="F248">
        <v>2233</v>
      </c>
      <c r="G248" t="s">
        <v>5000</v>
      </c>
      <c r="H248" t="s">
        <v>4994</v>
      </c>
      <c r="I248">
        <v>4.3635999999999999</v>
      </c>
      <c r="J248" t="s">
        <v>5012</v>
      </c>
      <c r="K248" t="s">
        <v>4993</v>
      </c>
      <c r="L248">
        <v>11</v>
      </c>
      <c r="M248">
        <v>300</v>
      </c>
      <c r="N248" t="s">
        <v>5014</v>
      </c>
      <c r="O248">
        <v>0</v>
      </c>
      <c r="P248">
        <v>0</v>
      </c>
    </row>
    <row r="249" spans="1:16" x14ac:dyDescent="0.25">
      <c r="A249" t="s">
        <v>4240</v>
      </c>
      <c r="B249" t="s">
        <v>4241</v>
      </c>
      <c r="C249">
        <v>6349</v>
      </c>
      <c r="D249" t="s">
        <v>2031</v>
      </c>
      <c r="E249" t="s">
        <v>220</v>
      </c>
      <c r="F249">
        <v>2206</v>
      </c>
      <c r="G249" t="s">
        <v>5000</v>
      </c>
      <c r="H249" t="s">
        <v>4994</v>
      </c>
      <c r="I249">
        <v>5</v>
      </c>
      <c r="J249" t="s">
        <v>5012</v>
      </c>
      <c r="K249" t="s">
        <v>4993</v>
      </c>
      <c r="L249">
        <v>2</v>
      </c>
      <c r="M249">
        <v>42</v>
      </c>
      <c r="N249" t="s">
        <v>5015</v>
      </c>
      <c r="O249">
        <v>0</v>
      </c>
      <c r="P249">
        <v>0</v>
      </c>
    </row>
    <row r="250" spans="1:16" x14ac:dyDescent="0.25">
      <c r="A250" t="s">
        <v>4242</v>
      </c>
      <c r="B250" t="s">
        <v>4243</v>
      </c>
      <c r="C250">
        <v>6349</v>
      </c>
      <c r="D250" t="s">
        <v>2031</v>
      </c>
      <c r="E250" t="s">
        <v>21</v>
      </c>
      <c r="F250">
        <v>2203</v>
      </c>
      <c r="G250" t="s">
        <v>5000</v>
      </c>
      <c r="H250" t="s">
        <v>4994</v>
      </c>
      <c r="I250">
        <v>4.8548</v>
      </c>
      <c r="J250" t="s">
        <v>5012</v>
      </c>
      <c r="K250" t="s">
        <v>4993</v>
      </c>
      <c r="L250">
        <v>186</v>
      </c>
      <c r="M250">
        <v>68</v>
      </c>
      <c r="N250" t="s">
        <v>5014</v>
      </c>
      <c r="O250">
        <v>0</v>
      </c>
      <c r="P250">
        <v>0</v>
      </c>
    </row>
    <row r="251" spans="1:16" x14ac:dyDescent="0.25">
      <c r="A251" t="s">
        <v>4244</v>
      </c>
      <c r="B251" t="s">
        <v>4245</v>
      </c>
      <c r="C251">
        <v>6302</v>
      </c>
      <c r="D251" t="s">
        <v>2721</v>
      </c>
      <c r="E251" t="s">
        <v>21</v>
      </c>
      <c r="F251">
        <v>2202</v>
      </c>
      <c r="G251" t="s">
        <v>5000</v>
      </c>
      <c r="H251" t="s">
        <v>4994</v>
      </c>
      <c r="I251">
        <v>4.2407000000000004</v>
      </c>
      <c r="J251" t="s">
        <v>5012</v>
      </c>
      <c r="K251" t="s">
        <v>4993</v>
      </c>
      <c r="L251">
        <v>810</v>
      </c>
      <c r="M251">
        <v>75</v>
      </c>
      <c r="N251" t="s">
        <v>5014</v>
      </c>
      <c r="O251">
        <v>0</v>
      </c>
      <c r="P251">
        <v>1</v>
      </c>
    </row>
    <row r="252" spans="1:16" x14ac:dyDescent="0.25">
      <c r="A252" t="s">
        <v>4246</v>
      </c>
      <c r="B252" t="s">
        <v>4247</v>
      </c>
      <c r="C252">
        <v>1073</v>
      </c>
      <c r="D252" t="s">
        <v>767</v>
      </c>
      <c r="E252" t="s">
        <v>21</v>
      </c>
      <c r="F252">
        <v>2201</v>
      </c>
      <c r="G252" t="s">
        <v>5000</v>
      </c>
      <c r="H252" t="s">
        <v>4994</v>
      </c>
      <c r="I252">
        <v>5</v>
      </c>
      <c r="J252" t="s">
        <v>5012</v>
      </c>
      <c r="K252" t="s">
        <v>4993</v>
      </c>
      <c r="L252">
        <v>3</v>
      </c>
      <c r="M252">
        <v>85</v>
      </c>
      <c r="N252" t="s">
        <v>5014</v>
      </c>
      <c r="O252">
        <v>0</v>
      </c>
      <c r="P252">
        <v>0</v>
      </c>
    </row>
    <row r="253" spans="1:16" x14ac:dyDescent="0.25">
      <c r="A253" t="s">
        <v>4250</v>
      </c>
      <c r="B253" t="s">
        <v>4251</v>
      </c>
      <c r="C253">
        <v>6175</v>
      </c>
      <c r="D253" t="s">
        <v>338</v>
      </c>
      <c r="E253" t="s">
        <v>8</v>
      </c>
      <c r="F253">
        <v>2199</v>
      </c>
      <c r="G253" t="s">
        <v>5000</v>
      </c>
      <c r="H253" t="s">
        <v>4994</v>
      </c>
      <c r="I253">
        <v>4.5</v>
      </c>
      <c r="J253" t="s">
        <v>5012</v>
      </c>
      <c r="K253" t="s">
        <v>4993</v>
      </c>
      <c r="L253">
        <v>6</v>
      </c>
      <c r="M253">
        <v>59</v>
      </c>
      <c r="N253" t="s">
        <v>5014</v>
      </c>
      <c r="O253">
        <v>0</v>
      </c>
      <c r="P253">
        <v>0</v>
      </c>
    </row>
    <row r="254" spans="1:16" x14ac:dyDescent="0.25">
      <c r="A254" t="s">
        <v>4252</v>
      </c>
      <c r="B254" t="s">
        <v>4253</v>
      </c>
      <c r="C254">
        <v>6175</v>
      </c>
      <c r="D254" t="s">
        <v>338</v>
      </c>
      <c r="E254" t="s">
        <v>144</v>
      </c>
      <c r="F254">
        <v>2196</v>
      </c>
      <c r="G254" t="s">
        <v>5000</v>
      </c>
      <c r="H254" t="s">
        <v>4994</v>
      </c>
      <c r="I254">
        <v>4.1666999999999996</v>
      </c>
      <c r="J254" t="s">
        <v>5012</v>
      </c>
      <c r="K254" t="s">
        <v>4993</v>
      </c>
      <c r="L254">
        <v>12</v>
      </c>
      <c r="M254">
        <v>15</v>
      </c>
      <c r="N254" t="s">
        <v>5013</v>
      </c>
      <c r="O254">
        <v>0</v>
      </c>
      <c r="P254">
        <v>0</v>
      </c>
    </row>
    <row r="255" spans="1:16" x14ac:dyDescent="0.25">
      <c r="A255" t="s">
        <v>4254</v>
      </c>
      <c r="B255" t="s">
        <v>4255</v>
      </c>
      <c r="C255">
        <v>6329</v>
      </c>
      <c r="D255" t="s">
        <v>3435</v>
      </c>
      <c r="E255" t="s">
        <v>13</v>
      </c>
      <c r="F255">
        <v>2193</v>
      </c>
      <c r="G255" t="s">
        <v>5000</v>
      </c>
      <c r="H255" t="s">
        <v>4994</v>
      </c>
      <c r="I255">
        <v>4.7680999999999996</v>
      </c>
      <c r="J255" t="s">
        <v>5012</v>
      </c>
      <c r="K255" t="s">
        <v>4993</v>
      </c>
      <c r="L255">
        <v>69</v>
      </c>
      <c r="M255">
        <v>48</v>
      </c>
      <c r="N255" t="s">
        <v>5015</v>
      </c>
      <c r="O255">
        <v>0</v>
      </c>
      <c r="P255">
        <v>0</v>
      </c>
    </row>
    <row r="256" spans="1:16" x14ac:dyDescent="0.25">
      <c r="A256" t="s">
        <v>4258</v>
      </c>
      <c r="B256" t="s">
        <v>4259</v>
      </c>
      <c r="C256">
        <v>1132</v>
      </c>
      <c r="D256" t="s">
        <v>1319</v>
      </c>
      <c r="E256" t="s">
        <v>21</v>
      </c>
      <c r="F256">
        <v>2188</v>
      </c>
      <c r="G256" t="s">
        <v>5000</v>
      </c>
      <c r="H256" t="s">
        <v>4994</v>
      </c>
      <c r="I256">
        <v>4.2857000000000003</v>
      </c>
      <c r="J256" t="s">
        <v>5012</v>
      </c>
      <c r="K256" t="s">
        <v>4993</v>
      </c>
      <c r="L256">
        <v>14</v>
      </c>
      <c r="M256">
        <v>170</v>
      </c>
      <c r="N256" t="s">
        <v>5014</v>
      </c>
      <c r="O256">
        <v>0</v>
      </c>
      <c r="P256">
        <v>0</v>
      </c>
    </row>
    <row r="257" spans="1:16" x14ac:dyDescent="0.25">
      <c r="A257" t="s">
        <v>4260</v>
      </c>
      <c r="B257" t="s">
        <v>4261</v>
      </c>
      <c r="C257">
        <v>6358</v>
      </c>
      <c r="D257" t="s">
        <v>2301</v>
      </c>
      <c r="E257" t="s">
        <v>21</v>
      </c>
      <c r="F257">
        <v>2182</v>
      </c>
      <c r="G257" t="s">
        <v>5000</v>
      </c>
      <c r="H257" t="s">
        <v>4994</v>
      </c>
      <c r="I257">
        <v>4.6538000000000004</v>
      </c>
      <c r="J257" t="s">
        <v>5012</v>
      </c>
      <c r="K257" t="s">
        <v>4993</v>
      </c>
      <c r="L257">
        <v>52</v>
      </c>
      <c r="M257">
        <v>69</v>
      </c>
      <c r="N257" t="s">
        <v>5014</v>
      </c>
      <c r="O257">
        <v>0</v>
      </c>
      <c r="P257">
        <v>0</v>
      </c>
    </row>
    <row r="258" spans="1:16" x14ac:dyDescent="0.25">
      <c r="A258" t="s">
        <v>4262</v>
      </c>
      <c r="B258" t="s">
        <v>4263</v>
      </c>
      <c r="C258">
        <v>7100</v>
      </c>
      <c r="D258" t="s">
        <v>3756</v>
      </c>
      <c r="E258" t="s">
        <v>8</v>
      </c>
      <c r="F258">
        <v>2170</v>
      </c>
      <c r="G258" t="s">
        <v>5000</v>
      </c>
      <c r="H258" t="s">
        <v>4994</v>
      </c>
      <c r="I258">
        <v>4.8182</v>
      </c>
      <c r="J258" t="s">
        <v>5012</v>
      </c>
      <c r="K258" t="s">
        <v>4993</v>
      </c>
      <c r="L258">
        <v>33</v>
      </c>
      <c r="M258">
        <v>70</v>
      </c>
      <c r="N258" t="s">
        <v>5014</v>
      </c>
      <c r="O258">
        <v>0</v>
      </c>
      <c r="P258">
        <v>0</v>
      </c>
    </row>
    <row r="259" spans="1:16" x14ac:dyDescent="0.25">
      <c r="A259" t="s">
        <v>4264</v>
      </c>
      <c r="B259" t="s">
        <v>4265</v>
      </c>
      <c r="C259">
        <v>6475</v>
      </c>
      <c r="D259" t="s">
        <v>3011</v>
      </c>
      <c r="E259" t="s">
        <v>21</v>
      </c>
      <c r="F259">
        <v>2168</v>
      </c>
      <c r="G259" t="s">
        <v>5000</v>
      </c>
      <c r="H259" t="s">
        <v>4994</v>
      </c>
      <c r="I259">
        <v>4.3676000000000004</v>
      </c>
      <c r="J259" t="s">
        <v>5012</v>
      </c>
      <c r="K259" t="s">
        <v>4993</v>
      </c>
      <c r="L259">
        <v>204</v>
      </c>
      <c r="M259">
        <v>95</v>
      </c>
      <c r="N259" t="s">
        <v>5014</v>
      </c>
      <c r="O259">
        <v>0</v>
      </c>
      <c r="P259">
        <v>0</v>
      </c>
    </row>
    <row r="260" spans="1:16" x14ac:dyDescent="0.25">
      <c r="A260" t="s">
        <v>4266</v>
      </c>
      <c r="B260" t="s">
        <v>4267</v>
      </c>
      <c r="C260">
        <v>6089</v>
      </c>
      <c r="D260" t="s">
        <v>605</v>
      </c>
      <c r="E260" t="s">
        <v>149</v>
      </c>
      <c r="F260">
        <v>2157</v>
      </c>
      <c r="G260" t="s">
        <v>5000</v>
      </c>
      <c r="H260" t="s">
        <v>4994</v>
      </c>
      <c r="I260">
        <v>4.2727000000000004</v>
      </c>
      <c r="J260" t="s">
        <v>5012</v>
      </c>
      <c r="K260" t="s">
        <v>4993</v>
      </c>
      <c r="L260">
        <v>11</v>
      </c>
      <c r="M260">
        <v>46</v>
      </c>
      <c r="N260" t="s">
        <v>5015</v>
      </c>
      <c r="O260">
        <v>0</v>
      </c>
      <c r="P260">
        <v>0</v>
      </c>
    </row>
    <row r="261" spans="1:16" x14ac:dyDescent="0.25">
      <c r="A261" t="s">
        <v>4268</v>
      </c>
      <c r="B261" t="s">
        <v>4269</v>
      </c>
      <c r="C261">
        <v>6309</v>
      </c>
      <c r="D261" t="s">
        <v>1735</v>
      </c>
      <c r="E261" t="s">
        <v>8</v>
      </c>
      <c r="F261">
        <v>2143</v>
      </c>
      <c r="G261" t="s">
        <v>5000</v>
      </c>
      <c r="H261" t="s">
        <v>4994</v>
      </c>
      <c r="I261">
        <v>4.0598000000000001</v>
      </c>
      <c r="J261" t="s">
        <v>5012</v>
      </c>
      <c r="K261" t="s">
        <v>4993</v>
      </c>
      <c r="L261">
        <v>251</v>
      </c>
      <c r="M261">
        <v>98</v>
      </c>
      <c r="N261" t="s">
        <v>5014</v>
      </c>
      <c r="O261">
        <v>0</v>
      </c>
      <c r="P261">
        <v>0</v>
      </c>
    </row>
    <row r="262" spans="1:16" x14ac:dyDescent="0.25">
      <c r="A262" t="s">
        <v>4270</v>
      </c>
      <c r="B262" t="s">
        <v>4271</v>
      </c>
      <c r="C262">
        <v>6283</v>
      </c>
      <c r="D262" t="s">
        <v>1696</v>
      </c>
      <c r="E262" t="s">
        <v>13</v>
      </c>
      <c r="F262">
        <v>2138</v>
      </c>
      <c r="G262" t="s">
        <v>5000</v>
      </c>
      <c r="H262" t="s">
        <v>4994</v>
      </c>
      <c r="I262">
        <v>4.25</v>
      </c>
      <c r="J262" t="s">
        <v>5012</v>
      </c>
      <c r="K262" t="s">
        <v>4993</v>
      </c>
      <c r="L262">
        <v>12</v>
      </c>
      <c r="M262">
        <v>38</v>
      </c>
      <c r="N262" t="s">
        <v>5015</v>
      </c>
      <c r="O262">
        <v>0</v>
      </c>
      <c r="P262">
        <v>0</v>
      </c>
    </row>
    <row r="263" spans="1:16" x14ac:dyDescent="0.25">
      <c r="A263" t="s">
        <v>4272</v>
      </c>
      <c r="B263" t="s">
        <v>4273</v>
      </c>
      <c r="C263">
        <v>8017</v>
      </c>
      <c r="D263" t="s">
        <v>620</v>
      </c>
      <c r="E263" t="s">
        <v>13</v>
      </c>
      <c r="F263">
        <v>2138</v>
      </c>
      <c r="G263" t="s">
        <v>5000</v>
      </c>
      <c r="H263" t="s">
        <v>4994</v>
      </c>
      <c r="I263">
        <v>4</v>
      </c>
      <c r="J263" t="s">
        <v>5012</v>
      </c>
      <c r="K263" t="s">
        <v>4993</v>
      </c>
      <c r="L263">
        <v>6</v>
      </c>
      <c r="M263">
        <v>14</v>
      </c>
      <c r="N263" t="s">
        <v>5013</v>
      </c>
      <c r="O263">
        <v>0</v>
      </c>
      <c r="P263">
        <v>0</v>
      </c>
    </row>
    <row r="264" spans="1:16" x14ac:dyDescent="0.25">
      <c r="A264" t="s">
        <v>4274</v>
      </c>
      <c r="B264" t="s">
        <v>4275</v>
      </c>
      <c r="C264">
        <v>6373</v>
      </c>
      <c r="D264" t="s">
        <v>1652</v>
      </c>
      <c r="E264" t="s">
        <v>8</v>
      </c>
      <c r="F264">
        <v>2137</v>
      </c>
      <c r="G264" t="s">
        <v>5000</v>
      </c>
      <c r="H264" t="s">
        <v>4994</v>
      </c>
      <c r="I264">
        <v>4.1489000000000003</v>
      </c>
      <c r="J264" t="s">
        <v>5012</v>
      </c>
      <c r="K264" t="s">
        <v>4993</v>
      </c>
      <c r="L264">
        <v>47</v>
      </c>
      <c r="M264">
        <v>48</v>
      </c>
      <c r="N264" t="s">
        <v>5015</v>
      </c>
      <c r="O264">
        <v>0</v>
      </c>
      <c r="P264">
        <v>0</v>
      </c>
    </row>
    <row r="265" spans="1:16" x14ac:dyDescent="0.25">
      <c r="A265" t="s">
        <v>4276</v>
      </c>
      <c r="B265" t="s">
        <v>4277</v>
      </c>
      <c r="C265">
        <v>6373</v>
      </c>
      <c r="D265" t="s">
        <v>1652</v>
      </c>
      <c r="E265" t="s">
        <v>8</v>
      </c>
      <c r="F265">
        <v>2136</v>
      </c>
      <c r="G265" t="s">
        <v>5000</v>
      </c>
      <c r="H265" t="s">
        <v>4994</v>
      </c>
      <c r="I265">
        <v>4.2979000000000003</v>
      </c>
      <c r="J265" t="s">
        <v>5012</v>
      </c>
      <c r="K265" t="s">
        <v>4993</v>
      </c>
      <c r="L265">
        <v>47</v>
      </c>
      <c r="M265">
        <v>68</v>
      </c>
      <c r="N265" t="s">
        <v>5014</v>
      </c>
      <c r="O265">
        <v>0</v>
      </c>
      <c r="P265">
        <v>0</v>
      </c>
    </row>
    <row r="266" spans="1:16" x14ac:dyDescent="0.25">
      <c r="A266" t="s">
        <v>4278</v>
      </c>
      <c r="B266" t="s">
        <v>4279</v>
      </c>
      <c r="C266">
        <v>5946</v>
      </c>
      <c r="D266" t="s">
        <v>341</v>
      </c>
      <c r="E266" t="s">
        <v>21</v>
      </c>
      <c r="F266">
        <v>2129</v>
      </c>
      <c r="G266" t="s">
        <v>5000</v>
      </c>
      <c r="H266" t="s">
        <v>4994</v>
      </c>
      <c r="I266">
        <v>4.7142999999999997</v>
      </c>
      <c r="J266" t="s">
        <v>5012</v>
      </c>
      <c r="K266" t="s">
        <v>4993</v>
      </c>
      <c r="L266">
        <v>91</v>
      </c>
      <c r="M266">
        <v>140</v>
      </c>
      <c r="N266" t="s">
        <v>5014</v>
      </c>
      <c r="O266">
        <v>0</v>
      </c>
      <c r="P266">
        <v>0</v>
      </c>
    </row>
    <row r="267" spans="1:16" x14ac:dyDescent="0.25">
      <c r="A267" t="s">
        <v>4282</v>
      </c>
      <c r="B267" t="s">
        <v>4283</v>
      </c>
      <c r="C267">
        <v>6084</v>
      </c>
      <c r="D267" t="s">
        <v>269</v>
      </c>
      <c r="E267" t="s">
        <v>21</v>
      </c>
      <c r="F267">
        <v>2114</v>
      </c>
      <c r="G267" t="s">
        <v>5000</v>
      </c>
      <c r="H267" t="s">
        <v>4994</v>
      </c>
      <c r="I267">
        <v>4.2647000000000004</v>
      </c>
      <c r="J267" t="s">
        <v>5012</v>
      </c>
      <c r="K267" t="s">
        <v>4993</v>
      </c>
      <c r="L267">
        <v>831</v>
      </c>
      <c r="M267">
        <v>170</v>
      </c>
      <c r="N267" t="s">
        <v>5014</v>
      </c>
      <c r="O267">
        <v>0</v>
      </c>
      <c r="P267">
        <v>0</v>
      </c>
    </row>
    <row r="268" spans="1:16" x14ac:dyDescent="0.25">
      <c r="A268" t="s">
        <v>4287</v>
      </c>
      <c r="B268" t="s">
        <v>4288</v>
      </c>
      <c r="C268">
        <v>1073</v>
      </c>
      <c r="D268" t="s">
        <v>767</v>
      </c>
      <c r="E268" t="s">
        <v>21</v>
      </c>
      <c r="F268">
        <v>2108</v>
      </c>
      <c r="G268" t="s">
        <v>5000</v>
      </c>
      <c r="H268" t="s">
        <v>4994</v>
      </c>
      <c r="I268">
        <v>4</v>
      </c>
      <c r="J268" t="s">
        <v>5012</v>
      </c>
      <c r="K268" t="s">
        <v>4993</v>
      </c>
      <c r="L268">
        <v>3</v>
      </c>
      <c r="M268">
        <v>80</v>
      </c>
      <c r="N268" t="s">
        <v>5014</v>
      </c>
      <c r="O268">
        <v>0</v>
      </c>
      <c r="P268">
        <v>0</v>
      </c>
    </row>
    <row r="269" spans="1:16" x14ac:dyDescent="0.25">
      <c r="A269" t="s">
        <v>4289</v>
      </c>
      <c r="B269" t="s">
        <v>4290</v>
      </c>
      <c r="C269">
        <v>6475</v>
      </c>
      <c r="D269" t="s">
        <v>3011</v>
      </c>
      <c r="E269" t="s">
        <v>13</v>
      </c>
      <c r="F269">
        <v>2102</v>
      </c>
      <c r="G269" t="s">
        <v>5000</v>
      </c>
      <c r="H269" t="s">
        <v>4994</v>
      </c>
      <c r="I269">
        <v>4.4682000000000004</v>
      </c>
      <c r="J269" t="s">
        <v>5012</v>
      </c>
      <c r="K269" t="s">
        <v>4993</v>
      </c>
      <c r="L269">
        <v>173</v>
      </c>
      <c r="M269">
        <v>45</v>
      </c>
      <c r="N269" t="s">
        <v>5015</v>
      </c>
      <c r="O269">
        <v>0</v>
      </c>
      <c r="P269">
        <v>0</v>
      </c>
    </row>
    <row r="270" spans="1:16" x14ac:dyDescent="0.25">
      <c r="A270" t="s">
        <v>4291</v>
      </c>
      <c r="B270" t="s">
        <v>4292</v>
      </c>
      <c r="C270">
        <v>7091</v>
      </c>
      <c r="D270" t="s">
        <v>879</v>
      </c>
      <c r="E270" t="s">
        <v>106</v>
      </c>
      <c r="F270">
        <v>2101</v>
      </c>
      <c r="G270" t="s">
        <v>5000</v>
      </c>
      <c r="H270" t="s">
        <v>4994</v>
      </c>
      <c r="I270">
        <v>4.3478000000000003</v>
      </c>
      <c r="J270" t="s">
        <v>5012</v>
      </c>
      <c r="K270" t="s">
        <v>4993</v>
      </c>
      <c r="L270">
        <v>23</v>
      </c>
      <c r="M270">
        <v>46</v>
      </c>
      <c r="N270" t="s">
        <v>5015</v>
      </c>
      <c r="O270">
        <v>0</v>
      </c>
      <c r="P270">
        <v>1</v>
      </c>
    </row>
    <row r="271" spans="1:16" x14ac:dyDescent="0.25">
      <c r="A271" t="s">
        <v>4293</v>
      </c>
      <c r="B271" t="s">
        <v>4294</v>
      </c>
      <c r="C271">
        <v>6356</v>
      </c>
      <c r="D271" t="s">
        <v>1885</v>
      </c>
      <c r="E271" t="s">
        <v>220</v>
      </c>
      <c r="F271">
        <v>2080</v>
      </c>
      <c r="G271" t="s">
        <v>5000</v>
      </c>
      <c r="H271" t="s">
        <v>4994</v>
      </c>
      <c r="I271">
        <v>4</v>
      </c>
      <c r="J271" t="s">
        <v>5012</v>
      </c>
      <c r="K271" t="s">
        <v>4993</v>
      </c>
      <c r="L271">
        <v>3</v>
      </c>
      <c r="M271">
        <v>305</v>
      </c>
      <c r="N271" t="s">
        <v>5014</v>
      </c>
      <c r="O271">
        <v>0</v>
      </c>
      <c r="P271">
        <v>0</v>
      </c>
    </row>
    <row r="272" spans="1:16" x14ac:dyDescent="0.25">
      <c r="A272" t="s">
        <v>4295</v>
      </c>
      <c r="B272" t="s">
        <v>4296</v>
      </c>
      <c r="C272">
        <v>6289</v>
      </c>
      <c r="D272" t="s">
        <v>111</v>
      </c>
      <c r="E272" t="s">
        <v>149</v>
      </c>
      <c r="F272">
        <v>2065</v>
      </c>
      <c r="G272" t="s">
        <v>5000</v>
      </c>
      <c r="H272" t="s">
        <v>4994</v>
      </c>
      <c r="I272">
        <v>4.7984</v>
      </c>
      <c r="J272" t="s">
        <v>5012</v>
      </c>
      <c r="K272" t="s">
        <v>4993</v>
      </c>
      <c r="L272">
        <v>258</v>
      </c>
      <c r="M272">
        <v>54</v>
      </c>
      <c r="N272" t="s">
        <v>5014</v>
      </c>
      <c r="O272">
        <v>1</v>
      </c>
      <c r="P272">
        <v>0</v>
      </c>
    </row>
    <row r="273" spans="1:16" x14ac:dyDescent="0.25">
      <c r="A273" t="s">
        <v>4301</v>
      </c>
      <c r="B273" t="s">
        <v>4302</v>
      </c>
      <c r="C273">
        <v>8012</v>
      </c>
      <c r="D273" t="s">
        <v>2864</v>
      </c>
      <c r="E273" t="s">
        <v>13</v>
      </c>
      <c r="F273">
        <v>2017</v>
      </c>
      <c r="G273" t="s">
        <v>5000</v>
      </c>
      <c r="H273" t="s">
        <v>4994</v>
      </c>
      <c r="I273">
        <v>4.5522</v>
      </c>
      <c r="J273" t="s">
        <v>5012</v>
      </c>
      <c r="K273" t="s">
        <v>4993</v>
      </c>
      <c r="L273">
        <v>67</v>
      </c>
      <c r="M273">
        <v>19</v>
      </c>
      <c r="N273" t="s">
        <v>5013</v>
      </c>
      <c r="O273">
        <v>0</v>
      </c>
      <c r="P273">
        <v>0</v>
      </c>
    </row>
    <row r="274" spans="1:16" x14ac:dyDescent="0.25">
      <c r="A274" t="s">
        <v>4303</v>
      </c>
      <c r="B274" t="s">
        <v>4304</v>
      </c>
      <c r="C274">
        <v>7020</v>
      </c>
      <c r="D274" t="s">
        <v>657</v>
      </c>
      <c r="E274" t="s">
        <v>8</v>
      </c>
      <c r="F274">
        <v>2010</v>
      </c>
      <c r="G274" t="s">
        <v>5000</v>
      </c>
      <c r="H274" t="s">
        <v>4994</v>
      </c>
      <c r="I274">
        <v>4.7272999999999996</v>
      </c>
      <c r="J274" t="s">
        <v>5012</v>
      </c>
      <c r="K274" t="s">
        <v>4993</v>
      </c>
      <c r="L274">
        <v>44</v>
      </c>
      <c r="M274">
        <v>146</v>
      </c>
      <c r="N274" t="s">
        <v>5014</v>
      </c>
      <c r="O274">
        <v>0</v>
      </c>
      <c r="P274">
        <v>0</v>
      </c>
    </row>
    <row r="275" spans="1:16" x14ac:dyDescent="0.25">
      <c r="A275" t="s">
        <v>4305</v>
      </c>
      <c r="B275" t="s">
        <v>4306</v>
      </c>
      <c r="C275">
        <v>6302</v>
      </c>
      <c r="D275" t="s">
        <v>2721</v>
      </c>
      <c r="E275" t="s">
        <v>21</v>
      </c>
      <c r="F275">
        <v>2000</v>
      </c>
      <c r="G275" t="s">
        <v>5000</v>
      </c>
      <c r="H275" t="s">
        <v>4994</v>
      </c>
      <c r="I275">
        <v>5</v>
      </c>
      <c r="J275" t="s">
        <v>5012</v>
      </c>
      <c r="K275" t="s">
        <v>4993</v>
      </c>
      <c r="L275">
        <v>5</v>
      </c>
      <c r="M275">
        <v>240</v>
      </c>
      <c r="N275" t="s">
        <v>5014</v>
      </c>
      <c r="O275">
        <v>0</v>
      </c>
      <c r="P275">
        <v>0</v>
      </c>
    </row>
    <row r="276" spans="1:16" x14ac:dyDescent="0.25">
      <c r="A276" t="s">
        <v>4313</v>
      </c>
      <c r="B276" t="s">
        <v>4314</v>
      </c>
      <c r="C276">
        <v>6367</v>
      </c>
      <c r="D276" t="s">
        <v>2766</v>
      </c>
      <c r="E276" t="s">
        <v>13</v>
      </c>
      <c r="F276">
        <v>1962</v>
      </c>
      <c r="G276" t="s">
        <v>5000</v>
      </c>
      <c r="H276" t="s">
        <v>4994</v>
      </c>
      <c r="I276">
        <v>4.6848000000000001</v>
      </c>
      <c r="J276" t="s">
        <v>5012</v>
      </c>
      <c r="K276" t="s">
        <v>4993</v>
      </c>
      <c r="L276">
        <v>184</v>
      </c>
      <c r="M276">
        <v>15</v>
      </c>
      <c r="N276" t="s">
        <v>5013</v>
      </c>
      <c r="O276">
        <v>0</v>
      </c>
      <c r="P276">
        <v>0</v>
      </c>
    </row>
    <row r="277" spans="1:16" x14ac:dyDescent="0.25">
      <c r="A277" t="s">
        <v>4315</v>
      </c>
      <c r="B277" t="s">
        <v>4316</v>
      </c>
      <c r="C277">
        <v>6272</v>
      </c>
      <c r="D277" t="s">
        <v>1711</v>
      </c>
      <c r="E277" t="s">
        <v>347</v>
      </c>
      <c r="F277">
        <v>1960</v>
      </c>
      <c r="G277" t="s">
        <v>5000</v>
      </c>
      <c r="H277" t="s">
        <v>4994</v>
      </c>
      <c r="I277">
        <v>4.5</v>
      </c>
      <c r="J277" t="s">
        <v>5012</v>
      </c>
      <c r="K277" t="s">
        <v>4993</v>
      </c>
      <c r="L277">
        <v>10</v>
      </c>
      <c r="M277">
        <v>75</v>
      </c>
      <c r="N277" t="s">
        <v>5014</v>
      </c>
      <c r="O277">
        <v>0</v>
      </c>
      <c r="P277">
        <v>0</v>
      </c>
    </row>
    <row r="278" spans="1:16" x14ac:dyDescent="0.25">
      <c r="A278" t="s">
        <v>4319</v>
      </c>
      <c r="B278" t="s">
        <v>4320</v>
      </c>
      <c r="C278">
        <v>5946</v>
      </c>
      <c r="D278" t="s">
        <v>341</v>
      </c>
      <c r="E278" t="s">
        <v>220</v>
      </c>
      <c r="F278">
        <v>1959</v>
      </c>
      <c r="G278" t="s">
        <v>5000</v>
      </c>
      <c r="H278" t="s">
        <v>4994</v>
      </c>
      <c r="I278">
        <v>5</v>
      </c>
      <c r="J278" t="s">
        <v>5012</v>
      </c>
      <c r="K278" t="s">
        <v>4993</v>
      </c>
      <c r="L278">
        <v>3</v>
      </c>
      <c r="M278">
        <v>49</v>
      </c>
      <c r="N278" t="s">
        <v>5015</v>
      </c>
      <c r="O278">
        <v>0</v>
      </c>
      <c r="P278">
        <v>0</v>
      </c>
    </row>
    <row r="279" spans="1:16" x14ac:dyDescent="0.25">
      <c r="A279" t="s">
        <v>4325</v>
      </c>
      <c r="B279" t="s">
        <v>4326</v>
      </c>
      <c r="C279">
        <v>6488</v>
      </c>
      <c r="D279" t="s">
        <v>2933</v>
      </c>
      <c r="E279" t="s">
        <v>21</v>
      </c>
      <c r="F279">
        <v>1949</v>
      </c>
      <c r="G279" t="s">
        <v>5000</v>
      </c>
      <c r="H279" t="s">
        <v>4994</v>
      </c>
      <c r="I279">
        <v>4.8360000000000003</v>
      </c>
      <c r="J279" t="s">
        <v>5012</v>
      </c>
      <c r="K279" t="s">
        <v>4993</v>
      </c>
      <c r="L279">
        <v>189</v>
      </c>
      <c r="M279">
        <v>44</v>
      </c>
      <c r="N279" t="s">
        <v>5015</v>
      </c>
      <c r="O279">
        <v>1</v>
      </c>
      <c r="P279">
        <v>0</v>
      </c>
    </row>
    <row r="280" spans="1:16" x14ac:dyDescent="0.25">
      <c r="A280" t="s">
        <v>4327</v>
      </c>
      <c r="B280" t="s">
        <v>4328</v>
      </c>
      <c r="C280">
        <v>5857</v>
      </c>
      <c r="D280" t="s">
        <v>433</v>
      </c>
      <c r="E280" t="s">
        <v>21</v>
      </c>
      <c r="F280">
        <v>1944</v>
      </c>
      <c r="G280" t="s">
        <v>5000</v>
      </c>
      <c r="H280" t="s">
        <v>4994</v>
      </c>
      <c r="I280">
        <v>4.7676999999999996</v>
      </c>
      <c r="J280" t="s">
        <v>5012</v>
      </c>
      <c r="K280" t="s">
        <v>4993</v>
      </c>
      <c r="L280">
        <v>155</v>
      </c>
      <c r="M280">
        <v>55</v>
      </c>
      <c r="N280" t="s">
        <v>5014</v>
      </c>
      <c r="O280">
        <v>1</v>
      </c>
      <c r="P280">
        <v>0</v>
      </c>
    </row>
    <row r="281" spans="1:16" x14ac:dyDescent="0.25">
      <c r="A281" t="s">
        <v>4331</v>
      </c>
      <c r="B281" t="s">
        <v>4332</v>
      </c>
      <c r="C281">
        <v>6356</v>
      </c>
      <c r="D281" t="s">
        <v>1885</v>
      </c>
      <c r="E281" t="s">
        <v>21</v>
      </c>
      <c r="F281">
        <v>1933</v>
      </c>
      <c r="G281" t="s">
        <v>5000</v>
      </c>
      <c r="H281" t="s">
        <v>4994</v>
      </c>
      <c r="I281">
        <v>4.6500000000000004</v>
      </c>
      <c r="J281" t="s">
        <v>5012</v>
      </c>
      <c r="K281" t="s">
        <v>4993</v>
      </c>
      <c r="L281">
        <v>100</v>
      </c>
      <c r="M281">
        <v>290</v>
      </c>
      <c r="N281" t="s">
        <v>5014</v>
      </c>
      <c r="O281">
        <v>0</v>
      </c>
      <c r="P281">
        <v>0</v>
      </c>
    </row>
    <row r="282" spans="1:16" x14ac:dyDescent="0.25">
      <c r="A282" t="s">
        <v>4333</v>
      </c>
      <c r="B282" t="s">
        <v>4334</v>
      </c>
      <c r="C282">
        <v>6476</v>
      </c>
      <c r="D282" t="s">
        <v>3462</v>
      </c>
      <c r="E282" t="s">
        <v>347</v>
      </c>
      <c r="F282">
        <v>1932</v>
      </c>
      <c r="G282" t="s">
        <v>5000</v>
      </c>
      <c r="H282" t="s">
        <v>4994</v>
      </c>
      <c r="I282">
        <v>5</v>
      </c>
      <c r="J282" t="s">
        <v>5012</v>
      </c>
      <c r="K282" t="s">
        <v>4993</v>
      </c>
      <c r="L282">
        <v>2</v>
      </c>
      <c r="M282">
        <v>12</v>
      </c>
      <c r="N282" t="s">
        <v>5013</v>
      </c>
      <c r="O282">
        <v>0</v>
      </c>
      <c r="P282">
        <v>0</v>
      </c>
    </row>
    <row r="283" spans="1:16" x14ac:dyDescent="0.25">
      <c r="A283" t="s">
        <v>4337</v>
      </c>
      <c r="B283" t="s">
        <v>4338</v>
      </c>
      <c r="C283">
        <v>4171</v>
      </c>
      <c r="D283" t="s">
        <v>133</v>
      </c>
      <c r="E283" t="s">
        <v>220</v>
      </c>
      <c r="F283">
        <v>1926</v>
      </c>
      <c r="G283" t="s">
        <v>5000</v>
      </c>
      <c r="H283" t="s">
        <v>4994</v>
      </c>
      <c r="I283">
        <v>4</v>
      </c>
      <c r="J283" t="s">
        <v>5012</v>
      </c>
      <c r="K283" t="s">
        <v>4993</v>
      </c>
      <c r="L283">
        <v>1</v>
      </c>
      <c r="M283">
        <v>139</v>
      </c>
      <c r="N283" t="s">
        <v>5014</v>
      </c>
      <c r="O283">
        <v>1</v>
      </c>
      <c r="P283">
        <v>0</v>
      </c>
    </row>
    <row r="284" spans="1:16" x14ac:dyDescent="0.25">
      <c r="A284" t="s">
        <v>4339</v>
      </c>
      <c r="B284" t="s">
        <v>4340</v>
      </c>
      <c r="C284">
        <v>6373</v>
      </c>
      <c r="D284" t="s">
        <v>1652</v>
      </c>
      <c r="E284" t="s">
        <v>149</v>
      </c>
      <c r="F284">
        <v>1921</v>
      </c>
      <c r="G284" t="s">
        <v>5000</v>
      </c>
      <c r="H284" t="s">
        <v>4994</v>
      </c>
      <c r="I284">
        <v>4.2390999999999996</v>
      </c>
      <c r="J284" t="s">
        <v>5012</v>
      </c>
      <c r="K284" t="s">
        <v>4993</v>
      </c>
      <c r="L284">
        <v>46</v>
      </c>
      <c r="M284">
        <v>52</v>
      </c>
      <c r="N284" t="s">
        <v>5014</v>
      </c>
      <c r="O284">
        <v>0</v>
      </c>
      <c r="P284">
        <v>0</v>
      </c>
    </row>
    <row r="285" spans="1:16" x14ac:dyDescent="0.25">
      <c r="A285" t="s">
        <v>4341</v>
      </c>
      <c r="B285" t="s">
        <v>4342</v>
      </c>
      <c r="C285">
        <v>6475</v>
      </c>
      <c r="D285" t="s">
        <v>3011</v>
      </c>
      <c r="E285" t="s">
        <v>201</v>
      </c>
      <c r="F285">
        <v>1919</v>
      </c>
      <c r="G285" t="s">
        <v>5000</v>
      </c>
      <c r="H285" t="s">
        <v>4994</v>
      </c>
      <c r="I285">
        <v>4.6364000000000001</v>
      </c>
      <c r="J285" t="s">
        <v>5012</v>
      </c>
      <c r="K285" t="s">
        <v>4993</v>
      </c>
      <c r="L285">
        <v>22</v>
      </c>
      <c r="M285">
        <v>70</v>
      </c>
      <c r="N285" t="s">
        <v>5014</v>
      </c>
      <c r="O285">
        <v>0</v>
      </c>
      <c r="P285">
        <v>0</v>
      </c>
    </row>
    <row r="286" spans="1:16" x14ac:dyDescent="0.25">
      <c r="A286" t="s">
        <v>4343</v>
      </c>
      <c r="B286" t="s">
        <v>4344</v>
      </c>
      <c r="C286">
        <v>4372</v>
      </c>
      <c r="D286" t="s">
        <v>1513</v>
      </c>
      <c r="E286" t="s">
        <v>8</v>
      </c>
      <c r="F286">
        <v>1903</v>
      </c>
      <c r="G286" t="s">
        <v>5000</v>
      </c>
      <c r="H286" t="s">
        <v>4994</v>
      </c>
      <c r="I286">
        <v>4.4478</v>
      </c>
      <c r="J286" t="s">
        <v>5012</v>
      </c>
      <c r="K286" t="s">
        <v>4993</v>
      </c>
      <c r="L286">
        <v>297</v>
      </c>
      <c r="M286">
        <v>72</v>
      </c>
      <c r="N286" t="s">
        <v>5014</v>
      </c>
      <c r="O286">
        <v>0</v>
      </c>
      <c r="P286">
        <v>0</v>
      </c>
    </row>
    <row r="287" spans="1:16" x14ac:dyDescent="0.25">
      <c r="A287" t="s">
        <v>4345</v>
      </c>
      <c r="B287" t="s">
        <v>4346</v>
      </c>
      <c r="C287">
        <v>5337</v>
      </c>
      <c r="D287" t="s">
        <v>209</v>
      </c>
      <c r="E287" t="s">
        <v>8</v>
      </c>
      <c r="F287">
        <v>1898</v>
      </c>
      <c r="G287" t="s">
        <v>5000</v>
      </c>
      <c r="H287" t="s">
        <v>4994</v>
      </c>
      <c r="I287">
        <v>4.4000000000000004</v>
      </c>
      <c r="J287" t="s">
        <v>5012</v>
      </c>
      <c r="K287" t="s">
        <v>4993</v>
      </c>
      <c r="L287">
        <v>5</v>
      </c>
      <c r="M287">
        <v>310</v>
      </c>
      <c r="N287" t="s">
        <v>5014</v>
      </c>
      <c r="O287">
        <v>0</v>
      </c>
      <c r="P287">
        <v>0</v>
      </c>
    </row>
    <row r="288" spans="1:16" x14ac:dyDescent="0.25">
      <c r="A288" t="s">
        <v>4349</v>
      </c>
      <c r="B288" t="s">
        <v>4350</v>
      </c>
      <c r="C288">
        <v>6750</v>
      </c>
      <c r="D288" t="s">
        <v>4351</v>
      </c>
      <c r="E288" t="s">
        <v>149</v>
      </c>
      <c r="F288">
        <v>1880</v>
      </c>
      <c r="G288" t="s">
        <v>5000</v>
      </c>
      <c r="H288" t="s">
        <v>4994</v>
      </c>
      <c r="I288">
        <v>4.8666999999999998</v>
      </c>
      <c r="J288" t="s">
        <v>5012</v>
      </c>
      <c r="K288" t="s">
        <v>4993</v>
      </c>
      <c r="L288">
        <v>15</v>
      </c>
      <c r="M288">
        <v>68</v>
      </c>
      <c r="N288" t="s">
        <v>5014</v>
      </c>
      <c r="O288">
        <v>1</v>
      </c>
      <c r="P288">
        <v>0</v>
      </c>
    </row>
    <row r="289" spans="1:16" x14ac:dyDescent="0.25">
      <c r="A289" t="s">
        <v>4352</v>
      </c>
      <c r="B289" t="s">
        <v>4353</v>
      </c>
      <c r="C289">
        <v>5337</v>
      </c>
      <c r="D289" t="s">
        <v>209</v>
      </c>
      <c r="E289" t="s">
        <v>49</v>
      </c>
      <c r="F289">
        <v>1874</v>
      </c>
      <c r="G289" t="s">
        <v>5000</v>
      </c>
      <c r="H289" t="s">
        <v>4994</v>
      </c>
      <c r="I289">
        <v>5</v>
      </c>
      <c r="J289" t="s">
        <v>5012</v>
      </c>
      <c r="K289" t="s">
        <v>4993</v>
      </c>
      <c r="L289">
        <v>2</v>
      </c>
      <c r="M289">
        <v>270</v>
      </c>
      <c r="N289" t="s">
        <v>5014</v>
      </c>
      <c r="O289">
        <v>0</v>
      </c>
      <c r="P289">
        <v>0</v>
      </c>
    </row>
    <row r="290" spans="1:16" x14ac:dyDescent="0.25">
      <c r="A290" t="s">
        <v>4354</v>
      </c>
      <c r="B290" t="s">
        <v>4355</v>
      </c>
      <c r="C290">
        <v>1254</v>
      </c>
      <c r="D290" t="s">
        <v>136</v>
      </c>
      <c r="E290" t="s">
        <v>13</v>
      </c>
      <c r="F290">
        <v>1874</v>
      </c>
      <c r="G290" t="s">
        <v>5000</v>
      </c>
      <c r="H290" t="s">
        <v>4994</v>
      </c>
      <c r="I290">
        <v>4</v>
      </c>
      <c r="J290" t="s">
        <v>5012</v>
      </c>
      <c r="K290" t="s">
        <v>4993</v>
      </c>
      <c r="L290">
        <v>5</v>
      </c>
      <c r="M290">
        <v>11</v>
      </c>
      <c r="N290" t="s">
        <v>5013</v>
      </c>
      <c r="O290">
        <v>0</v>
      </c>
      <c r="P290">
        <v>0</v>
      </c>
    </row>
    <row r="291" spans="1:16" x14ac:dyDescent="0.25">
      <c r="A291" t="s">
        <v>4356</v>
      </c>
      <c r="B291" t="s">
        <v>4357</v>
      </c>
      <c r="C291">
        <v>6375</v>
      </c>
      <c r="D291" t="s">
        <v>3234</v>
      </c>
      <c r="E291" t="s">
        <v>201</v>
      </c>
      <c r="F291">
        <v>1867</v>
      </c>
      <c r="G291" t="s">
        <v>5000</v>
      </c>
      <c r="H291" t="s">
        <v>4994</v>
      </c>
      <c r="I291">
        <v>4.2651000000000003</v>
      </c>
      <c r="J291" t="s">
        <v>5012</v>
      </c>
      <c r="K291" t="s">
        <v>4993</v>
      </c>
      <c r="L291">
        <v>166</v>
      </c>
      <c r="M291">
        <v>45</v>
      </c>
      <c r="N291" t="s">
        <v>5015</v>
      </c>
      <c r="O291">
        <v>0</v>
      </c>
      <c r="P291">
        <v>0</v>
      </c>
    </row>
    <row r="292" spans="1:16" x14ac:dyDescent="0.25">
      <c r="A292" t="s">
        <v>4358</v>
      </c>
      <c r="B292" t="s">
        <v>4359</v>
      </c>
      <c r="C292">
        <v>6089</v>
      </c>
      <c r="D292" t="s">
        <v>605</v>
      </c>
      <c r="E292" t="s">
        <v>220</v>
      </c>
      <c r="F292">
        <v>1854</v>
      </c>
      <c r="G292" t="s">
        <v>5000</v>
      </c>
      <c r="H292" t="s">
        <v>4994</v>
      </c>
      <c r="I292">
        <v>4</v>
      </c>
      <c r="J292" t="s">
        <v>5012</v>
      </c>
      <c r="K292" t="s">
        <v>4993</v>
      </c>
      <c r="L292">
        <v>1</v>
      </c>
      <c r="M292">
        <v>72</v>
      </c>
      <c r="N292" t="s">
        <v>5014</v>
      </c>
      <c r="O292">
        <v>0</v>
      </c>
      <c r="P292">
        <v>0</v>
      </c>
    </row>
    <row r="293" spans="1:16" x14ac:dyDescent="0.25">
      <c r="A293" t="s">
        <v>4362</v>
      </c>
      <c r="B293" t="s">
        <v>4363</v>
      </c>
      <c r="C293">
        <v>7100</v>
      </c>
      <c r="D293" t="s">
        <v>3756</v>
      </c>
      <c r="E293" t="s">
        <v>8</v>
      </c>
      <c r="F293">
        <v>1842</v>
      </c>
      <c r="G293" t="s">
        <v>5000</v>
      </c>
      <c r="H293" t="s">
        <v>4994</v>
      </c>
      <c r="I293">
        <v>4.5556000000000001</v>
      </c>
      <c r="J293" t="s">
        <v>5012</v>
      </c>
      <c r="K293" t="s">
        <v>4993</v>
      </c>
      <c r="L293">
        <v>18</v>
      </c>
      <c r="M293">
        <v>70</v>
      </c>
      <c r="N293" t="s">
        <v>5014</v>
      </c>
      <c r="O293">
        <v>0</v>
      </c>
      <c r="P293">
        <v>0</v>
      </c>
    </row>
    <row r="294" spans="1:16" x14ac:dyDescent="0.25">
      <c r="A294" t="s">
        <v>4364</v>
      </c>
      <c r="B294" t="s">
        <v>4365</v>
      </c>
      <c r="C294">
        <v>6089</v>
      </c>
      <c r="D294" t="s">
        <v>605</v>
      </c>
      <c r="E294" t="s">
        <v>21</v>
      </c>
      <c r="F294">
        <v>1834</v>
      </c>
      <c r="G294" t="s">
        <v>5000</v>
      </c>
      <c r="H294" t="s">
        <v>4994</v>
      </c>
      <c r="I294">
        <v>4.0556000000000001</v>
      </c>
      <c r="J294" t="s">
        <v>5012</v>
      </c>
      <c r="K294" t="s">
        <v>4993</v>
      </c>
      <c r="L294">
        <v>216</v>
      </c>
      <c r="M294">
        <v>130</v>
      </c>
      <c r="N294" t="s">
        <v>5014</v>
      </c>
      <c r="O294">
        <v>0</v>
      </c>
      <c r="P294">
        <v>0</v>
      </c>
    </row>
    <row r="295" spans="1:16" x14ac:dyDescent="0.25">
      <c r="A295" t="s">
        <v>4366</v>
      </c>
      <c r="B295" t="s">
        <v>4367</v>
      </c>
      <c r="C295">
        <v>6303</v>
      </c>
      <c r="D295" t="s">
        <v>3247</v>
      </c>
      <c r="E295" t="s">
        <v>149</v>
      </c>
      <c r="F295">
        <v>1832</v>
      </c>
      <c r="G295" t="s">
        <v>5000</v>
      </c>
      <c r="H295" t="s">
        <v>4994</v>
      </c>
      <c r="I295">
        <v>4.5</v>
      </c>
      <c r="J295" t="s">
        <v>5012</v>
      </c>
      <c r="K295" t="s">
        <v>4993</v>
      </c>
      <c r="L295">
        <v>6</v>
      </c>
      <c r="M295">
        <v>65</v>
      </c>
      <c r="N295" t="s">
        <v>5014</v>
      </c>
      <c r="O295">
        <v>0</v>
      </c>
      <c r="P295">
        <v>0</v>
      </c>
    </row>
    <row r="296" spans="1:16" x14ac:dyDescent="0.25">
      <c r="A296" t="s">
        <v>4368</v>
      </c>
      <c r="B296" t="s">
        <v>4369</v>
      </c>
      <c r="C296">
        <v>7100</v>
      </c>
      <c r="D296" t="s">
        <v>3756</v>
      </c>
      <c r="E296" t="s">
        <v>13</v>
      </c>
      <c r="F296">
        <v>1826</v>
      </c>
      <c r="G296" t="s">
        <v>5000</v>
      </c>
      <c r="H296" t="s">
        <v>4994</v>
      </c>
      <c r="I296">
        <v>4.8571</v>
      </c>
      <c r="J296" t="s">
        <v>5012</v>
      </c>
      <c r="K296" t="s">
        <v>4993</v>
      </c>
      <c r="L296">
        <v>7</v>
      </c>
      <c r="M296">
        <v>48</v>
      </c>
      <c r="N296" t="s">
        <v>5015</v>
      </c>
      <c r="O296">
        <v>0</v>
      </c>
      <c r="P296">
        <v>0</v>
      </c>
    </row>
    <row r="297" spans="1:16" x14ac:dyDescent="0.25">
      <c r="A297" t="s">
        <v>4372</v>
      </c>
      <c r="B297" t="s">
        <v>4373</v>
      </c>
      <c r="C297">
        <v>6375</v>
      </c>
      <c r="D297" t="s">
        <v>3234</v>
      </c>
      <c r="E297" t="s">
        <v>201</v>
      </c>
      <c r="F297">
        <v>1820</v>
      </c>
      <c r="G297" t="s">
        <v>5000</v>
      </c>
      <c r="H297" t="s">
        <v>4994</v>
      </c>
      <c r="I297">
        <v>4.4356</v>
      </c>
      <c r="J297" t="s">
        <v>5012</v>
      </c>
      <c r="K297" t="s">
        <v>4993</v>
      </c>
      <c r="L297">
        <v>163</v>
      </c>
      <c r="M297">
        <v>55</v>
      </c>
      <c r="N297" t="s">
        <v>5014</v>
      </c>
      <c r="O297">
        <v>0</v>
      </c>
      <c r="P297">
        <v>0</v>
      </c>
    </row>
    <row r="298" spans="1:16" x14ac:dyDescent="0.25">
      <c r="A298" t="s">
        <v>4374</v>
      </c>
      <c r="B298" t="s">
        <v>4375</v>
      </c>
      <c r="C298">
        <v>6373</v>
      </c>
      <c r="D298" t="s">
        <v>1652</v>
      </c>
      <c r="E298" t="s">
        <v>21</v>
      </c>
      <c r="F298">
        <v>1817</v>
      </c>
      <c r="G298" t="s">
        <v>5000</v>
      </c>
      <c r="H298" t="s">
        <v>4994</v>
      </c>
      <c r="I298">
        <v>4.0416999999999996</v>
      </c>
      <c r="J298" t="s">
        <v>5012</v>
      </c>
      <c r="K298" t="s">
        <v>4993</v>
      </c>
      <c r="L298">
        <v>72</v>
      </c>
      <c r="M298">
        <v>68</v>
      </c>
      <c r="N298" t="s">
        <v>5014</v>
      </c>
      <c r="O298">
        <v>0</v>
      </c>
      <c r="P298">
        <v>0</v>
      </c>
    </row>
    <row r="299" spans="1:16" x14ac:dyDescent="0.25">
      <c r="A299" t="s">
        <v>4376</v>
      </c>
      <c r="B299" t="s">
        <v>4377</v>
      </c>
      <c r="C299">
        <v>5879</v>
      </c>
      <c r="D299" t="s">
        <v>3589</v>
      </c>
      <c r="E299" t="s">
        <v>13</v>
      </c>
      <c r="F299">
        <v>1812</v>
      </c>
      <c r="G299" t="s">
        <v>5000</v>
      </c>
      <c r="H299" t="s">
        <v>4994</v>
      </c>
      <c r="I299">
        <v>4.4000000000000004</v>
      </c>
      <c r="J299" t="s">
        <v>5012</v>
      </c>
      <c r="K299" t="s">
        <v>4993</v>
      </c>
      <c r="L299">
        <v>55</v>
      </c>
      <c r="M299">
        <v>52</v>
      </c>
      <c r="N299" t="s">
        <v>5014</v>
      </c>
      <c r="O299">
        <v>0</v>
      </c>
      <c r="P299">
        <v>0</v>
      </c>
    </row>
    <row r="300" spans="1:16" x14ac:dyDescent="0.25">
      <c r="A300" t="s">
        <v>4378</v>
      </c>
      <c r="B300" t="s">
        <v>4379</v>
      </c>
      <c r="C300">
        <v>5946</v>
      </c>
      <c r="D300" t="s">
        <v>341</v>
      </c>
      <c r="E300" t="s">
        <v>8</v>
      </c>
      <c r="F300">
        <v>1808</v>
      </c>
      <c r="G300" t="s">
        <v>5000</v>
      </c>
      <c r="H300" t="s">
        <v>4994</v>
      </c>
      <c r="I300">
        <v>4.7640000000000002</v>
      </c>
      <c r="J300" t="s">
        <v>5012</v>
      </c>
      <c r="K300" t="s">
        <v>4993</v>
      </c>
      <c r="L300">
        <v>89</v>
      </c>
      <c r="M300">
        <v>78</v>
      </c>
      <c r="N300" t="s">
        <v>5014</v>
      </c>
      <c r="O300">
        <v>0</v>
      </c>
      <c r="P300">
        <v>0</v>
      </c>
    </row>
    <row r="301" spans="1:16" x14ac:dyDescent="0.25">
      <c r="A301" t="s">
        <v>4380</v>
      </c>
      <c r="B301" t="s">
        <v>4381</v>
      </c>
      <c r="C301">
        <v>6309</v>
      </c>
      <c r="D301" t="s">
        <v>1735</v>
      </c>
      <c r="E301" t="s">
        <v>13</v>
      </c>
      <c r="F301">
        <v>1797</v>
      </c>
      <c r="G301" t="s">
        <v>5000</v>
      </c>
      <c r="H301" t="s">
        <v>4994</v>
      </c>
      <c r="I301">
        <v>4.6666999999999996</v>
      </c>
      <c r="J301" t="s">
        <v>5012</v>
      </c>
      <c r="K301" t="s">
        <v>4993</v>
      </c>
      <c r="L301">
        <v>6</v>
      </c>
      <c r="M301">
        <v>45</v>
      </c>
      <c r="N301" t="s">
        <v>5015</v>
      </c>
      <c r="O301">
        <v>0</v>
      </c>
      <c r="P301">
        <v>0</v>
      </c>
    </row>
    <row r="302" spans="1:16" x14ac:dyDescent="0.25">
      <c r="A302" t="s">
        <v>4382</v>
      </c>
      <c r="B302" t="s">
        <v>4383</v>
      </c>
      <c r="C302">
        <v>6334</v>
      </c>
      <c r="D302" t="s">
        <v>2819</v>
      </c>
      <c r="E302" t="s">
        <v>13</v>
      </c>
      <c r="F302">
        <v>1784</v>
      </c>
      <c r="G302" t="s">
        <v>5000</v>
      </c>
      <c r="H302" t="s">
        <v>4994</v>
      </c>
      <c r="I302">
        <v>4.4983000000000004</v>
      </c>
      <c r="J302" t="s">
        <v>5012</v>
      </c>
      <c r="K302" t="s">
        <v>4993</v>
      </c>
      <c r="L302">
        <v>301</v>
      </c>
      <c r="M302">
        <v>42</v>
      </c>
      <c r="N302" t="s">
        <v>5015</v>
      </c>
      <c r="O302">
        <v>0</v>
      </c>
      <c r="P302">
        <v>0</v>
      </c>
    </row>
    <row r="303" spans="1:16" x14ac:dyDescent="0.25">
      <c r="A303" t="s">
        <v>4386</v>
      </c>
      <c r="B303" t="s">
        <v>4387</v>
      </c>
      <c r="C303">
        <v>5333</v>
      </c>
      <c r="D303" t="s">
        <v>4388</v>
      </c>
      <c r="E303" t="s">
        <v>69</v>
      </c>
      <c r="F303">
        <v>1773</v>
      </c>
      <c r="G303" t="s">
        <v>5000</v>
      </c>
      <c r="H303" t="s">
        <v>4994</v>
      </c>
      <c r="I303">
        <v>4.766</v>
      </c>
      <c r="J303" t="s">
        <v>5012</v>
      </c>
      <c r="K303" t="s">
        <v>4993</v>
      </c>
      <c r="L303">
        <v>705</v>
      </c>
      <c r="M303">
        <v>39</v>
      </c>
      <c r="N303" t="s">
        <v>5015</v>
      </c>
      <c r="O303">
        <v>1</v>
      </c>
      <c r="P303">
        <v>0</v>
      </c>
    </row>
    <row r="304" spans="1:16" x14ac:dyDescent="0.25">
      <c r="A304" t="s">
        <v>4389</v>
      </c>
      <c r="B304" t="s">
        <v>4390</v>
      </c>
      <c r="C304">
        <v>7037</v>
      </c>
      <c r="D304" t="s">
        <v>1718</v>
      </c>
      <c r="E304" t="s">
        <v>347</v>
      </c>
      <c r="F304">
        <v>1769</v>
      </c>
      <c r="G304" t="s">
        <v>5000</v>
      </c>
      <c r="H304" t="s">
        <v>4994</v>
      </c>
      <c r="I304">
        <v>4.8</v>
      </c>
      <c r="J304" t="s">
        <v>5012</v>
      </c>
      <c r="K304" t="s">
        <v>4993</v>
      </c>
      <c r="L304">
        <v>15</v>
      </c>
      <c r="M304">
        <v>279</v>
      </c>
      <c r="N304" t="s">
        <v>5014</v>
      </c>
      <c r="O304">
        <v>0</v>
      </c>
      <c r="P304">
        <v>0</v>
      </c>
    </row>
    <row r="305" spans="1:16" x14ac:dyDescent="0.25">
      <c r="A305" t="s">
        <v>4391</v>
      </c>
      <c r="B305" t="s">
        <v>4392</v>
      </c>
      <c r="C305">
        <v>6307</v>
      </c>
      <c r="D305" t="s">
        <v>1132</v>
      </c>
      <c r="E305" t="s">
        <v>69</v>
      </c>
      <c r="F305">
        <v>1769</v>
      </c>
      <c r="G305" t="s">
        <v>5000</v>
      </c>
      <c r="H305" t="s">
        <v>4994</v>
      </c>
      <c r="I305">
        <v>5</v>
      </c>
      <c r="J305" t="s">
        <v>5012</v>
      </c>
      <c r="K305" t="s">
        <v>4993</v>
      </c>
      <c r="L305">
        <v>1</v>
      </c>
      <c r="M305">
        <v>68</v>
      </c>
      <c r="N305" t="s">
        <v>5014</v>
      </c>
      <c r="O305">
        <v>0</v>
      </c>
      <c r="P305">
        <v>0</v>
      </c>
    </row>
    <row r="306" spans="1:16" x14ac:dyDescent="0.25">
      <c r="A306" t="s">
        <v>4393</v>
      </c>
      <c r="B306" t="s">
        <v>4394</v>
      </c>
      <c r="C306">
        <v>2082</v>
      </c>
      <c r="D306" t="s">
        <v>594</v>
      </c>
      <c r="E306" t="s">
        <v>21</v>
      </c>
      <c r="F306">
        <v>1758</v>
      </c>
      <c r="G306" t="s">
        <v>5000</v>
      </c>
      <c r="H306" t="s">
        <v>4994</v>
      </c>
      <c r="I306">
        <v>4.3414999999999999</v>
      </c>
      <c r="J306" t="s">
        <v>5012</v>
      </c>
      <c r="K306" t="s">
        <v>4993</v>
      </c>
      <c r="L306">
        <v>205</v>
      </c>
      <c r="M306">
        <v>93</v>
      </c>
      <c r="N306" t="s">
        <v>5014</v>
      </c>
      <c r="O306">
        <v>0</v>
      </c>
      <c r="P306">
        <v>0</v>
      </c>
    </row>
    <row r="307" spans="1:16" x14ac:dyDescent="0.25">
      <c r="A307" t="s">
        <v>4395</v>
      </c>
      <c r="B307" t="s">
        <v>4396</v>
      </c>
      <c r="C307">
        <v>7050</v>
      </c>
      <c r="D307" t="s">
        <v>721</v>
      </c>
      <c r="E307" t="s">
        <v>201</v>
      </c>
      <c r="F307">
        <v>1748</v>
      </c>
      <c r="G307" t="s">
        <v>5000</v>
      </c>
      <c r="H307" t="s">
        <v>4994</v>
      </c>
      <c r="I307">
        <v>4.8635999999999999</v>
      </c>
      <c r="J307" t="s">
        <v>5012</v>
      </c>
      <c r="K307" t="s">
        <v>4993</v>
      </c>
      <c r="L307">
        <v>88</v>
      </c>
      <c r="M307">
        <v>26</v>
      </c>
      <c r="N307" t="s">
        <v>5015</v>
      </c>
      <c r="O307">
        <v>0</v>
      </c>
      <c r="P307">
        <v>0</v>
      </c>
    </row>
    <row r="308" spans="1:16" x14ac:dyDescent="0.25">
      <c r="A308" t="s">
        <v>4399</v>
      </c>
      <c r="B308" t="s">
        <v>4400</v>
      </c>
      <c r="C308">
        <v>5626</v>
      </c>
      <c r="D308" t="s">
        <v>1069</v>
      </c>
      <c r="E308" t="s">
        <v>106</v>
      </c>
      <c r="F308">
        <v>1740</v>
      </c>
      <c r="G308" t="s">
        <v>5000</v>
      </c>
      <c r="H308" t="s">
        <v>4994</v>
      </c>
      <c r="I308">
        <v>5</v>
      </c>
      <c r="J308" t="s">
        <v>5012</v>
      </c>
      <c r="K308" t="s">
        <v>4993</v>
      </c>
      <c r="L308">
        <v>1</v>
      </c>
      <c r="M308">
        <v>29</v>
      </c>
      <c r="N308" t="s">
        <v>5015</v>
      </c>
      <c r="O308">
        <v>0</v>
      </c>
      <c r="P308">
        <v>0</v>
      </c>
    </row>
    <row r="309" spans="1:16" x14ac:dyDescent="0.25">
      <c r="A309" t="s">
        <v>4403</v>
      </c>
      <c r="B309" t="s">
        <v>4404</v>
      </c>
      <c r="C309">
        <v>6302</v>
      </c>
      <c r="D309" t="s">
        <v>2721</v>
      </c>
      <c r="E309" t="s">
        <v>149</v>
      </c>
      <c r="F309">
        <v>1735</v>
      </c>
      <c r="G309" t="s">
        <v>5000</v>
      </c>
      <c r="H309" t="s">
        <v>4994</v>
      </c>
      <c r="I309">
        <v>4.3333000000000004</v>
      </c>
      <c r="J309" t="s">
        <v>5012</v>
      </c>
      <c r="K309" t="s">
        <v>4993</v>
      </c>
      <c r="L309">
        <v>6</v>
      </c>
      <c r="M309">
        <v>210</v>
      </c>
      <c r="N309" t="s">
        <v>5014</v>
      </c>
      <c r="O309">
        <v>0</v>
      </c>
      <c r="P309">
        <v>0</v>
      </c>
    </row>
    <row r="310" spans="1:16" x14ac:dyDescent="0.25">
      <c r="A310" t="s">
        <v>4405</v>
      </c>
      <c r="B310" t="s">
        <v>4406</v>
      </c>
      <c r="C310">
        <v>6743</v>
      </c>
      <c r="D310" t="s">
        <v>3942</v>
      </c>
      <c r="E310" t="s">
        <v>21</v>
      </c>
      <c r="F310">
        <v>1733</v>
      </c>
      <c r="G310" t="s">
        <v>5000</v>
      </c>
      <c r="H310" t="s">
        <v>4994</v>
      </c>
      <c r="I310">
        <v>4</v>
      </c>
      <c r="J310" t="s">
        <v>5012</v>
      </c>
      <c r="K310" t="s">
        <v>4993</v>
      </c>
      <c r="L310">
        <v>13</v>
      </c>
      <c r="M310">
        <v>30</v>
      </c>
      <c r="N310" t="s">
        <v>5015</v>
      </c>
      <c r="O310">
        <v>0</v>
      </c>
      <c r="P310">
        <v>0</v>
      </c>
    </row>
    <row r="311" spans="1:16" x14ac:dyDescent="0.25">
      <c r="A311" t="s">
        <v>4409</v>
      </c>
      <c r="B311" t="s">
        <v>4410</v>
      </c>
      <c r="C311">
        <v>6219</v>
      </c>
      <c r="D311" t="s">
        <v>277</v>
      </c>
      <c r="E311" t="s">
        <v>220</v>
      </c>
      <c r="F311">
        <v>1723</v>
      </c>
      <c r="G311" t="s">
        <v>5000</v>
      </c>
      <c r="H311" t="s">
        <v>4994</v>
      </c>
      <c r="I311">
        <v>4.8333000000000004</v>
      </c>
      <c r="J311" t="s">
        <v>5012</v>
      </c>
      <c r="K311" t="s">
        <v>4993</v>
      </c>
      <c r="L311">
        <v>30</v>
      </c>
      <c r="M311">
        <v>49.5</v>
      </c>
      <c r="N311" t="s">
        <v>5015</v>
      </c>
      <c r="O311">
        <v>0</v>
      </c>
      <c r="P311">
        <v>0</v>
      </c>
    </row>
    <row r="312" spans="1:16" x14ac:dyDescent="0.25">
      <c r="A312" t="s">
        <v>4411</v>
      </c>
      <c r="B312" t="s">
        <v>4412</v>
      </c>
      <c r="C312">
        <v>6084</v>
      </c>
      <c r="D312" t="s">
        <v>269</v>
      </c>
      <c r="E312" t="s">
        <v>21</v>
      </c>
      <c r="F312">
        <v>1721</v>
      </c>
      <c r="G312" t="s">
        <v>5000</v>
      </c>
      <c r="H312" t="s">
        <v>4994</v>
      </c>
      <c r="I312">
        <v>4</v>
      </c>
      <c r="J312" t="s">
        <v>5012</v>
      </c>
      <c r="K312" t="s">
        <v>4993</v>
      </c>
      <c r="L312">
        <v>6</v>
      </c>
      <c r="M312">
        <v>205</v>
      </c>
      <c r="N312" t="s">
        <v>5014</v>
      </c>
      <c r="O312">
        <v>0</v>
      </c>
      <c r="P312">
        <v>0</v>
      </c>
    </row>
    <row r="313" spans="1:16" x14ac:dyDescent="0.25">
      <c r="A313" t="s">
        <v>4415</v>
      </c>
      <c r="B313" t="s">
        <v>4416</v>
      </c>
      <c r="C313">
        <v>6272</v>
      </c>
      <c r="D313" t="s">
        <v>1711</v>
      </c>
      <c r="E313" t="s">
        <v>8</v>
      </c>
      <c r="F313">
        <v>1715</v>
      </c>
      <c r="G313" t="s">
        <v>5000</v>
      </c>
      <c r="H313" t="s">
        <v>4994</v>
      </c>
      <c r="I313">
        <v>5</v>
      </c>
      <c r="J313" t="s">
        <v>5012</v>
      </c>
      <c r="K313" t="s">
        <v>4993</v>
      </c>
      <c r="L313">
        <v>8</v>
      </c>
      <c r="M313">
        <v>45</v>
      </c>
      <c r="N313" t="s">
        <v>5015</v>
      </c>
      <c r="O313">
        <v>0</v>
      </c>
      <c r="P313">
        <v>0</v>
      </c>
    </row>
    <row r="314" spans="1:16" x14ac:dyDescent="0.25">
      <c r="A314" t="s">
        <v>4417</v>
      </c>
      <c r="B314" t="s">
        <v>4418</v>
      </c>
      <c r="C314">
        <v>6749</v>
      </c>
      <c r="D314" t="s">
        <v>3173</v>
      </c>
      <c r="E314" t="s">
        <v>69</v>
      </c>
      <c r="F314">
        <v>1713</v>
      </c>
      <c r="G314" t="s">
        <v>5000</v>
      </c>
      <c r="H314" t="s">
        <v>4994</v>
      </c>
      <c r="I314">
        <v>4.8518999999999997</v>
      </c>
      <c r="J314" t="s">
        <v>5012</v>
      </c>
      <c r="K314" t="s">
        <v>4993</v>
      </c>
      <c r="L314">
        <v>27</v>
      </c>
      <c r="M314">
        <v>54</v>
      </c>
      <c r="N314" t="s">
        <v>5014</v>
      </c>
      <c r="O314">
        <v>1</v>
      </c>
      <c r="P314">
        <v>0</v>
      </c>
    </row>
    <row r="315" spans="1:16" x14ac:dyDescent="0.25">
      <c r="A315" t="s">
        <v>4423</v>
      </c>
      <c r="B315" t="s">
        <v>4424</v>
      </c>
      <c r="C315">
        <v>6303</v>
      </c>
      <c r="D315" t="s">
        <v>3247</v>
      </c>
      <c r="E315" t="s">
        <v>8</v>
      </c>
      <c r="F315">
        <v>1702</v>
      </c>
      <c r="G315" t="s">
        <v>5000</v>
      </c>
      <c r="H315" t="s">
        <v>4994</v>
      </c>
      <c r="I315">
        <v>4.1590999999999996</v>
      </c>
      <c r="J315" t="s">
        <v>5012</v>
      </c>
      <c r="K315" t="s">
        <v>4993</v>
      </c>
      <c r="L315">
        <v>132</v>
      </c>
      <c r="M315">
        <v>75</v>
      </c>
      <c r="N315" t="s">
        <v>5014</v>
      </c>
      <c r="O315">
        <v>0</v>
      </c>
      <c r="P315">
        <v>0</v>
      </c>
    </row>
    <row r="316" spans="1:16" x14ac:dyDescent="0.25">
      <c r="A316" t="s">
        <v>4421</v>
      </c>
      <c r="B316" t="s">
        <v>4422</v>
      </c>
      <c r="C316">
        <v>5987</v>
      </c>
      <c r="D316" t="s">
        <v>48</v>
      </c>
      <c r="E316" t="s">
        <v>220</v>
      </c>
      <c r="F316">
        <v>1702</v>
      </c>
      <c r="G316" t="s">
        <v>5000</v>
      </c>
      <c r="H316" t="s">
        <v>4994</v>
      </c>
      <c r="I316">
        <v>5</v>
      </c>
      <c r="J316" t="s">
        <v>5012</v>
      </c>
      <c r="K316" t="s">
        <v>4993</v>
      </c>
      <c r="L316">
        <v>1</v>
      </c>
      <c r="M316">
        <v>30</v>
      </c>
      <c r="N316" t="s">
        <v>5015</v>
      </c>
      <c r="O316">
        <v>1</v>
      </c>
      <c r="P316">
        <v>0</v>
      </c>
    </row>
    <row r="317" spans="1:16" x14ac:dyDescent="0.25">
      <c r="A317" t="s">
        <v>4425</v>
      </c>
      <c r="B317" t="s">
        <v>4426</v>
      </c>
      <c r="C317">
        <v>6329</v>
      </c>
      <c r="D317" t="s">
        <v>3435</v>
      </c>
      <c r="E317" t="s">
        <v>8</v>
      </c>
      <c r="F317">
        <v>1695</v>
      </c>
      <c r="G317" t="s">
        <v>5000</v>
      </c>
      <c r="H317" t="s">
        <v>4994</v>
      </c>
      <c r="I317">
        <v>4.6832000000000003</v>
      </c>
      <c r="J317" t="s">
        <v>5012</v>
      </c>
      <c r="K317" t="s">
        <v>4993</v>
      </c>
      <c r="L317">
        <v>101</v>
      </c>
      <c r="M317">
        <v>65</v>
      </c>
      <c r="N317" t="s">
        <v>5014</v>
      </c>
      <c r="O317">
        <v>0</v>
      </c>
      <c r="P317">
        <v>0</v>
      </c>
    </row>
    <row r="318" spans="1:16" x14ac:dyDescent="0.25">
      <c r="A318" t="s">
        <v>4427</v>
      </c>
      <c r="B318" t="s">
        <v>4428</v>
      </c>
      <c r="C318">
        <v>6302</v>
      </c>
      <c r="D318" t="s">
        <v>2721</v>
      </c>
      <c r="E318" t="s">
        <v>21</v>
      </c>
      <c r="F318">
        <v>1685</v>
      </c>
      <c r="G318" t="s">
        <v>5000</v>
      </c>
      <c r="H318" t="s">
        <v>4994</v>
      </c>
      <c r="I318">
        <v>5</v>
      </c>
      <c r="J318" t="s">
        <v>5012</v>
      </c>
      <c r="K318" t="s">
        <v>4993</v>
      </c>
      <c r="L318">
        <v>9</v>
      </c>
      <c r="M318">
        <v>225</v>
      </c>
      <c r="N318" t="s">
        <v>5014</v>
      </c>
      <c r="O318">
        <v>0</v>
      </c>
      <c r="P318">
        <v>0</v>
      </c>
    </row>
    <row r="319" spans="1:16" x14ac:dyDescent="0.25">
      <c r="A319" t="s">
        <v>4429</v>
      </c>
      <c r="B319" t="s">
        <v>4430</v>
      </c>
      <c r="C319">
        <v>6371</v>
      </c>
      <c r="D319" t="s">
        <v>2583</v>
      </c>
      <c r="E319" t="s">
        <v>69</v>
      </c>
      <c r="F319">
        <v>1673</v>
      </c>
      <c r="G319" t="s">
        <v>5000</v>
      </c>
      <c r="H319" t="s">
        <v>4994</v>
      </c>
      <c r="I319">
        <v>4.5728999999999997</v>
      </c>
      <c r="J319" t="s">
        <v>5012</v>
      </c>
      <c r="K319" t="s">
        <v>4993</v>
      </c>
      <c r="L319">
        <v>494</v>
      </c>
      <c r="M319">
        <v>38</v>
      </c>
      <c r="N319" t="s">
        <v>5015</v>
      </c>
      <c r="O319">
        <v>0</v>
      </c>
      <c r="P319">
        <v>0</v>
      </c>
    </row>
    <row r="320" spans="1:16" x14ac:dyDescent="0.25">
      <c r="A320" t="s">
        <v>4431</v>
      </c>
      <c r="B320" t="s">
        <v>4432</v>
      </c>
      <c r="C320">
        <v>6756</v>
      </c>
      <c r="D320" t="s">
        <v>4433</v>
      </c>
      <c r="E320" t="s">
        <v>220</v>
      </c>
      <c r="F320">
        <v>1660</v>
      </c>
      <c r="G320" t="s">
        <v>5000</v>
      </c>
      <c r="H320" t="s">
        <v>4994</v>
      </c>
      <c r="I320">
        <v>4.3396999999999997</v>
      </c>
      <c r="J320" t="s">
        <v>5012</v>
      </c>
      <c r="K320" t="s">
        <v>4993</v>
      </c>
      <c r="L320">
        <v>209</v>
      </c>
      <c r="M320">
        <v>169.99</v>
      </c>
      <c r="N320" t="s">
        <v>5014</v>
      </c>
      <c r="O320">
        <v>1</v>
      </c>
      <c r="P320">
        <v>0</v>
      </c>
    </row>
    <row r="321" spans="1:16" x14ac:dyDescent="0.25">
      <c r="A321" t="s">
        <v>4434</v>
      </c>
      <c r="B321" t="s">
        <v>4435</v>
      </c>
      <c r="C321">
        <v>2082</v>
      </c>
      <c r="D321" t="s">
        <v>594</v>
      </c>
      <c r="E321" t="s">
        <v>21</v>
      </c>
      <c r="F321">
        <v>1652</v>
      </c>
      <c r="G321" t="s">
        <v>5000</v>
      </c>
      <c r="H321" t="s">
        <v>4994</v>
      </c>
      <c r="I321">
        <v>4.8571</v>
      </c>
      <c r="J321" t="s">
        <v>5012</v>
      </c>
      <c r="K321" t="s">
        <v>4993</v>
      </c>
      <c r="L321">
        <v>7</v>
      </c>
      <c r="M321">
        <v>58</v>
      </c>
      <c r="N321" t="s">
        <v>5014</v>
      </c>
      <c r="O321">
        <v>0</v>
      </c>
      <c r="P321">
        <v>0</v>
      </c>
    </row>
    <row r="322" spans="1:16" x14ac:dyDescent="0.25">
      <c r="A322" t="s">
        <v>4438</v>
      </c>
      <c r="B322" t="s">
        <v>4439</v>
      </c>
      <c r="C322">
        <v>6307</v>
      </c>
      <c r="D322" t="s">
        <v>1132</v>
      </c>
      <c r="E322" t="s">
        <v>8</v>
      </c>
      <c r="F322">
        <v>1645</v>
      </c>
      <c r="G322" t="s">
        <v>5000</v>
      </c>
      <c r="H322" t="s">
        <v>4994</v>
      </c>
      <c r="I322">
        <v>4.6971999999999996</v>
      </c>
      <c r="J322" t="s">
        <v>5012</v>
      </c>
      <c r="K322" t="s">
        <v>4993</v>
      </c>
      <c r="L322">
        <v>142</v>
      </c>
      <c r="M322">
        <v>210</v>
      </c>
      <c r="N322" t="s">
        <v>5014</v>
      </c>
      <c r="O322">
        <v>0</v>
      </c>
      <c r="P322">
        <v>0</v>
      </c>
    </row>
    <row r="323" spans="1:16" x14ac:dyDescent="0.25">
      <c r="A323" t="s">
        <v>4442</v>
      </c>
      <c r="B323" t="s">
        <v>4443</v>
      </c>
      <c r="C323">
        <v>6307</v>
      </c>
      <c r="D323" t="s">
        <v>1132</v>
      </c>
      <c r="E323" t="s">
        <v>21</v>
      </c>
      <c r="F323">
        <v>1615</v>
      </c>
      <c r="G323" t="s">
        <v>5000</v>
      </c>
      <c r="H323" t="s">
        <v>4994</v>
      </c>
      <c r="I323">
        <v>4.8</v>
      </c>
      <c r="J323" t="s">
        <v>5012</v>
      </c>
      <c r="K323" t="s">
        <v>4993</v>
      </c>
      <c r="L323">
        <v>60</v>
      </c>
      <c r="M323">
        <v>260</v>
      </c>
      <c r="N323" t="s">
        <v>5014</v>
      </c>
      <c r="O323">
        <v>0</v>
      </c>
      <c r="P323">
        <v>0</v>
      </c>
    </row>
    <row r="324" spans="1:16" x14ac:dyDescent="0.25">
      <c r="A324" t="s">
        <v>4446</v>
      </c>
      <c r="B324" t="s">
        <v>4447</v>
      </c>
      <c r="C324">
        <v>6329</v>
      </c>
      <c r="D324" t="s">
        <v>3435</v>
      </c>
      <c r="E324" t="s">
        <v>21</v>
      </c>
      <c r="F324">
        <v>1609</v>
      </c>
      <c r="G324" t="s">
        <v>5000</v>
      </c>
      <c r="H324" t="s">
        <v>4994</v>
      </c>
      <c r="I324">
        <v>4.4400000000000004</v>
      </c>
      <c r="J324" t="s">
        <v>5012</v>
      </c>
      <c r="K324" t="s">
        <v>4993</v>
      </c>
      <c r="L324">
        <v>25</v>
      </c>
      <c r="M324">
        <v>120</v>
      </c>
      <c r="N324" t="s">
        <v>5014</v>
      </c>
      <c r="O324">
        <v>0</v>
      </c>
      <c r="P324">
        <v>0</v>
      </c>
    </row>
    <row r="325" spans="1:16" x14ac:dyDescent="0.25">
      <c r="A325" t="s">
        <v>4448</v>
      </c>
      <c r="B325" t="s">
        <v>4449</v>
      </c>
      <c r="C325">
        <v>6272</v>
      </c>
      <c r="D325" t="s">
        <v>1711</v>
      </c>
      <c r="E325" t="s">
        <v>149</v>
      </c>
      <c r="F325">
        <v>1607</v>
      </c>
      <c r="G325" t="s">
        <v>5000</v>
      </c>
      <c r="H325" t="s">
        <v>4994</v>
      </c>
      <c r="I325">
        <v>4</v>
      </c>
      <c r="J325" t="s">
        <v>5012</v>
      </c>
      <c r="K325" t="s">
        <v>4993</v>
      </c>
      <c r="L325">
        <v>5</v>
      </c>
      <c r="M325">
        <v>99</v>
      </c>
      <c r="N325" t="s">
        <v>5014</v>
      </c>
      <c r="O325">
        <v>0</v>
      </c>
      <c r="P325">
        <v>0</v>
      </c>
    </row>
    <row r="326" spans="1:16" x14ac:dyDescent="0.25">
      <c r="A326" t="s">
        <v>4450</v>
      </c>
      <c r="B326" t="s">
        <v>4451</v>
      </c>
      <c r="C326">
        <v>2082</v>
      </c>
      <c r="D326" t="s">
        <v>594</v>
      </c>
      <c r="E326" t="s">
        <v>106</v>
      </c>
      <c r="F326">
        <v>1606</v>
      </c>
      <c r="G326" t="s">
        <v>5000</v>
      </c>
      <c r="H326" t="s">
        <v>4994</v>
      </c>
      <c r="I326">
        <v>5</v>
      </c>
      <c r="J326" t="s">
        <v>5012</v>
      </c>
      <c r="K326" t="s">
        <v>4993</v>
      </c>
      <c r="L326">
        <v>4</v>
      </c>
      <c r="M326">
        <v>42</v>
      </c>
      <c r="N326" t="s">
        <v>5015</v>
      </c>
      <c r="O326">
        <v>0</v>
      </c>
      <c r="P326">
        <v>1</v>
      </c>
    </row>
    <row r="327" spans="1:16" x14ac:dyDescent="0.25">
      <c r="A327" t="s">
        <v>4452</v>
      </c>
      <c r="B327" t="s">
        <v>4453</v>
      </c>
      <c r="C327">
        <v>6749</v>
      </c>
      <c r="D327" t="s">
        <v>3173</v>
      </c>
      <c r="E327" t="s">
        <v>21</v>
      </c>
      <c r="F327">
        <v>1595</v>
      </c>
      <c r="G327" t="s">
        <v>5000</v>
      </c>
      <c r="H327" t="s">
        <v>4994</v>
      </c>
      <c r="I327">
        <v>4.9009</v>
      </c>
      <c r="J327" t="s">
        <v>5012</v>
      </c>
      <c r="K327" t="s">
        <v>4993</v>
      </c>
      <c r="L327">
        <v>111</v>
      </c>
      <c r="M327">
        <v>72</v>
      </c>
      <c r="N327" t="s">
        <v>5014</v>
      </c>
      <c r="O327">
        <v>1</v>
      </c>
      <c r="P327">
        <v>0</v>
      </c>
    </row>
    <row r="328" spans="1:16" x14ac:dyDescent="0.25">
      <c r="A328" t="s">
        <v>4458</v>
      </c>
      <c r="B328" t="s">
        <v>4459</v>
      </c>
      <c r="C328">
        <v>6234</v>
      </c>
      <c r="D328" t="s">
        <v>7</v>
      </c>
      <c r="E328" t="s">
        <v>13</v>
      </c>
      <c r="F328">
        <v>1580</v>
      </c>
      <c r="G328" t="s">
        <v>5000</v>
      </c>
      <c r="H328" t="s">
        <v>4994</v>
      </c>
      <c r="I328">
        <v>4.3333000000000004</v>
      </c>
      <c r="J328" t="s">
        <v>5012</v>
      </c>
      <c r="K328" t="s">
        <v>4993</v>
      </c>
      <c r="L328">
        <v>6</v>
      </c>
      <c r="M328">
        <v>12.5</v>
      </c>
      <c r="N328" t="s">
        <v>5013</v>
      </c>
      <c r="O328">
        <v>1</v>
      </c>
      <c r="P328">
        <v>0</v>
      </c>
    </row>
    <row r="329" spans="1:16" x14ac:dyDescent="0.25">
      <c r="A329" t="s">
        <v>4460</v>
      </c>
      <c r="B329" t="s">
        <v>4461</v>
      </c>
      <c r="C329">
        <v>6309</v>
      </c>
      <c r="D329" t="s">
        <v>1735</v>
      </c>
      <c r="E329" t="s">
        <v>220</v>
      </c>
      <c r="F329">
        <v>1575</v>
      </c>
      <c r="G329" t="s">
        <v>5000</v>
      </c>
      <c r="H329" t="s">
        <v>4994</v>
      </c>
      <c r="I329">
        <v>4.5</v>
      </c>
      <c r="J329" t="s">
        <v>5012</v>
      </c>
      <c r="K329" t="s">
        <v>4993</v>
      </c>
      <c r="L329">
        <v>2</v>
      </c>
      <c r="M329">
        <v>85</v>
      </c>
      <c r="N329" t="s">
        <v>5014</v>
      </c>
      <c r="O329">
        <v>0</v>
      </c>
      <c r="P329">
        <v>0</v>
      </c>
    </row>
    <row r="330" spans="1:16" x14ac:dyDescent="0.25">
      <c r="A330" t="s">
        <v>4464</v>
      </c>
      <c r="B330" t="s">
        <v>4465</v>
      </c>
      <c r="C330">
        <v>6375</v>
      </c>
      <c r="D330" t="s">
        <v>3234</v>
      </c>
      <c r="E330" t="s">
        <v>201</v>
      </c>
      <c r="F330">
        <v>1560</v>
      </c>
      <c r="G330" t="s">
        <v>5000</v>
      </c>
      <c r="H330" t="s">
        <v>4994</v>
      </c>
      <c r="I330">
        <v>4.1882999999999999</v>
      </c>
      <c r="J330" t="s">
        <v>5012</v>
      </c>
      <c r="K330" t="s">
        <v>4993</v>
      </c>
      <c r="L330">
        <v>154</v>
      </c>
      <c r="M330">
        <v>45</v>
      </c>
      <c r="N330" t="s">
        <v>5015</v>
      </c>
      <c r="O330">
        <v>0</v>
      </c>
      <c r="P330">
        <v>0</v>
      </c>
    </row>
    <row r="331" spans="1:16" x14ac:dyDescent="0.25">
      <c r="A331" t="s">
        <v>4466</v>
      </c>
      <c r="B331" t="s">
        <v>4467</v>
      </c>
      <c r="C331">
        <v>6218</v>
      </c>
      <c r="D331" t="s">
        <v>116</v>
      </c>
      <c r="E331" t="s">
        <v>13</v>
      </c>
      <c r="F331">
        <v>1558</v>
      </c>
      <c r="G331" t="s">
        <v>5000</v>
      </c>
      <c r="H331" t="s">
        <v>4994</v>
      </c>
      <c r="I331">
        <v>4.3333000000000004</v>
      </c>
      <c r="J331" t="s">
        <v>5012</v>
      </c>
      <c r="K331" t="s">
        <v>4993</v>
      </c>
      <c r="L331">
        <v>6</v>
      </c>
      <c r="M331">
        <v>20</v>
      </c>
      <c r="N331" t="s">
        <v>5015</v>
      </c>
      <c r="O331">
        <v>0</v>
      </c>
      <c r="P331">
        <v>0</v>
      </c>
    </row>
    <row r="332" spans="1:16" x14ac:dyDescent="0.25">
      <c r="A332" t="s">
        <v>4468</v>
      </c>
      <c r="B332" t="s">
        <v>4469</v>
      </c>
      <c r="C332">
        <v>6749</v>
      </c>
      <c r="D332" t="s">
        <v>3173</v>
      </c>
      <c r="E332" t="s">
        <v>8</v>
      </c>
      <c r="F332">
        <v>1554</v>
      </c>
      <c r="G332" t="s">
        <v>5000</v>
      </c>
      <c r="H332" t="s">
        <v>4994</v>
      </c>
      <c r="I332">
        <v>4.9032</v>
      </c>
      <c r="J332" t="s">
        <v>5012</v>
      </c>
      <c r="K332" t="s">
        <v>4993</v>
      </c>
      <c r="L332">
        <v>62</v>
      </c>
      <c r="M332">
        <v>96</v>
      </c>
      <c r="N332" t="s">
        <v>5014</v>
      </c>
      <c r="O332">
        <v>1</v>
      </c>
      <c r="P332">
        <v>0</v>
      </c>
    </row>
    <row r="333" spans="1:16" x14ac:dyDescent="0.25">
      <c r="A333" t="s">
        <v>4472</v>
      </c>
      <c r="B333" t="s">
        <v>4473</v>
      </c>
      <c r="C333">
        <v>7037</v>
      </c>
      <c r="D333" t="s">
        <v>1718</v>
      </c>
      <c r="E333" t="s">
        <v>347</v>
      </c>
      <c r="F333">
        <v>1536</v>
      </c>
      <c r="G333" t="s">
        <v>5000</v>
      </c>
      <c r="H333" t="s">
        <v>4994</v>
      </c>
      <c r="I333">
        <v>4.9230999999999998</v>
      </c>
      <c r="J333" t="s">
        <v>5012</v>
      </c>
      <c r="K333" t="s">
        <v>4993</v>
      </c>
      <c r="L333">
        <v>13</v>
      </c>
      <c r="M333">
        <v>279</v>
      </c>
      <c r="N333" t="s">
        <v>5014</v>
      </c>
      <c r="O333">
        <v>0</v>
      </c>
      <c r="P333">
        <v>0</v>
      </c>
    </row>
    <row r="334" spans="1:16" x14ac:dyDescent="0.25">
      <c r="A334" t="s">
        <v>4474</v>
      </c>
      <c r="B334" t="s">
        <v>4475</v>
      </c>
      <c r="C334">
        <v>1254</v>
      </c>
      <c r="D334" t="s">
        <v>136</v>
      </c>
      <c r="E334" t="s">
        <v>21</v>
      </c>
      <c r="F334">
        <v>1535</v>
      </c>
      <c r="G334" t="s">
        <v>5000</v>
      </c>
      <c r="H334" t="s">
        <v>4994</v>
      </c>
      <c r="I334">
        <v>4.125</v>
      </c>
      <c r="J334" t="s">
        <v>5012</v>
      </c>
      <c r="K334" t="s">
        <v>4993</v>
      </c>
      <c r="L334">
        <v>8</v>
      </c>
      <c r="M334">
        <v>61</v>
      </c>
      <c r="N334" t="s">
        <v>5014</v>
      </c>
      <c r="O334">
        <v>0</v>
      </c>
      <c r="P334">
        <v>0</v>
      </c>
    </row>
    <row r="335" spans="1:16" x14ac:dyDescent="0.25">
      <c r="A335" t="s">
        <v>4478</v>
      </c>
      <c r="B335" t="s">
        <v>4479</v>
      </c>
      <c r="C335">
        <v>6371</v>
      </c>
      <c r="D335" t="s">
        <v>2583</v>
      </c>
      <c r="E335" t="s">
        <v>8</v>
      </c>
      <c r="F335">
        <v>1501</v>
      </c>
      <c r="G335" t="s">
        <v>5000</v>
      </c>
      <c r="H335" t="s">
        <v>4994</v>
      </c>
      <c r="I335">
        <v>4.2211999999999996</v>
      </c>
      <c r="J335" t="s">
        <v>5012</v>
      </c>
      <c r="K335" t="s">
        <v>4993</v>
      </c>
      <c r="L335">
        <v>443</v>
      </c>
      <c r="M335">
        <v>25</v>
      </c>
      <c r="N335" t="s">
        <v>5015</v>
      </c>
      <c r="O335">
        <v>0</v>
      </c>
      <c r="P335">
        <v>0</v>
      </c>
    </row>
    <row r="336" spans="1:16" x14ac:dyDescent="0.25">
      <c r="A336" t="s">
        <v>4480</v>
      </c>
      <c r="B336" t="s">
        <v>4481</v>
      </c>
      <c r="C336">
        <v>6302</v>
      </c>
      <c r="D336" t="s">
        <v>2721</v>
      </c>
      <c r="E336" t="s">
        <v>21</v>
      </c>
      <c r="F336">
        <v>1490</v>
      </c>
      <c r="G336" t="s">
        <v>5000</v>
      </c>
      <c r="H336" t="s">
        <v>4994</v>
      </c>
      <c r="I336">
        <v>4.4286000000000003</v>
      </c>
      <c r="J336" t="s">
        <v>5012</v>
      </c>
      <c r="K336" t="s">
        <v>4993</v>
      </c>
      <c r="L336">
        <v>7</v>
      </c>
      <c r="M336">
        <v>205</v>
      </c>
      <c r="N336" t="s">
        <v>5014</v>
      </c>
      <c r="O336">
        <v>0</v>
      </c>
      <c r="P336">
        <v>0</v>
      </c>
    </row>
    <row r="337" spans="1:16" x14ac:dyDescent="0.25">
      <c r="A337" t="s">
        <v>4482</v>
      </c>
      <c r="B337" t="s">
        <v>4483</v>
      </c>
      <c r="C337">
        <v>6367</v>
      </c>
      <c r="D337" t="s">
        <v>2766</v>
      </c>
      <c r="E337" t="s">
        <v>8</v>
      </c>
      <c r="F337">
        <v>1484</v>
      </c>
      <c r="G337" t="s">
        <v>5000</v>
      </c>
      <c r="H337" t="s">
        <v>4994</v>
      </c>
      <c r="I337">
        <v>4.4603999999999999</v>
      </c>
      <c r="J337" t="s">
        <v>5012</v>
      </c>
      <c r="K337" t="s">
        <v>4993</v>
      </c>
      <c r="L337">
        <v>265</v>
      </c>
      <c r="M337">
        <v>46</v>
      </c>
      <c r="N337" t="s">
        <v>5015</v>
      </c>
      <c r="O337">
        <v>1</v>
      </c>
      <c r="P337">
        <v>0</v>
      </c>
    </row>
    <row r="338" spans="1:16" x14ac:dyDescent="0.25">
      <c r="A338" t="s">
        <v>4486</v>
      </c>
      <c r="B338" t="s">
        <v>4487</v>
      </c>
      <c r="C338">
        <v>6373</v>
      </c>
      <c r="D338" t="s">
        <v>1652</v>
      </c>
      <c r="E338" t="s">
        <v>21</v>
      </c>
      <c r="F338">
        <v>1482</v>
      </c>
      <c r="G338" t="s">
        <v>5000</v>
      </c>
      <c r="H338" t="s">
        <v>4994</v>
      </c>
      <c r="I338">
        <v>4.4181999999999997</v>
      </c>
      <c r="J338" t="s">
        <v>5012</v>
      </c>
      <c r="K338" t="s">
        <v>4993</v>
      </c>
      <c r="L338">
        <v>110</v>
      </c>
      <c r="M338">
        <v>58</v>
      </c>
      <c r="N338" t="s">
        <v>5014</v>
      </c>
      <c r="O338">
        <v>1</v>
      </c>
      <c r="P338">
        <v>0</v>
      </c>
    </row>
    <row r="339" spans="1:16" x14ac:dyDescent="0.25">
      <c r="A339" t="s">
        <v>4488</v>
      </c>
      <c r="B339" t="s">
        <v>4489</v>
      </c>
      <c r="C339">
        <v>6334</v>
      </c>
      <c r="D339" t="s">
        <v>2819</v>
      </c>
      <c r="E339" t="s">
        <v>8</v>
      </c>
      <c r="F339">
        <v>1478</v>
      </c>
      <c r="G339" t="s">
        <v>5000</v>
      </c>
      <c r="H339" t="s">
        <v>4994</v>
      </c>
      <c r="I339">
        <v>4.4768999999999997</v>
      </c>
      <c r="J339" t="s">
        <v>5012</v>
      </c>
      <c r="K339" t="s">
        <v>4993</v>
      </c>
      <c r="L339">
        <v>260</v>
      </c>
      <c r="M339">
        <v>72</v>
      </c>
      <c r="N339" t="s">
        <v>5014</v>
      </c>
      <c r="O339">
        <v>0</v>
      </c>
      <c r="P339">
        <v>0</v>
      </c>
    </row>
    <row r="340" spans="1:16" x14ac:dyDescent="0.25">
      <c r="A340" t="s">
        <v>4492</v>
      </c>
      <c r="B340" t="s">
        <v>4493</v>
      </c>
      <c r="C340">
        <v>8012</v>
      </c>
      <c r="D340" t="s">
        <v>2864</v>
      </c>
      <c r="E340" t="s">
        <v>8</v>
      </c>
      <c r="F340">
        <v>1467</v>
      </c>
      <c r="G340" t="s">
        <v>5000</v>
      </c>
      <c r="H340" t="s">
        <v>4994</v>
      </c>
      <c r="I340">
        <v>4.5999999999999996</v>
      </c>
      <c r="J340" t="s">
        <v>5012</v>
      </c>
      <c r="K340" t="s">
        <v>4993</v>
      </c>
      <c r="L340">
        <v>195</v>
      </c>
      <c r="M340">
        <v>27</v>
      </c>
      <c r="N340" t="s">
        <v>5015</v>
      </c>
      <c r="O340">
        <v>0</v>
      </c>
      <c r="P340">
        <v>0</v>
      </c>
    </row>
    <row r="341" spans="1:16" x14ac:dyDescent="0.25">
      <c r="A341" t="s">
        <v>4496</v>
      </c>
      <c r="B341" t="s">
        <v>4497</v>
      </c>
      <c r="C341">
        <v>6373</v>
      </c>
      <c r="D341" t="s">
        <v>1652</v>
      </c>
      <c r="E341" t="s">
        <v>69</v>
      </c>
      <c r="F341">
        <v>1460</v>
      </c>
      <c r="G341" t="s">
        <v>5000</v>
      </c>
      <c r="H341" t="s">
        <v>4994</v>
      </c>
      <c r="I341">
        <v>4.3333000000000004</v>
      </c>
      <c r="J341" t="s">
        <v>5012</v>
      </c>
      <c r="K341" t="s">
        <v>4993</v>
      </c>
      <c r="L341">
        <v>36</v>
      </c>
      <c r="M341">
        <v>36</v>
      </c>
      <c r="N341" t="s">
        <v>5015</v>
      </c>
      <c r="O341">
        <v>0</v>
      </c>
      <c r="P341">
        <v>0</v>
      </c>
    </row>
    <row r="342" spans="1:16" x14ac:dyDescent="0.25">
      <c r="A342" t="s">
        <v>4498</v>
      </c>
      <c r="B342" t="s">
        <v>4499</v>
      </c>
      <c r="C342">
        <v>1741</v>
      </c>
      <c r="D342" t="s">
        <v>388</v>
      </c>
      <c r="E342" t="s">
        <v>21</v>
      </c>
      <c r="F342">
        <v>1453</v>
      </c>
      <c r="G342" t="s">
        <v>5000</v>
      </c>
      <c r="H342" t="s">
        <v>4994</v>
      </c>
      <c r="I342">
        <v>4.8030999999999997</v>
      </c>
      <c r="J342" t="s">
        <v>5012</v>
      </c>
      <c r="K342" t="s">
        <v>4993</v>
      </c>
      <c r="L342">
        <v>127</v>
      </c>
      <c r="M342">
        <v>270</v>
      </c>
      <c r="N342" t="s">
        <v>5014</v>
      </c>
      <c r="O342">
        <v>0</v>
      </c>
      <c r="P342">
        <v>0</v>
      </c>
    </row>
    <row r="343" spans="1:16" x14ac:dyDescent="0.25">
      <c r="A343" t="s">
        <v>4500</v>
      </c>
      <c r="B343" t="s">
        <v>4501</v>
      </c>
      <c r="C343">
        <v>6089</v>
      </c>
      <c r="D343" t="s">
        <v>605</v>
      </c>
      <c r="E343" t="s">
        <v>21</v>
      </c>
      <c r="F343">
        <v>1449</v>
      </c>
      <c r="G343" t="s">
        <v>5000</v>
      </c>
      <c r="H343" t="s">
        <v>4994</v>
      </c>
      <c r="I343">
        <v>4.3201999999999998</v>
      </c>
      <c r="J343" t="s">
        <v>5012</v>
      </c>
      <c r="K343" t="s">
        <v>4993</v>
      </c>
      <c r="L343">
        <v>2783</v>
      </c>
      <c r="M343">
        <v>64</v>
      </c>
      <c r="N343" t="s">
        <v>5014</v>
      </c>
      <c r="O343">
        <v>0</v>
      </c>
      <c r="P343">
        <v>0</v>
      </c>
    </row>
    <row r="344" spans="1:16" x14ac:dyDescent="0.25">
      <c r="A344" t="s">
        <v>4502</v>
      </c>
      <c r="B344" t="s">
        <v>4503</v>
      </c>
      <c r="C344">
        <v>5857</v>
      </c>
      <c r="D344" t="s">
        <v>433</v>
      </c>
      <c r="E344" t="s">
        <v>220</v>
      </c>
      <c r="F344">
        <v>1448</v>
      </c>
      <c r="G344" t="s">
        <v>5000</v>
      </c>
      <c r="H344" t="s">
        <v>4994</v>
      </c>
      <c r="I344">
        <v>4.5</v>
      </c>
      <c r="J344" t="s">
        <v>5012</v>
      </c>
      <c r="K344" t="s">
        <v>4993</v>
      </c>
      <c r="L344">
        <v>2</v>
      </c>
      <c r="M344">
        <v>66</v>
      </c>
      <c r="N344" t="s">
        <v>5014</v>
      </c>
      <c r="O344">
        <v>0</v>
      </c>
      <c r="P344">
        <v>0</v>
      </c>
    </row>
    <row r="345" spans="1:16" x14ac:dyDescent="0.25">
      <c r="A345" t="s">
        <v>4504</v>
      </c>
      <c r="B345" t="s">
        <v>4505</v>
      </c>
      <c r="C345">
        <v>5648</v>
      </c>
      <c r="D345" t="s">
        <v>408</v>
      </c>
      <c r="E345" t="s">
        <v>8</v>
      </c>
      <c r="F345">
        <v>1445</v>
      </c>
      <c r="G345" t="s">
        <v>5000</v>
      </c>
      <c r="H345" t="s">
        <v>4994</v>
      </c>
      <c r="I345">
        <v>5</v>
      </c>
      <c r="J345" t="s">
        <v>5012</v>
      </c>
      <c r="K345" t="s">
        <v>4993</v>
      </c>
      <c r="L345">
        <v>3</v>
      </c>
      <c r="M345">
        <v>39</v>
      </c>
      <c r="N345" t="s">
        <v>5015</v>
      </c>
      <c r="O345">
        <v>0</v>
      </c>
      <c r="P345">
        <v>0</v>
      </c>
    </row>
    <row r="346" spans="1:16" x14ac:dyDescent="0.25">
      <c r="A346" t="s">
        <v>4506</v>
      </c>
      <c r="B346" t="s">
        <v>4507</v>
      </c>
      <c r="C346">
        <v>6743</v>
      </c>
      <c r="D346" t="s">
        <v>3942</v>
      </c>
      <c r="E346" t="s">
        <v>21</v>
      </c>
      <c r="F346">
        <v>1442</v>
      </c>
      <c r="G346" t="s">
        <v>5000</v>
      </c>
      <c r="H346" t="s">
        <v>4994</v>
      </c>
      <c r="I346">
        <v>4.0658000000000003</v>
      </c>
      <c r="J346" t="s">
        <v>5012</v>
      </c>
      <c r="K346" t="s">
        <v>4993</v>
      </c>
      <c r="L346">
        <v>243</v>
      </c>
      <c r="M346">
        <v>35</v>
      </c>
      <c r="N346" t="s">
        <v>5015</v>
      </c>
      <c r="O346">
        <v>0</v>
      </c>
      <c r="P346">
        <v>0</v>
      </c>
    </row>
    <row r="347" spans="1:16" x14ac:dyDescent="0.25">
      <c r="A347" t="s">
        <v>4508</v>
      </c>
      <c r="B347" t="s">
        <v>4509</v>
      </c>
      <c r="C347">
        <v>1254</v>
      </c>
      <c r="D347" t="s">
        <v>136</v>
      </c>
      <c r="E347" t="s">
        <v>21</v>
      </c>
      <c r="F347">
        <v>1428</v>
      </c>
      <c r="G347" t="s">
        <v>5000</v>
      </c>
      <c r="H347" t="s">
        <v>4994</v>
      </c>
      <c r="I347">
        <v>4.5</v>
      </c>
      <c r="J347" t="s">
        <v>5012</v>
      </c>
      <c r="K347" t="s">
        <v>4993</v>
      </c>
      <c r="L347">
        <v>6</v>
      </c>
      <c r="M347">
        <v>64</v>
      </c>
      <c r="N347" t="s">
        <v>5014</v>
      </c>
      <c r="O347">
        <v>0</v>
      </c>
      <c r="P347">
        <v>0</v>
      </c>
    </row>
    <row r="348" spans="1:16" x14ac:dyDescent="0.25">
      <c r="A348" t="s">
        <v>4514</v>
      </c>
      <c r="B348" t="s">
        <v>4515</v>
      </c>
      <c r="C348">
        <v>6750</v>
      </c>
      <c r="D348" t="s">
        <v>4351</v>
      </c>
      <c r="E348" t="s">
        <v>4</v>
      </c>
      <c r="F348">
        <v>1420</v>
      </c>
      <c r="G348" t="s">
        <v>5000</v>
      </c>
      <c r="H348" t="s">
        <v>4994</v>
      </c>
      <c r="I348">
        <v>4.6666999999999996</v>
      </c>
      <c r="J348" t="s">
        <v>5012</v>
      </c>
      <c r="K348" t="s">
        <v>4993</v>
      </c>
      <c r="L348">
        <v>12</v>
      </c>
      <c r="M348">
        <v>26</v>
      </c>
      <c r="N348" t="s">
        <v>5015</v>
      </c>
      <c r="O348">
        <v>1</v>
      </c>
      <c r="P348">
        <v>0</v>
      </c>
    </row>
    <row r="349" spans="1:16" x14ac:dyDescent="0.25">
      <c r="A349" t="s">
        <v>4518</v>
      </c>
      <c r="B349" t="s">
        <v>4519</v>
      </c>
      <c r="C349">
        <v>6743</v>
      </c>
      <c r="D349" t="s">
        <v>3942</v>
      </c>
      <c r="E349" t="s">
        <v>13</v>
      </c>
      <c r="F349">
        <v>1413</v>
      </c>
      <c r="G349" t="s">
        <v>5000</v>
      </c>
      <c r="H349" t="s">
        <v>4994</v>
      </c>
      <c r="I349">
        <v>4.75</v>
      </c>
      <c r="J349" t="s">
        <v>5012</v>
      </c>
      <c r="K349" t="s">
        <v>4993</v>
      </c>
      <c r="L349">
        <v>8</v>
      </c>
      <c r="M349">
        <v>16</v>
      </c>
      <c r="N349" t="s">
        <v>5013</v>
      </c>
      <c r="O349">
        <v>0</v>
      </c>
      <c r="P349">
        <v>0</v>
      </c>
    </row>
    <row r="350" spans="1:16" x14ac:dyDescent="0.25">
      <c r="A350" t="s">
        <v>4524</v>
      </c>
      <c r="B350" t="s">
        <v>4525</v>
      </c>
      <c r="C350">
        <v>6371</v>
      </c>
      <c r="D350" t="s">
        <v>2583</v>
      </c>
      <c r="E350" t="s">
        <v>8</v>
      </c>
      <c r="F350">
        <v>1403</v>
      </c>
      <c r="G350" t="s">
        <v>5000</v>
      </c>
      <c r="H350" t="s">
        <v>4994</v>
      </c>
      <c r="I350">
        <v>4.4206000000000003</v>
      </c>
      <c r="J350" t="s">
        <v>5012</v>
      </c>
      <c r="K350" t="s">
        <v>4993</v>
      </c>
      <c r="L350">
        <v>359</v>
      </c>
      <c r="M350">
        <v>45</v>
      </c>
      <c r="N350" t="s">
        <v>5015</v>
      </c>
      <c r="O350">
        <v>0</v>
      </c>
      <c r="P350">
        <v>0</v>
      </c>
    </row>
    <row r="351" spans="1:16" x14ac:dyDescent="0.25">
      <c r="A351" t="s">
        <v>4528</v>
      </c>
      <c r="B351" t="s">
        <v>4529</v>
      </c>
      <c r="C351">
        <v>7020</v>
      </c>
      <c r="D351" t="s">
        <v>657</v>
      </c>
      <c r="E351" t="s">
        <v>220</v>
      </c>
      <c r="F351">
        <v>1395</v>
      </c>
      <c r="G351" t="s">
        <v>5000</v>
      </c>
      <c r="H351" t="s">
        <v>4994</v>
      </c>
      <c r="I351">
        <v>4</v>
      </c>
      <c r="J351" t="s">
        <v>5012</v>
      </c>
      <c r="K351" t="s">
        <v>4993</v>
      </c>
      <c r="L351">
        <v>3</v>
      </c>
      <c r="M351">
        <v>75</v>
      </c>
      <c r="N351" t="s">
        <v>5014</v>
      </c>
      <c r="O351">
        <v>0</v>
      </c>
      <c r="P351">
        <v>0</v>
      </c>
    </row>
    <row r="352" spans="1:16" x14ac:dyDescent="0.25">
      <c r="A352" t="s">
        <v>4530</v>
      </c>
      <c r="B352" t="s">
        <v>4531</v>
      </c>
      <c r="C352">
        <v>6356</v>
      </c>
      <c r="D352" t="s">
        <v>1885</v>
      </c>
      <c r="E352" t="s">
        <v>21</v>
      </c>
      <c r="F352">
        <v>1389</v>
      </c>
      <c r="G352" t="s">
        <v>5000</v>
      </c>
      <c r="H352" t="s">
        <v>4994</v>
      </c>
      <c r="I352">
        <v>4.3196000000000003</v>
      </c>
      <c r="J352" t="s">
        <v>5012</v>
      </c>
      <c r="K352" t="s">
        <v>4993</v>
      </c>
      <c r="L352">
        <v>194</v>
      </c>
      <c r="M352">
        <v>180</v>
      </c>
      <c r="N352" t="s">
        <v>5014</v>
      </c>
      <c r="O352">
        <v>0</v>
      </c>
      <c r="P352">
        <v>0</v>
      </c>
    </row>
    <row r="353" spans="1:16" x14ac:dyDescent="0.25">
      <c r="A353" t="s">
        <v>4534</v>
      </c>
      <c r="B353" t="s">
        <v>4535</v>
      </c>
      <c r="C353">
        <v>7050</v>
      </c>
      <c r="D353" t="s">
        <v>721</v>
      </c>
      <c r="E353" t="s">
        <v>201</v>
      </c>
      <c r="F353">
        <v>1375</v>
      </c>
      <c r="G353" t="s">
        <v>5000</v>
      </c>
      <c r="H353" t="s">
        <v>4994</v>
      </c>
      <c r="I353">
        <v>4.2643000000000004</v>
      </c>
      <c r="J353" t="s">
        <v>5012</v>
      </c>
      <c r="K353" t="s">
        <v>4993</v>
      </c>
      <c r="L353">
        <v>401</v>
      </c>
      <c r="M353">
        <v>15</v>
      </c>
      <c r="N353" t="s">
        <v>5013</v>
      </c>
      <c r="O353">
        <v>0</v>
      </c>
      <c r="P353">
        <v>0</v>
      </c>
    </row>
    <row r="354" spans="1:16" x14ac:dyDescent="0.25">
      <c r="A354" t="s">
        <v>4538</v>
      </c>
      <c r="B354" t="s">
        <v>4539</v>
      </c>
      <c r="C354">
        <v>6371</v>
      </c>
      <c r="D354" t="s">
        <v>2583</v>
      </c>
      <c r="E354" t="s">
        <v>13</v>
      </c>
      <c r="F354">
        <v>1360</v>
      </c>
      <c r="G354" t="s">
        <v>5000</v>
      </c>
      <c r="H354" t="s">
        <v>4994</v>
      </c>
      <c r="I354">
        <v>4.4249000000000001</v>
      </c>
      <c r="J354" t="s">
        <v>5012</v>
      </c>
      <c r="K354" t="s">
        <v>4993</v>
      </c>
      <c r="L354">
        <v>506</v>
      </c>
      <c r="M354">
        <v>28</v>
      </c>
      <c r="N354" t="s">
        <v>5015</v>
      </c>
      <c r="O354">
        <v>0</v>
      </c>
      <c r="P354">
        <v>0</v>
      </c>
    </row>
    <row r="355" spans="1:16" x14ac:dyDescent="0.25">
      <c r="A355" t="s">
        <v>4544</v>
      </c>
      <c r="B355" t="s">
        <v>4545</v>
      </c>
      <c r="C355">
        <v>6749</v>
      </c>
      <c r="D355" t="s">
        <v>3173</v>
      </c>
      <c r="E355" t="s">
        <v>21</v>
      </c>
      <c r="F355">
        <v>1333</v>
      </c>
      <c r="G355" t="s">
        <v>5000</v>
      </c>
      <c r="H355" t="s">
        <v>4994</v>
      </c>
      <c r="I355">
        <v>4.9009</v>
      </c>
      <c r="J355" t="s">
        <v>5012</v>
      </c>
      <c r="K355" t="s">
        <v>4993</v>
      </c>
      <c r="L355">
        <v>111</v>
      </c>
      <c r="M355">
        <v>40</v>
      </c>
      <c r="N355" t="s">
        <v>5015</v>
      </c>
      <c r="O355">
        <v>1</v>
      </c>
      <c r="P355">
        <v>0</v>
      </c>
    </row>
    <row r="356" spans="1:16" x14ac:dyDescent="0.25">
      <c r="A356" t="s">
        <v>4546</v>
      </c>
      <c r="B356" t="s">
        <v>4547</v>
      </c>
      <c r="C356">
        <v>6373</v>
      </c>
      <c r="D356" t="s">
        <v>1652</v>
      </c>
      <c r="E356" t="s">
        <v>8</v>
      </c>
      <c r="F356">
        <v>1327</v>
      </c>
      <c r="G356" t="s">
        <v>5000</v>
      </c>
      <c r="H356" t="s">
        <v>4994</v>
      </c>
      <c r="I356">
        <v>4.2182000000000004</v>
      </c>
      <c r="J356" t="s">
        <v>5012</v>
      </c>
      <c r="K356" t="s">
        <v>4993</v>
      </c>
      <c r="L356">
        <v>55</v>
      </c>
      <c r="M356">
        <v>68</v>
      </c>
      <c r="N356" t="s">
        <v>5014</v>
      </c>
      <c r="O356">
        <v>0</v>
      </c>
      <c r="P356">
        <v>0</v>
      </c>
    </row>
    <row r="357" spans="1:16" x14ac:dyDescent="0.25">
      <c r="A357" t="s">
        <v>4548</v>
      </c>
      <c r="B357" t="s">
        <v>4549</v>
      </c>
      <c r="C357">
        <v>6749</v>
      </c>
      <c r="D357" t="s">
        <v>3173</v>
      </c>
      <c r="E357" t="s">
        <v>8</v>
      </c>
      <c r="F357">
        <v>1323</v>
      </c>
      <c r="G357" t="s">
        <v>5000</v>
      </c>
      <c r="H357" t="s">
        <v>4994</v>
      </c>
      <c r="I357">
        <v>4.5713999999999997</v>
      </c>
      <c r="J357" t="s">
        <v>5012</v>
      </c>
      <c r="K357" t="s">
        <v>4993</v>
      </c>
      <c r="L357">
        <v>28</v>
      </c>
      <c r="M357">
        <v>52</v>
      </c>
      <c r="N357" t="s">
        <v>5014</v>
      </c>
      <c r="O357">
        <v>1</v>
      </c>
      <c r="P357">
        <v>0</v>
      </c>
    </row>
    <row r="358" spans="1:16" x14ac:dyDescent="0.25">
      <c r="A358" t="s">
        <v>4550</v>
      </c>
      <c r="B358" t="s">
        <v>4551</v>
      </c>
      <c r="C358">
        <v>6358</v>
      </c>
      <c r="D358" t="s">
        <v>2301</v>
      </c>
      <c r="E358" t="s">
        <v>149</v>
      </c>
      <c r="F358">
        <v>1322</v>
      </c>
      <c r="G358" t="s">
        <v>5000</v>
      </c>
      <c r="H358" t="s">
        <v>4994</v>
      </c>
      <c r="I358">
        <v>4.55</v>
      </c>
      <c r="J358" t="s">
        <v>5012</v>
      </c>
      <c r="K358" t="s">
        <v>4993</v>
      </c>
      <c r="L358">
        <v>40</v>
      </c>
      <c r="M358">
        <v>65</v>
      </c>
      <c r="N358" t="s">
        <v>5014</v>
      </c>
      <c r="O358">
        <v>0</v>
      </c>
      <c r="P358">
        <v>0</v>
      </c>
    </row>
    <row r="359" spans="1:16" x14ac:dyDescent="0.25">
      <c r="A359" t="s">
        <v>4552</v>
      </c>
      <c r="B359" t="s">
        <v>4553</v>
      </c>
      <c r="C359">
        <v>6218</v>
      </c>
      <c r="D359" t="s">
        <v>116</v>
      </c>
      <c r="E359" t="s">
        <v>220</v>
      </c>
      <c r="F359">
        <v>1314</v>
      </c>
      <c r="G359" t="s">
        <v>5000</v>
      </c>
      <c r="H359" t="s">
        <v>4994</v>
      </c>
      <c r="I359">
        <v>5</v>
      </c>
      <c r="J359" t="s">
        <v>5012</v>
      </c>
      <c r="K359" t="s">
        <v>4993</v>
      </c>
      <c r="L359">
        <v>1</v>
      </c>
      <c r="M359">
        <v>30</v>
      </c>
      <c r="N359" t="s">
        <v>5015</v>
      </c>
      <c r="O359">
        <v>1</v>
      </c>
      <c r="P359">
        <v>0</v>
      </c>
    </row>
    <row r="360" spans="1:16" x14ac:dyDescent="0.25">
      <c r="A360" t="s">
        <v>4556</v>
      </c>
      <c r="B360" t="s">
        <v>4557</v>
      </c>
      <c r="C360">
        <v>5946</v>
      </c>
      <c r="D360" t="s">
        <v>341</v>
      </c>
      <c r="E360" t="s">
        <v>220</v>
      </c>
      <c r="F360">
        <v>1311</v>
      </c>
      <c r="G360" t="s">
        <v>5000</v>
      </c>
      <c r="H360" t="s">
        <v>4994</v>
      </c>
      <c r="I360">
        <v>4</v>
      </c>
      <c r="J360" t="s">
        <v>5012</v>
      </c>
      <c r="K360" t="s">
        <v>4993</v>
      </c>
      <c r="L360">
        <v>4</v>
      </c>
      <c r="M360">
        <v>49</v>
      </c>
      <c r="N360" t="s">
        <v>5015</v>
      </c>
      <c r="O360">
        <v>0</v>
      </c>
      <c r="P360">
        <v>0</v>
      </c>
    </row>
    <row r="361" spans="1:16" x14ac:dyDescent="0.25">
      <c r="A361" t="s">
        <v>4560</v>
      </c>
      <c r="B361" t="s">
        <v>4561</v>
      </c>
      <c r="C361">
        <v>6349</v>
      </c>
      <c r="D361" t="s">
        <v>2031</v>
      </c>
      <c r="E361" t="s">
        <v>21</v>
      </c>
      <c r="F361">
        <v>1300</v>
      </c>
      <c r="G361" t="s">
        <v>5000</v>
      </c>
      <c r="H361" t="s">
        <v>4994</v>
      </c>
      <c r="I361">
        <v>4.5</v>
      </c>
      <c r="J361" t="s">
        <v>5012</v>
      </c>
      <c r="K361" t="s">
        <v>4993</v>
      </c>
      <c r="L361">
        <v>40</v>
      </c>
      <c r="M361">
        <v>48</v>
      </c>
      <c r="N361" t="s">
        <v>5015</v>
      </c>
      <c r="O361">
        <v>0</v>
      </c>
      <c r="P361">
        <v>0</v>
      </c>
    </row>
    <row r="362" spans="1:16" x14ac:dyDescent="0.25">
      <c r="A362" t="s">
        <v>4562</v>
      </c>
      <c r="B362" t="s">
        <v>4563</v>
      </c>
      <c r="C362">
        <v>1073</v>
      </c>
      <c r="D362" t="s">
        <v>767</v>
      </c>
      <c r="E362" t="s">
        <v>13</v>
      </c>
      <c r="F362">
        <v>1294</v>
      </c>
      <c r="G362" t="s">
        <v>5000</v>
      </c>
      <c r="H362" t="s">
        <v>4994</v>
      </c>
      <c r="I362">
        <v>5</v>
      </c>
      <c r="J362" t="s">
        <v>5012</v>
      </c>
      <c r="K362" t="s">
        <v>4993</v>
      </c>
      <c r="L362">
        <v>1</v>
      </c>
      <c r="M362">
        <v>35</v>
      </c>
      <c r="N362" t="s">
        <v>5015</v>
      </c>
      <c r="O362">
        <v>1</v>
      </c>
      <c r="P362">
        <v>0</v>
      </c>
    </row>
    <row r="363" spans="1:16" x14ac:dyDescent="0.25">
      <c r="A363" t="s">
        <v>4564</v>
      </c>
      <c r="B363" t="s">
        <v>4565</v>
      </c>
      <c r="C363">
        <v>5857</v>
      </c>
      <c r="D363" t="s">
        <v>433</v>
      </c>
      <c r="E363" t="s">
        <v>13</v>
      </c>
      <c r="F363">
        <v>1293</v>
      </c>
      <c r="G363" t="s">
        <v>5000</v>
      </c>
      <c r="H363" t="s">
        <v>4994</v>
      </c>
      <c r="I363">
        <v>4.3600000000000003</v>
      </c>
      <c r="J363" t="s">
        <v>5012</v>
      </c>
      <c r="K363" t="s">
        <v>4993</v>
      </c>
      <c r="L363">
        <v>125</v>
      </c>
      <c r="M363">
        <v>38</v>
      </c>
      <c r="N363" t="s">
        <v>5015</v>
      </c>
      <c r="O363">
        <v>0</v>
      </c>
      <c r="P363">
        <v>0</v>
      </c>
    </row>
    <row r="364" spans="1:16" x14ac:dyDescent="0.25">
      <c r="A364" t="s">
        <v>4566</v>
      </c>
      <c r="B364" t="s">
        <v>4567</v>
      </c>
      <c r="C364">
        <v>6373</v>
      </c>
      <c r="D364" t="s">
        <v>1652</v>
      </c>
      <c r="E364" t="s">
        <v>8</v>
      </c>
      <c r="F364">
        <v>1258</v>
      </c>
      <c r="G364" t="s">
        <v>5000</v>
      </c>
      <c r="H364" t="s">
        <v>4994</v>
      </c>
      <c r="I364">
        <v>4.1578999999999997</v>
      </c>
      <c r="J364" t="s">
        <v>5012</v>
      </c>
      <c r="K364" t="s">
        <v>4993</v>
      </c>
      <c r="L364">
        <v>38</v>
      </c>
      <c r="M364">
        <v>84</v>
      </c>
      <c r="N364" t="s">
        <v>5014</v>
      </c>
      <c r="O364">
        <v>0</v>
      </c>
      <c r="P364">
        <v>0</v>
      </c>
    </row>
    <row r="365" spans="1:16" x14ac:dyDescent="0.25">
      <c r="A365" t="s">
        <v>4570</v>
      </c>
      <c r="B365" t="s">
        <v>4571</v>
      </c>
      <c r="C365">
        <v>5946</v>
      </c>
      <c r="D365" t="s">
        <v>341</v>
      </c>
      <c r="E365" t="s">
        <v>220</v>
      </c>
      <c r="F365">
        <v>1243</v>
      </c>
      <c r="G365" t="s">
        <v>5000</v>
      </c>
      <c r="H365" t="s">
        <v>4994</v>
      </c>
      <c r="I365">
        <v>5</v>
      </c>
      <c r="J365" t="s">
        <v>5012</v>
      </c>
      <c r="K365" t="s">
        <v>4993</v>
      </c>
      <c r="L365">
        <v>1</v>
      </c>
      <c r="M365">
        <v>115</v>
      </c>
      <c r="N365" t="s">
        <v>5014</v>
      </c>
      <c r="O365">
        <v>0</v>
      </c>
      <c r="P365">
        <v>0</v>
      </c>
    </row>
    <row r="366" spans="1:16" x14ac:dyDescent="0.25">
      <c r="A366" t="s">
        <v>4574</v>
      </c>
      <c r="B366" t="s">
        <v>4575</v>
      </c>
      <c r="C366">
        <v>1254</v>
      </c>
      <c r="D366" t="s">
        <v>136</v>
      </c>
      <c r="E366" t="s">
        <v>21</v>
      </c>
      <c r="F366">
        <v>1237</v>
      </c>
      <c r="G366" t="s">
        <v>5000</v>
      </c>
      <c r="H366" t="s">
        <v>4994</v>
      </c>
      <c r="I366">
        <v>4.1779999999999999</v>
      </c>
      <c r="J366" t="s">
        <v>5012</v>
      </c>
      <c r="K366" t="s">
        <v>4993</v>
      </c>
      <c r="L366">
        <v>1899</v>
      </c>
      <c r="M366">
        <v>68</v>
      </c>
      <c r="N366" t="s">
        <v>5014</v>
      </c>
      <c r="O366">
        <v>0</v>
      </c>
      <c r="P366">
        <v>0</v>
      </c>
    </row>
    <row r="367" spans="1:16" x14ac:dyDescent="0.25">
      <c r="A367" t="s">
        <v>4576</v>
      </c>
      <c r="B367" t="s">
        <v>4577</v>
      </c>
      <c r="C367">
        <v>7055</v>
      </c>
      <c r="D367" t="s">
        <v>3361</v>
      </c>
      <c r="E367" t="s">
        <v>8</v>
      </c>
      <c r="F367">
        <v>1215</v>
      </c>
      <c r="G367" t="s">
        <v>5000</v>
      </c>
      <c r="H367" t="s">
        <v>4994</v>
      </c>
      <c r="I367">
        <v>4.4691000000000001</v>
      </c>
      <c r="J367" t="s">
        <v>5012</v>
      </c>
      <c r="K367" t="s">
        <v>4993</v>
      </c>
      <c r="L367">
        <v>81</v>
      </c>
      <c r="M367">
        <v>35</v>
      </c>
      <c r="N367" t="s">
        <v>5015</v>
      </c>
      <c r="O367">
        <v>0</v>
      </c>
      <c r="P367">
        <v>0</v>
      </c>
    </row>
    <row r="368" spans="1:16" x14ac:dyDescent="0.25">
      <c r="A368" t="s">
        <v>4580</v>
      </c>
      <c r="B368" t="s">
        <v>4581</v>
      </c>
      <c r="C368">
        <v>6743</v>
      </c>
      <c r="D368" t="s">
        <v>3942</v>
      </c>
      <c r="E368" t="s">
        <v>13</v>
      </c>
      <c r="F368">
        <v>1205</v>
      </c>
      <c r="G368" t="s">
        <v>5000</v>
      </c>
      <c r="H368" t="s">
        <v>4994</v>
      </c>
      <c r="I368">
        <v>4.0503999999999998</v>
      </c>
      <c r="J368" t="s">
        <v>5012</v>
      </c>
      <c r="K368" t="s">
        <v>4993</v>
      </c>
      <c r="L368">
        <v>119</v>
      </c>
      <c r="M368">
        <v>16</v>
      </c>
      <c r="N368" t="s">
        <v>5013</v>
      </c>
      <c r="O368">
        <v>0</v>
      </c>
      <c r="P368">
        <v>0</v>
      </c>
    </row>
    <row r="369" spans="1:16" x14ac:dyDescent="0.25">
      <c r="A369" t="s">
        <v>4588</v>
      </c>
      <c r="B369" t="s">
        <v>4589</v>
      </c>
      <c r="C369">
        <v>6499</v>
      </c>
      <c r="D369" t="s">
        <v>4590</v>
      </c>
      <c r="E369" t="s">
        <v>21</v>
      </c>
      <c r="F369">
        <v>1182</v>
      </c>
      <c r="G369" t="s">
        <v>5000</v>
      </c>
      <c r="H369" t="s">
        <v>4994</v>
      </c>
      <c r="I369">
        <v>4.6566999999999998</v>
      </c>
      <c r="J369" t="s">
        <v>5012</v>
      </c>
      <c r="K369" t="s">
        <v>4993</v>
      </c>
      <c r="L369">
        <v>134</v>
      </c>
      <c r="M369">
        <v>68</v>
      </c>
      <c r="N369" t="s">
        <v>5014</v>
      </c>
      <c r="O369">
        <v>1</v>
      </c>
      <c r="P369">
        <v>0</v>
      </c>
    </row>
    <row r="370" spans="1:16" x14ac:dyDescent="0.25">
      <c r="A370" t="s">
        <v>4598</v>
      </c>
      <c r="B370" t="s">
        <v>4599</v>
      </c>
      <c r="C370">
        <v>6358</v>
      </c>
      <c r="D370" t="s">
        <v>2301</v>
      </c>
      <c r="E370" t="s">
        <v>21</v>
      </c>
      <c r="F370">
        <v>1162</v>
      </c>
      <c r="G370" t="s">
        <v>5000</v>
      </c>
      <c r="H370" t="s">
        <v>4994</v>
      </c>
      <c r="I370">
        <v>4.7142999999999997</v>
      </c>
      <c r="J370" t="s">
        <v>5012</v>
      </c>
      <c r="K370" t="s">
        <v>4993</v>
      </c>
      <c r="L370">
        <v>42</v>
      </c>
      <c r="M370">
        <v>99</v>
      </c>
      <c r="N370" t="s">
        <v>5014</v>
      </c>
      <c r="O370">
        <v>0</v>
      </c>
      <c r="P370">
        <v>0</v>
      </c>
    </row>
    <row r="371" spans="1:16" x14ac:dyDescent="0.25">
      <c r="A371" t="s">
        <v>4600</v>
      </c>
      <c r="B371" t="s">
        <v>4601</v>
      </c>
      <c r="C371">
        <v>6149</v>
      </c>
      <c r="D371" t="s">
        <v>752</v>
      </c>
      <c r="E371" t="s">
        <v>49</v>
      </c>
      <c r="F371">
        <v>1160</v>
      </c>
      <c r="G371" t="s">
        <v>5000</v>
      </c>
      <c r="H371" t="s">
        <v>4994</v>
      </c>
      <c r="I371">
        <v>4.25</v>
      </c>
      <c r="J371" t="s">
        <v>5012</v>
      </c>
      <c r="K371" t="s">
        <v>4993</v>
      </c>
      <c r="L371">
        <v>4</v>
      </c>
      <c r="M371">
        <v>36</v>
      </c>
      <c r="N371" t="s">
        <v>5015</v>
      </c>
      <c r="O371">
        <v>0</v>
      </c>
      <c r="P371">
        <v>0</v>
      </c>
    </row>
    <row r="372" spans="1:16" x14ac:dyDescent="0.25">
      <c r="A372" t="s">
        <v>4602</v>
      </c>
      <c r="B372" t="s">
        <v>4603</v>
      </c>
      <c r="C372">
        <v>6749</v>
      </c>
      <c r="D372" t="s">
        <v>3173</v>
      </c>
      <c r="E372" t="s">
        <v>8</v>
      </c>
      <c r="F372">
        <v>1159</v>
      </c>
      <c r="G372" t="s">
        <v>5000</v>
      </c>
      <c r="H372" t="s">
        <v>4994</v>
      </c>
      <c r="I372">
        <v>4.8845999999999998</v>
      </c>
      <c r="J372" t="s">
        <v>5012</v>
      </c>
      <c r="K372" t="s">
        <v>4993</v>
      </c>
      <c r="L372">
        <v>52</v>
      </c>
      <c r="M372">
        <v>74</v>
      </c>
      <c r="N372" t="s">
        <v>5014</v>
      </c>
      <c r="O372">
        <v>1</v>
      </c>
      <c r="P372">
        <v>0</v>
      </c>
    </row>
    <row r="373" spans="1:16" x14ac:dyDescent="0.25">
      <c r="A373" t="s">
        <v>4604</v>
      </c>
      <c r="B373" t="s">
        <v>4605</v>
      </c>
      <c r="C373">
        <v>5879</v>
      </c>
      <c r="D373" t="s">
        <v>3589</v>
      </c>
      <c r="E373" t="s">
        <v>13</v>
      </c>
      <c r="F373">
        <v>1149</v>
      </c>
      <c r="G373" t="s">
        <v>5000</v>
      </c>
      <c r="H373" t="s">
        <v>4994</v>
      </c>
      <c r="I373">
        <v>5</v>
      </c>
      <c r="J373" t="s">
        <v>5012</v>
      </c>
      <c r="K373" t="s">
        <v>4993</v>
      </c>
      <c r="L373">
        <v>1</v>
      </c>
      <c r="M373">
        <v>25</v>
      </c>
      <c r="N373" t="s">
        <v>5015</v>
      </c>
      <c r="O373">
        <v>0</v>
      </c>
      <c r="P373">
        <v>0</v>
      </c>
    </row>
    <row r="374" spans="1:16" x14ac:dyDescent="0.25">
      <c r="A374" t="s">
        <v>4610</v>
      </c>
      <c r="B374" t="s">
        <v>4611</v>
      </c>
      <c r="C374">
        <v>6089</v>
      </c>
      <c r="D374" t="s">
        <v>605</v>
      </c>
      <c r="E374" t="s">
        <v>21</v>
      </c>
      <c r="F374">
        <v>1140</v>
      </c>
      <c r="G374" t="s">
        <v>5000</v>
      </c>
      <c r="H374" t="s">
        <v>4994</v>
      </c>
      <c r="I374">
        <v>5</v>
      </c>
      <c r="J374" t="s">
        <v>5012</v>
      </c>
      <c r="K374" t="s">
        <v>4993</v>
      </c>
      <c r="L374">
        <v>1</v>
      </c>
      <c r="M374">
        <v>98</v>
      </c>
      <c r="N374" t="s">
        <v>5014</v>
      </c>
      <c r="O374">
        <v>0</v>
      </c>
      <c r="P374">
        <v>0</v>
      </c>
    </row>
    <row r="375" spans="1:16" x14ac:dyDescent="0.25">
      <c r="A375" t="s">
        <v>4614</v>
      </c>
      <c r="B375" t="s">
        <v>4615</v>
      </c>
      <c r="C375">
        <v>6318</v>
      </c>
      <c r="D375" t="s">
        <v>2040</v>
      </c>
      <c r="E375" t="s">
        <v>13</v>
      </c>
      <c r="F375">
        <v>1136</v>
      </c>
      <c r="G375" t="s">
        <v>5000</v>
      </c>
      <c r="H375" t="s">
        <v>4994</v>
      </c>
      <c r="I375">
        <v>4.2</v>
      </c>
      <c r="J375" t="s">
        <v>5012</v>
      </c>
      <c r="K375" t="s">
        <v>4993</v>
      </c>
      <c r="L375">
        <v>10</v>
      </c>
      <c r="M375">
        <v>65</v>
      </c>
      <c r="N375" t="s">
        <v>5014</v>
      </c>
      <c r="O375">
        <v>0</v>
      </c>
      <c r="P375">
        <v>0</v>
      </c>
    </row>
    <row r="376" spans="1:16" x14ac:dyDescent="0.25">
      <c r="A376" t="s">
        <v>4618</v>
      </c>
      <c r="B376" t="s">
        <v>4619</v>
      </c>
      <c r="C376">
        <v>6175</v>
      </c>
      <c r="D376" t="s">
        <v>338</v>
      </c>
      <c r="E376" t="s">
        <v>21</v>
      </c>
      <c r="F376">
        <v>1132</v>
      </c>
      <c r="G376" t="s">
        <v>5000</v>
      </c>
      <c r="H376" t="s">
        <v>4994</v>
      </c>
      <c r="I376">
        <v>4.0934999999999997</v>
      </c>
      <c r="J376" t="s">
        <v>5012</v>
      </c>
      <c r="K376" t="s">
        <v>4993</v>
      </c>
      <c r="L376">
        <v>920</v>
      </c>
      <c r="M376">
        <v>72</v>
      </c>
      <c r="N376" t="s">
        <v>5014</v>
      </c>
      <c r="O376">
        <v>0</v>
      </c>
      <c r="P376">
        <v>0</v>
      </c>
    </row>
    <row r="377" spans="1:16" x14ac:dyDescent="0.25">
      <c r="A377" t="s">
        <v>4622</v>
      </c>
      <c r="B377" t="s">
        <v>4623</v>
      </c>
      <c r="C377">
        <v>6329</v>
      </c>
      <c r="D377" t="s">
        <v>3435</v>
      </c>
      <c r="E377" t="s">
        <v>347</v>
      </c>
      <c r="F377">
        <v>1119</v>
      </c>
      <c r="G377" t="s">
        <v>5000</v>
      </c>
      <c r="H377" t="s">
        <v>4994</v>
      </c>
      <c r="I377">
        <v>4.6315999999999997</v>
      </c>
      <c r="J377" t="s">
        <v>5012</v>
      </c>
      <c r="K377" t="s">
        <v>4993</v>
      </c>
      <c r="L377">
        <v>38</v>
      </c>
      <c r="M377">
        <v>70</v>
      </c>
      <c r="N377" t="s">
        <v>5014</v>
      </c>
      <c r="O377">
        <v>0</v>
      </c>
      <c r="P377">
        <v>0</v>
      </c>
    </row>
    <row r="378" spans="1:16" x14ac:dyDescent="0.25">
      <c r="A378" t="s">
        <v>4624</v>
      </c>
      <c r="B378" t="s">
        <v>4625</v>
      </c>
      <c r="C378">
        <v>5337</v>
      </c>
      <c r="D378" t="s">
        <v>209</v>
      </c>
      <c r="E378" t="s">
        <v>49</v>
      </c>
      <c r="F378">
        <v>1107</v>
      </c>
      <c r="G378" t="s">
        <v>5000</v>
      </c>
      <c r="H378" t="s">
        <v>4994</v>
      </c>
      <c r="I378">
        <v>4.6125999999999996</v>
      </c>
      <c r="J378" t="s">
        <v>5012</v>
      </c>
      <c r="K378" t="s">
        <v>4993</v>
      </c>
      <c r="L378">
        <v>555</v>
      </c>
      <c r="M378">
        <v>38</v>
      </c>
      <c r="N378" t="s">
        <v>5015</v>
      </c>
      <c r="O378">
        <v>1</v>
      </c>
      <c r="P378">
        <v>0</v>
      </c>
    </row>
    <row r="379" spans="1:16" x14ac:dyDescent="0.25">
      <c r="A379" t="s">
        <v>4626</v>
      </c>
      <c r="B379" t="s">
        <v>4627</v>
      </c>
      <c r="C379">
        <v>6475</v>
      </c>
      <c r="D379" t="s">
        <v>3011</v>
      </c>
      <c r="E379" t="s">
        <v>21</v>
      </c>
      <c r="F379">
        <v>1098</v>
      </c>
      <c r="G379" t="s">
        <v>5000</v>
      </c>
      <c r="H379" t="s">
        <v>4994</v>
      </c>
      <c r="I379">
        <v>4.7222</v>
      </c>
      <c r="J379" t="s">
        <v>5012</v>
      </c>
      <c r="K379" t="s">
        <v>4993</v>
      </c>
      <c r="L379">
        <v>54</v>
      </c>
      <c r="M379">
        <v>125</v>
      </c>
      <c r="N379" t="s">
        <v>5014</v>
      </c>
      <c r="O379">
        <v>1</v>
      </c>
      <c r="P379">
        <v>0</v>
      </c>
    </row>
    <row r="380" spans="1:16" x14ac:dyDescent="0.25">
      <c r="A380" t="s">
        <v>4632</v>
      </c>
      <c r="B380" t="s">
        <v>4633</v>
      </c>
      <c r="C380">
        <v>6001</v>
      </c>
      <c r="D380" t="s">
        <v>1836</v>
      </c>
      <c r="E380" t="s">
        <v>347</v>
      </c>
      <c r="F380">
        <v>1085</v>
      </c>
      <c r="G380" t="s">
        <v>5000</v>
      </c>
      <c r="H380" t="s">
        <v>4994</v>
      </c>
      <c r="I380">
        <v>5</v>
      </c>
      <c r="J380" t="s">
        <v>5012</v>
      </c>
      <c r="K380" t="s">
        <v>4993</v>
      </c>
      <c r="L380">
        <v>2</v>
      </c>
      <c r="M380">
        <v>395</v>
      </c>
      <c r="N380" t="s">
        <v>5014</v>
      </c>
      <c r="O380">
        <v>1</v>
      </c>
      <c r="P380">
        <v>0</v>
      </c>
    </row>
    <row r="381" spans="1:16" x14ac:dyDescent="0.25">
      <c r="A381" t="s">
        <v>4638</v>
      </c>
      <c r="B381" t="s">
        <v>4639</v>
      </c>
      <c r="C381">
        <v>3902</v>
      </c>
      <c r="D381" t="s">
        <v>72</v>
      </c>
      <c r="E381" t="s">
        <v>201</v>
      </c>
      <c r="F381">
        <v>1060</v>
      </c>
      <c r="G381" t="s">
        <v>5000</v>
      </c>
      <c r="H381" t="s">
        <v>4994</v>
      </c>
      <c r="I381">
        <v>4.8914999999999997</v>
      </c>
      <c r="J381" t="s">
        <v>5012</v>
      </c>
      <c r="K381" t="s">
        <v>4993</v>
      </c>
      <c r="L381">
        <v>129</v>
      </c>
      <c r="M381">
        <v>22</v>
      </c>
      <c r="N381" t="s">
        <v>5015</v>
      </c>
      <c r="O381">
        <v>1</v>
      </c>
      <c r="P381">
        <v>0</v>
      </c>
    </row>
    <row r="382" spans="1:16" x14ac:dyDescent="0.25">
      <c r="A382" t="s">
        <v>4646</v>
      </c>
      <c r="B382" t="s">
        <v>4647</v>
      </c>
      <c r="C382">
        <v>6749</v>
      </c>
      <c r="D382" t="s">
        <v>3173</v>
      </c>
      <c r="E382" t="s">
        <v>21</v>
      </c>
      <c r="F382">
        <v>1039</v>
      </c>
      <c r="G382" t="s">
        <v>5000</v>
      </c>
      <c r="H382" t="s">
        <v>4994</v>
      </c>
      <c r="I382">
        <v>4.9486999999999997</v>
      </c>
      <c r="J382" t="s">
        <v>5012</v>
      </c>
      <c r="K382" t="s">
        <v>4993</v>
      </c>
      <c r="L382">
        <v>78</v>
      </c>
      <c r="M382">
        <v>66</v>
      </c>
      <c r="N382" t="s">
        <v>5014</v>
      </c>
      <c r="O382">
        <v>1</v>
      </c>
      <c r="P382">
        <v>0</v>
      </c>
    </row>
    <row r="383" spans="1:16" x14ac:dyDescent="0.25">
      <c r="A383" t="s">
        <v>4644</v>
      </c>
      <c r="B383" t="s">
        <v>4645</v>
      </c>
      <c r="C383">
        <v>6743</v>
      </c>
      <c r="D383" t="s">
        <v>3942</v>
      </c>
      <c r="E383" t="s">
        <v>21</v>
      </c>
      <c r="F383">
        <v>1039</v>
      </c>
      <c r="G383" t="s">
        <v>5000</v>
      </c>
      <c r="H383" t="s">
        <v>4994</v>
      </c>
      <c r="I383">
        <v>4.1245000000000003</v>
      </c>
      <c r="J383" t="s">
        <v>5012</v>
      </c>
      <c r="K383" t="s">
        <v>4993</v>
      </c>
      <c r="L383">
        <v>241</v>
      </c>
      <c r="M383">
        <v>25</v>
      </c>
      <c r="N383" t="s">
        <v>5015</v>
      </c>
      <c r="O383">
        <v>0</v>
      </c>
      <c r="P383">
        <v>0</v>
      </c>
    </row>
    <row r="384" spans="1:16" x14ac:dyDescent="0.25">
      <c r="A384" t="s">
        <v>4642</v>
      </c>
      <c r="B384" t="s">
        <v>4643</v>
      </c>
      <c r="C384">
        <v>3902</v>
      </c>
      <c r="D384" t="s">
        <v>72</v>
      </c>
      <c r="E384" t="s">
        <v>8</v>
      </c>
      <c r="F384">
        <v>1039</v>
      </c>
      <c r="G384" t="s">
        <v>5000</v>
      </c>
      <c r="H384" t="s">
        <v>4994</v>
      </c>
      <c r="I384">
        <v>5</v>
      </c>
      <c r="J384" t="s">
        <v>5012</v>
      </c>
      <c r="K384" t="s">
        <v>4993</v>
      </c>
      <c r="L384">
        <v>1</v>
      </c>
      <c r="M384">
        <v>20</v>
      </c>
      <c r="N384" t="s">
        <v>5015</v>
      </c>
      <c r="O384">
        <v>1</v>
      </c>
      <c r="P384">
        <v>0</v>
      </c>
    </row>
    <row r="385" spans="1:16" x14ac:dyDescent="0.25">
      <c r="A385" t="s">
        <v>4653</v>
      </c>
      <c r="B385" t="s">
        <v>4654</v>
      </c>
      <c r="C385">
        <v>4372</v>
      </c>
      <c r="D385" t="s">
        <v>1513</v>
      </c>
      <c r="E385" t="s">
        <v>4</v>
      </c>
      <c r="F385">
        <v>1030</v>
      </c>
      <c r="G385" t="s">
        <v>5000</v>
      </c>
      <c r="H385" t="s">
        <v>4994</v>
      </c>
      <c r="I385">
        <v>4</v>
      </c>
      <c r="J385" t="s">
        <v>5012</v>
      </c>
      <c r="K385" t="s">
        <v>4993</v>
      </c>
      <c r="L385">
        <v>2</v>
      </c>
      <c r="M385">
        <v>30</v>
      </c>
      <c r="N385" t="s">
        <v>5015</v>
      </c>
      <c r="O385">
        <v>1</v>
      </c>
      <c r="P385">
        <v>0</v>
      </c>
    </row>
    <row r="386" spans="1:16" x14ac:dyDescent="0.25">
      <c r="A386" t="s">
        <v>4655</v>
      </c>
      <c r="B386" t="s">
        <v>4656</v>
      </c>
      <c r="C386">
        <v>5333</v>
      </c>
      <c r="D386" t="s">
        <v>4388</v>
      </c>
      <c r="E386" t="s">
        <v>69</v>
      </c>
      <c r="F386">
        <v>1024</v>
      </c>
      <c r="G386" t="s">
        <v>5000</v>
      </c>
      <c r="H386" t="s">
        <v>4994</v>
      </c>
      <c r="I386">
        <v>4.7134</v>
      </c>
      <c r="J386" t="s">
        <v>5012</v>
      </c>
      <c r="K386" t="s">
        <v>4993</v>
      </c>
      <c r="L386">
        <v>471</v>
      </c>
      <c r="M386">
        <v>39</v>
      </c>
      <c r="N386" t="s">
        <v>5015</v>
      </c>
      <c r="O386">
        <v>1</v>
      </c>
      <c r="P386">
        <v>0</v>
      </c>
    </row>
    <row r="387" spans="1:16" x14ac:dyDescent="0.25">
      <c r="A387" t="s">
        <v>4657</v>
      </c>
      <c r="B387" t="s">
        <v>4658</v>
      </c>
      <c r="C387">
        <v>6272</v>
      </c>
      <c r="D387" t="s">
        <v>1711</v>
      </c>
      <c r="E387" t="s">
        <v>347</v>
      </c>
      <c r="F387">
        <v>1011</v>
      </c>
      <c r="G387" t="s">
        <v>5000</v>
      </c>
      <c r="H387" t="s">
        <v>4994</v>
      </c>
      <c r="I387">
        <v>5</v>
      </c>
      <c r="J387" t="s">
        <v>5012</v>
      </c>
      <c r="K387" t="s">
        <v>4993</v>
      </c>
      <c r="L387">
        <v>7</v>
      </c>
      <c r="M387">
        <v>30</v>
      </c>
      <c r="N387" t="s">
        <v>5015</v>
      </c>
      <c r="O387">
        <v>0</v>
      </c>
      <c r="P38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1644-3443-463A-A86B-ACE9ECB7C85F}">
  <dimension ref="A1:P8"/>
  <sheetViews>
    <sheetView workbookViewId="0">
      <selection activeCell="D17" sqref="D17"/>
    </sheetView>
  </sheetViews>
  <sheetFormatPr defaultRowHeight="15" x14ac:dyDescent="0.25"/>
  <cols>
    <col min="1" max="1" width="12.28515625" bestFit="1" customWidth="1"/>
    <col min="2" max="2" width="34" bestFit="1" customWidth="1"/>
    <col min="3" max="3" width="10.5703125" bestFit="1" customWidth="1"/>
    <col min="4" max="4" width="18" bestFit="1" customWidth="1"/>
    <col min="5" max="5" width="16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5021</v>
      </c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4692</v>
      </c>
      <c r="B4" t="s">
        <v>4693</v>
      </c>
      <c r="C4">
        <v>6309</v>
      </c>
      <c r="D4" t="s">
        <v>1735</v>
      </c>
      <c r="E4" t="s">
        <v>201</v>
      </c>
      <c r="F4">
        <v>894</v>
      </c>
      <c r="G4" t="s">
        <v>4998</v>
      </c>
      <c r="H4" t="s">
        <v>4996</v>
      </c>
      <c r="I4">
        <v>1.8</v>
      </c>
      <c r="J4" t="s">
        <v>5012</v>
      </c>
      <c r="K4" t="s">
        <v>4994</v>
      </c>
      <c r="L4">
        <v>5</v>
      </c>
      <c r="M4">
        <v>12</v>
      </c>
      <c r="N4" t="s">
        <v>5013</v>
      </c>
      <c r="O4">
        <v>0</v>
      </c>
      <c r="P4">
        <v>0</v>
      </c>
    </row>
    <row r="5" spans="1:16" x14ac:dyDescent="0.25">
      <c r="A5" t="s">
        <v>4702</v>
      </c>
      <c r="B5" t="s">
        <v>4703</v>
      </c>
      <c r="C5">
        <v>1254</v>
      </c>
      <c r="D5" t="s">
        <v>136</v>
      </c>
      <c r="E5" t="s">
        <v>220</v>
      </c>
      <c r="F5">
        <v>865</v>
      </c>
      <c r="G5" t="s">
        <v>4998</v>
      </c>
      <c r="H5" t="s">
        <v>4996</v>
      </c>
      <c r="I5">
        <v>2</v>
      </c>
      <c r="J5" t="s">
        <v>5012</v>
      </c>
      <c r="K5" t="s">
        <v>4994</v>
      </c>
      <c r="L5">
        <v>2</v>
      </c>
      <c r="M5">
        <v>21</v>
      </c>
      <c r="N5" t="s">
        <v>5015</v>
      </c>
      <c r="O5">
        <v>0</v>
      </c>
      <c r="P5">
        <v>0</v>
      </c>
    </row>
    <row r="6" spans="1:16" x14ac:dyDescent="0.25">
      <c r="A6" t="s">
        <v>4796</v>
      </c>
      <c r="B6" t="s">
        <v>4797</v>
      </c>
      <c r="C6">
        <v>3297</v>
      </c>
      <c r="D6" t="s">
        <v>238</v>
      </c>
      <c r="E6" t="s">
        <v>13</v>
      </c>
      <c r="F6">
        <v>473</v>
      </c>
      <c r="G6" t="s">
        <v>4998</v>
      </c>
      <c r="H6" t="s">
        <v>4996</v>
      </c>
      <c r="I6">
        <v>2</v>
      </c>
      <c r="J6" t="s">
        <v>5012</v>
      </c>
      <c r="K6" t="s">
        <v>4994</v>
      </c>
      <c r="L6">
        <v>4</v>
      </c>
      <c r="M6">
        <v>25</v>
      </c>
      <c r="N6" t="s">
        <v>5015</v>
      </c>
      <c r="O6">
        <v>0</v>
      </c>
      <c r="P6">
        <v>0</v>
      </c>
    </row>
    <row r="7" spans="1:16" x14ac:dyDescent="0.25">
      <c r="A7" t="s">
        <v>4849</v>
      </c>
      <c r="B7" t="s">
        <v>4850</v>
      </c>
      <c r="C7">
        <v>4372</v>
      </c>
      <c r="D7" t="s">
        <v>1513</v>
      </c>
      <c r="E7" t="s">
        <v>220</v>
      </c>
      <c r="F7">
        <v>274</v>
      </c>
      <c r="G7" t="s">
        <v>4998</v>
      </c>
      <c r="H7" t="s">
        <v>4996</v>
      </c>
      <c r="I7">
        <v>1</v>
      </c>
      <c r="J7" t="s">
        <v>5012</v>
      </c>
      <c r="K7" t="s">
        <v>4994</v>
      </c>
      <c r="L7">
        <v>1</v>
      </c>
      <c r="M7">
        <v>165</v>
      </c>
      <c r="N7" t="s">
        <v>5014</v>
      </c>
      <c r="O7">
        <v>0</v>
      </c>
      <c r="P7">
        <v>1</v>
      </c>
    </row>
    <row r="8" spans="1:16" x14ac:dyDescent="0.25">
      <c r="A8" t="s">
        <v>4863</v>
      </c>
      <c r="B8" t="s">
        <v>4864</v>
      </c>
      <c r="C8">
        <v>1132</v>
      </c>
      <c r="D8" t="s">
        <v>1319</v>
      </c>
      <c r="E8" t="s">
        <v>220</v>
      </c>
      <c r="F8">
        <v>214</v>
      </c>
      <c r="G8" t="s">
        <v>4998</v>
      </c>
      <c r="H8" t="s">
        <v>4996</v>
      </c>
      <c r="I8">
        <v>2</v>
      </c>
      <c r="J8" t="s">
        <v>5012</v>
      </c>
      <c r="K8" t="s">
        <v>4994</v>
      </c>
      <c r="L8">
        <v>2</v>
      </c>
      <c r="M8">
        <v>195</v>
      </c>
      <c r="N8" t="s">
        <v>5014</v>
      </c>
      <c r="O8">
        <v>1</v>
      </c>
      <c r="P8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6F8B-3009-4B8F-8CD3-918FD91DB702}">
  <dimension ref="A1:P19"/>
  <sheetViews>
    <sheetView workbookViewId="0">
      <selection activeCell="B20" sqref="B20"/>
    </sheetView>
  </sheetViews>
  <sheetFormatPr defaultRowHeight="15" x14ac:dyDescent="0.25"/>
  <cols>
    <col min="1" max="1" width="12.28515625" bestFit="1" customWidth="1"/>
    <col min="2" max="2" width="54.28515625" bestFit="1" customWidth="1"/>
    <col min="3" max="3" width="10.5703125" bestFit="1" customWidth="1"/>
    <col min="4" max="4" width="20.85546875" bestFit="1" customWidth="1"/>
    <col min="5" max="5" width="16" bestFit="1" customWidth="1"/>
    <col min="6" max="6" width="14" bestFit="1" customWidth="1"/>
    <col min="7" max="7" width="20.42578125" bestFit="1" customWidth="1"/>
    <col min="8" max="8" width="18.28515625" bestFit="1" customWidth="1"/>
    <col min="9" max="9" width="9.28515625" bestFit="1" customWidth="1"/>
    <col min="10" max="10" width="12.42578125" bestFit="1" customWidth="1"/>
    <col min="11" max="11" width="13.7109375" bestFit="1" customWidth="1"/>
    <col min="12" max="12" width="10.7109375" bestFit="1" customWidth="1"/>
    <col min="13" max="13" width="11.85546875" bestFit="1" customWidth="1"/>
    <col min="14" max="14" width="11.5703125" bestFit="1" customWidth="1"/>
    <col min="15" max="15" width="9.28515625" bestFit="1" customWidth="1"/>
    <col min="16" max="16" width="14" bestFit="1" customWidth="1"/>
  </cols>
  <sheetData>
    <row r="1" spans="1:16" x14ac:dyDescent="0.25">
      <c r="A1" s="10" t="s">
        <v>5020</v>
      </c>
    </row>
    <row r="3" spans="1:16" x14ac:dyDescent="0.25">
      <c r="A3" t="s">
        <v>4978</v>
      </c>
      <c r="B3" t="s">
        <v>4979</v>
      </c>
      <c r="C3" t="s">
        <v>4980</v>
      </c>
      <c r="D3" t="s">
        <v>4981</v>
      </c>
      <c r="E3" t="s">
        <v>0</v>
      </c>
      <c r="F3" t="s">
        <v>4982</v>
      </c>
      <c r="G3" t="s">
        <v>4992</v>
      </c>
      <c r="H3" t="s">
        <v>5006</v>
      </c>
      <c r="I3" t="s">
        <v>4983</v>
      </c>
      <c r="J3" t="s">
        <v>4984</v>
      </c>
      <c r="K3" t="s">
        <v>4985</v>
      </c>
      <c r="L3" t="s">
        <v>4986</v>
      </c>
      <c r="M3" t="s">
        <v>4987</v>
      </c>
      <c r="N3" t="s">
        <v>5007</v>
      </c>
      <c r="O3" t="s">
        <v>4988</v>
      </c>
      <c r="P3" t="s">
        <v>4989</v>
      </c>
    </row>
    <row r="4" spans="1:16" x14ac:dyDescent="0.25">
      <c r="A4" t="s">
        <v>3553</v>
      </c>
      <c r="B4" t="s">
        <v>3554</v>
      </c>
      <c r="C4">
        <v>6001</v>
      </c>
      <c r="D4" t="s">
        <v>1836</v>
      </c>
      <c r="E4" t="s">
        <v>347</v>
      </c>
      <c r="F4">
        <v>4948</v>
      </c>
      <c r="G4" t="s">
        <v>5000</v>
      </c>
      <c r="H4" t="s">
        <v>4994</v>
      </c>
      <c r="I4">
        <v>2.7143000000000002</v>
      </c>
      <c r="J4" t="s">
        <v>5012</v>
      </c>
      <c r="K4" t="s">
        <v>4994</v>
      </c>
      <c r="L4">
        <v>14</v>
      </c>
      <c r="M4">
        <v>159</v>
      </c>
      <c r="N4" t="s">
        <v>5014</v>
      </c>
      <c r="O4">
        <v>0</v>
      </c>
      <c r="P4">
        <v>0</v>
      </c>
    </row>
    <row r="5" spans="1:16" x14ac:dyDescent="0.25">
      <c r="A5" t="s">
        <v>3561</v>
      </c>
      <c r="B5" t="s">
        <v>3562</v>
      </c>
      <c r="C5">
        <v>6272</v>
      </c>
      <c r="D5" t="s">
        <v>1711</v>
      </c>
      <c r="E5" t="s">
        <v>347</v>
      </c>
      <c r="F5">
        <v>4925</v>
      </c>
      <c r="G5" t="s">
        <v>5000</v>
      </c>
      <c r="H5" t="s">
        <v>4994</v>
      </c>
      <c r="I5">
        <v>2.5</v>
      </c>
      <c r="J5" t="s">
        <v>5012</v>
      </c>
      <c r="K5" t="s">
        <v>4994</v>
      </c>
      <c r="L5">
        <v>8</v>
      </c>
      <c r="M5">
        <v>39</v>
      </c>
      <c r="N5" t="s">
        <v>5015</v>
      </c>
      <c r="O5">
        <v>0</v>
      </c>
      <c r="P5">
        <v>0</v>
      </c>
    </row>
    <row r="6" spans="1:16" x14ac:dyDescent="0.25">
      <c r="A6" t="s">
        <v>3620</v>
      </c>
      <c r="B6" t="s">
        <v>3621</v>
      </c>
      <c r="C6">
        <v>5987</v>
      </c>
      <c r="D6" t="s">
        <v>48</v>
      </c>
      <c r="E6" t="s">
        <v>220</v>
      </c>
      <c r="F6">
        <v>4707</v>
      </c>
      <c r="G6" t="s">
        <v>5000</v>
      </c>
      <c r="H6" t="s">
        <v>4994</v>
      </c>
      <c r="I6">
        <v>1.8</v>
      </c>
      <c r="J6" t="s">
        <v>5012</v>
      </c>
      <c r="K6" t="s">
        <v>4994</v>
      </c>
      <c r="L6">
        <v>5</v>
      </c>
      <c r="M6">
        <v>29</v>
      </c>
      <c r="N6" t="s">
        <v>5015</v>
      </c>
      <c r="O6">
        <v>0</v>
      </c>
      <c r="P6">
        <v>0</v>
      </c>
    </row>
    <row r="7" spans="1:16" x14ac:dyDescent="0.25">
      <c r="A7" t="s">
        <v>3876</v>
      </c>
      <c r="B7" t="s">
        <v>3877</v>
      </c>
      <c r="C7">
        <v>6302</v>
      </c>
      <c r="D7" t="s">
        <v>2721</v>
      </c>
      <c r="E7" t="s">
        <v>49</v>
      </c>
      <c r="F7">
        <v>3538</v>
      </c>
      <c r="G7" t="s">
        <v>5000</v>
      </c>
      <c r="H7" t="s">
        <v>4994</v>
      </c>
      <c r="I7">
        <v>2.7164000000000001</v>
      </c>
      <c r="J7" t="s">
        <v>5012</v>
      </c>
      <c r="K7" t="s">
        <v>4994</v>
      </c>
      <c r="L7">
        <v>67</v>
      </c>
      <c r="M7">
        <v>150</v>
      </c>
      <c r="N7" t="s">
        <v>5014</v>
      </c>
      <c r="O7">
        <v>0</v>
      </c>
      <c r="P7">
        <v>0</v>
      </c>
    </row>
    <row r="8" spans="1:16" x14ac:dyDescent="0.25">
      <c r="A8" t="s">
        <v>3997</v>
      </c>
      <c r="B8" t="s">
        <v>3998</v>
      </c>
      <c r="C8">
        <v>3728</v>
      </c>
      <c r="D8" t="s">
        <v>458</v>
      </c>
      <c r="E8" t="s">
        <v>220</v>
      </c>
      <c r="F8">
        <v>3080</v>
      </c>
      <c r="G8" t="s">
        <v>5000</v>
      </c>
      <c r="H8" t="s">
        <v>4994</v>
      </c>
      <c r="I8">
        <v>2.75</v>
      </c>
      <c r="J8" t="s">
        <v>5012</v>
      </c>
      <c r="K8" t="s">
        <v>4994</v>
      </c>
      <c r="L8">
        <v>4</v>
      </c>
      <c r="M8">
        <v>35</v>
      </c>
      <c r="N8" t="s">
        <v>5015</v>
      </c>
      <c r="O8">
        <v>0</v>
      </c>
      <c r="P8">
        <v>0</v>
      </c>
    </row>
    <row r="9" spans="1:16" x14ac:dyDescent="0.25">
      <c r="A9" t="s">
        <v>4033</v>
      </c>
      <c r="B9" t="s">
        <v>4034</v>
      </c>
      <c r="C9">
        <v>3902</v>
      </c>
      <c r="D9" t="s">
        <v>72</v>
      </c>
      <c r="E9" t="s">
        <v>69</v>
      </c>
      <c r="F9">
        <v>2950</v>
      </c>
      <c r="G9" t="s">
        <v>5000</v>
      </c>
      <c r="H9" t="s">
        <v>4994</v>
      </c>
      <c r="I9">
        <v>1.8571</v>
      </c>
      <c r="J9" t="s">
        <v>5012</v>
      </c>
      <c r="K9" t="s">
        <v>4994</v>
      </c>
      <c r="L9">
        <v>7</v>
      </c>
      <c r="M9">
        <v>12</v>
      </c>
      <c r="N9" t="s">
        <v>5013</v>
      </c>
      <c r="O9">
        <v>0</v>
      </c>
      <c r="P9">
        <v>0</v>
      </c>
    </row>
    <row r="10" spans="1:16" x14ac:dyDescent="0.25">
      <c r="A10" t="s">
        <v>4053</v>
      </c>
      <c r="B10" t="s">
        <v>4054</v>
      </c>
      <c r="C10">
        <v>3902</v>
      </c>
      <c r="D10" t="s">
        <v>72</v>
      </c>
      <c r="E10" t="s">
        <v>21</v>
      </c>
      <c r="F10">
        <v>2887</v>
      </c>
      <c r="G10" t="s">
        <v>5000</v>
      </c>
      <c r="H10" t="s">
        <v>4994</v>
      </c>
      <c r="I10">
        <v>2.9375</v>
      </c>
      <c r="J10" t="s">
        <v>5012</v>
      </c>
      <c r="K10" t="s">
        <v>4994</v>
      </c>
      <c r="L10">
        <v>16</v>
      </c>
      <c r="M10">
        <v>18</v>
      </c>
      <c r="N10" t="s">
        <v>5013</v>
      </c>
      <c r="O10">
        <v>0</v>
      </c>
      <c r="P10">
        <v>0</v>
      </c>
    </row>
    <row r="11" spans="1:16" x14ac:dyDescent="0.25">
      <c r="A11" t="s">
        <v>4103</v>
      </c>
      <c r="B11" t="s">
        <v>4104</v>
      </c>
      <c r="C11">
        <v>8017</v>
      </c>
      <c r="D11" t="s">
        <v>620</v>
      </c>
      <c r="E11" t="s">
        <v>220</v>
      </c>
      <c r="F11">
        <v>2710</v>
      </c>
      <c r="G11" t="s">
        <v>5000</v>
      </c>
      <c r="H11" t="s">
        <v>4994</v>
      </c>
      <c r="I11">
        <v>2.5</v>
      </c>
      <c r="J11" t="s">
        <v>5012</v>
      </c>
      <c r="K11" t="s">
        <v>4994</v>
      </c>
      <c r="L11">
        <v>4</v>
      </c>
      <c r="M11">
        <v>49</v>
      </c>
      <c r="N11" t="s">
        <v>5015</v>
      </c>
      <c r="O11">
        <v>0</v>
      </c>
      <c r="P11">
        <v>0</v>
      </c>
    </row>
    <row r="12" spans="1:16" x14ac:dyDescent="0.25">
      <c r="A12" t="s">
        <v>4228</v>
      </c>
      <c r="B12" t="s">
        <v>4229</v>
      </c>
      <c r="C12">
        <v>3728</v>
      </c>
      <c r="D12" t="s">
        <v>458</v>
      </c>
      <c r="E12" t="s">
        <v>49</v>
      </c>
      <c r="F12">
        <v>2240</v>
      </c>
      <c r="G12" t="s">
        <v>5000</v>
      </c>
      <c r="H12" t="s">
        <v>4994</v>
      </c>
      <c r="I12">
        <v>2.4864999999999999</v>
      </c>
      <c r="J12" t="s">
        <v>5012</v>
      </c>
      <c r="K12" t="s">
        <v>4994</v>
      </c>
      <c r="L12">
        <v>37</v>
      </c>
      <c r="M12">
        <v>38</v>
      </c>
      <c r="N12" t="s">
        <v>5015</v>
      </c>
      <c r="O12">
        <v>0</v>
      </c>
      <c r="P12">
        <v>0</v>
      </c>
    </row>
    <row r="13" spans="1:16" x14ac:dyDescent="0.25">
      <c r="A13" t="s">
        <v>4297</v>
      </c>
      <c r="B13" t="s">
        <v>4298</v>
      </c>
      <c r="C13">
        <v>6001</v>
      </c>
      <c r="D13" t="s">
        <v>1836</v>
      </c>
      <c r="E13" t="s">
        <v>347</v>
      </c>
      <c r="F13">
        <v>2054</v>
      </c>
      <c r="G13" t="s">
        <v>5000</v>
      </c>
      <c r="H13" t="s">
        <v>4994</v>
      </c>
      <c r="I13">
        <v>2</v>
      </c>
      <c r="J13" t="s">
        <v>5012</v>
      </c>
      <c r="K13" t="s">
        <v>4994</v>
      </c>
      <c r="L13">
        <v>12</v>
      </c>
      <c r="M13">
        <v>159</v>
      </c>
      <c r="N13" t="s">
        <v>5014</v>
      </c>
      <c r="O13">
        <v>0</v>
      </c>
      <c r="P13">
        <v>0</v>
      </c>
    </row>
    <row r="14" spans="1:16" x14ac:dyDescent="0.25">
      <c r="A14" t="s">
        <v>4309</v>
      </c>
      <c r="B14" t="s">
        <v>4310</v>
      </c>
      <c r="C14">
        <v>5987</v>
      </c>
      <c r="D14" t="s">
        <v>48</v>
      </c>
      <c r="E14" t="s">
        <v>49</v>
      </c>
      <c r="F14">
        <v>1971</v>
      </c>
      <c r="G14" t="s">
        <v>5000</v>
      </c>
      <c r="H14" t="s">
        <v>4994</v>
      </c>
      <c r="I14">
        <v>2.5</v>
      </c>
      <c r="J14" t="s">
        <v>5012</v>
      </c>
      <c r="K14" t="s">
        <v>4994</v>
      </c>
      <c r="L14">
        <v>2</v>
      </c>
      <c r="M14">
        <v>34</v>
      </c>
      <c r="N14" t="s">
        <v>5015</v>
      </c>
      <c r="O14">
        <v>0</v>
      </c>
      <c r="P14">
        <v>0</v>
      </c>
    </row>
    <row r="15" spans="1:16" x14ac:dyDescent="0.25">
      <c r="A15" t="s">
        <v>4360</v>
      </c>
      <c r="B15" t="s">
        <v>4361</v>
      </c>
      <c r="C15">
        <v>7037</v>
      </c>
      <c r="D15" t="s">
        <v>1718</v>
      </c>
      <c r="E15" t="s">
        <v>8</v>
      </c>
      <c r="F15">
        <v>1850</v>
      </c>
      <c r="G15" t="s">
        <v>5000</v>
      </c>
      <c r="H15" t="s">
        <v>4994</v>
      </c>
      <c r="I15">
        <v>1.8462000000000001</v>
      </c>
      <c r="J15" t="s">
        <v>5012</v>
      </c>
      <c r="K15" t="s">
        <v>4994</v>
      </c>
      <c r="L15">
        <v>13</v>
      </c>
      <c r="M15">
        <v>59</v>
      </c>
      <c r="N15" t="s">
        <v>5014</v>
      </c>
      <c r="O15">
        <v>0</v>
      </c>
      <c r="P15">
        <v>0</v>
      </c>
    </row>
    <row r="16" spans="1:16" x14ac:dyDescent="0.25">
      <c r="A16" t="s">
        <v>4444</v>
      </c>
      <c r="B16" t="s">
        <v>4445</v>
      </c>
      <c r="C16">
        <v>6226</v>
      </c>
      <c r="D16" t="s">
        <v>843</v>
      </c>
      <c r="E16" t="s">
        <v>201</v>
      </c>
      <c r="F16">
        <v>1614</v>
      </c>
      <c r="G16" t="s">
        <v>5000</v>
      </c>
      <c r="H16" t="s">
        <v>4994</v>
      </c>
      <c r="I16">
        <v>1.25</v>
      </c>
      <c r="J16" t="s">
        <v>5012</v>
      </c>
      <c r="K16" t="s">
        <v>4994</v>
      </c>
      <c r="L16">
        <v>4</v>
      </c>
      <c r="M16">
        <v>75</v>
      </c>
      <c r="N16" t="s">
        <v>5014</v>
      </c>
      <c r="O16">
        <v>0</v>
      </c>
      <c r="P16">
        <v>0</v>
      </c>
    </row>
    <row r="17" spans="1:16" x14ac:dyDescent="0.25">
      <c r="A17" t="s">
        <v>4526</v>
      </c>
      <c r="B17" t="s">
        <v>4527</v>
      </c>
      <c r="C17">
        <v>5626</v>
      </c>
      <c r="D17" t="s">
        <v>1069</v>
      </c>
      <c r="E17" t="s">
        <v>106</v>
      </c>
      <c r="F17">
        <v>1397</v>
      </c>
      <c r="G17" t="s">
        <v>5000</v>
      </c>
      <c r="H17" t="s">
        <v>4994</v>
      </c>
      <c r="I17">
        <v>2.75</v>
      </c>
      <c r="J17" t="s">
        <v>5012</v>
      </c>
      <c r="K17" t="s">
        <v>4994</v>
      </c>
      <c r="L17">
        <v>16</v>
      </c>
      <c r="M17">
        <v>29</v>
      </c>
      <c r="N17" t="s">
        <v>5015</v>
      </c>
      <c r="O17">
        <v>0</v>
      </c>
      <c r="P17">
        <v>0</v>
      </c>
    </row>
    <row r="18" spans="1:16" x14ac:dyDescent="0.25">
      <c r="A18" t="s">
        <v>4554</v>
      </c>
      <c r="B18" t="s">
        <v>4555</v>
      </c>
      <c r="C18">
        <v>6001</v>
      </c>
      <c r="D18" t="s">
        <v>1836</v>
      </c>
      <c r="E18" t="s">
        <v>347</v>
      </c>
      <c r="F18">
        <v>1312</v>
      </c>
      <c r="G18" t="s">
        <v>5000</v>
      </c>
      <c r="H18" t="s">
        <v>4994</v>
      </c>
      <c r="I18">
        <v>1</v>
      </c>
      <c r="J18" t="s">
        <v>5012</v>
      </c>
      <c r="K18" t="s">
        <v>4994</v>
      </c>
      <c r="L18">
        <v>2</v>
      </c>
      <c r="M18">
        <v>399</v>
      </c>
      <c r="N18" t="s">
        <v>5014</v>
      </c>
      <c r="O18">
        <v>0</v>
      </c>
      <c r="P18">
        <v>0</v>
      </c>
    </row>
    <row r="19" spans="1:16" x14ac:dyDescent="0.25">
      <c r="A19" t="s">
        <v>4582</v>
      </c>
      <c r="B19" t="s">
        <v>4583</v>
      </c>
      <c r="C19">
        <v>2082</v>
      </c>
      <c r="D19" t="s">
        <v>594</v>
      </c>
      <c r="E19" t="s">
        <v>13</v>
      </c>
      <c r="F19">
        <v>1195</v>
      </c>
      <c r="G19" t="s">
        <v>5000</v>
      </c>
      <c r="H19" t="s">
        <v>4994</v>
      </c>
      <c r="I19">
        <v>2.5293999999999999</v>
      </c>
      <c r="J19" t="s">
        <v>5012</v>
      </c>
      <c r="K19" t="s">
        <v>4994</v>
      </c>
      <c r="L19">
        <v>17</v>
      </c>
      <c r="M19">
        <v>30</v>
      </c>
      <c r="N19" t="s">
        <v>5015</v>
      </c>
      <c r="O19">
        <v>0</v>
      </c>
      <c r="P19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C395-B0E2-45D8-BED7-02A46EBF249B}">
  <dimension ref="A3:S18"/>
  <sheetViews>
    <sheetView workbookViewId="0">
      <selection activeCell="F20" sqref="F20"/>
    </sheetView>
  </sheetViews>
  <sheetFormatPr defaultRowHeight="15" x14ac:dyDescent="0.25"/>
  <cols>
    <col min="1" max="1" width="22.140625" bestFit="1" customWidth="1"/>
    <col min="2" max="2" width="18.28515625" bestFit="1" customWidth="1"/>
    <col min="3" max="3" width="7.140625" bestFit="1" customWidth="1"/>
    <col min="4" max="4" width="9.5703125" bestFit="1" customWidth="1"/>
    <col min="5" max="5" width="7.140625" bestFit="1" customWidth="1"/>
    <col min="6" max="6" width="8.5703125" bestFit="1" customWidth="1"/>
    <col min="7" max="7" width="7.140625" bestFit="1" customWidth="1"/>
    <col min="8" max="8" width="9.140625" bestFit="1" customWidth="1"/>
    <col min="9" max="9" width="11.28515625" bestFit="1" customWidth="1"/>
    <col min="10" max="10" width="4.28515625" customWidth="1"/>
    <col min="11" max="11" width="22.140625" bestFit="1" customWidth="1"/>
    <col min="12" max="12" width="18.28515625" bestFit="1" customWidth="1"/>
    <col min="13" max="13" width="5.140625" bestFit="1" customWidth="1"/>
    <col min="14" max="14" width="9.5703125" bestFit="1" customWidth="1"/>
    <col min="15" max="15" width="5" bestFit="1" customWidth="1"/>
    <col min="16" max="16" width="8.5703125" bestFit="1" customWidth="1"/>
    <col min="17" max="17" width="4.5703125" bestFit="1" customWidth="1"/>
    <col min="19" max="19" width="11.28515625" bestFit="1" customWidth="1"/>
  </cols>
  <sheetData>
    <row r="3" spans="1:19" x14ac:dyDescent="0.25">
      <c r="A3" s="17" t="s">
        <v>5011</v>
      </c>
      <c r="B3" s="17" t="s">
        <v>5006</v>
      </c>
      <c r="C3" s="18"/>
      <c r="D3" s="18"/>
      <c r="E3" s="18"/>
      <c r="F3" s="18"/>
      <c r="G3" s="18"/>
      <c r="H3" s="18"/>
      <c r="I3" s="18"/>
      <c r="K3" s="17" t="s">
        <v>5011</v>
      </c>
      <c r="L3" s="17" t="s">
        <v>5006</v>
      </c>
      <c r="M3" s="18"/>
      <c r="N3" s="18"/>
      <c r="O3" s="18"/>
      <c r="P3" s="18"/>
      <c r="Q3" s="18"/>
      <c r="R3" s="18"/>
      <c r="S3" s="18"/>
    </row>
    <row r="4" spans="1:19" x14ac:dyDescent="0.25">
      <c r="A4" s="17" t="s">
        <v>0</v>
      </c>
      <c r="B4" s="19" t="s">
        <v>5008</v>
      </c>
      <c r="C4" s="29" t="s">
        <v>4997</v>
      </c>
      <c r="D4" s="31" t="s">
        <v>5009</v>
      </c>
      <c r="E4" s="20" t="s">
        <v>4993</v>
      </c>
      <c r="F4" s="21" t="s">
        <v>4995</v>
      </c>
      <c r="G4" s="33" t="s">
        <v>4994</v>
      </c>
      <c r="H4" s="22" t="s">
        <v>4996</v>
      </c>
      <c r="I4" s="18" t="s">
        <v>4991</v>
      </c>
      <c r="K4" s="17" t="s">
        <v>0</v>
      </c>
      <c r="L4" s="45" t="s">
        <v>5008</v>
      </c>
      <c r="M4" s="46" t="s">
        <v>4997</v>
      </c>
      <c r="N4" s="47" t="s">
        <v>5009</v>
      </c>
      <c r="O4" s="20" t="s">
        <v>4993</v>
      </c>
      <c r="P4" s="21" t="s">
        <v>4995</v>
      </c>
      <c r="Q4" s="49" t="s">
        <v>4994</v>
      </c>
      <c r="R4" s="48" t="s">
        <v>4996</v>
      </c>
      <c r="S4" s="18" t="s">
        <v>4991</v>
      </c>
    </row>
    <row r="5" spans="1:19" x14ac:dyDescent="0.25">
      <c r="A5" s="23" t="s">
        <v>13</v>
      </c>
      <c r="B5" s="24">
        <v>2.7700831024930748E-3</v>
      </c>
      <c r="C5" s="30">
        <v>5.2631578947368418E-2</v>
      </c>
      <c r="D5" s="32">
        <v>8.0332409972299165E-2</v>
      </c>
      <c r="E5" s="25">
        <v>0.35734072022160662</v>
      </c>
      <c r="F5" s="26">
        <v>0.23545706371191136</v>
      </c>
      <c r="G5" s="34">
        <v>0.20498614958448755</v>
      </c>
      <c r="H5" s="27">
        <v>6.6481994459833799E-2</v>
      </c>
      <c r="I5" s="28">
        <v>1</v>
      </c>
      <c r="K5" s="23" t="s">
        <v>13</v>
      </c>
      <c r="L5" s="45">
        <v>1</v>
      </c>
      <c r="M5" s="46">
        <v>19</v>
      </c>
      <c r="N5" s="47">
        <v>29</v>
      </c>
      <c r="O5" s="20">
        <v>129</v>
      </c>
      <c r="P5" s="21">
        <v>85</v>
      </c>
      <c r="Q5" s="49">
        <v>74</v>
      </c>
      <c r="R5" s="48">
        <v>24</v>
      </c>
      <c r="S5" s="18">
        <v>361</v>
      </c>
    </row>
    <row r="6" spans="1:19" x14ac:dyDescent="0.25">
      <c r="A6" s="23" t="s">
        <v>149</v>
      </c>
      <c r="B6" s="24">
        <v>0</v>
      </c>
      <c r="C6" s="30">
        <v>3.2258064516129031E-2</v>
      </c>
      <c r="D6" s="32">
        <v>9.1397849462365593E-2</v>
      </c>
      <c r="E6" s="25">
        <v>0.478494623655914</v>
      </c>
      <c r="F6" s="26">
        <v>0.16129032258064516</v>
      </c>
      <c r="G6" s="34">
        <v>0.21505376344086022</v>
      </c>
      <c r="H6" s="27">
        <v>2.1505376344086023E-2</v>
      </c>
      <c r="I6" s="28">
        <v>1</v>
      </c>
      <c r="K6" s="23" t="s">
        <v>149</v>
      </c>
      <c r="L6" s="45"/>
      <c r="M6" s="46">
        <v>6</v>
      </c>
      <c r="N6" s="47">
        <v>17</v>
      </c>
      <c r="O6" s="20">
        <v>89</v>
      </c>
      <c r="P6" s="21">
        <v>30</v>
      </c>
      <c r="Q6" s="49">
        <v>40</v>
      </c>
      <c r="R6" s="48">
        <v>4</v>
      </c>
      <c r="S6" s="18">
        <v>186</v>
      </c>
    </row>
    <row r="7" spans="1:19" x14ac:dyDescent="0.25">
      <c r="A7" s="23" t="s">
        <v>347</v>
      </c>
      <c r="B7" s="24">
        <v>0</v>
      </c>
      <c r="C7" s="30">
        <v>0</v>
      </c>
      <c r="D7" s="32">
        <v>3.7499999999999999E-2</v>
      </c>
      <c r="E7" s="25">
        <v>0.3125</v>
      </c>
      <c r="F7" s="26">
        <v>0.22500000000000001</v>
      </c>
      <c r="G7" s="34">
        <v>0.33750000000000002</v>
      </c>
      <c r="H7" s="27">
        <v>8.7499999999999994E-2</v>
      </c>
      <c r="I7" s="28">
        <v>1</v>
      </c>
      <c r="K7" s="23" t="s">
        <v>347</v>
      </c>
      <c r="L7" s="45"/>
      <c r="M7" s="46"/>
      <c r="N7" s="47">
        <v>3</v>
      </c>
      <c r="O7" s="20">
        <v>25</v>
      </c>
      <c r="P7" s="21">
        <v>18</v>
      </c>
      <c r="Q7" s="49">
        <v>27</v>
      </c>
      <c r="R7" s="48">
        <v>7</v>
      </c>
      <c r="S7" s="18">
        <v>80</v>
      </c>
    </row>
    <row r="8" spans="1:19" x14ac:dyDescent="0.25">
      <c r="A8" s="23" t="s">
        <v>4</v>
      </c>
      <c r="B8" s="24">
        <v>1.6393442622950821E-2</v>
      </c>
      <c r="C8" s="30">
        <v>0.13114754098360656</v>
      </c>
      <c r="D8" s="32">
        <v>0.14754098360655737</v>
      </c>
      <c r="E8" s="25">
        <v>0.47540983606557374</v>
      </c>
      <c r="F8" s="26">
        <v>0.11475409836065574</v>
      </c>
      <c r="G8" s="34">
        <v>8.1967213114754092E-2</v>
      </c>
      <c r="H8" s="27">
        <v>3.2786885245901641E-2</v>
      </c>
      <c r="I8" s="28">
        <v>1</v>
      </c>
      <c r="K8" s="23" t="s">
        <v>4</v>
      </c>
      <c r="L8" s="45">
        <v>1</v>
      </c>
      <c r="M8" s="46">
        <v>8</v>
      </c>
      <c r="N8" s="47">
        <v>9</v>
      </c>
      <c r="O8" s="20">
        <v>29</v>
      </c>
      <c r="P8" s="21">
        <v>7</v>
      </c>
      <c r="Q8" s="49">
        <v>5</v>
      </c>
      <c r="R8" s="48">
        <v>2</v>
      </c>
      <c r="S8" s="18">
        <v>61</v>
      </c>
    </row>
    <row r="9" spans="1:19" x14ac:dyDescent="0.25">
      <c r="A9" s="23" t="s">
        <v>69</v>
      </c>
      <c r="B9" s="24">
        <v>0</v>
      </c>
      <c r="C9" s="30">
        <v>7.2289156626506021E-2</v>
      </c>
      <c r="D9" s="32">
        <v>0.13253012048192772</v>
      </c>
      <c r="E9" s="25">
        <v>0.39759036144578314</v>
      </c>
      <c r="F9" s="26">
        <v>0.14457831325301204</v>
      </c>
      <c r="G9" s="34">
        <v>0.18674698795180722</v>
      </c>
      <c r="H9" s="27">
        <v>6.6265060240963861E-2</v>
      </c>
      <c r="I9" s="28">
        <v>1</v>
      </c>
      <c r="K9" s="23" t="s">
        <v>69</v>
      </c>
      <c r="L9" s="45"/>
      <c r="M9" s="46">
        <v>12</v>
      </c>
      <c r="N9" s="47">
        <v>22</v>
      </c>
      <c r="O9" s="20">
        <v>66</v>
      </c>
      <c r="P9" s="21">
        <v>24</v>
      </c>
      <c r="Q9" s="49">
        <v>31</v>
      </c>
      <c r="R9" s="48">
        <v>11</v>
      </c>
      <c r="S9" s="18">
        <v>166</v>
      </c>
    </row>
    <row r="10" spans="1:19" x14ac:dyDescent="0.25">
      <c r="A10" s="23" t="s">
        <v>144</v>
      </c>
      <c r="B10" s="24">
        <v>0</v>
      </c>
      <c r="C10" s="30">
        <v>3.5714285714285712E-2</v>
      </c>
      <c r="D10" s="32">
        <v>7.1428571428571425E-2</v>
      </c>
      <c r="E10" s="25">
        <v>0.44642857142857145</v>
      </c>
      <c r="F10" s="26">
        <v>0.24107142857142858</v>
      </c>
      <c r="G10" s="34">
        <v>0.14285714285714285</v>
      </c>
      <c r="H10" s="27">
        <v>6.25E-2</v>
      </c>
      <c r="I10" s="28">
        <v>1</v>
      </c>
      <c r="K10" s="23" t="s">
        <v>144</v>
      </c>
      <c r="L10" s="45"/>
      <c r="M10" s="46">
        <v>4</v>
      </c>
      <c r="N10" s="47">
        <v>8</v>
      </c>
      <c r="O10" s="20">
        <v>50</v>
      </c>
      <c r="P10" s="21">
        <v>27</v>
      </c>
      <c r="Q10" s="49">
        <v>16</v>
      </c>
      <c r="R10" s="48">
        <v>7</v>
      </c>
      <c r="S10" s="18">
        <v>112</v>
      </c>
    </row>
    <row r="11" spans="1:19" x14ac:dyDescent="0.25">
      <c r="A11" s="23" t="s">
        <v>21</v>
      </c>
      <c r="B11" s="24">
        <v>0</v>
      </c>
      <c r="C11" s="30">
        <v>6.3520871143375679E-2</v>
      </c>
      <c r="D11" s="32">
        <v>7.2595281306715068E-2</v>
      </c>
      <c r="E11" s="25">
        <v>0.33756805807622503</v>
      </c>
      <c r="F11" s="26">
        <v>0.20689655172413793</v>
      </c>
      <c r="G11" s="34">
        <v>0.25771324863883849</v>
      </c>
      <c r="H11" s="27">
        <v>6.1705989110707807E-2</v>
      </c>
      <c r="I11" s="28">
        <v>1</v>
      </c>
      <c r="K11" s="23" t="s">
        <v>21</v>
      </c>
      <c r="L11" s="45"/>
      <c r="M11" s="46">
        <v>35</v>
      </c>
      <c r="N11" s="47">
        <v>40</v>
      </c>
      <c r="O11" s="20">
        <v>186</v>
      </c>
      <c r="P11" s="21">
        <v>114</v>
      </c>
      <c r="Q11" s="49">
        <v>142</v>
      </c>
      <c r="R11" s="48">
        <v>34</v>
      </c>
      <c r="S11" s="18">
        <v>551</v>
      </c>
    </row>
    <row r="12" spans="1:19" x14ac:dyDescent="0.25">
      <c r="A12" s="23" t="s">
        <v>106</v>
      </c>
      <c r="B12" s="24">
        <v>0</v>
      </c>
      <c r="C12" s="30">
        <v>1.8867924528301886E-2</v>
      </c>
      <c r="D12" s="32">
        <v>3.7735849056603772E-2</v>
      </c>
      <c r="E12" s="25">
        <v>0.41509433962264153</v>
      </c>
      <c r="F12" s="26">
        <v>0.22641509433962265</v>
      </c>
      <c r="G12" s="34">
        <v>0.28301886792452829</v>
      </c>
      <c r="H12" s="27">
        <v>1.8867924528301886E-2</v>
      </c>
      <c r="I12" s="28">
        <v>1</v>
      </c>
      <c r="K12" s="23" t="s">
        <v>106</v>
      </c>
      <c r="L12" s="45"/>
      <c r="M12" s="46">
        <v>1</v>
      </c>
      <c r="N12" s="47">
        <v>2</v>
      </c>
      <c r="O12" s="20">
        <v>22</v>
      </c>
      <c r="P12" s="21">
        <v>12</v>
      </c>
      <c r="Q12" s="49">
        <v>15</v>
      </c>
      <c r="R12" s="48">
        <v>1</v>
      </c>
      <c r="S12" s="18">
        <v>53</v>
      </c>
    </row>
    <row r="13" spans="1:19" x14ac:dyDescent="0.25">
      <c r="A13" s="23" t="s">
        <v>4956</v>
      </c>
      <c r="B13" s="24">
        <v>0</v>
      </c>
      <c r="C13" s="30">
        <v>0</v>
      </c>
      <c r="D13" s="32">
        <v>0</v>
      </c>
      <c r="E13" s="25">
        <v>0</v>
      </c>
      <c r="F13" s="26">
        <v>0</v>
      </c>
      <c r="G13" s="34">
        <v>0</v>
      </c>
      <c r="H13" s="27">
        <v>1</v>
      </c>
      <c r="I13" s="28">
        <v>1</v>
      </c>
      <c r="K13" s="23" t="s">
        <v>4956</v>
      </c>
      <c r="L13" s="45"/>
      <c r="M13" s="46"/>
      <c r="N13" s="47"/>
      <c r="O13" s="20"/>
      <c r="P13" s="21"/>
      <c r="Q13" s="49"/>
      <c r="R13" s="48">
        <v>1</v>
      </c>
      <c r="S13" s="18">
        <v>1</v>
      </c>
    </row>
    <row r="14" spans="1:19" x14ac:dyDescent="0.25">
      <c r="A14" s="23" t="s">
        <v>49</v>
      </c>
      <c r="B14" s="24">
        <v>0</v>
      </c>
      <c r="C14" s="30">
        <v>2.7777777777777776E-2</v>
      </c>
      <c r="D14" s="32">
        <v>6.4814814814814811E-2</v>
      </c>
      <c r="E14" s="25">
        <v>0.40740740740740738</v>
      </c>
      <c r="F14" s="26">
        <v>0.25925925925925924</v>
      </c>
      <c r="G14" s="34">
        <v>0.17592592592592593</v>
      </c>
      <c r="H14" s="27">
        <v>6.4814814814814811E-2</v>
      </c>
      <c r="I14" s="28">
        <v>1</v>
      </c>
      <c r="K14" s="23" t="s">
        <v>49</v>
      </c>
      <c r="L14" s="45"/>
      <c r="M14" s="46">
        <v>3</v>
      </c>
      <c r="N14" s="47">
        <v>7</v>
      </c>
      <c r="O14" s="20">
        <v>44</v>
      </c>
      <c r="P14" s="21">
        <v>28</v>
      </c>
      <c r="Q14" s="49">
        <v>19</v>
      </c>
      <c r="R14" s="48">
        <v>7</v>
      </c>
      <c r="S14" s="18">
        <v>108</v>
      </c>
    </row>
    <row r="15" spans="1:19" x14ac:dyDescent="0.25">
      <c r="A15" s="23" t="s">
        <v>8</v>
      </c>
      <c r="B15" s="24">
        <v>6.4377682403433476E-3</v>
      </c>
      <c r="C15" s="30">
        <v>7.5107296137339061E-2</v>
      </c>
      <c r="D15" s="32">
        <v>9.6566523605150209E-2</v>
      </c>
      <c r="E15" s="25">
        <v>0.36480686695278969</v>
      </c>
      <c r="F15" s="26">
        <v>0.17596566523605151</v>
      </c>
      <c r="G15" s="34">
        <v>0.2167381974248927</v>
      </c>
      <c r="H15" s="27">
        <v>6.4377682403433473E-2</v>
      </c>
      <c r="I15" s="28">
        <v>1</v>
      </c>
      <c r="K15" s="23" t="s">
        <v>8</v>
      </c>
      <c r="L15" s="45">
        <v>3</v>
      </c>
      <c r="M15" s="46">
        <v>35</v>
      </c>
      <c r="N15" s="47">
        <v>45</v>
      </c>
      <c r="O15" s="20">
        <v>170</v>
      </c>
      <c r="P15" s="21">
        <v>82</v>
      </c>
      <c r="Q15" s="49">
        <v>101</v>
      </c>
      <c r="R15" s="48">
        <v>30</v>
      </c>
      <c r="S15" s="18">
        <v>466</v>
      </c>
    </row>
    <row r="16" spans="1:19" x14ac:dyDescent="0.25">
      <c r="A16" s="23" t="s">
        <v>220</v>
      </c>
      <c r="B16" s="24">
        <v>0</v>
      </c>
      <c r="C16" s="30">
        <v>5.1020408163265302E-3</v>
      </c>
      <c r="D16" s="32">
        <v>3.5714285714285712E-2</v>
      </c>
      <c r="E16" s="25">
        <v>0.26530612244897961</v>
      </c>
      <c r="F16" s="26">
        <v>0.23469387755102042</v>
      </c>
      <c r="G16" s="34">
        <v>0.33163265306122447</v>
      </c>
      <c r="H16" s="27">
        <v>0.12755102040816327</v>
      </c>
      <c r="I16" s="28">
        <v>1</v>
      </c>
      <c r="K16" s="23" t="s">
        <v>220</v>
      </c>
      <c r="L16" s="45"/>
      <c r="M16" s="46">
        <v>1</v>
      </c>
      <c r="N16" s="47">
        <v>7</v>
      </c>
      <c r="O16" s="20">
        <v>52</v>
      </c>
      <c r="P16" s="21">
        <v>46</v>
      </c>
      <c r="Q16" s="49">
        <v>65</v>
      </c>
      <c r="R16" s="48">
        <v>25</v>
      </c>
      <c r="S16" s="18">
        <v>196</v>
      </c>
    </row>
    <row r="17" spans="1:19" x14ac:dyDescent="0.25">
      <c r="A17" s="23" t="s">
        <v>201</v>
      </c>
      <c r="B17" s="24">
        <v>0</v>
      </c>
      <c r="C17" s="30">
        <v>1.2658227848101266E-2</v>
      </c>
      <c r="D17" s="32">
        <v>0</v>
      </c>
      <c r="E17" s="25">
        <v>0.44303797468354428</v>
      </c>
      <c r="F17" s="26">
        <v>0.20253164556962025</v>
      </c>
      <c r="G17" s="34">
        <v>0.26582278481012656</v>
      </c>
      <c r="H17" s="27">
        <v>7.5949367088607597E-2</v>
      </c>
      <c r="I17" s="28">
        <v>1</v>
      </c>
      <c r="K17" s="23" t="s">
        <v>201</v>
      </c>
      <c r="L17" s="45"/>
      <c r="M17" s="46">
        <v>1</v>
      </c>
      <c r="N17" s="47"/>
      <c r="O17" s="20">
        <v>35</v>
      </c>
      <c r="P17" s="21">
        <v>16</v>
      </c>
      <c r="Q17" s="49">
        <v>21</v>
      </c>
      <c r="R17" s="48">
        <v>6</v>
      </c>
      <c r="S17" s="18">
        <v>79</v>
      </c>
    </row>
    <row r="18" spans="1:19" x14ac:dyDescent="0.25">
      <c r="A18" s="23" t="s">
        <v>4991</v>
      </c>
      <c r="B18" s="24">
        <v>2.0661157024793389E-3</v>
      </c>
      <c r="C18" s="30">
        <v>5.1652892561983473E-2</v>
      </c>
      <c r="D18" s="32">
        <v>7.8099173553719009E-2</v>
      </c>
      <c r="E18" s="25">
        <v>0.37066115702479341</v>
      </c>
      <c r="F18" s="26">
        <v>0.20206611570247934</v>
      </c>
      <c r="G18" s="34">
        <v>0.22975206611570248</v>
      </c>
      <c r="H18" s="27">
        <v>6.5702479338842976E-2</v>
      </c>
      <c r="I18" s="28">
        <v>1</v>
      </c>
      <c r="K18" s="23" t="s">
        <v>4991</v>
      </c>
      <c r="L18" s="45">
        <v>5</v>
      </c>
      <c r="M18" s="46">
        <v>125</v>
      </c>
      <c r="N18" s="47">
        <v>189</v>
      </c>
      <c r="O18" s="20">
        <v>897</v>
      </c>
      <c r="P18" s="21">
        <v>489</v>
      </c>
      <c r="Q18" s="49">
        <v>556</v>
      </c>
      <c r="R18" s="48">
        <v>159</v>
      </c>
      <c r="S18" s="18">
        <v>2420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A530-DA05-4B57-910D-34456E9751C1}">
  <dimension ref="A3:I15"/>
  <sheetViews>
    <sheetView workbookViewId="0">
      <selection activeCell="D18" sqref="D18"/>
    </sheetView>
  </sheetViews>
  <sheetFormatPr defaultRowHeight="15" x14ac:dyDescent="0.25"/>
  <cols>
    <col min="1" max="1" width="18.28515625" bestFit="1" customWidth="1"/>
    <col min="2" max="2" width="18.28515625" customWidth="1"/>
    <col min="3" max="3" width="7.140625" bestFit="1" customWidth="1"/>
    <col min="4" max="4" width="9.5703125" bestFit="1" customWidth="1"/>
    <col min="5" max="5" width="7.140625" bestFit="1" customWidth="1"/>
    <col min="6" max="6" width="8.5703125" bestFit="1" customWidth="1"/>
    <col min="7" max="7" width="7.140625" bestFit="1" customWidth="1"/>
    <col min="8" max="8" width="9.140625" bestFit="1" customWidth="1"/>
    <col min="9" max="9" width="11.28515625" bestFit="1" customWidth="1"/>
  </cols>
  <sheetData>
    <row r="3" spans="1:9" x14ac:dyDescent="0.25">
      <c r="A3" s="5" t="s">
        <v>5011</v>
      </c>
      <c r="B3" s="5" t="s">
        <v>5006</v>
      </c>
      <c r="C3" s="6"/>
      <c r="D3" s="6"/>
      <c r="E3" s="6"/>
      <c r="F3" s="6"/>
      <c r="G3" s="6"/>
      <c r="H3" s="6"/>
      <c r="I3" s="6"/>
    </row>
    <row r="4" spans="1:9" x14ac:dyDescent="0.25">
      <c r="A4" s="5" t="s">
        <v>5007</v>
      </c>
      <c r="B4" s="35" t="s">
        <v>5008</v>
      </c>
      <c r="C4" s="36" t="s">
        <v>4997</v>
      </c>
      <c r="D4" s="36" t="s">
        <v>5009</v>
      </c>
      <c r="E4" s="20" t="s">
        <v>4993</v>
      </c>
      <c r="F4" s="42" t="s">
        <v>4995</v>
      </c>
      <c r="G4" s="38" t="s">
        <v>4994</v>
      </c>
      <c r="H4" s="37" t="s">
        <v>4996</v>
      </c>
      <c r="I4" s="6" t="s">
        <v>4991</v>
      </c>
    </row>
    <row r="5" spans="1:9" x14ac:dyDescent="0.25">
      <c r="A5" s="7" t="s">
        <v>5013</v>
      </c>
      <c r="B5" s="39">
        <v>1.1661807580174927E-2</v>
      </c>
      <c r="C5" s="40">
        <v>0.10495626822157435</v>
      </c>
      <c r="D5" s="40">
        <v>0.11661807580174927</v>
      </c>
      <c r="E5" s="25">
        <v>0.41982507288629739</v>
      </c>
      <c r="F5" s="41">
        <v>0.16909620991253643</v>
      </c>
      <c r="G5" s="44">
        <v>0.13702623906705538</v>
      </c>
      <c r="H5" s="43">
        <v>4.0816326530612242E-2</v>
      </c>
      <c r="I5" s="16">
        <v>1</v>
      </c>
    </row>
    <row r="6" spans="1:9" x14ac:dyDescent="0.25">
      <c r="A6" s="7" t="s">
        <v>5015</v>
      </c>
      <c r="B6" s="39">
        <v>9.1827364554637281E-4</v>
      </c>
      <c r="C6" s="40">
        <v>4.8668503213957756E-2</v>
      </c>
      <c r="D6" s="40">
        <v>8.5399449035812675E-2</v>
      </c>
      <c r="E6" s="25">
        <v>0.41873278236914602</v>
      </c>
      <c r="F6" s="41">
        <v>0.20018365472910926</v>
      </c>
      <c r="G6" s="44">
        <v>0.18549127640036731</v>
      </c>
      <c r="H6" s="43">
        <v>6.0606060606060608E-2</v>
      </c>
      <c r="I6" s="16">
        <v>1</v>
      </c>
    </row>
    <row r="7" spans="1:9" x14ac:dyDescent="0.25">
      <c r="A7" s="7" t="s">
        <v>5014</v>
      </c>
      <c r="B7" s="39">
        <v>0</v>
      </c>
      <c r="C7" s="40">
        <v>3.643724696356275E-2</v>
      </c>
      <c r="D7" s="40">
        <v>5.6680161943319839E-2</v>
      </c>
      <c r="E7" s="25">
        <v>0.30060728744939269</v>
      </c>
      <c r="F7" s="41">
        <v>0.21558704453441296</v>
      </c>
      <c r="G7" s="44">
        <v>0.31072874493927127</v>
      </c>
      <c r="H7" s="43">
        <v>7.9959514170040491E-2</v>
      </c>
      <c r="I7" s="16">
        <v>1</v>
      </c>
    </row>
    <row r="8" spans="1:9" x14ac:dyDescent="0.25">
      <c r="A8" s="7" t="s">
        <v>4991</v>
      </c>
      <c r="B8" s="39">
        <v>2.0661157024793389E-3</v>
      </c>
      <c r="C8" s="40">
        <v>5.1652892561983473E-2</v>
      </c>
      <c r="D8" s="40">
        <v>7.8099173553719009E-2</v>
      </c>
      <c r="E8" s="25">
        <v>0.37066115702479341</v>
      </c>
      <c r="F8" s="41">
        <v>0.20206611570247934</v>
      </c>
      <c r="G8" s="44">
        <v>0.22975206611570248</v>
      </c>
      <c r="H8" s="43">
        <v>6.5702479338842976E-2</v>
      </c>
      <c r="I8" s="16">
        <v>1</v>
      </c>
    </row>
    <row r="10" spans="1:9" x14ac:dyDescent="0.25">
      <c r="A10" s="5" t="s">
        <v>5011</v>
      </c>
      <c r="B10" s="5" t="s">
        <v>5006</v>
      </c>
      <c r="C10" s="6"/>
      <c r="D10" s="6"/>
      <c r="E10" s="6"/>
      <c r="F10" s="6"/>
      <c r="G10" s="6"/>
      <c r="H10" s="6"/>
      <c r="I10" s="6"/>
    </row>
    <row r="11" spans="1:9" x14ac:dyDescent="0.25">
      <c r="A11" s="17" t="s">
        <v>5007</v>
      </c>
      <c r="B11" s="19" t="s">
        <v>5008</v>
      </c>
      <c r="C11" s="29" t="s">
        <v>4997</v>
      </c>
      <c r="D11" s="29" t="s">
        <v>5009</v>
      </c>
      <c r="E11" s="20" t="s">
        <v>4993</v>
      </c>
      <c r="F11" s="21" t="s">
        <v>4995</v>
      </c>
      <c r="G11" s="33" t="s">
        <v>4994</v>
      </c>
      <c r="H11" s="22" t="s">
        <v>4996</v>
      </c>
      <c r="I11" s="18" t="s">
        <v>4991</v>
      </c>
    </row>
    <row r="12" spans="1:9" x14ac:dyDescent="0.25">
      <c r="A12" s="23" t="s">
        <v>5013</v>
      </c>
      <c r="B12" s="19">
        <v>4</v>
      </c>
      <c r="C12" s="29">
        <v>36</v>
      </c>
      <c r="D12" s="29">
        <v>40</v>
      </c>
      <c r="E12" s="20">
        <v>144</v>
      </c>
      <c r="F12" s="21">
        <v>58</v>
      </c>
      <c r="G12" s="33">
        <v>47</v>
      </c>
      <c r="H12" s="22">
        <v>14</v>
      </c>
      <c r="I12" s="18">
        <v>343</v>
      </c>
    </row>
    <row r="13" spans="1:9" x14ac:dyDescent="0.25">
      <c r="A13" s="23" t="s">
        <v>5015</v>
      </c>
      <c r="B13" s="19">
        <v>1</v>
      </c>
      <c r="C13" s="29">
        <v>53</v>
      </c>
      <c r="D13" s="29">
        <v>93</v>
      </c>
      <c r="E13" s="20">
        <v>456</v>
      </c>
      <c r="F13" s="21">
        <v>218</v>
      </c>
      <c r="G13" s="33">
        <v>202</v>
      </c>
      <c r="H13" s="22">
        <v>66</v>
      </c>
      <c r="I13" s="18">
        <v>1089</v>
      </c>
    </row>
    <row r="14" spans="1:9" x14ac:dyDescent="0.25">
      <c r="A14" s="23" t="s">
        <v>5014</v>
      </c>
      <c r="B14" s="19"/>
      <c r="C14" s="29">
        <v>36</v>
      </c>
      <c r="D14" s="29">
        <v>56</v>
      </c>
      <c r="E14" s="20">
        <v>297</v>
      </c>
      <c r="F14" s="21">
        <v>213</v>
      </c>
      <c r="G14" s="33">
        <v>307</v>
      </c>
      <c r="H14" s="22">
        <v>79</v>
      </c>
      <c r="I14" s="18">
        <v>988</v>
      </c>
    </row>
    <row r="15" spans="1:9" x14ac:dyDescent="0.25">
      <c r="A15" s="23" t="s">
        <v>4991</v>
      </c>
      <c r="B15" s="19">
        <v>5</v>
      </c>
      <c r="C15" s="29">
        <v>125</v>
      </c>
      <c r="D15" s="29">
        <v>189</v>
      </c>
      <c r="E15" s="20">
        <v>897</v>
      </c>
      <c r="F15" s="21">
        <v>489</v>
      </c>
      <c r="G15" s="33">
        <v>556</v>
      </c>
      <c r="H15" s="22">
        <v>159</v>
      </c>
      <c r="I15" s="18">
        <v>2420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6BFE-20CA-4DBA-B7B0-D3B0AE4ABD39}">
  <dimension ref="A3:U79"/>
  <sheetViews>
    <sheetView zoomScaleNormal="100" workbookViewId="0">
      <selection activeCell="D66" sqref="D66"/>
    </sheetView>
  </sheetViews>
  <sheetFormatPr defaultRowHeight="15" x14ac:dyDescent="0.25"/>
  <cols>
    <col min="1" max="1" width="18.28515625" bestFit="1" customWidth="1"/>
    <col min="2" max="2" width="18.42578125" customWidth="1"/>
    <col min="3" max="3" width="8" customWidth="1"/>
    <col min="4" max="4" width="16.140625" customWidth="1"/>
    <col min="5" max="5" width="18.42578125" customWidth="1"/>
    <col min="6" max="6" width="10.85546875" customWidth="1"/>
    <col min="7" max="7" width="13.28515625" customWidth="1"/>
    <col min="8" max="8" width="10" customWidth="1"/>
    <col min="9" max="9" width="11.42578125" customWidth="1"/>
    <col min="10" max="10" width="9.140625" customWidth="1"/>
    <col min="11" max="11" width="11.5703125" customWidth="1"/>
    <col min="12" max="12" width="18.28515625" customWidth="1"/>
    <col min="13" max="13" width="16" customWidth="1"/>
    <col min="14" max="14" width="6.7109375" customWidth="1"/>
    <col min="16" max="16" width="11.5703125" customWidth="1"/>
    <col min="19" max="19" width="12.28515625" customWidth="1"/>
  </cols>
  <sheetData>
    <row r="3" spans="1:2" x14ac:dyDescent="0.25">
      <c r="A3" s="5" t="s">
        <v>5006</v>
      </c>
      <c r="B3" s="6" t="s">
        <v>5011</v>
      </c>
    </row>
    <row r="4" spans="1:2" x14ac:dyDescent="0.25">
      <c r="A4" s="7" t="s">
        <v>5008</v>
      </c>
      <c r="B4" s="6">
        <v>5</v>
      </c>
    </row>
    <row r="5" spans="1:2" x14ac:dyDescent="0.25">
      <c r="A5" s="7" t="s">
        <v>4997</v>
      </c>
      <c r="B5" s="6">
        <v>125</v>
      </c>
    </row>
    <row r="6" spans="1:2" x14ac:dyDescent="0.25">
      <c r="A6" s="7" t="s">
        <v>5009</v>
      </c>
      <c r="B6" s="6">
        <v>189</v>
      </c>
    </row>
    <row r="7" spans="1:2" x14ac:dyDescent="0.25">
      <c r="A7" s="7" t="s">
        <v>4993</v>
      </c>
      <c r="B7" s="6">
        <v>897</v>
      </c>
    </row>
    <row r="8" spans="1:2" x14ac:dyDescent="0.25">
      <c r="A8" s="7" t="s">
        <v>4995</v>
      </c>
      <c r="B8" s="6">
        <v>489</v>
      </c>
    </row>
    <row r="9" spans="1:2" x14ac:dyDescent="0.25">
      <c r="A9" s="7" t="s">
        <v>4994</v>
      </c>
      <c r="B9" s="6">
        <v>556</v>
      </c>
    </row>
    <row r="10" spans="1:2" x14ac:dyDescent="0.25">
      <c r="A10" s="7" t="s">
        <v>4996</v>
      </c>
      <c r="B10" s="6">
        <v>159</v>
      </c>
    </row>
    <row r="11" spans="1:2" x14ac:dyDescent="0.25">
      <c r="A11" s="7" t="s">
        <v>4991</v>
      </c>
      <c r="B11" s="6">
        <v>2420</v>
      </c>
    </row>
    <row r="21" spans="1:9" x14ac:dyDescent="0.25">
      <c r="A21" s="5" t="s">
        <v>5011</v>
      </c>
      <c r="B21" s="5" t="s">
        <v>5006</v>
      </c>
      <c r="C21" s="6"/>
      <c r="D21" s="6"/>
      <c r="E21" s="6"/>
      <c r="F21" s="6"/>
      <c r="G21" s="6"/>
      <c r="H21" s="6"/>
      <c r="I21" s="6"/>
    </row>
    <row r="22" spans="1:9" x14ac:dyDescent="0.25">
      <c r="A22" s="5" t="s">
        <v>0</v>
      </c>
      <c r="B22" s="6" t="s">
        <v>5008</v>
      </c>
      <c r="C22" s="6" t="s">
        <v>4997</v>
      </c>
      <c r="D22" s="6" t="s">
        <v>5009</v>
      </c>
      <c r="E22" s="6" t="s">
        <v>4993</v>
      </c>
      <c r="F22" s="6" t="s">
        <v>4995</v>
      </c>
      <c r="G22" s="6" t="s">
        <v>4994</v>
      </c>
      <c r="H22" s="6" t="s">
        <v>4996</v>
      </c>
      <c r="I22" s="6" t="s">
        <v>4991</v>
      </c>
    </row>
    <row r="23" spans="1:9" x14ac:dyDescent="0.25">
      <c r="A23" s="7" t="s">
        <v>13</v>
      </c>
      <c r="B23" s="6">
        <v>1</v>
      </c>
      <c r="C23" s="6">
        <v>19</v>
      </c>
      <c r="D23" s="6">
        <v>29</v>
      </c>
      <c r="E23" s="6">
        <v>129</v>
      </c>
      <c r="F23" s="6">
        <v>85</v>
      </c>
      <c r="G23" s="6">
        <v>74</v>
      </c>
      <c r="H23" s="6">
        <v>24</v>
      </c>
      <c r="I23" s="6">
        <v>361</v>
      </c>
    </row>
    <row r="24" spans="1:9" x14ac:dyDescent="0.25">
      <c r="A24" s="7" t="s">
        <v>149</v>
      </c>
      <c r="B24" s="6"/>
      <c r="C24" s="6">
        <v>6</v>
      </c>
      <c r="D24" s="6">
        <v>17</v>
      </c>
      <c r="E24" s="6">
        <v>89</v>
      </c>
      <c r="F24" s="6">
        <v>30</v>
      </c>
      <c r="G24" s="6">
        <v>40</v>
      </c>
      <c r="H24" s="6">
        <v>4</v>
      </c>
      <c r="I24" s="6">
        <v>186</v>
      </c>
    </row>
    <row r="25" spans="1:9" x14ac:dyDescent="0.25">
      <c r="A25" s="7" t="s">
        <v>347</v>
      </c>
      <c r="B25" s="6"/>
      <c r="C25" s="6"/>
      <c r="D25" s="6">
        <v>3</v>
      </c>
      <c r="E25" s="6">
        <v>25</v>
      </c>
      <c r="F25" s="6">
        <v>18</v>
      </c>
      <c r="G25" s="6">
        <v>27</v>
      </c>
      <c r="H25" s="6">
        <v>7</v>
      </c>
      <c r="I25" s="6">
        <v>80</v>
      </c>
    </row>
    <row r="26" spans="1:9" x14ac:dyDescent="0.25">
      <c r="A26" s="7" t="s">
        <v>4</v>
      </c>
      <c r="B26" s="6">
        <v>1</v>
      </c>
      <c r="C26" s="6">
        <v>8</v>
      </c>
      <c r="D26" s="6">
        <v>9</v>
      </c>
      <c r="E26" s="6">
        <v>29</v>
      </c>
      <c r="F26" s="6">
        <v>7</v>
      </c>
      <c r="G26" s="6">
        <v>5</v>
      </c>
      <c r="H26" s="6">
        <v>2</v>
      </c>
      <c r="I26" s="6">
        <v>61</v>
      </c>
    </row>
    <row r="27" spans="1:9" x14ac:dyDescent="0.25">
      <c r="A27" s="7" t="s">
        <v>69</v>
      </c>
      <c r="B27" s="6"/>
      <c r="C27" s="6">
        <v>12</v>
      </c>
      <c r="D27" s="6">
        <v>22</v>
      </c>
      <c r="E27" s="6">
        <v>66</v>
      </c>
      <c r="F27" s="6">
        <v>24</v>
      </c>
      <c r="G27" s="6">
        <v>31</v>
      </c>
      <c r="H27" s="6">
        <v>11</v>
      </c>
      <c r="I27" s="6">
        <v>166</v>
      </c>
    </row>
    <row r="28" spans="1:9" x14ac:dyDescent="0.25">
      <c r="A28" s="7" t="s">
        <v>144</v>
      </c>
      <c r="B28" s="6"/>
      <c r="C28" s="6">
        <v>4</v>
      </c>
      <c r="D28" s="6">
        <v>8</v>
      </c>
      <c r="E28" s="6">
        <v>50</v>
      </c>
      <c r="F28" s="6">
        <v>27</v>
      </c>
      <c r="G28" s="6">
        <v>16</v>
      </c>
      <c r="H28" s="6">
        <v>7</v>
      </c>
      <c r="I28" s="6">
        <v>112</v>
      </c>
    </row>
    <row r="29" spans="1:9" x14ac:dyDescent="0.25">
      <c r="A29" s="7" t="s">
        <v>21</v>
      </c>
      <c r="B29" s="6"/>
      <c r="C29" s="6">
        <v>35</v>
      </c>
      <c r="D29" s="6">
        <v>40</v>
      </c>
      <c r="E29" s="6">
        <v>186</v>
      </c>
      <c r="F29" s="6">
        <v>114</v>
      </c>
      <c r="G29" s="6">
        <v>142</v>
      </c>
      <c r="H29" s="6">
        <v>34</v>
      </c>
      <c r="I29" s="6">
        <v>551</v>
      </c>
    </row>
    <row r="30" spans="1:9" x14ac:dyDescent="0.25">
      <c r="A30" s="7" t="s">
        <v>106</v>
      </c>
      <c r="B30" s="6"/>
      <c r="C30" s="6">
        <v>1</v>
      </c>
      <c r="D30" s="6">
        <v>2</v>
      </c>
      <c r="E30" s="6">
        <v>22</v>
      </c>
      <c r="F30" s="6">
        <v>12</v>
      </c>
      <c r="G30" s="6">
        <v>15</v>
      </c>
      <c r="H30" s="6">
        <v>1</v>
      </c>
      <c r="I30" s="6">
        <v>53</v>
      </c>
    </row>
    <row r="31" spans="1:9" x14ac:dyDescent="0.25">
      <c r="A31" s="7" t="s">
        <v>4956</v>
      </c>
      <c r="B31" s="6"/>
      <c r="C31" s="6"/>
      <c r="D31" s="6"/>
      <c r="E31" s="6"/>
      <c r="F31" s="6"/>
      <c r="G31" s="6"/>
      <c r="H31" s="6">
        <v>1</v>
      </c>
      <c r="I31" s="6">
        <v>1</v>
      </c>
    </row>
    <row r="32" spans="1:9" x14ac:dyDescent="0.25">
      <c r="A32" s="7" t="s">
        <v>49</v>
      </c>
      <c r="B32" s="6"/>
      <c r="C32" s="6">
        <v>3</v>
      </c>
      <c r="D32" s="6">
        <v>7</v>
      </c>
      <c r="E32" s="6">
        <v>44</v>
      </c>
      <c r="F32" s="6">
        <v>28</v>
      </c>
      <c r="G32" s="6">
        <v>19</v>
      </c>
      <c r="H32" s="6">
        <v>7</v>
      </c>
      <c r="I32" s="6">
        <v>108</v>
      </c>
    </row>
    <row r="33" spans="1:9" x14ac:dyDescent="0.25">
      <c r="A33" s="7" t="s">
        <v>8</v>
      </c>
      <c r="B33" s="6">
        <v>3</v>
      </c>
      <c r="C33" s="6">
        <v>35</v>
      </c>
      <c r="D33" s="6">
        <v>45</v>
      </c>
      <c r="E33" s="6">
        <v>170</v>
      </c>
      <c r="F33" s="6">
        <v>82</v>
      </c>
      <c r="G33" s="6">
        <v>101</v>
      </c>
      <c r="H33" s="6">
        <v>30</v>
      </c>
      <c r="I33" s="6">
        <v>466</v>
      </c>
    </row>
    <row r="34" spans="1:9" x14ac:dyDescent="0.25">
      <c r="A34" s="7" t="s">
        <v>220</v>
      </c>
      <c r="B34" s="6"/>
      <c r="C34" s="6">
        <v>1</v>
      </c>
      <c r="D34" s="6">
        <v>7</v>
      </c>
      <c r="E34" s="6">
        <v>52</v>
      </c>
      <c r="F34" s="6">
        <v>46</v>
      </c>
      <c r="G34" s="6">
        <v>65</v>
      </c>
      <c r="H34" s="6">
        <v>25</v>
      </c>
      <c r="I34" s="6">
        <v>196</v>
      </c>
    </row>
    <row r="35" spans="1:9" x14ac:dyDescent="0.25">
      <c r="A35" s="7" t="s">
        <v>201</v>
      </c>
      <c r="B35" s="6"/>
      <c r="C35" s="6">
        <v>1</v>
      </c>
      <c r="D35" s="6"/>
      <c r="E35" s="6">
        <v>35</v>
      </c>
      <c r="F35" s="6">
        <v>16</v>
      </c>
      <c r="G35" s="6">
        <v>21</v>
      </c>
      <c r="H35" s="6">
        <v>6</v>
      </c>
      <c r="I35" s="6">
        <v>79</v>
      </c>
    </row>
    <row r="36" spans="1:9" x14ac:dyDescent="0.25">
      <c r="A36" s="7" t="s">
        <v>4991</v>
      </c>
      <c r="B36" s="6">
        <v>5</v>
      </c>
      <c r="C36" s="6">
        <v>125</v>
      </c>
      <c r="D36" s="6">
        <v>189</v>
      </c>
      <c r="E36" s="6">
        <v>897</v>
      </c>
      <c r="F36" s="6">
        <v>489</v>
      </c>
      <c r="G36" s="6">
        <v>556</v>
      </c>
      <c r="H36" s="6">
        <v>159</v>
      </c>
      <c r="I36" s="6">
        <v>2420</v>
      </c>
    </row>
    <row r="39" spans="1:9" x14ac:dyDescent="0.25">
      <c r="A39" s="5" t="s">
        <v>5011</v>
      </c>
      <c r="B39" s="5" t="s">
        <v>5006</v>
      </c>
      <c r="C39" s="6"/>
      <c r="D39" s="6"/>
      <c r="E39" s="6"/>
      <c r="F39" s="6"/>
      <c r="G39" s="6"/>
      <c r="H39" s="6"/>
      <c r="I39" s="6"/>
    </row>
    <row r="40" spans="1:9" x14ac:dyDescent="0.25">
      <c r="A40" s="5" t="s">
        <v>5007</v>
      </c>
      <c r="B40" s="6" t="s">
        <v>5008</v>
      </c>
      <c r="C40" s="6" t="s">
        <v>4997</v>
      </c>
      <c r="D40" s="6" t="s">
        <v>5009</v>
      </c>
      <c r="E40" s="6" t="s">
        <v>4993</v>
      </c>
      <c r="F40" s="6" t="s">
        <v>4995</v>
      </c>
      <c r="G40" s="6" t="s">
        <v>4994</v>
      </c>
      <c r="H40" s="6" t="s">
        <v>4996</v>
      </c>
      <c r="I40" s="6" t="s">
        <v>4991</v>
      </c>
    </row>
    <row r="41" spans="1:9" x14ac:dyDescent="0.25">
      <c r="A41" s="7" t="s">
        <v>5013</v>
      </c>
      <c r="B41" s="6">
        <v>4</v>
      </c>
      <c r="C41" s="6">
        <v>36</v>
      </c>
      <c r="D41" s="6">
        <v>40</v>
      </c>
      <c r="E41" s="6">
        <v>144</v>
      </c>
      <c r="F41" s="6">
        <v>58</v>
      </c>
      <c r="G41" s="6">
        <v>47</v>
      </c>
      <c r="H41" s="6">
        <v>14</v>
      </c>
      <c r="I41" s="6">
        <v>343</v>
      </c>
    </row>
    <row r="42" spans="1:9" x14ac:dyDescent="0.25">
      <c r="A42" s="7" t="s">
        <v>5015</v>
      </c>
      <c r="B42" s="6">
        <v>1</v>
      </c>
      <c r="C42" s="6">
        <v>53</v>
      </c>
      <c r="D42" s="6">
        <v>93</v>
      </c>
      <c r="E42" s="6">
        <v>456</v>
      </c>
      <c r="F42" s="6">
        <v>218</v>
      </c>
      <c r="G42" s="6">
        <v>202</v>
      </c>
      <c r="H42" s="6">
        <v>66</v>
      </c>
      <c r="I42" s="6">
        <v>1089</v>
      </c>
    </row>
    <row r="43" spans="1:9" x14ac:dyDescent="0.25">
      <c r="A43" s="7" t="s">
        <v>5014</v>
      </c>
      <c r="B43" s="6"/>
      <c r="C43" s="6">
        <v>36</v>
      </c>
      <c r="D43" s="6">
        <v>56</v>
      </c>
      <c r="E43" s="6">
        <v>297</v>
      </c>
      <c r="F43" s="6">
        <v>213</v>
      </c>
      <c r="G43" s="6">
        <v>307</v>
      </c>
      <c r="H43" s="6">
        <v>79</v>
      </c>
      <c r="I43" s="6">
        <v>988</v>
      </c>
    </row>
    <row r="44" spans="1:9" x14ac:dyDescent="0.25">
      <c r="A44" s="7" t="s">
        <v>4991</v>
      </c>
      <c r="B44" s="6">
        <v>5</v>
      </c>
      <c r="C44" s="6">
        <v>125</v>
      </c>
      <c r="D44" s="6">
        <v>189</v>
      </c>
      <c r="E44" s="6">
        <v>897</v>
      </c>
      <c r="F44" s="6">
        <v>489</v>
      </c>
      <c r="G44" s="6">
        <v>556</v>
      </c>
      <c r="H44" s="6">
        <v>159</v>
      </c>
      <c r="I44" s="6">
        <v>2420</v>
      </c>
    </row>
    <row r="51" spans="1:21" x14ac:dyDescent="0.25">
      <c r="A51" s="10"/>
      <c r="B51" s="10"/>
      <c r="C51" s="10"/>
    </row>
    <row r="52" spans="1:21" x14ac:dyDescent="0.25">
      <c r="D52" s="56" t="s">
        <v>5025</v>
      </c>
      <c r="E52" s="56"/>
      <c r="F52" s="56"/>
      <c r="G52" s="56"/>
    </row>
    <row r="53" spans="1:21" x14ac:dyDescent="0.25">
      <c r="A53" s="2" t="s">
        <v>5006</v>
      </c>
      <c r="B53" t="s">
        <v>4994</v>
      </c>
      <c r="D53" t="s">
        <v>5006</v>
      </c>
      <c r="E53" t="s">
        <v>4993</v>
      </c>
    </row>
    <row r="54" spans="1:21" x14ac:dyDescent="0.25">
      <c r="A54" s="2" t="s">
        <v>4985</v>
      </c>
      <c r="B54" t="s">
        <v>4993</v>
      </c>
      <c r="D54" t="s">
        <v>4985</v>
      </c>
      <c r="E54" t="s">
        <v>4994</v>
      </c>
    </row>
    <row r="55" spans="1:21" x14ac:dyDescent="0.25">
      <c r="D55" s="4" t="s">
        <v>0</v>
      </c>
      <c r="E55" s="4" t="s">
        <v>5011</v>
      </c>
      <c r="F55" s="50" t="s">
        <v>4978</v>
      </c>
      <c r="G55" s="51" t="s">
        <v>4979</v>
      </c>
      <c r="H55" s="51" t="s">
        <v>4980</v>
      </c>
      <c r="I55" s="51" t="s">
        <v>4981</v>
      </c>
      <c r="J55" s="51" t="s">
        <v>0</v>
      </c>
      <c r="K55" s="51" t="s">
        <v>4982</v>
      </c>
      <c r="L55" s="51" t="s">
        <v>4992</v>
      </c>
      <c r="M55" s="51" t="s">
        <v>5006</v>
      </c>
      <c r="N55" s="51" t="s">
        <v>4983</v>
      </c>
      <c r="O55" s="51" t="s">
        <v>4984</v>
      </c>
      <c r="P55" s="51" t="s">
        <v>4985</v>
      </c>
      <c r="Q55" s="51" t="s">
        <v>4986</v>
      </c>
      <c r="R55" s="51" t="s">
        <v>4987</v>
      </c>
      <c r="S55" s="51" t="s">
        <v>5007</v>
      </c>
      <c r="T55" s="51" t="s">
        <v>4988</v>
      </c>
      <c r="U55" s="52" t="s">
        <v>4989</v>
      </c>
    </row>
    <row r="56" spans="1:21" x14ac:dyDescent="0.25">
      <c r="A56" s="2" t="s">
        <v>0</v>
      </c>
      <c r="B56" t="s">
        <v>5011</v>
      </c>
      <c r="D56" s="3" t="s">
        <v>13</v>
      </c>
      <c r="E56">
        <v>1</v>
      </c>
      <c r="F56" s="53" t="s">
        <v>1305</v>
      </c>
      <c r="G56" s="54" t="s">
        <v>1306</v>
      </c>
      <c r="H56" s="54">
        <v>3902</v>
      </c>
      <c r="I56" s="54" t="s">
        <v>72</v>
      </c>
      <c r="J56" s="54" t="s">
        <v>13</v>
      </c>
      <c r="K56" s="54">
        <v>26264</v>
      </c>
      <c r="L56" s="54" t="s">
        <v>4999</v>
      </c>
      <c r="M56" s="54" t="s">
        <v>4993</v>
      </c>
      <c r="N56" s="54">
        <v>2.5640999999999998</v>
      </c>
      <c r="O56" s="54" t="s">
        <v>5012</v>
      </c>
      <c r="P56" s="54" t="s">
        <v>4994</v>
      </c>
      <c r="Q56" s="54">
        <v>523</v>
      </c>
      <c r="R56" s="54">
        <v>6</v>
      </c>
      <c r="S56" s="54" t="s">
        <v>5013</v>
      </c>
      <c r="T56" s="54">
        <v>0</v>
      </c>
      <c r="U56" s="55">
        <v>0</v>
      </c>
    </row>
    <row r="57" spans="1:21" x14ac:dyDescent="0.25">
      <c r="A57" s="3" t="s">
        <v>13</v>
      </c>
      <c r="B57">
        <v>57</v>
      </c>
      <c r="D57" s="3" t="s">
        <v>347</v>
      </c>
      <c r="E57">
        <v>1</v>
      </c>
      <c r="F57" s="53" t="s">
        <v>1960</v>
      </c>
      <c r="G57" s="54" t="s">
        <v>1961</v>
      </c>
      <c r="H57" s="54">
        <v>6236</v>
      </c>
      <c r="I57" s="54" t="s">
        <v>272</v>
      </c>
      <c r="J57" s="54" t="s">
        <v>347</v>
      </c>
      <c r="K57" s="54">
        <v>15090</v>
      </c>
      <c r="L57" s="54" t="s">
        <v>4999</v>
      </c>
      <c r="M57" s="54" t="s">
        <v>4993</v>
      </c>
      <c r="N57" s="54">
        <v>2.8077000000000001</v>
      </c>
      <c r="O57" s="54" t="s">
        <v>5012</v>
      </c>
      <c r="P57" s="54" t="s">
        <v>4994</v>
      </c>
      <c r="Q57" s="54">
        <v>26</v>
      </c>
      <c r="R57" s="54">
        <v>55</v>
      </c>
      <c r="S57" s="54" t="s">
        <v>5014</v>
      </c>
      <c r="T57" s="54">
        <v>0</v>
      </c>
      <c r="U57" s="55">
        <v>0</v>
      </c>
    </row>
    <row r="58" spans="1:21" x14ac:dyDescent="0.25">
      <c r="A58" s="3" t="s">
        <v>149</v>
      </c>
      <c r="B58">
        <v>24</v>
      </c>
      <c r="D58" s="3" t="s">
        <v>220</v>
      </c>
      <c r="E58">
        <v>1</v>
      </c>
      <c r="F58" s="53" t="s">
        <v>937</v>
      </c>
      <c r="G58" s="54" t="s">
        <v>938</v>
      </c>
      <c r="H58" s="54">
        <v>7083</v>
      </c>
      <c r="I58" s="54" t="s">
        <v>20</v>
      </c>
      <c r="J58" s="54" t="s">
        <v>220</v>
      </c>
      <c r="K58" s="54">
        <v>39446</v>
      </c>
      <c r="L58" s="54" t="s">
        <v>4999</v>
      </c>
      <c r="M58" s="54" t="s">
        <v>4993</v>
      </c>
      <c r="N58" s="54">
        <v>2.5</v>
      </c>
      <c r="O58" s="54" t="s">
        <v>5012</v>
      </c>
      <c r="P58" s="54" t="s">
        <v>4994</v>
      </c>
      <c r="Q58" s="54">
        <v>22</v>
      </c>
      <c r="R58" s="54">
        <v>26</v>
      </c>
      <c r="S58" s="54" t="s">
        <v>5015</v>
      </c>
      <c r="T58" s="54">
        <v>0</v>
      </c>
      <c r="U58" s="55">
        <v>0</v>
      </c>
    </row>
    <row r="59" spans="1:21" x14ac:dyDescent="0.25">
      <c r="A59" s="3" t="s">
        <v>347</v>
      </c>
      <c r="B59">
        <v>17</v>
      </c>
      <c r="D59" s="57" t="s">
        <v>4991</v>
      </c>
      <c r="E59" s="58">
        <v>3</v>
      </c>
    </row>
    <row r="60" spans="1:21" x14ac:dyDescent="0.25">
      <c r="A60" s="3" t="s">
        <v>4</v>
      </c>
      <c r="B60">
        <v>3</v>
      </c>
    </row>
    <row r="61" spans="1:21" x14ac:dyDescent="0.25">
      <c r="A61" s="3" t="s">
        <v>69</v>
      </c>
      <c r="B61">
        <v>24</v>
      </c>
    </row>
    <row r="62" spans="1:21" x14ac:dyDescent="0.25">
      <c r="A62" s="3" t="s">
        <v>144</v>
      </c>
      <c r="B62">
        <v>8</v>
      </c>
      <c r="D62" s="59" t="s">
        <v>5026</v>
      </c>
      <c r="E62" s="56"/>
      <c r="F62" s="56"/>
      <c r="G62" s="56"/>
    </row>
    <row r="63" spans="1:21" x14ac:dyDescent="0.25">
      <c r="A63" s="3" t="s">
        <v>21</v>
      </c>
      <c r="B63">
        <v>108</v>
      </c>
      <c r="D63" s="2" t="s">
        <v>5006</v>
      </c>
      <c r="E63" t="s">
        <v>4994</v>
      </c>
    </row>
    <row r="64" spans="1:21" x14ac:dyDescent="0.25">
      <c r="A64" s="3" t="s">
        <v>106</v>
      </c>
      <c r="B64">
        <v>6</v>
      </c>
      <c r="D64" s="2" t="s">
        <v>4985</v>
      </c>
      <c r="E64" t="s">
        <v>4993</v>
      </c>
    </row>
    <row r="65" spans="1:5" x14ac:dyDescent="0.25">
      <c r="A65" s="3" t="s">
        <v>49</v>
      </c>
      <c r="B65">
        <v>10</v>
      </c>
    </row>
    <row r="66" spans="1:5" x14ac:dyDescent="0.25">
      <c r="A66" s="3" t="s">
        <v>8</v>
      </c>
      <c r="B66">
        <v>74</v>
      </c>
      <c r="D66" s="2" t="s">
        <v>0</v>
      </c>
      <c r="E66" t="s">
        <v>5011</v>
      </c>
    </row>
    <row r="67" spans="1:5" x14ac:dyDescent="0.25">
      <c r="A67" s="3" t="s">
        <v>220</v>
      </c>
      <c r="B67">
        <v>36</v>
      </c>
      <c r="D67" s="3" t="s">
        <v>13</v>
      </c>
      <c r="E67">
        <v>57</v>
      </c>
    </row>
    <row r="68" spans="1:5" x14ac:dyDescent="0.25">
      <c r="A68" s="3" t="s">
        <v>201</v>
      </c>
      <c r="B68">
        <v>17</v>
      </c>
      <c r="D68" s="3" t="s">
        <v>149</v>
      </c>
      <c r="E68">
        <v>24</v>
      </c>
    </row>
    <row r="69" spans="1:5" x14ac:dyDescent="0.25">
      <c r="A69" s="3" t="s">
        <v>4991</v>
      </c>
      <c r="B69">
        <v>384</v>
      </c>
      <c r="D69" s="3" t="s">
        <v>347</v>
      </c>
      <c r="E69">
        <v>17</v>
      </c>
    </row>
    <row r="70" spans="1:5" x14ac:dyDescent="0.25">
      <c r="D70" s="3" t="s">
        <v>4</v>
      </c>
      <c r="E70">
        <v>3</v>
      </c>
    </row>
    <row r="71" spans="1:5" x14ac:dyDescent="0.25">
      <c r="D71" s="3" t="s">
        <v>69</v>
      </c>
      <c r="E71">
        <v>24</v>
      </c>
    </row>
    <row r="72" spans="1:5" x14ac:dyDescent="0.25">
      <c r="D72" s="3" t="s">
        <v>144</v>
      </c>
      <c r="E72">
        <v>8</v>
      </c>
    </row>
    <row r="73" spans="1:5" x14ac:dyDescent="0.25">
      <c r="D73" s="3" t="s">
        <v>21</v>
      </c>
      <c r="E73">
        <v>108</v>
      </c>
    </row>
    <row r="74" spans="1:5" x14ac:dyDescent="0.25">
      <c r="D74" s="3" t="s">
        <v>106</v>
      </c>
      <c r="E74">
        <v>6</v>
      </c>
    </row>
    <row r="75" spans="1:5" x14ac:dyDescent="0.25">
      <c r="D75" s="3" t="s">
        <v>49</v>
      </c>
      <c r="E75">
        <v>10</v>
      </c>
    </row>
    <row r="76" spans="1:5" x14ac:dyDescent="0.25">
      <c r="D76" s="3" t="s">
        <v>8</v>
      </c>
      <c r="E76">
        <v>74</v>
      </c>
    </row>
    <row r="77" spans="1:5" x14ac:dyDescent="0.25">
      <c r="D77" s="3" t="s">
        <v>220</v>
      </c>
      <c r="E77">
        <v>36</v>
      </c>
    </row>
    <row r="78" spans="1:5" x14ac:dyDescent="0.25">
      <c r="D78" s="3" t="s">
        <v>201</v>
      </c>
      <c r="E78">
        <v>17</v>
      </c>
    </row>
    <row r="79" spans="1:5" x14ac:dyDescent="0.25">
      <c r="D79" s="3" t="s">
        <v>4991</v>
      </c>
      <c r="E79">
        <v>384</v>
      </c>
    </row>
  </sheetData>
  <pageMargins left="0.7" right="0.7" top="0.75" bottom="0.75" header="0.3" footer="0.3"/>
  <pageSetup orientation="portrait" r:id="rId6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99B1-A8AE-4428-BB4D-11ACD15051B2}">
  <dimension ref="A3:F11"/>
  <sheetViews>
    <sheetView workbookViewId="0">
      <selection activeCell="M14" sqref="M14"/>
    </sheetView>
  </sheetViews>
  <sheetFormatPr defaultRowHeight="15" x14ac:dyDescent="0.25"/>
  <cols>
    <col min="1" max="1" width="13.140625" bestFit="1" customWidth="1"/>
    <col min="2" max="2" width="26.5703125" bestFit="1" customWidth="1"/>
    <col min="4" max="4" width="9.140625" customWidth="1"/>
    <col min="5" max="5" width="11.140625" customWidth="1"/>
    <col min="6" max="6" width="28.140625" customWidth="1"/>
  </cols>
  <sheetData>
    <row r="3" spans="1:6" x14ac:dyDescent="0.25">
      <c r="A3" s="5" t="s">
        <v>4990</v>
      </c>
      <c r="B3" s="6" t="s">
        <v>5005</v>
      </c>
      <c r="E3" s="4" t="s">
        <v>4990</v>
      </c>
      <c r="F3" s="4" t="s">
        <v>5005</v>
      </c>
    </row>
    <row r="4" spans="1:6" x14ac:dyDescent="0.25">
      <c r="A4" s="7" t="s">
        <v>4998</v>
      </c>
      <c r="B4" s="6">
        <v>159</v>
      </c>
      <c r="E4" t="s">
        <v>4998</v>
      </c>
      <c r="F4">
        <v>159</v>
      </c>
    </row>
    <row r="5" spans="1:6" x14ac:dyDescent="0.25">
      <c r="A5" s="7" t="s">
        <v>4999</v>
      </c>
      <c r="B5" s="6">
        <v>897</v>
      </c>
      <c r="E5" s="3" t="s">
        <v>5000</v>
      </c>
      <c r="F5">
        <v>556</v>
      </c>
    </row>
    <row r="6" spans="1:6" x14ac:dyDescent="0.25">
      <c r="A6" s="7" t="s">
        <v>5000</v>
      </c>
      <c r="B6" s="6">
        <v>556</v>
      </c>
      <c r="E6" s="3" t="s">
        <v>5003</v>
      </c>
      <c r="F6">
        <v>489</v>
      </c>
    </row>
    <row r="7" spans="1:6" x14ac:dyDescent="0.25">
      <c r="A7" s="7" t="s">
        <v>5001</v>
      </c>
      <c r="B7" s="6">
        <v>125</v>
      </c>
      <c r="E7" t="s">
        <v>4999</v>
      </c>
      <c r="F7">
        <v>897</v>
      </c>
    </row>
    <row r="8" spans="1:6" x14ac:dyDescent="0.25">
      <c r="A8" s="7" t="s">
        <v>5002</v>
      </c>
      <c r="B8" s="6">
        <v>189</v>
      </c>
      <c r="E8" s="3" t="s">
        <v>5002</v>
      </c>
      <c r="F8">
        <v>189</v>
      </c>
    </row>
    <row r="9" spans="1:6" x14ac:dyDescent="0.25">
      <c r="A9" s="7" t="s">
        <v>5003</v>
      </c>
      <c r="B9" s="6">
        <v>489</v>
      </c>
      <c r="E9" s="3" t="s">
        <v>5001</v>
      </c>
      <c r="F9">
        <v>125</v>
      </c>
    </row>
    <row r="10" spans="1:6" x14ac:dyDescent="0.25">
      <c r="A10" s="7" t="s">
        <v>5004</v>
      </c>
      <c r="B10" s="6">
        <v>5</v>
      </c>
      <c r="E10" t="s">
        <v>5004</v>
      </c>
      <c r="F10">
        <v>5</v>
      </c>
    </row>
    <row r="11" spans="1:6" x14ac:dyDescent="0.25">
      <c r="A11" s="7" t="s">
        <v>4991</v>
      </c>
      <c r="B11" s="6">
        <v>2420</v>
      </c>
      <c r="E11" t="s">
        <v>4991</v>
      </c>
      <c r="F11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Sephora Skincare Dataset</vt:lpstr>
      <vt:lpstr>1 En Tier ; RB</vt:lpstr>
      <vt:lpstr>1.1 En - High, R - High</vt:lpstr>
      <vt:lpstr>1.2 En- High, R - Low</vt:lpstr>
      <vt:lpstr>1.3.2 En - Very Low, R- High</vt:lpstr>
      <vt:lpstr>1.3.1 En-Low,R-High</vt:lpstr>
      <vt:lpstr>En - Very Low, R- Low</vt:lpstr>
      <vt:lpstr>En - Low, R- Low</vt:lpstr>
      <vt:lpstr>2 Category - En Tier</vt:lpstr>
      <vt:lpstr>3 Price Tier - En Tier</vt:lpstr>
      <vt:lpstr>4 Dashboard</vt:lpstr>
      <vt:lpstr>Count of Enganement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Mhatre</dc:creator>
  <cp:lastModifiedBy>Sakshi Mhatre</cp:lastModifiedBy>
  <cp:lastPrinted>2025-12-23T05:20:46Z</cp:lastPrinted>
  <dcterms:created xsi:type="dcterms:W3CDTF">2025-12-18T14:28:07Z</dcterms:created>
  <dcterms:modified xsi:type="dcterms:W3CDTF">2026-01-01T09:42:10Z</dcterms:modified>
</cp:coreProperties>
</file>